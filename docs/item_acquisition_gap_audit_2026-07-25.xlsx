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汇总" sheetId="1" state="visible" r:id="rId1"/>
    <sheet xmlns:r="http://schemas.openxmlformats.org/officeDocument/2006/relationships" name="剩余缺口" sheetId="2" state="visible" r:id="rId2"/>
    <sheet xmlns:r="http://schemas.openxmlformats.org/officeDocument/2006/relationships" name="本次已补齐" sheetId="3" state="visible" r:id="rId3"/>
    <sheet xmlns:r="http://schemas.openxmlformats.org/officeDocument/2006/relationships" name="任务同步" sheetId="4" state="visible" r:id="rId4"/>
    <sheet xmlns:r="http://schemas.openxmlformats.org/officeDocument/2006/relationships" name="审计口径" sheetId="5" state="visible" r:id="rId5"/>
  </sheets>
  <definedNames>
    <definedName name="_xlnm.Print_Titles" localSheetId="1">'剩余缺口'!$1:$1</definedName>
    <definedName name="_xlnm.Print_Titles" localSheetId="2">'本次已补齐'!$1:$1</definedName>
    <definedName name="_xlnm.Print_Titles" localSheetId="3">'任务同步'!$1:$1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7324D"/>
      <sz val="10"/>
    </font>
    <font>
      <name val="Arial"/>
      <b val="1"/>
      <color rgb="00FFFFFF"/>
      <sz val="20"/>
    </font>
    <font>
      <name val="Arial"/>
      <color rgb="00D9EAF7"/>
      <sz val="10"/>
    </font>
    <font>
      <name val="Arial"/>
      <b val="1"/>
      <color rgb="002F75B5"/>
      <sz val="12"/>
    </font>
    <font>
      <name val="Arial"/>
      <b val="1"/>
      <color rgb="002F75B5"/>
      <sz val="10"/>
    </font>
    <font>
      <name val="Arial"/>
      <b val="1"/>
      <color rgb="00C65911"/>
      <sz val="1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F7A70"/>
      </patternFill>
    </fill>
    <fill>
      <patternFill patternType="solid">
        <fgColor rgb="00C659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/>
    </xf>
    <xf numFmtId="0" fontId="2" fillId="0" borderId="1" pivotButton="0" quotePrefix="0" xfId="0"/>
    <xf numFmtId="0" fontId="7" fillId="0" borderId="1" pivotButton="0" quotePrefix="0" xfId="0"/>
    <xf numFmtId="0" fontId="1" fillId="4" borderId="0" pivotButton="0" quotePrefix="0" xfId="0"/>
    <xf numFmtId="0" fontId="8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C00000"/>
      </font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ont>
        <name val="Arial"/>
        <b val="1"/>
        <color rgb="00548235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剩余缺口分布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'审计汇总'!B20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'审计汇总'!$A$21:$A$24</f>
            </numRef>
          </cat>
          <val>
            <numRef>
              <f>'审计汇总'!$B$21:$B$24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B9" authorId="0" shapeId="0">
      <text>
        <t>Source: data/item_templates.yaml, 2026-07-25, 当前数据库与配置审计。</t>
      </text>
    </comment>
    <comment ref="B10" authorId="0" shapeId="0">
      <text>
        <t>Source: ItemTemplate, 2026-07-25, 当前数据库与配置审计。</t>
      </text>
    </comment>
    <comment ref="B11" authorId="0" shapeId="0">
      <text>
        <t>Source: data/item_templates.yaml, 2026-07-25, 当前数据库与配置审计。</t>
      </text>
    </comment>
    <comment ref="B12" authorId="0" shapeId="0">
      <text>
        <t>Source: MissionTemplate, 2026-07-25, 当前数据库与配置审计。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apTable" displayName="GapTable" ref="A1:K95" headerRowCount="1">
  <autoFilter ref="A1:K95"/>
  <tableColumns count="11">
    <tableColumn id="1" name="序号"/>
    <tableColumn id="2" name="物品Key"/>
    <tableColumn id="3" name="名称"/>
    <tableColumn id="4" name="大类"/>
    <tableColumn id="5" name="装备部位"/>
    <tableColumn id="6" name="稀有度"/>
    <tableColumn id="7" name="缺口类型"/>
    <tableColumn id="8" name="缺口原因"/>
    <tableColumn id="9" name="可交易"/>
    <tableColumn id="10" name="机器人理论路径"/>
    <tableColumn id="11" name="配置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olvedTable" displayName="ResolvedTable" ref="A1:I16" headerRowCount="1">
  <autoFilter ref="A1:I16"/>
  <tableColumns count="9">
    <tableColumn id="1" name="序号"/>
    <tableColumn id="2" name="物品Key"/>
    <tableColumn id="3" name="名称"/>
    <tableColumn id="4" name="大类"/>
    <tableColumn id="5" name="修复类型"/>
    <tableColumn id="6" name="当前获取路线"/>
    <tableColumn id="7" name="同步前状态"/>
    <tableColumn id="8" name="同步后状态"/>
    <tableColumn id="9" name="配置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issionSyncTable" displayName="MissionSyncTable" ref="A1:H6" headerRowCount="1">
  <autoFilter ref="A1:H6"/>
  <tableColumns count="8">
    <tableColumn id="1" name="序号"/>
    <tableColumn id="2" name="任务Key"/>
    <tableColumn id="3" name="任务名称"/>
    <tableColumn id="4" name="操作"/>
    <tableColumn id="5" name="变更字段"/>
    <tableColumn id="6" name="影响"/>
    <tableColumn id="7" name="验证结果"/>
    <tableColumn id="8" name="配置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opeTable" displayName="ScopeTable" ref="A1:B12" headerRowCount="1">
  <autoFilter ref="A1:B12"/>
  <tableColumns count="2">
    <tableColumn id="1" name="项目"/>
    <tableColumn id="2" name="说明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F29"/>
  <sheetViews>
    <sheetView showGridLines="0" zoomScale="90" zoomScaleNormal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42" customWidth="1" min="3" max="3"/>
    <col width="29" customWidth="1" min="4" max="4"/>
    <col width="38" customWidth="1" min="5" max="5"/>
    <col width="18" customWidth="1" min="6" max="6"/>
  </cols>
  <sheetData>
    <row r="1" ht="34" customHeight="1">
      <c r="A1" s="1" t="inlineStr">
        <is>
          <t>道具装备获取缺口审计</t>
        </is>
      </c>
      <c r="B1" s="2" t="n"/>
      <c r="C1" s="2" t="n"/>
      <c r="D1" s="2" t="n"/>
      <c r="E1" s="2" t="n"/>
      <c r="F1" s="2" t="n"/>
    </row>
    <row r="2" ht="12" customHeight="1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任务模板数据库同步后｜正常、可重复、从零产出的玩家玩法口径</t>
        </is>
      </c>
    </row>
    <row r="5">
      <c r="A5" s="4" t="inlineStr">
        <is>
          <t>审计时间</t>
        </is>
      </c>
      <c r="B5" s="5" t="inlineStr">
        <is>
          <t>2026-07-25 22:21:52 CST</t>
        </is>
      </c>
      <c r="D5" s="4" t="inlineStr">
        <is>
          <t>数据库状态</t>
        </is>
      </c>
      <c r="E5" s="5" t="inlineStr">
        <is>
          <t>27 个任务与 YAML 完全一致</t>
        </is>
      </c>
    </row>
    <row r="6">
      <c r="A6" s="4" t="inlineStr">
        <is>
          <t>报告文件</t>
        </is>
      </c>
      <c r="B6" s="5" t="inlineStr">
        <is>
          <t>item_acquisition_gap_audit_2026-07-25.xlsx</t>
        </is>
      </c>
      <c r="D6" s="4" t="inlineStr">
        <is>
          <t>统计口径</t>
        </is>
      </c>
      <c r="E6" s="5" t="inlineStr">
        <is>
          <t>稳定玩家获取闭环（机器人隐式投放单列）</t>
        </is>
      </c>
    </row>
    <row r="8">
      <c r="A8" s="6" t="inlineStr">
        <is>
          <t>指标</t>
        </is>
      </c>
      <c r="B8" s="6" t="inlineStr">
        <is>
          <t>数值</t>
        </is>
      </c>
      <c r="C8" s="6" t="inlineStr">
        <is>
          <t>说明</t>
        </is>
      </c>
      <c r="D8" s="6" t="inlineStr">
        <is>
          <t>数据来源</t>
        </is>
      </c>
    </row>
    <row r="9">
      <c r="A9" s="7" t="inlineStr">
        <is>
          <t>YAML 固定模板</t>
        </is>
      </c>
      <c r="B9" s="8" t="n">
        <v>414</v>
      </c>
      <c r="C9" s="9" t="inlineStr">
        <is>
          <t>当前权威 ItemTemplate.key 数量</t>
        </is>
      </c>
      <c r="D9" s="9" t="inlineStr">
        <is>
          <t>data/item_templates.yaml</t>
        </is>
      </c>
    </row>
    <row r="10">
      <c r="A10" s="7" t="inlineStr">
        <is>
          <t>数据库模板行数</t>
        </is>
      </c>
      <c r="B10" s="8" t="n">
        <v>415</v>
      </c>
      <c r="C10" s="9" t="inlineStr">
        <is>
          <t>含 1 个历史残留模板</t>
        </is>
      </c>
      <c r="D10" s="9" t="inlineStr">
        <is>
          <t>ItemTemplate</t>
        </is>
      </c>
    </row>
    <row r="11">
      <c r="A11" s="7" t="inlineStr">
        <is>
          <t>装备模板</t>
        </is>
      </c>
      <c r="B11" s="8" t="n">
        <v>262</v>
      </c>
      <c r="C11" s="9" t="inlineStr">
        <is>
          <t>effect_type 以 equip_ 开头</t>
        </is>
      </c>
      <c r="D11" s="9" t="inlineStr">
        <is>
          <t>data/item_templates.yaml</t>
        </is>
      </c>
    </row>
    <row r="12">
      <c r="A12" s="7" t="inlineStr">
        <is>
          <t>数据库任务</t>
        </is>
      </c>
      <c r="B12" s="8" t="n">
        <v>27</v>
      </c>
      <c r="C12" s="9" t="inlineStr">
        <is>
          <t>与 YAML 逐字段一致</t>
        </is>
      </c>
      <c r="D12" s="9" t="inlineStr">
        <is>
          <t>MissionTemplate</t>
        </is>
      </c>
    </row>
    <row r="13">
      <c r="A13" s="7" t="inlineStr">
        <is>
          <t>本次补齐</t>
        </is>
      </c>
      <c r="B13" s="8">
        <f>COUNTA('本次已补齐'!B:B)-1</f>
        <v>15</v>
      </c>
      <c r="C13" s="9" t="inlineStr">
        <is>
          <t>数据库同步消除的额外缺口</t>
        </is>
      </c>
      <c r="D13" s="9" t="inlineStr">
        <is>
          <t>本次已补齐</t>
        </is>
      </c>
    </row>
    <row r="14">
      <c r="A14" s="7" t="inlineStr">
        <is>
          <t>剩余闭环缺口</t>
        </is>
      </c>
      <c r="B14" s="8">
        <f>COUNTA('剩余缺口'!B:B)-1</f>
        <v>94</v>
      </c>
      <c r="C14" s="9" t="inlineStr">
        <is>
          <t>不计机器人隐式投放</t>
        </is>
      </c>
      <c r="D14" s="9" t="inlineStr">
        <is>
          <t>剩余缺口</t>
        </is>
      </c>
    </row>
    <row r="15">
      <c r="A15" s="7" t="inlineStr">
        <is>
          <t>装备缺口</t>
        </is>
      </c>
      <c r="B15" s="8">
        <f>COUNTIF('剩余缺口'!D:D,"装备")</f>
        <v>70</v>
      </c>
      <c r="C15" s="9" t="inlineStr">
        <is>
          <t>包含图纸卡死的 10 件装备</t>
        </is>
      </c>
      <c r="D15" s="9" t="inlineStr">
        <is>
          <t>剩余缺口</t>
        </is>
      </c>
    </row>
    <row r="16">
      <c r="A16" s="7" t="inlineStr">
        <is>
          <t>非装备缺口</t>
        </is>
      </c>
      <c r="B16" s="8">
        <f>B14-B15</f>
        <v>24</v>
      </c>
      <c r="C16" s="9" t="inlineStr">
        <is>
          <t>图纸、功能道具与资源</t>
        </is>
      </c>
      <c r="D16" s="9" t="inlineStr">
        <is>
          <t>剩余缺口</t>
        </is>
      </c>
    </row>
    <row r="17">
      <c r="A17" s="7" t="inlineStr">
        <is>
          <t>机器人路径后硬缺口</t>
        </is>
      </c>
      <c r="B17" s="8">
        <f>COUNTIF('剩余缺口'!J:J,"无")</f>
        <v>1</v>
      </c>
      <c r="C17" s="9" t="inlineStr">
        <is>
          <t>仅茱萸叶</t>
        </is>
      </c>
      <c r="D17" s="9" t="inlineStr">
        <is>
          <t>剩余缺口</t>
        </is>
      </c>
    </row>
    <row r="20">
      <c r="A20" s="10" t="inlineStr">
        <is>
          <t>缺口大类</t>
        </is>
      </c>
      <c r="B20" s="10" t="inlineStr">
        <is>
          <t>数量</t>
        </is>
      </c>
    </row>
    <row r="21">
      <c r="A21" s="11" t="inlineStr">
        <is>
          <t>装备</t>
        </is>
      </c>
      <c r="B21" s="12">
        <f>COUNTIF('剩余缺口'!D:D,"装备")</f>
        <v>70</v>
      </c>
    </row>
    <row r="22">
      <c r="A22" s="11" t="inlineStr">
        <is>
          <t>图纸</t>
        </is>
      </c>
      <c r="B22" s="12">
        <f>COUNTIF('剩余缺口'!D:D,"图纸")</f>
        <v>13</v>
      </c>
    </row>
    <row r="23">
      <c r="A23" s="11" t="inlineStr">
        <is>
          <t>功能道具</t>
        </is>
      </c>
      <c r="B23" s="12">
        <f>COUNTIF('剩余缺口'!D:D,"功能道具")</f>
        <v>10</v>
      </c>
    </row>
    <row r="24">
      <c r="A24" s="11" t="inlineStr">
        <is>
          <t>资源</t>
        </is>
      </c>
      <c r="B24" s="12">
        <f>COUNTIF('剩余缺口'!D:D,"资源")</f>
        <v>1</v>
      </c>
    </row>
    <row r="27">
      <c r="A27" s="13" t="inlineStr">
        <is>
          <t>关键结论</t>
        </is>
      </c>
    </row>
    <row r="28" ht="40" customHeight="1">
      <c r="A28" s="14" t="inlineStr">
        <is>
          <t>数据库同步后，获取闭环缺口已从 109 个降至 94 个。若把机器人随机投放与踢馆掠夺也算入来源，唯一绝对不可获得的物品是 equip_zhuyuye（茱萸叶）。</t>
        </is>
      </c>
    </row>
    <row r="29"/>
  </sheetData>
  <mergeCells count="3">
    <mergeCell ref="A3:F3"/>
    <mergeCell ref="A28:F29"/>
    <mergeCell ref="A1:F2"/>
  </mergeCells>
  <pageMargins left="0.75" right="0.75" top="1" bottom="1" header="0.5" footer="0.5"/>
  <pageSetup orientation="landscape" fitToHeight="1" fitToWidth="1"/>
  <drawing ns1:id="rId1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5"/>
  <sheetViews>
    <sheetView showGridLines="0" zoomScale="90" zoomScaleNormal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2" customWidth="1" min="4" max="4"/>
    <col width="12" customWidth="1" min="5" max="5"/>
    <col width="11" customWidth="1" min="6" max="6"/>
    <col width="18" customWidth="1" min="7" max="7"/>
    <col width="52" customWidth="1" min="8" max="8"/>
    <col width="10" customWidth="1" min="9" max="9"/>
    <col width="31" customWidth="1" min="10" max="10"/>
    <col width="43" customWidth="1" min="11" max="11"/>
  </cols>
  <sheetData>
    <row r="1" ht="32" customHeight="1">
      <c r="A1" s="15" t="inlineStr">
        <is>
          <t>序号</t>
        </is>
      </c>
      <c r="B1" s="15" t="inlineStr">
        <is>
          <t>物品Key</t>
        </is>
      </c>
      <c r="C1" s="15" t="inlineStr">
        <is>
          <t>名称</t>
        </is>
      </c>
      <c r="D1" s="15" t="inlineStr">
        <is>
          <t>大类</t>
        </is>
      </c>
      <c r="E1" s="15" t="inlineStr">
        <is>
          <t>装备部位</t>
        </is>
      </c>
      <c r="F1" s="15" t="inlineStr">
        <is>
          <t>稀有度</t>
        </is>
      </c>
      <c r="G1" s="15" t="inlineStr">
        <is>
          <t>缺口类型</t>
        </is>
      </c>
      <c r="H1" s="15" t="inlineStr">
        <is>
          <t>缺口原因</t>
        </is>
      </c>
      <c r="I1" s="15" t="inlineStr">
        <is>
          <t>可交易</t>
        </is>
      </c>
      <c r="J1" s="15" t="inlineStr">
        <is>
          <t>机器人理论路径</t>
        </is>
      </c>
      <c r="K1" s="15" t="inlineStr">
        <is>
          <t>配置依据</t>
        </is>
      </c>
    </row>
    <row r="2">
      <c r="A2" s="16" t="n">
        <v>1</v>
      </c>
      <c r="B2" s="17" t="inlineStr">
        <is>
          <t>chunqiu_coin</t>
        </is>
      </c>
      <c r="C2" s="17" t="inlineStr">
        <is>
          <t>春秋币</t>
        </is>
      </c>
      <c r="D2" s="17" t="inlineStr">
        <is>
          <t>资源</t>
        </is>
      </c>
      <c r="E2" s="17" t="inlineStr">
        <is>
          <t>-</t>
        </is>
      </c>
      <c r="F2" s="17" t="inlineStr">
        <is>
          <t>蓝色</t>
        </is>
      </c>
      <c r="G2" s="17" t="inlineStr">
        <is>
          <t>直接无来源</t>
        </is>
      </c>
      <c r="H2" s="17" t="inlineStr">
        <is>
          <t>仅有历史红宝石迁移存量，没有正常新增产出入口</t>
        </is>
      </c>
      <c r="I2" s="17" t="inlineStr">
        <is>
          <t>是</t>
        </is>
      </c>
      <c r="J2" s="17" t="inlineStr">
        <is>
          <t>有：机器人随机投放成品</t>
        </is>
      </c>
      <c r="K2" s="17" t="inlineStr">
        <is>
          <t>data/item_templates.yaml:L93</t>
        </is>
      </c>
    </row>
    <row r="3">
      <c r="A3" s="16" t="n">
        <v>2</v>
      </c>
      <c r="B3" s="17" t="inlineStr">
        <is>
          <t>small_trumpet</t>
        </is>
      </c>
      <c r="C3" s="17" t="inlineStr">
        <is>
          <t>小喇叭</t>
        </is>
      </c>
      <c r="D3" s="17" t="inlineStr">
        <is>
          <t>功能道具</t>
        </is>
      </c>
      <c r="E3" s="17" t="inlineStr">
        <is>
          <t>-</t>
        </is>
      </c>
      <c r="F3" s="17" t="inlineStr">
        <is>
          <t>绿色</t>
        </is>
      </c>
      <c r="G3" s="17" t="inlineStr">
        <is>
          <t>直接无来源</t>
        </is>
      </c>
      <c r="H3" s="17" t="inlineStr">
        <is>
          <t>未进入商铺、拍卖、任务、宝箱、兑换或初始化赠送等稳定来源</t>
        </is>
      </c>
      <c r="I3" s="17" t="inlineStr">
        <is>
          <t>是</t>
        </is>
      </c>
      <c r="J3" s="17" t="inlineStr">
        <is>
          <t>有：机器人随机投放成品</t>
        </is>
      </c>
      <c r="K3" s="17" t="inlineStr">
        <is>
          <t>data/item_templates.yaml:L1364</t>
        </is>
      </c>
    </row>
    <row r="4">
      <c r="A4" s="16" t="n">
        <v>3</v>
      </c>
      <c r="B4" s="17" t="inlineStr">
        <is>
          <t>peace_shield_medium</t>
        </is>
      </c>
      <c r="C4" s="17" t="inlineStr">
        <is>
          <t>免战牌·中</t>
        </is>
      </c>
      <c r="D4" s="17" t="inlineStr">
        <is>
          <t>功能道具</t>
        </is>
      </c>
      <c r="E4" s="17" t="inlineStr">
        <is>
          <t>-</t>
        </is>
      </c>
      <c r="F4" s="17" t="inlineStr">
        <is>
          <t>蓝色</t>
        </is>
      </c>
      <c r="G4" s="17" t="inlineStr">
        <is>
          <t>直接无来源</t>
        </is>
      </c>
      <c r="H4" s="17" t="inlineStr">
        <is>
          <t>未进入商铺、拍卖、任务、宝箱、兑换或初始化赠送等稳定来源</t>
        </is>
      </c>
      <c r="I4" s="17" t="inlineStr">
        <is>
          <t>是</t>
        </is>
      </c>
      <c r="J4" s="17" t="inlineStr">
        <is>
          <t>有：机器人随机投放成品</t>
        </is>
      </c>
      <c r="K4" s="17" t="inlineStr">
        <is>
          <t>data/item_templates.yaml:L1390</t>
        </is>
      </c>
    </row>
    <row r="5">
      <c r="A5" s="16" t="n">
        <v>4</v>
      </c>
      <c r="B5" s="17" t="inlineStr">
        <is>
          <t>manor_rename_card</t>
        </is>
      </c>
      <c r="C5" s="17" t="inlineStr">
        <is>
          <t>庄园命名卡</t>
        </is>
      </c>
      <c r="D5" s="17" t="inlineStr">
        <is>
          <t>功能道具</t>
        </is>
      </c>
      <c r="E5" s="17" t="inlineStr">
        <is>
          <t>-</t>
        </is>
      </c>
      <c r="F5" s="17" t="inlineStr">
        <is>
          <t>蓝色</t>
        </is>
      </c>
      <c r="G5" s="17" t="inlineStr">
        <is>
          <t>直接无来源</t>
        </is>
      </c>
      <c r="H5" s="17" t="inlineStr">
        <is>
          <t>未进入商铺、拍卖、任务、宝箱、兑换或初始化赠送等稳定来源</t>
        </is>
      </c>
      <c r="I5" s="17" t="inlineStr">
        <is>
          <t>是</t>
        </is>
      </c>
      <c r="J5" s="17" t="inlineStr">
        <is>
          <t>有：机器人随机投放成品</t>
        </is>
      </c>
      <c r="K5" s="17" t="inlineStr">
        <is>
          <t>data/item_templates.yaml:L562</t>
        </is>
      </c>
    </row>
    <row r="6">
      <c r="A6" s="16" t="n">
        <v>5</v>
      </c>
      <c r="B6" s="17" t="inlineStr">
        <is>
          <t>xidianka</t>
        </is>
      </c>
      <c r="C6" s="17" t="inlineStr">
        <is>
          <t>洗点卡</t>
        </is>
      </c>
      <c r="D6" s="17" t="inlineStr">
        <is>
          <t>功能道具</t>
        </is>
      </c>
      <c r="E6" s="17" t="inlineStr">
        <is>
          <t>-</t>
        </is>
      </c>
      <c r="F6" s="17" t="inlineStr">
        <is>
          <t>蓝色</t>
        </is>
      </c>
      <c r="G6" s="17" t="inlineStr">
        <is>
          <t>直接无来源</t>
        </is>
      </c>
      <c r="H6" s="17" t="inlineStr">
        <is>
          <t>未进入商铺、拍卖、任务、宝箱、兑换或初始化赠送等稳定来源</t>
        </is>
      </c>
      <c r="I6" s="17" t="inlineStr">
        <is>
          <t>是</t>
        </is>
      </c>
      <c r="J6" s="17" t="inlineStr">
        <is>
          <t>有：机器人随机投放成品</t>
        </is>
      </c>
      <c r="K6" s="17" t="inlineStr">
        <is>
          <t>data/item_templates.yaml:L1461</t>
        </is>
      </c>
    </row>
    <row r="7">
      <c r="A7" s="16" t="n">
        <v>6</v>
      </c>
      <c r="B7" s="17" t="inlineStr">
        <is>
          <t>edward_blue_guest_scroll</t>
        </is>
      </c>
      <c r="C7" s="17" t="inlineStr">
        <is>
          <t>蓝色爱德华召唤卷轴</t>
        </is>
      </c>
      <c r="D7" s="17" t="inlineStr">
        <is>
          <t>功能道具</t>
        </is>
      </c>
      <c r="E7" s="17" t="inlineStr">
        <is>
          <t>-</t>
        </is>
      </c>
      <c r="F7" s="17" t="inlineStr">
        <is>
          <t>蓝色</t>
        </is>
      </c>
      <c r="G7" s="17" t="inlineStr">
        <is>
          <t>直接无来源</t>
        </is>
      </c>
      <c r="H7" s="17" t="inlineStr">
        <is>
          <t>未进入商铺、拍卖、任务、宝箱、兑换或初始化赠送等稳定来源</t>
        </is>
      </c>
      <c r="I7" s="17" t="inlineStr">
        <is>
          <t>是</t>
        </is>
      </c>
      <c r="J7" s="17" t="inlineStr">
        <is>
          <t>有：机器人随机投放成品</t>
        </is>
      </c>
      <c r="K7" s="17" t="inlineStr">
        <is>
          <t>data/item_templates.yaml:L1264</t>
        </is>
      </c>
    </row>
    <row r="8">
      <c r="A8" s="16" t="n">
        <v>7</v>
      </c>
      <c r="B8" s="17" t="inlineStr">
        <is>
          <t>peace_shield_large</t>
        </is>
      </c>
      <c r="C8" s="17" t="inlineStr">
        <is>
          <t>免战牌·大</t>
        </is>
      </c>
      <c r="D8" s="17" t="inlineStr">
        <is>
          <t>功能道具</t>
        </is>
      </c>
      <c r="E8" s="17" t="inlineStr">
        <is>
          <t>-</t>
        </is>
      </c>
      <c r="F8" s="17" t="inlineStr">
        <is>
          <t>紫色</t>
        </is>
      </c>
      <c r="G8" s="17" t="inlineStr">
        <is>
          <t>直接无来源</t>
        </is>
      </c>
      <c r="H8" s="17" t="inlineStr">
        <is>
          <t>未进入商铺、拍卖、任务、宝箱、兑换或初始化赠送等稳定来源</t>
        </is>
      </c>
      <c r="I8" s="17" t="inlineStr">
        <is>
          <t>是</t>
        </is>
      </c>
      <c r="J8" s="17" t="inlineStr">
        <is>
          <t>有：机器人随机投放成品</t>
        </is>
      </c>
      <c r="K8" s="17" t="inlineStr">
        <is>
          <t>data/item_templates.yaml:L1403</t>
        </is>
      </c>
    </row>
    <row r="9">
      <c r="A9" s="16" t="n">
        <v>8</v>
      </c>
      <c r="B9" s="17" t="inlineStr">
        <is>
          <t>edward_purple_guest_scroll</t>
        </is>
      </c>
      <c r="C9" s="17" t="inlineStr">
        <is>
          <t>紫色爱德华召唤卷轴</t>
        </is>
      </c>
      <c r="D9" s="17" t="inlineStr">
        <is>
          <t>功能道具</t>
        </is>
      </c>
      <c r="E9" s="17" t="inlineStr">
        <is>
          <t>-</t>
        </is>
      </c>
      <c r="F9" s="17" t="inlineStr">
        <is>
          <t>紫色</t>
        </is>
      </c>
      <c r="G9" s="17" t="inlineStr">
        <is>
          <t>直接无来源</t>
        </is>
      </c>
      <c r="H9" s="17" t="inlineStr">
        <is>
          <t>未进入商铺、拍卖、任务、宝箱、兑换或初始化赠送等稳定来源</t>
        </is>
      </c>
      <c r="I9" s="17" t="inlineStr">
        <is>
          <t>是</t>
        </is>
      </c>
      <c r="J9" s="17" t="inlineStr">
        <is>
          <t>有：机器人随机投放成品</t>
        </is>
      </c>
      <c r="K9" s="17" t="inlineStr">
        <is>
          <t>data/item_templates.yaml:L1285</t>
        </is>
      </c>
    </row>
    <row r="10">
      <c r="A10" s="16" t="n">
        <v>9</v>
      </c>
      <c r="B10" s="17" t="inlineStr">
        <is>
          <t>guest_rebirth_card</t>
        </is>
      </c>
      <c r="C10" s="17" t="inlineStr">
        <is>
          <t>门客重生卡</t>
        </is>
      </c>
      <c r="D10" s="17" t="inlineStr">
        <is>
          <t>功能道具</t>
        </is>
      </c>
      <c r="E10" s="17" t="inlineStr">
        <is>
          <t>-</t>
        </is>
      </c>
      <c r="F10" s="17" t="inlineStr">
        <is>
          <t>紫色</t>
        </is>
      </c>
      <c r="G10" s="17" t="inlineStr">
        <is>
          <t>直接无来源</t>
        </is>
      </c>
      <c r="H10" s="17" t="inlineStr">
        <is>
          <t>未进入商铺、拍卖、任务、宝箱、兑换或初始化赠送等稳定来源</t>
        </is>
      </c>
      <c r="I10" s="17" t="inlineStr">
        <is>
          <t>是</t>
        </is>
      </c>
      <c r="J10" s="17" t="inlineStr">
        <is>
          <t>有：机器人随机投放成品</t>
        </is>
      </c>
      <c r="K10" s="17" t="inlineStr">
        <is>
          <t>data/item_templates.yaml:L1431</t>
        </is>
      </c>
    </row>
    <row r="11">
      <c r="A11" s="16" t="n">
        <v>10</v>
      </c>
      <c r="B11" s="17" t="inlineStr">
        <is>
          <t>xisuidan</t>
        </is>
      </c>
      <c r="C11" s="17" t="inlineStr">
        <is>
          <t>洗髓丹</t>
        </is>
      </c>
      <c r="D11" s="17" t="inlineStr">
        <is>
          <t>功能道具</t>
        </is>
      </c>
      <c r="E11" s="17" t="inlineStr">
        <is>
          <t>-</t>
        </is>
      </c>
      <c r="F11" s="17" t="inlineStr">
        <is>
          <t>橙色</t>
        </is>
      </c>
      <c r="G11" s="17" t="inlineStr">
        <is>
          <t>直接无来源</t>
        </is>
      </c>
      <c r="H11" s="17" t="inlineStr">
        <is>
          <t>未进入商铺、拍卖、任务、宝箱、兑换或初始化赠送等稳定来源</t>
        </is>
      </c>
      <c r="I11" s="17" t="inlineStr">
        <is>
          <t>是</t>
        </is>
      </c>
      <c r="J11" s="17" t="inlineStr">
        <is>
          <t>有：机器人随机投放成品</t>
        </is>
      </c>
      <c r="K11" s="17" t="inlineStr">
        <is>
          <t>data/item_templates.yaml:L1446</t>
        </is>
      </c>
    </row>
    <row r="12">
      <c r="A12" s="16" t="n">
        <v>11</v>
      </c>
      <c r="B12" s="17" t="inlineStr">
        <is>
          <t>soul_container</t>
        </is>
      </c>
      <c r="C12" s="17" t="inlineStr">
        <is>
          <t>灵魂容器</t>
        </is>
      </c>
      <c r="D12" s="17" t="inlineStr">
        <is>
          <t>功能道具</t>
        </is>
      </c>
      <c r="E12" s="17" t="inlineStr">
        <is>
          <t>-</t>
        </is>
      </c>
      <c r="F12" s="17" t="inlineStr">
        <is>
          <t>橙色</t>
        </is>
      </c>
      <c r="G12" s="17" t="inlineStr">
        <is>
          <t>直接无来源</t>
        </is>
      </c>
      <c r="H12" s="17" t="inlineStr">
        <is>
          <t>未进入商铺、拍卖、任务、宝箱、兑换或初始化赠送等稳定来源</t>
        </is>
      </c>
      <c r="I12" s="17" t="inlineStr">
        <is>
          <t>是</t>
        </is>
      </c>
      <c r="J12" s="17" t="inlineStr">
        <is>
          <t>有：机器人随机投放成品</t>
        </is>
      </c>
      <c r="K12" s="17" t="inlineStr">
        <is>
          <t>data/item_templates.yaml:L1476</t>
        </is>
      </c>
    </row>
    <row r="13">
      <c r="A13" s="16" t="n">
        <v>12</v>
      </c>
      <c r="B13" s="17" t="inlineStr">
        <is>
          <t>blueprint_xiaoxingjiguanshu</t>
        </is>
      </c>
      <c r="C13" s="17" t="inlineStr">
        <is>
          <t>小型机关鼠图纸</t>
        </is>
      </c>
      <c r="D13" s="17" t="inlineStr">
        <is>
          <t>图纸</t>
        </is>
      </c>
      <c r="E13" s="17" t="inlineStr">
        <is>
          <t>-</t>
        </is>
      </c>
      <c r="F13" s="17" t="inlineStr">
        <is>
          <t>绿色</t>
        </is>
      </c>
      <c r="G13" s="17" t="inlineStr">
        <is>
          <t>图纸无来源</t>
        </is>
      </c>
      <c r="H13" s="17" t="inlineStr">
        <is>
          <t>未进入商铺、拍卖、任务、竞技场或帮会图纸奖励等稳定来源</t>
        </is>
      </c>
      <c r="I13" s="17" t="inlineStr">
        <is>
          <t>是</t>
        </is>
      </c>
      <c r="J13" s="17" t="inlineStr">
        <is>
          <t>有：机器人随机投放成品</t>
        </is>
      </c>
      <c r="K13" s="17" t="inlineStr">
        <is>
          <t>data/item_templates.yaml:L817</t>
        </is>
      </c>
    </row>
    <row r="14">
      <c r="A14" s="16" t="n">
        <v>13</v>
      </c>
      <c r="B14" s="17" t="inlineStr">
        <is>
          <t>blueprint_tongchanjiguan</t>
        </is>
      </c>
      <c r="C14" s="17" t="inlineStr">
        <is>
          <t>铜蝉机关图纸</t>
        </is>
      </c>
      <c r="D14" s="17" t="inlineStr">
        <is>
          <t>图纸</t>
        </is>
      </c>
      <c r="E14" s="17" t="inlineStr">
        <is>
          <t>-</t>
        </is>
      </c>
      <c r="F14" s="17" t="inlineStr">
        <is>
          <t>绿色</t>
        </is>
      </c>
      <c r="G14" s="17" t="inlineStr">
        <is>
          <t>图纸无来源</t>
        </is>
      </c>
      <c r="H14" s="17" t="inlineStr">
        <is>
          <t>未进入商铺、拍卖、任务、竞技场或帮会图纸奖励等稳定来源</t>
        </is>
      </c>
      <c r="I14" s="17" t="inlineStr">
        <is>
          <t>是</t>
        </is>
      </c>
      <c r="J14" s="17" t="inlineStr">
        <is>
          <t>有：机器人随机投放成品</t>
        </is>
      </c>
      <c r="K14" s="17" t="inlineStr">
        <is>
          <t>data/item_templates.yaml:L828</t>
        </is>
      </c>
    </row>
    <row r="15">
      <c r="A15" s="16" t="n">
        <v>14</v>
      </c>
      <c r="B15" s="17" t="inlineStr">
        <is>
          <t>blueprint_kuileiren</t>
        </is>
      </c>
      <c r="C15" s="17" t="inlineStr">
        <is>
          <t>傀儡人图纸</t>
        </is>
      </c>
      <c r="D15" s="17" t="inlineStr">
        <is>
          <t>图纸</t>
        </is>
      </c>
      <c r="E15" s="17" t="inlineStr">
        <is>
          <t>-</t>
        </is>
      </c>
      <c r="F15" s="17" t="inlineStr">
        <is>
          <t>紫色</t>
        </is>
      </c>
      <c r="G15" s="17" t="inlineStr">
        <is>
          <t>图纸无来源</t>
        </is>
      </c>
      <c r="H15" s="17" t="inlineStr">
        <is>
          <t>未进入商铺、拍卖、任务、竞技场或帮会图纸奖励等稳定来源</t>
        </is>
      </c>
      <c r="I15" s="17" t="inlineStr">
        <is>
          <t>是</t>
        </is>
      </c>
      <c r="J15" s="17" t="inlineStr">
        <is>
          <t>有：机器人随机投放成品</t>
        </is>
      </c>
      <c r="K15" s="17" t="inlineStr">
        <is>
          <t>data/item_templates.yaml:L916</t>
        </is>
      </c>
    </row>
    <row r="16">
      <c r="A16" s="16" t="n">
        <v>15</v>
      </c>
      <c r="B16" s="17" t="inlineStr">
        <is>
          <t>blueprint_fenghuangyu</t>
        </is>
      </c>
      <c r="C16" s="17" t="inlineStr">
        <is>
          <t>凤凰羽图纸</t>
        </is>
      </c>
      <c r="D16" s="17" t="inlineStr">
        <is>
          <t>图纸</t>
        </is>
      </c>
      <c r="E16" s="17" t="inlineStr">
        <is>
          <t>-</t>
        </is>
      </c>
      <c r="F16" s="17" t="inlineStr">
        <is>
          <t>紫色</t>
        </is>
      </c>
      <c r="G16" s="17" t="inlineStr">
        <is>
          <t>图纸无来源</t>
        </is>
      </c>
      <c r="H16" s="17" t="inlineStr">
        <is>
          <t>未进入商铺、拍卖、任务、竞技场或帮会图纸奖励等稳定来源</t>
        </is>
      </c>
      <c r="I16" s="17" t="inlineStr">
        <is>
          <t>是</t>
        </is>
      </c>
      <c r="J16" s="17" t="inlineStr">
        <is>
          <t>有：机器人随机投放成品</t>
        </is>
      </c>
      <c r="K16" s="17" t="inlineStr">
        <is>
          <t>data/item_templates.yaml:L806</t>
        </is>
      </c>
    </row>
    <row r="17">
      <c r="A17" s="16" t="n">
        <v>16</v>
      </c>
      <c r="B17" s="17" t="inlineStr">
        <is>
          <t>blueprint_fenglingshan</t>
        </is>
      </c>
      <c r="C17" s="17" t="inlineStr">
        <is>
          <t>凤翎扇图纸</t>
        </is>
      </c>
      <c r="D17" s="17" t="inlineStr">
        <is>
          <t>图纸</t>
        </is>
      </c>
      <c r="E17" s="17" t="inlineStr">
        <is>
          <t>-</t>
        </is>
      </c>
      <c r="F17" s="17" t="inlineStr">
        <is>
          <t>紫色</t>
        </is>
      </c>
      <c r="G17" s="17" t="inlineStr">
        <is>
          <t>图纸无来源</t>
        </is>
      </c>
      <c r="H17" s="17" t="inlineStr">
        <is>
          <t>未进入商铺、拍卖、任务、竞技场或帮会图纸奖励等稳定来源</t>
        </is>
      </c>
      <c r="I17" s="17" t="inlineStr">
        <is>
          <t>是</t>
        </is>
      </c>
      <c r="J17" s="17" t="inlineStr">
        <is>
          <t>有：机器人随机投放成品</t>
        </is>
      </c>
      <c r="K17" s="17" t="inlineStr">
        <is>
          <t>data/item_templates.yaml:L795</t>
        </is>
      </c>
    </row>
    <row r="18">
      <c r="A18" s="16" t="n">
        <v>17</v>
      </c>
      <c r="B18" s="17" t="inlineStr">
        <is>
          <t>blueprint_muniuliuma</t>
        </is>
      </c>
      <c r="C18" s="17" t="inlineStr">
        <is>
          <t>木牛流马图纸</t>
        </is>
      </c>
      <c r="D18" s="17" t="inlineStr">
        <is>
          <t>图纸</t>
        </is>
      </c>
      <c r="E18" s="17" t="inlineStr">
        <is>
          <t>-</t>
        </is>
      </c>
      <c r="F18" s="17" t="inlineStr">
        <is>
          <t>紫色</t>
        </is>
      </c>
      <c r="G18" s="17" t="inlineStr">
        <is>
          <t>图纸无来源</t>
        </is>
      </c>
      <c r="H18" s="17" t="inlineStr">
        <is>
          <t>未进入商铺、拍卖、任务、竞技场或帮会图纸奖励等稳定来源</t>
        </is>
      </c>
      <c r="I18" s="17" t="inlineStr">
        <is>
          <t>是</t>
        </is>
      </c>
      <c r="J18" s="17" t="inlineStr">
        <is>
          <t>有：机器人随机投放成品</t>
        </is>
      </c>
      <c r="K18" s="17" t="inlineStr">
        <is>
          <t>data/item_templates.yaml:L905</t>
        </is>
      </c>
    </row>
    <row r="19">
      <c r="A19" s="16" t="n">
        <v>18</v>
      </c>
      <c r="B19" s="17" t="inlineStr">
        <is>
          <t>blueprint_jiguanxiong</t>
        </is>
      </c>
      <c r="C19" s="17" t="inlineStr">
        <is>
          <t>机关熊图纸</t>
        </is>
      </c>
      <c r="D19" s="17" t="inlineStr">
        <is>
          <t>图纸</t>
        </is>
      </c>
      <c r="E19" s="17" t="inlineStr">
        <is>
          <t>-</t>
        </is>
      </c>
      <c r="F19" s="17" t="inlineStr">
        <is>
          <t>紫色</t>
        </is>
      </c>
      <c r="G19" s="17" t="inlineStr">
        <is>
          <t>图纸无来源</t>
        </is>
      </c>
      <c r="H19" s="17" t="inlineStr">
        <is>
          <t>未进入商铺、拍卖、任务、竞技场或帮会图纸奖励等稳定来源</t>
        </is>
      </c>
      <c r="I19" s="17" t="inlineStr">
        <is>
          <t>是</t>
        </is>
      </c>
      <c r="J19" s="17" t="inlineStr">
        <is>
          <t>有：机器人随机投放成品</t>
        </is>
      </c>
      <c r="K19" s="17" t="inlineStr">
        <is>
          <t>data/item_templates.yaml:L894</t>
        </is>
      </c>
    </row>
    <row r="20">
      <c r="A20" s="16" t="n">
        <v>19</v>
      </c>
      <c r="B20" s="17" t="inlineStr">
        <is>
          <t>blueprint_xuanwujigui</t>
        </is>
      </c>
      <c r="C20" s="17" t="inlineStr">
        <is>
          <t>玄武机龟图纸</t>
        </is>
      </c>
      <c r="D20" s="17" t="inlineStr">
        <is>
          <t>图纸</t>
        </is>
      </c>
      <c r="E20" s="17" t="inlineStr">
        <is>
          <t>-</t>
        </is>
      </c>
      <c r="F20" s="17" t="inlineStr">
        <is>
          <t>紫色</t>
        </is>
      </c>
      <c r="G20" s="17" t="inlineStr">
        <is>
          <t>图纸无来源</t>
        </is>
      </c>
      <c r="H20" s="17" t="inlineStr">
        <is>
          <t>未进入商铺、拍卖、任务、竞技场或帮会图纸奖励等稳定来源</t>
        </is>
      </c>
      <c r="I20" s="17" t="inlineStr">
        <is>
          <t>是</t>
        </is>
      </c>
      <c r="J20" s="17" t="inlineStr">
        <is>
          <t>有：机器人随机投放成品</t>
        </is>
      </c>
      <c r="K20" s="17" t="inlineStr">
        <is>
          <t>data/item_templates.yaml:L927</t>
        </is>
      </c>
    </row>
    <row r="21">
      <c r="A21" s="16" t="n">
        <v>20</v>
      </c>
      <c r="B21" s="17" t="inlineStr">
        <is>
          <t>blueprint_xuanwujia</t>
        </is>
      </c>
      <c r="C21" s="17" t="inlineStr">
        <is>
          <t>玄武甲图纸</t>
        </is>
      </c>
      <c r="D21" s="17" t="inlineStr">
        <is>
          <t>图纸</t>
        </is>
      </c>
      <c r="E21" s="17" t="inlineStr">
        <is>
          <t>-</t>
        </is>
      </c>
      <c r="F21" s="17" t="inlineStr">
        <is>
          <t>紫色</t>
        </is>
      </c>
      <c r="G21" s="17" t="inlineStr">
        <is>
          <t>图纸无来源</t>
        </is>
      </c>
      <c r="H21" s="17" t="inlineStr">
        <is>
          <t>未进入商铺、拍卖、任务、竞技场或帮会图纸奖励等稳定来源</t>
        </is>
      </c>
      <c r="I21" s="17" t="inlineStr">
        <is>
          <t>是</t>
        </is>
      </c>
      <c r="J21" s="17" t="inlineStr">
        <is>
          <t>有：机器人随机投放成品</t>
        </is>
      </c>
      <c r="K21" s="17" t="inlineStr">
        <is>
          <t>data/item_templates.yaml:L751</t>
        </is>
      </c>
    </row>
    <row r="22">
      <c r="A22" s="16" t="n">
        <v>21</v>
      </c>
      <c r="B22" s="17" t="inlineStr">
        <is>
          <t>blueprint_xuanwukui</t>
        </is>
      </c>
      <c r="C22" s="17" t="inlineStr">
        <is>
          <t>玄武盔图纸</t>
        </is>
      </c>
      <c r="D22" s="17" t="inlineStr">
        <is>
          <t>图纸</t>
        </is>
      </c>
      <c r="E22" s="17" t="inlineStr">
        <is>
          <t>-</t>
        </is>
      </c>
      <c r="F22" s="17" t="inlineStr">
        <is>
          <t>紫色</t>
        </is>
      </c>
      <c r="G22" s="17" t="inlineStr">
        <is>
          <t>图纸无来源</t>
        </is>
      </c>
      <c r="H22" s="17" t="inlineStr">
        <is>
          <t>未进入商铺、拍卖、任务、竞技场或帮会图纸奖励等稳定来源</t>
        </is>
      </c>
      <c r="I22" s="17" t="inlineStr">
        <is>
          <t>是</t>
        </is>
      </c>
      <c r="J22" s="17" t="inlineStr">
        <is>
          <t>有：机器人随机投放成品</t>
        </is>
      </c>
      <c r="K22" s="17" t="inlineStr">
        <is>
          <t>data/item_templates.yaml:L740</t>
        </is>
      </c>
    </row>
    <row r="23">
      <c r="A23" s="16" t="n">
        <v>22</v>
      </c>
      <c r="B23" s="17" t="inlineStr">
        <is>
          <t>blueprint_xuanwuchui</t>
        </is>
      </c>
      <c r="C23" s="17" t="inlineStr">
        <is>
          <t>玄武锤图纸</t>
        </is>
      </c>
      <c r="D23" s="17" t="inlineStr">
        <is>
          <t>图纸</t>
        </is>
      </c>
      <c r="E23" s="17" t="inlineStr">
        <is>
          <t>-</t>
        </is>
      </c>
      <c r="F23" s="17" t="inlineStr">
        <is>
          <t>紫色</t>
        </is>
      </c>
      <c r="G23" s="17" t="inlineStr">
        <is>
          <t>图纸无来源</t>
        </is>
      </c>
      <c r="H23" s="17" t="inlineStr">
        <is>
          <t>未进入商铺、拍卖、任务、竞技场或帮会图纸奖励等稳定来源</t>
        </is>
      </c>
      <c r="I23" s="17" t="inlineStr">
        <is>
          <t>是</t>
        </is>
      </c>
      <c r="J23" s="17" t="inlineStr">
        <is>
          <t>有：机器人随机投放成品</t>
        </is>
      </c>
      <c r="K23" s="17" t="inlineStr">
        <is>
          <t>data/item_templates.yaml:L773</t>
        </is>
      </c>
    </row>
    <row r="24">
      <c r="A24" s="16" t="n">
        <v>23</v>
      </c>
      <c r="B24" s="17" t="inlineStr">
        <is>
          <t>blueprint_xuanwuxue</t>
        </is>
      </c>
      <c r="C24" s="17" t="inlineStr">
        <is>
          <t>玄武靴图纸</t>
        </is>
      </c>
      <c r="D24" s="17" t="inlineStr">
        <is>
          <t>图纸</t>
        </is>
      </c>
      <c r="E24" s="17" t="inlineStr">
        <is>
          <t>-</t>
        </is>
      </c>
      <c r="F24" s="17" t="inlineStr">
        <is>
          <t>紫色</t>
        </is>
      </c>
      <c r="G24" s="17" t="inlineStr">
        <is>
          <t>图纸无来源</t>
        </is>
      </c>
      <c r="H24" s="17" t="inlineStr">
        <is>
          <t>未进入商铺、拍卖、任务、竞技场或帮会图纸奖励等稳定来源</t>
        </is>
      </c>
      <c r="I24" s="17" t="inlineStr">
        <is>
          <t>是</t>
        </is>
      </c>
      <c r="J24" s="17" t="inlineStr">
        <is>
          <t>有：机器人随机投放成品</t>
        </is>
      </c>
      <c r="K24" s="17" t="inlineStr">
        <is>
          <t>data/item_templates.yaml:L762</t>
        </is>
      </c>
    </row>
    <row r="25">
      <c r="A25" s="16" t="n">
        <v>24</v>
      </c>
      <c r="B25" s="17" t="inlineStr">
        <is>
          <t>blueprint_taotieding</t>
        </is>
      </c>
      <c r="C25" s="17" t="inlineStr">
        <is>
          <t>饕餮鼎图纸</t>
        </is>
      </c>
      <c r="D25" s="17" t="inlineStr">
        <is>
          <t>图纸</t>
        </is>
      </c>
      <c r="E25" s="17" t="inlineStr">
        <is>
          <t>-</t>
        </is>
      </c>
      <c r="F25" s="17" t="inlineStr">
        <is>
          <t>紫色</t>
        </is>
      </c>
      <c r="G25" s="17" t="inlineStr">
        <is>
          <t>图纸无来源</t>
        </is>
      </c>
      <c r="H25" s="17" t="inlineStr">
        <is>
          <t>未进入商铺、拍卖、任务、竞技场或帮会图纸奖励等稳定来源</t>
        </is>
      </c>
      <c r="I25" s="17" t="inlineStr">
        <is>
          <t>是</t>
        </is>
      </c>
      <c r="J25" s="17" t="inlineStr">
        <is>
          <t>有：机器人随机投放成品</t>
        </is>
      </c>
      <c r="K25" s="17" t="inlineStr">
        <is>
          <t>data/item_templates.yaml:L883</t>
        </is>
      </c>
    </row>
    <row r="26">
      <c r="A26" s="16" t="n">
        <v>25</v>
      </c>
      <c r="B26" s="17" t="inlineStr">
        <is>
          <t>equip_tianjiguan</t>
        </is>
      </c>
      <c r="C26" s="17" t="inlineStr">
        <is>
          <t>天机冠</t>
        </is>
      </c>
      <c r="D26" s="17" t="inlineStr">
        <is>
          <t>装备</t>
        </is>
      </c>
      <c r="E26" s="17" t="inlineStr">
        <is>
          <t>头盔</t>
        </is>
      </c>
      <c r="F26" s="17" t="inlineStr">
        <is>
          <t>紫色</t>
        </is>
      </c>
      <c r="G26" s="17" t="inlineStr">
        <is>
          <t>直接无来源</t>
        </is>
      </c>
      <c r="H26" s="17" t="inlineStr">
        <is>
          <t>未进入商铺、拍卖、任务、宝箱、生产或可达锻造闭环</t>
        </is>
      </c>
      <c r="I26" s="17" t="inlineStr">
        <is>
          <t>是</t>
        </is>
      </c>
      <c r="J26" s="17" t="inlineStr">
        <is>
          <t>有：机器人随机投放成品</t>
        </is>
      </c>
      <c r="K26" s="17" t="inlineStr">
        <is>
          <t>data/item_templates.yaml:L3251</t>
        </is>
      </c>
    </row>
    <row r="27">
      <c r="A27" s="16" t="n">
        <v>26</v>
      </c>
      <c r="B27" s="17" t="inlineStr">
        <is>
          <t>equip_pojunkui</t>
        </is>
      </c>
      <c r="C27" s="17" t="inlineStr">
        <is>
          <t>破军盔</t>
        </is>
      </c>
      <c r="D27" s="17" t="inlineStr">
        <is>
          <t>装备</t>
        </is>
      </c>
      <c r="E27" s="17" t="inlineStr">
        <is>
          <t>头盔</t>
        </is>
      </c>
      <c r="F27" s="17" t="inlineStr">
        <is>
          <t>紫色</t>
        </is>
      </c>
      <c r="G27" s="17" t="inlineStr">
        <is>
          <t>直接无来源</t>
        </is>
      </c>
      <c r="H27" s="17" t="inlineStr">
        <is>
          <t>未进入商铺、拍卖、任务、宝箱、生产或可达锻造闭环</t>
        </is>
      </c>
      <c r="I27" s="17" t="inlineStr">
        <is>
          <t>是</t>
        </is>
      </c>
      <c r="J27" s="17" t="inlineStr">
        <is>
          <t>有：机器人随机投放成品</t>
        </is>
      </c>
      <c r="K27" s="17" t="inlineStr">
        <is>
          <t>data/item_templates.yaml:L3236</t>
        </is>
      </c>
    </row>
    <row r="28">
      <c r="A28" s="16" t="n">
        <v>27</v>
      </c>
      <c r="B28" s="17" t="inlineStr">
        <is>
          <t>equip_bawangkui</t>
        </is>
      </c>
      <c r="C28" s="17" t="inlineStr">
        <is>
          <t>霸王盔</t>
        </is>
      </c>
      <c r="D28" s="17" t="inlineStr">
        <is>
          <t>装备</t>
        </is>
      </c>
      <c r="E28" s="17" t="inlineStr">
        <is>
          <t>头盔</t>
        </is>
      </c>
      <c r="F28" s="17" t="inlineStr">
        <is>
          <t>紫色</t>
        </is>
      </c>
      <c r="G28" s="17" t="inlineStr">
        <is>
          <t>直接无来源</t>
        </is>
      </c>
      <c r="H28" s="17" t="inlineStr">
        <is>
          <t>未进入商铺、拍卖、任务、宝箱、生产或可达锻造闭环</t>
        </is>
      </c>
      <c r="I28" s="17" t="inlineStr">
        <is>
          <t>是</t>
        </is>
      </c>
      <c r="J28" s="17" t="inlineStr">
        <is>
          <t>有：机器人随机投放成品</t>
        </is>
      </c>
      <c r="K28" s="17" t="inlineStr">
        <is>
          <t>data/item_templates.yaml:L3200</t>
        </is>
      </c>
    </row>
    <row r="29">
      <c r="A29" s="16" t="n">
        <v>28</v>
      </c>
      <c r="B29" s="17" t="inlineStr">
        <is>
          <t>equip_taixudiguan</t>
        </is>
      </c>
      <c r="C29" s="17" t="inlineStr">
        <is>
          <t>太虚帝冠</t>
        </is>
      </c>
      <c r="D29" s="17" t="inlineStr">
        <is>
          <t>装备</t>
        </is>
      </c>
      <c r="E29" s="17" t="inlineStr">
        <is>
          <t>头盔</t>
        </is>
      </c>
      <c r="F29" s="17" t="inlineStr">
        <is>
          <t>橙色</t>
        </is>
      </c>
      <c r="G29" s="17" t="inlineStr">
        <is>
          <t>直接无来源</t>
        </is>
      </c>
      <c r="H29" s="17" t="inlineStr">
        <is>
          <t>未进入商铺、拍卖、任务、宝箱、生产或可达锻造闭环</t>
        </is>
      </c>
      <c r="I29" s="17" t="inlineStr">
        <is>
          <t>是</t>
        </is>
      </c>
      <c r="J29" s="17" t="inlineStr">
        <is>
          <t>有：机器人随机投放成品</t>
        </is>
      </c>
      <c r="K29" s="17" t="inlineStr">
        <is>
          <t>data/item_templates.yaml:L3299</t>
        </is>
      </c>
    </row>
    <row r="30">
      <c r="A30" s="16" t="n">
        <v>29</v>
      </c>
      <c r="B30" s="17" t="inlineStr">
        <is>
          <t>equip_tianjidaopao</t>
        </is>
      </c>
      <c r="C30" s="17" t="inlineStr">
        <is>
          <t>天机道袍</t>
        </is>
      </c>
      <c r="D30" s="17" t="inlineStr">
        <is>
          <t>装备</t>
        </is>
      </c>
      <c r="E30" s="17" t="inlineStr">
        <is>
          <t>衣甲</t>
        </is>
      </c>
      <c r="F30" s="17" t="inlineStr">
        <is>
          <t>紫色</t>
        </is>
      </c>
      <c r="G30" s="17" t="inlineStr">
        <is>
          <t>直接无来源</t>
        </is>
      </c>
      <c r="H30" s="17" t="inlineStr">
        <is>
          <t>未进入商铺、拍卖、任务、宝箱、生产或可达锻造闭环</t>
        </is>
      </c>
      <c r="I30" s="17" t="inlineStr">
        <is>
          <t>是</t>
        </is>
      </c>
      <c r="J30" s="17" t="inlineStr">
        <is>
          <t>有：机器人随机投放成品</t>
        </is>
      </c>
      <c r="K30" s="17" t="inlineStr">
        <is>
          <t>data/item_templates.yaml:L3709</t>
        </is>
      </c>
    </row>
    <row r="31">
      <c r="A31" s="16" t="n">
        <v>30</v>
      </c>
      <c r="B31" s="17" t="inlineStr">
        <is>
          <t>equip_tiancanbaoyi</t>
        </is>
      </c>
      <c r="C31" s="17" t="inlineStr">
        <is>
          <t>天蚕宝衣</t>
        </is>
      </c>
      <c r="D31" s="17" t="inlineStr">
        <is>
          <t>装备</t>
        </is>
      </c>
      <c r="E31" s="17" t="inlineStr">
        <is>
          <t>衣甲</t>
        </is>
      </c>
      <c r="F31" s="17" t="inlineStr">
        <is>
          <t>紫色</t>
        </is>
      </c>
      <c r="G31" s="17" t="inlineStr">
        <is>
          <t>直接无来源</t>
        </is>
      </c>
      <c r="H31" s="17" t="inlineStr">
        <is>
          <t>未进入商铺、拍卖、任务、宝箱、生产或可达锻造闭环</t>
        </is>
      </c>
      <c r="I31" s="17" t="inlineStr">
        <is>
          <t>是</t>
        </is>
      </c>
      <c r="J31" s="17" t="inlineStr">
        <is>
          <t>有：机器人随机投放成品</t>
        </is>
      </c>
      <c r="K31" s="17" t="inlineStr">
        <is>
          <t>data/item_templates.yaml:L3680</t>
        </is>
      </c>
    </row>
    <row r="32">
      <c r="A32" s="16" t="n">
        <v>31</v>
      </c>
      <c r="B32" s="17" t="inlineStr">
        <is>
          <t>equip_pojunzhanjia</t>
        </is>
      </c>
      <c r="C32" s="17" t="inlineStr">
        <is>
          <t>破军战甲</t>
        </is>
      </c>
      <c r="D32" s="17" t="inlineStr">
        <is>
          <t>装备</t>
        </is>
      </c>
      <c r="E32" s="17" t="inlineStr">
        <is>
          <t>衣甲</t>
        </is>
      </c>
      <c r="F32" s="17" t="inlineStr">
        <is>
          <t>紫色</t>
        </is>
      </c>
      <c r="G32" s="17" t="inlineStr">
        <is>
          <t>直接无来源</t>
        </is>
      </c>
      <c r="H32" s="17" t="inlineStr">
        <is>
          <t>未进入商铺、拍卖、任务、宝箱、生产或可达锻造闭环</t>
        </is>
      </c>
      <c r="I32" s="17" t="inlineStr">
        <is>
          <t>是</t>
        </is>
      </c>
      <c r="J32" s="17" t="inlineStr">
        <is>
          <t>有：机器人随机投放成品</t>
        </is>
      </c>
      <c r="K32" s="17" t="inlineStr">
        <is>
          <t>data/item_templates.yaml:L3695</t>
        </is>
      </c>
    </row>
    <row r="33">
      <c r="A33" s="16" t="n">
        <v>32</v>
      </c>
      <c r="B33" s="17" t="inlineStr">
        <is>
          <t>equip_hundunlongpao</t>
        </is>
      </c>
      <c r="C33" s="17" t="inlineStr">
        <is>
          <t>混沌龙袍</t>
        </is>
      </c>
      <c r="D33" s="17" t="inlineStr">
        <is>
          <t>装备</t>
        </is>
      </c>
      <c r="E33" s="17" t="inlineStr">
        <is>
          <t>衣甲</t>
        </is>
      </c>
      <c r="F33" s="17" t="inlineStr">
        <is>
          <t>橙色</t>
        </is>
      </c>
      <c r="G33" s="17" t="inlineStr">
        <is>
          <t>直接无来源</t>
        </is>
      </c>
      <c r="H33" s="17" t="inlineStr">
        <is>
          <t>未进入商铺、拍卖、任务、宝箱、生产或可达锻造闭环</t>
        </is>
      </c>
      <c r="I33" s="17" t="inlineStr">
        <is>
          <t>是</t>
        </is>
      </c>
      <c r="J33" s="17" t="inlineStr">
        <is>
          <t>有：机器人随机投放成品</t>
        </is>
      </c>
      <c r="K33" s="17" t="inlineStr">
        <is>
          <t>data/item_templates.yaml:L3756</t>
        </is>
      </c>
    </row>
    <row r="34">
      <c r="A34" s="16" t="n">
        <v>33</v>
      </c>
      <c r="B34" s="17" t="inlineStr">
        <is>
          <t>equip_ruanweijia</t>
        </is>
      </c>
      <c r="C34" s="17" t="inlineStr">
        <is>
          <t>软猬甲</t>
        </is>
      </c>
      <c r="D34" s="17" t="inlineStr">
        <is>
          <t>装备</t>
        </is>
      </c>
      <c r="E34" s="17" t="inlineStr">
        <is>
          <t>衣甲</t>
        </is>
      </c>
      <c r="F34" s="17" t="inlineStr">
        <is>
          <t>橙色</t>
        </is>
      </c>
      <c r="G34" s="17" t="inlineStr">
        <is>
          <t>直接无来源</t>
        </is>
      </c>
      <c r="H34" s="17" t="inlineStr">
        <is>
          <t>未进入商铺、拍卖、任务、宝箱、生产或可达锻造闭环</t>
        </is>
      </c>
      <c r="I34" s="17" t="inlineStr">
        <is>
          <t>是</t>
        </is>
      </c>
      <c r="J34" s="17" t="inlineStr">
        <is>
          <t>有：机器人随机投放成品</t>
        </is>
      </c>
      <c r="K34" s="17" t="inlineStr">
        <is>
          <t>data/item_templates.yaml:L3771</t>
        </is>
      </c>
    </row>
    <row r="35">
      <c r="A35" s="16" t="n">
        <v>34</v>
      </c>
      <c r="B35" s="17" t="inlineStr">
        <is>
          <t>equip_tianjilu</t>
        </is>
      </c>
      <c r="C35" s="17" t="inlineStr">
        <is>
          <t>天机履</t>
        </is>
      </c>
      <c r="D35" s="17" t="inlineStr">
        <is>
          <t>装备</t>
        </is>
      </c>
      <c r="E35" s="17" t="inlineStr">
        <is>
          <t>鞋履</t>
        </is>
      </c>
      <c r="F35" s="17" t="inlineStr">
        <is>
          <t>紫色</t>
        </is>
      </c>
      <c r="G35" s="17" t="inlineStr">
        <is>
          <t>直接无来源</t>
        </is>
      </c>
      <c r="H35" s="17" t="inlineStr">
        <is>
          <t>未进入商铺、拍卖、任务、宝箱、生产或可达锻造闭环</t>
        </is>
      </c>
      <c r="I35" s="17" t="inlineStr">
        <is>
          <t>是</t>
        </is>
      </c>
      <c r="J35" s="17" t="inlineStr">
        <is>
          <t>有：机器人随机投放成品</t>
        </is>
      </c>
      <c r="K35" s="17" t="inlineStr">
        <is>
          <t>data/item_templates.yaml:L4191</t>
        </is>
      </c>
    </row>
    <row r="36">
      <c r="A36" s="16" t="n">
        <v>35</v>
      </c>
      <c r="B36" s="17" t="inlineStr">
        <is>
          <t>equip_liekongxue</t>
        </is>
      </c>
      <c r="C36" s="17" t="inlineStr">
        <is>
          <t>裂空靴</t>
        </is>
      </c>
      <c r="D36" s="17" t="inlineStr">
        <is>
          <t>装备</t>
        </is>
      </c>
      <c r="E36" s="17" t="inlineStr">
        <is>
          <t>鞋履</t>
        </is>
      </c>
      <c r="F36" s="17" t="inlineStr">
        <is>
          <t>紫色</t>
        </is>
      </c>
      <c r="G36" s="17" t="inlineStr">
        <is>
          <t>直接无来源</t>
        </is>
      </c>
      <c r="H36" s="17" t="inlineStr">
        <is>
          <t>未进入商铺、拍卖、任务、宝箱、生产或可达锻造闭环</t>
        </is>
      </c>
      <c r="I36" s="17" t="inlineStr">
        <is>
          <t>是</t>
        </is>
      </c>
      <c r="J36" s="17" t="inlineStr">
        <is>
          <t>有：机器人随机投放成品</t>
        </is>
      </c>
      <c r="K36" s="17" t="inlineStr">
        <is>
          <t>data/item_templates.yaml:L4206</t>
        </is>
      </c>
    </row>
    <row r="37">
      <c r="A37" s="16" t="n">
        <v>36</v>
      </c>
      <c r="B37" s="17" t="inlineStr">
        <is>
          <t>equip_zhurixue</t>
        </is>
      </c>
      <c r="C37" s="17" t="inlineStr">
        <is>
          <t>逐日靴</t>
        </is>
      </c>
      <c r="D37" s="17" t="inlineStr">
        <is>
          <t>装备</t>
        </is>
      </c>
      <c r="E37" s="17" t="inlineStr">
        <is>
          <t>鞋履</t>
        </is>
      </c>
      <c r="F37" s="17" t="inlineStr">
        <is>
          <t>紫色</t>
        </is>
      </c>
      <c r="G37" s="17" t="inlineStr">
        <is>
          <t>直接无来源</t>
        </is>
      </c>
      <c r="H37" s="17" t="inlineStr">
        <is>
          <t>未进入商铺、拍卖、任务、宝箱、生产或可达锻造闭环</t>
        </is>
      </c>
      <c r="I37" s="17" t="inlineStr">
        <is>
          <t>是</t>
        </is>
      </c>
      <c r="J37" s="17" t="inlineStr">
        <is>
          <t>有：机器人随机投放成品</t>
        </is>
      </c>
      <c r="K37" s="17" t="inlineStr">
        <is>
          <t>data/item_templates.yaml:L4176</t>
        </is>
      </c>
    </row>
    <row r="38">
      <c r="A38" s="16" t="n">
        <v>37</v>
      </c>
      <c r="B38" s="17" t="inlineStr">
        <is>
          <t>equip_wujixingxue</t>
        </is>
      </c>
      <c r="C38" s="17" t="inlineStr">
        <is>
          <t>无极行靴</t>
        </is>
      </c>
      <c r="D38" s="17" t="inlineStr">
        <is>
          <t>装备</t>
        </is>
      </c>
      <c r="E38" s="17" t="inlineStr">
        <is>
          <t>鞋履</t>
        </is>
      </c>
      <c r="F38" s="17" t="inlineStr">
        <is>
          <t>橙色</t>
        </is>
      </c>
      <c r="G38" s="17" t="inlineStr">
        <is>
          <t>直接无来源</t>
        </is>
      </c>
      <c r="H38" s="17" t="inlineStr">
        <is>
          <t>未进入商铺、拍卖、任务、宝箱、生产或可达锻造闭环</t>
        </is>
      </c>
      <c r="I38" s="17" t="inlineStr">
        <is>
          <t>是</t>
        </is>
      </c>
      <c r="J38" s="17" t="inlineStr">
        <is>
          <t>有：机器人随机投放成品</t>
        </is>
      </c>
      <c r="K38" s="17" t="inlineStr">
        <is>
          <t>data/item_templates.yaml:L4254</t>
        </is>
      </c>
    </row>
    <row r="39">
      <c r="A39" s="16" t="n">
        <v>38</v>
      </c>
      <c r="B39" s="17" t="inlineStr">
        <is>
          <t>equip_wuqiaojian</t>
        </is>
      </c>
      <c r="C39" s="17" t="inlineStr">
        <is>
          <t>乌鞘剑</t>
        </is>
      </c>
      <c r="D39" s="17" t="inlineStr">
        <is>
          <t>装备</t>
        </is>
      </c>
      <c r="E39" s="17" t="inlineStr">
        <is>
          <t>武器</t>
        </is>
      </c>
      <c r="F39" s="17" t="inlineStr">
        <is>
          <t>紫色</t>
        </is>
      </c>
      <c r="G39" s="17" t="inlineStr">
        <is>
          <t>直接无来源</t>
        </is>
      </c>
      <c r="H39" s="17" t="inlineStr">
        <is>
          <t>未进入商铺、拍卖、任务、宝箱、生产或可达锻造闭环</t>
        </is>
      </c>
      <c r="I39" s="17" t="inlineStr">
        <is>
          <t>是</t>
        </is>
      </c>
      <c r="J39" s="17" t="inlineStr">
        <is>
          <t>有：机器人随机投放成品</t>
        </is>
      </c>
      <c r="K39" s="17" t="inlineStr">
        <is>
          <t>data/item_templates.yaml:L5167</t>
        </is>
      </c>
    </row>
    <row r="40">
      <c r="A40" s="16" t="n">
        <v>39</v>
      </c>
      <c r="B40" s="17" t="inlineStr">
        <is>
          <t>equip_fenglingshan</t>
        </is>
      </c>
      <c r="C40" s="17" t="inlineStr">
        <is>
          <t>凤翎扇</t>
        </is>
      </c>
      <c r="D40" s="17" t="inlineStr">
        <is>
          <t>装备</t>
        </is>
      </c>
      <c r="E40" s="17" t="inlineStr">
        <is>
          <t>武器</t>
        </is>
      </c>
      <c r="F40" s="17" t="inlineStr">
        <is>
          <t>紫色</t>
        </is>
      </c>
      <c r="G40" s="17" t="inlineStr">
        <is>
          <t>锻造闭环中断</t>
        </is>
      </c>
      <c r="H40" s="17" t="inlineStr">
        <is>
          <t>存在锻造配方，但所需“凤翎扇图纸”无正常来源</t>
        </is>
      </c>
      <c r="I40" s="17" t="inlineStr">
        <is>
          <t>是</t>
        </is>
      </c>
      <c r="J40" s="17" t="inlineStr">
        <is>
          <t>有：机器人随机投放成品</t>
        </is>
      </c>
      <c r="K40" s="17" t="inlineStr">
        <is>
          <t>data/item_templates.yaml:L4948；data/forge_blueprints.yaml</t>
        </is>
      </c>
    </row>
    <row r="41">
      <c r="A41" s="16" t="n">
        <v>40</v>
      </c>
      <c r="B41" s="17" t="inlineStr">
        <is>
          <t>equip_duoqinghuan</t>
        </is>
      </c>
      <c r="C41" s="17" t="inlineStr">
        <is>
          <t>多情环</t>
        </is>
      </c>
      <c r="D41" s="17" t="inlineStr">
        <is>
          <t>装备</t>
        </is>
      </c>
      <c r="E41" s="17" t="inlineStr">
        <is>
          <t>武器</t>
        </is>
      </c>
      <c r="F41" s="17" t="inlineStr">
        <is>
          <t>紫色</t>
        </is>
      </c>
      <c r="G41" s="17" t="inlineStr">
        <is>
          <t>直接无来源</t>
        </is>
      </c>
      <c r="H41" s="17" t="inlineStr">
        <is>
          <t>未进入商铺、拍卖、任务、宝箱、生产或可达锻造闭环</t>
        </is>
      </c>
      <c r="I41" s="17" t="inlineStr">
        <is>
          <t>是</t>
        </is>
      </c>
      <c r="J41" s="17" t="inlineStr">
        <is>
          <t>有：机器人随机投放成品</t>
        </is>
      </c>
      <c r="K41" s="17" t="inlineStr">
        <is>
          <t>data/item_templates.yaml:L5209</t>
        </is>
      </c>
    </row>
    <row r="42">
      <c r="A42" s="16" t="n">
        <v>41</v>
      </c>
      <c r="B42" s="17" t="inlineStr">
        <is>
          <t>equip_tianjizhang</t>
        </is>
      </c>
      <c r="C42" s="17" t="inlineStr">
        <is>
          <t>天机杖</t>
        </is>
      </c>
      <c r="D42" s="17" t="inlineStr">
        <is>
          <t>装备</t>
        </is>
      </c>
      <c r="E42" s="17" t="inlineStr">
        <is>
          <t>武器</t>
        </is>
      </c>
      <c r="F42" s="17" t="inlineStr">
        <is>
          <t>紫色</t>
        </is>
      </c>
      <c r="G42" s="17" t="inlineStr">
        <is>
          <t>直接无来源</t>
        </is>
      </c>
      <c r="H42" s="17" t="inlineStr">
        <is>
          <t>未进入商铺、拍卖、任务、宝箱、生产或可达锻造闭环</t>
        </is>
      </c>
      <c r="I42" s="17" t="inlineStr">
        <is>
          <t>是</t>
        </is>
      </c>
      <c r="J42" s="17" t="inlineStr">
        <is>
          <t>有：机器人随机投放成品</t>
        </is>
      </c>
      <c r="K42" s="17" t="inlineStr">
        <is>
          <t>data/item_templates.yaml:L4995</t>
        </is>
      </c>
    </row>
    <row r="43">
      <c r="A43" s="16" t="n">
        <v>42</v>
      </c>
      <c r="B43" s="17" t="inlineStr">
        <is>
          <t>equip_duomingfeidao</t>
        </is>
      </c>
      <c r="C43" s="17" t="inlineStr">
        <is>
          <t>夺命飞刀</t>
        </is>
      </c>
      <c r="D43" s="17" t="inlineStr">
        <is>
          <t>装备</t>
        </is>
      </c>
      <c r="E43" s="17" t="inlineStr">
        <is>
          <t>武器</t>
        </is>
      </c>
      <c r="F43" s="17" t="inlineStr">
        <is>
          <t>紫色</t>
        </is>
      </c>
      <c r="G43" s="17" t="inlineStr">
        <is>
          <t>直接无来源</t>
        </is>
      </c>
      <c r="H43" s="17" t="inlineStr">
        <is>
          <t>未进入商铺、拍卖、任务、宝箱、生产或可达锻造闭环</t>
        </is>
      </c>
      <c r="I43" s="17" t="inlineStr">
        <is>
          <t>是</t>
        </is>
      </c>
      <c r="J43" s="17" t="inlineStr">
        <is>
          <t>有：机器人随机投放成品</t>
        </is>
      </c>
      <c r="K43" s="17" t="inlineStr">
        <is>
          <t>data/item_templates.yaml:L5068</t>
        </is>
      </c>
    </row>
    <row r="44">
      <c r="A44" s="16" t="n">
        <v>43</v>
      </c>
      <c r="B44" s="17" t="inlineStr">
        <is>
          <t>equip_tulongdao</t>
        </is>
      </c>
      <c r="C44" s="17" t="inlineStr">
        <is>
          <t>屠龙刀</t>
        </is>
      </c>
      <c r="D44" s="17" t="inlineStr">
        <is>
          <t>装备</t>
        </is>
      </c>
      <c r="E44" s="17" t="inlineStr">
        <is>
          <t>武器</t>
        </is>
      </c>
      <c r="F44" s="17" t="inlineStr">
        <is>
          <t>紫色</t>
        </is>
      </c>
      <c r="G44" s="17" t="inlineStr">
        <is>
          <t>直接无来源</t>
        </is>
      </c>
      <c r="H44" s="17" t="inlineStr">
        <is>
          <t>未进入商铺、拍卖、任务、宝箱、生产或可达锻造闭环</t>
        </is>
      </c>
      <c r="I44" s="17" t="inlineStr">
        <is>
          <t>是</t>
        </is>
      </c>
      <c r="J44" s="17" t="inlineStr">
        <is>
          <t>有：机器人随机投放成品</t>
        </is>
      </c>
      <c r="K44" s="17" t="inlineStr">
        <is>
          <t>data/item_templates.yaml:L4982</t>
        </is>
      </c>
    </row>
    <row r="45">
      <c r="A45" s="16" t="n">
        <v>44</v>
      </c>
      <c r="B45" s="17" t="inlineStr">
        <is>
          <t>equip_xuanwuchui</t>
        </is>
      </c>
      <c r="C45" s="17" t="inlineStr">
        <is>
          <t>玄武锤</t>
        </is>
      </c>
      <c r="D45" s="17" t="inlineStr">
        <is>
          <t>装备</t>
        </is>
      </c>
      <c r="E45" s="17" t="inlineStr">
        <is>
          <t>武器</t>
        </is>
      </c>
      <c r="F45" s="17" t="inlineStr">
        <is>
          <t>紫色</t>
        </is>
      </c>
      <c r="G45" s="17" t="inlineStr">
        <is>
          <t>锻造闭环中断</t>
        </is>
      </c>
      <c r="H45" s="17" t="inlineStr">
        <is>
          <t>存在锻造配方，但所需“玄武锤图纸”无正常来源</t>
        </is>
      </c>
      <c r="I45" s="17" t="inlineStr">
        <is>
          <t>是</t>
        </is>
      </c>
      <c r="J45" s="17" t="inlineStr">
        <is>
          <t>有：机器人随机投放成品</t>
        </is>
      </c>
      <c r="K45" s="17" t="inlineStr">
        <is>
          <t>data/item_templates.yaml:L4927；data/forge_blueprints.yaml</t>
        </is>
      </c>
    </row>
    <row r="46">
      <c r="A46" s="16" t="n">
        <v>45</v>
      </c>
      <c r="B46" s="17" t="inlineStr">
        <is>
          <t>equip_yuxiao</t>
        </is>
      </c>
      <c r="C46" s="17" t="inlineStr">
        <is>
          <t>玉箫</t>
        </is>
      </c>
      <c r="D46" s="17" t="inlineStr">
        <is>
          <t>装备</t>
        </is>
      </c>
      <c r="E46" s="17" t="inlineStr">
        <is>
          <t>武器</t>
        </is>
      </c>
      <c r="F46" s="17" t="inlineStr">
        <is>
          <t>紫色</t>
        </is>
      </c>
      <c r="G46" s="17" t="inlineStr">
        <is>
          <t>直接无来源</t>
        </is>
      </c>
      <c r="H46" s="17" t="inlineStr">
        <is>
          <t>未进入商铺、拍卖、任务、宝箱、生产或可达锻造闭环</t>
        </is>
      </c>
      <c r="I46" s="17" t="inlineStr">
        <is>
          <t>是</t>
        </is>
      </c>
      <c r="J46" s="17" t="inlineStr">
        <is>
          <t>有：机器人随机投放成品</t>
        </is>
      </c>
      <c r="K46" s="17" t="inlineStr">
        <is>
          <t>data/item_templates.yaml:L5096</t>
        </is>
      </c>
    </row>
    <row r="47">
      <c r="A47" s="16" t="n">
        <v>46</v>
      </c>
      <c r="B47" s="17" t="inlineStr">
        <is>
          <t>equip_pojunji</t>
        </is>
      </c>
      <c r="C47" s="17" t="inlineStr">
        <is>
          <t>破军戟</t>
        </is>
      </c>
      <c r="D47" s="17" t="inlineStr">
        <is>
          <t>装备</t>
        </is>
      </c>
      <c r="E47" s="17" t="inlineStr">
        <is>
          <t>武器</t>
        </is>
      </c>
      <c r="F47" s="17" t="inlineStr">
        <is>
          <t>紫色</t>
        </is>
      </c>
      <c r="G47" s="17" t="inlineStr">
        <is>
          <t>直接无来源</t>
        </is>
      </c>
      <c r="H47" s="17" t="inlineStr">
        <is>
          <t>未进入商铺、拍卖、任务、宝箱、生产或可达锻造闭环</t>
        </is>
      </c>
      <c r="I47" s="17" t="inlineStr">
        <is>
          <t>是</t>
        </is>
      </c>
      <c r="J47" s="17" t="inlineStr">
        <is>
          <t>有：机器人随机投放成品</t>
        </is>
      </c>
      <c r="K47" s="17" t="inlineStr">
        <is>
          <t>data/item_templates.yaml:L5025</t>
        </is>
      </c>
    </row>
    <row r="48">
      <c r="A48" s="16" t="n">
        <v>47</v>
      </c>
      <c r="B48" s="17" t="inlineStr">
        <is>
          <t>equip_biyudao</t>
        </is>
      </c>
      <c r="C48" s="17" t="inlineStr">
        <is>
          <t>碧玉刀</t>
        </is>
      </c>
      <c r="D48" s="17" t="inlineStr">
        <is>
          <t>装备</t>
        </is>
      </c>
      <c r="E48" s="17" t="inlineStr">
        <is>
          <t>武器</t>
        </is>
      </c>
      <c r="F48" s="17" t="inlineStr">
        <is>
          <t>紫色</t>
        </is>
      </c>
      <c r="G48" s="17" t="inlineStr">
        <is>
          <t>直接无来源</t>
        </is>
      </c>
      <c r="H48" s="17" t="inlineStr">
        <is>
          <t>未进入商铺、拍卖、任务、宝箱、生产或可达锻造闭环</t>
        </is>
      </c>
      <c r="I48" s="17" t="inlineStr">
        <is>
          <t>是</t>
        </is>
      </c>
      <c r="J48" s="17" t="inlineStr">
        <is>
          <t>有：机器人随机投放成品</t>
        </is>
      </c>
      <c r="K48" s="17" t="inlineStr">
        <is>
          <t>data/item_templates.yaml:L5181</t>
        </is>
      </c>
    </row>
    <row r="49">
      <c r="A49" s="16" t="n">
        <v>48</v>
      </c>
      <c r="B49" s="17" t="inlineStr">
        <is>
          <t>equip_libiegou</t>
        </is>
      </c>
      <c r="C49" s="17" t="inlineStr">
        <is>
          <t>离别钩</t>
        </is>
      </c>
      <c r="D49" s="17" t="inlineStr">
        <is>
          <t>装备</t>
        </is>
      </c>
      <c r="E49" s="17" t="inlineStr">
        <is>
          <t>武器</t>
        </is>
      </c>
      <c r="F49" s="17" t="inlineStr">
        <is>
          <t>紫色</t>
        </is>
      </c>
      <c r="G49" s="17" t="inlineStr">
        <is>
          <t>直接无来源</t>
        </is>
      </c>
      <c r="H49" s="17" t="inlineStr">
        <is>
          <t>未进入商铺、拍卖、任务、宝箱、生产或可达锻造闭环</t>
        </is>
      </c>
      <c r="I49" s="17" t="inlineStr">
        <is>
          <t>是</t>
        </is>
      </c>
      <c r="J49" s="17" t="inlineStr">
        <is>
          <t>有：机器人随机投放成品</t>
        </is>
      </c>
      <c r="K49" s="17" t="inlineStr">
        <is>
          <t>data/item_templates.yaml:L5195</t>
        </is>
      </c>
    </row>
    <row r="50">
      <c r="A50" s="16" t="n">
        <v>49</v>
      </c>
      <c r="B50" s="17" t="inlineStr">
        <is>
          <t>equip_ziweiruanjian</t>
        </is>
      </c>
      <c r="C50" s="17" t="inlineStr">
        <is>
          <t>紫薇软剑</t>
        </is>
      </c>
      <c r="D50" s="17" t="inlineStr">
        <is>
          <t>装备</t>
        </is>
      </c>
      <c r="E50" s="17" t="inlineStr">
        <is>
          <t>武器</t>
        </is>
      </c>
      <c r="F50" s="17" t="inlineStr">
        <is>
          <t>紫色</t>
        </is>
      </c>
      <c r="G50" s="17" t="inlineStr">
        <is>
          <t>直接无来源</t>
        </is>
      </c>
      <c r="H50" s="17" t="inlineStr">
        <is>
          <t>未进入商铺、拍卖、任务、宝箱、生产或可达锻造闭环</t>
        </is>
      </c>
      <c r="I50" s="17" t="inlineStr">
        <is>
          <t>是</t>
        </is>
      </c>
      <c r="J50" s="17" t="inlineStr">
        <is>
          <t>有：机器人随机投放成品</t>
        </is>
      </c>
      <c r="K50" s="17" t="inlineStr">
        <is>
          <t>data/item_templates.yaml:L5082</t>
        </is>
      </c>
    </row>
    <row r="51">
      <c r="A51" s="16" t="n">
        <v>50</v>
      </c>
      <c r="B51" s="17" t="inlineStr">
        <is>
          <t>equip_xiuhuazhen</t>
        </is>
      </c>
      <c r="C51" s="17" t="inlineStr">
        <is>
          <t>绣花针</t>
        </is>
      </c>
      <c r="D51" s="17" t="inlineStr">
        <is>
          <t>装备</t>
        </is>
      </c>
      <c r="E51" s="17" t="inlineStr">
        <is>
          <t>武器</t>
        </is>
      </c>
      <c r="F51" s="17" t="inlineStr">
        <is>
          <t>紫色</t>
        </is>
      </c>
      <c r="G51" s="17" t="inlineStr">
        <is>
          <t>直接无来源</t>
        </is>
      </c>
      <c r="H51" s="17" t="inlineStr">
        <is>
          <t>未进入商铺、拍卖、任务、宝箱、生产或可达锻造闭环</t>
        </is>
      </c>
      <c r="I51" s="17" t="inlineStr">
        <is>
          <t>是</t>
        </is>
      </c>
      <c r="J51" s="17" t="inlineStr">
        <is>
          <t>有：机器人随机投放成品</t>
        </is>
      </c>
      <c r="K51" s="17" t="inlineStr">
        <is>
          <t>data/item_templates.yaml:L5224</t>
        </is>
      </c>
    </row>
    <row r="52">
      <c r="A52" s="16" t="n">
        <v>51</v>
      </c>
      <c r="B52" s="17" t="inlineStr">
        <is>
          <t>equip_xuedao</t>
        </is>
      </c>
      <c r="C52" s="17" t="inlineStr">
        <is>
          <t>血刀</t>
        </is>
      </c>
      <c r="D52" s="17" t="inlineStr">
        <is>
          <t>装备</t>
        </is>
      </c>
      <c r="E52" s="17" t="inlineStr">
        <is>
          <t>武器</t>
        </is>
      </c>
      <c r="F52" s="17" t="inlineStr">
        <is>
          <t>紫色</t>
        </is>
      </c>
      <c r="G52" s="17" t="inlineStr">
        <is>
          <t>直接无来源</t>
        </is>
      </c>
      <c r="H52" s="17" t="inlineStr">
        <is>
          <t>未进入商铺、拍卖、任务、宝箱、生产或可达锻造闭环</t>
        </is>
      </c>
      <c r="I52" s="17" t="inlineStr">
        <is>
          <t>是</t>
        </is>
      </c>
      <c r="J52" s="17" t="inlineStr">
        <is>
          <t>有：机器人随机投放成品</t>
        </is>
      </c>
      <c r="K52" s="17" t="inlineStr">
        <is>
          <t>data/item_templates.yaml:L5125</t>
        </is>
      </c>
    </row>
    <row r="53">
      <c r="A53" s="16" t="n">
        <v>52</v>
      </c>
      <c r="B53" s="17" t="inlineStr">
        <is>
          <t>equip_jinshejian</t>
        </is>
      </c>
      <c r="C53" s="17" t="inlineStr">
        <is>
          <t>金蛇剑</t>
        </is>
      </c>
      <c r="D53" s="17" t="inlineStr">
        <is>
          <t>装备</t>
        </is>
      </c>
      <c r="E53" s="17" t="inlineStr">
        <is>
          <t>武器</t>
        </is>
      </c>
      <c r="F53" s="17" t="inlineStr">
        <is>
          <t>紫色</t>
        </is>
      </c>
      <c r="G53" s="17" t="inlineStr">
        <is>
          <t>直接无来源</t>
        </is>
      </c>
      <c r="H53" s="17" t="inlineStr">
        <is>
          <t>未进入商铺、拍卖、任务、宝箱、生产或可达锻造闭环</t>
        </is>
      </c>
      <c r="I53" s="17" t="inlineStr">
        <is>
          <t>是</t>
        </is>
      </c>
      <c r="J53" s="17" t="inlineStr">
        <is>
          <t>有：机器人随机投放成品</t>
        </is>
      </c>
      <c r="K53" s="17" t="inlineStr">
        <is>
          <t>data/item_templates.yaml:L5054</t>
        </is>
      </c>
    </row>
    <row r="54">
      <c r="A54" s="16" t="n">
        <v>53</v>
      </c>
      <c r="B54" s="17" t="inlineStr">
        <is>
          <t>equip_jinshezui</t>
        </is>
      </c>
      <c r="C54" s="17" t="inlineStr">
        <is>
          <t>金蛇锥</t>
        </is>
      </c>
      <c r="D54" s="17" t="inlineStr">
        <is>
          <t>装备</t>
        </is>
      </c>
      <c r="E54" s="17" t="inlineStr">
        <is>
          <t>武器</t>
        </is>
      </c>
      <c r="F54" s="17" t="inlineStr">
        <is>
          <t>紫色</t>
        </is>
      </c>
      <c r="G54" s="17" t="inlineStr">
        <is>
          <t>直接无来源</t>
        </is>
      </c>
      <c r="H54" s="17" t="inlineStr">
        <is>
          <t>未进入商铺、拍卖、任务、宝箱、生产或可达锻造闭环</t>
        </is>
      </c>
      <c r="I54" s="17" t="inlineStr">
        <is>
          <t>是</t>
        </is>
      </c>
      <c r="J54" s="17" t="inlineStr">
        <is>
          <t>有：机器人随机投放成品</t>
        </is>
      </c>
      <c r="K54" s="17" t="inlineStr">
        <is>
          <t>data/item_templates.yaml:L5153</t>
        </is>
      </c>
    </row>
    <row r="55">
      <c r="A55" s="16" t="n">
        <v>54</v>
      </c>
      <c r="B55" s="17" t="inlineStr">
        <is>
          <t>equip_jinlun</t>
        </is>
      </c>
      <c r="C55" s="17" t="inlineStr">
        <is>
          <t>金轮</t>
        </is>
      </c>
      <c r="D55" s="17" t="inlineStr">
        <is>
          <t>装备</t>
        </is>
      </c>
      <c r="E55" s="17" t="inlineStr">
        <is>
          <t>武器</t>
        </is>
      </c>
      <c r="F55" s="17" t="inlineStr">
        <is>
          <t>紫色</t>
        </is>
      </c>
      <c r="G55" s="17" t="inlineStr">
        <is>
          <t>直接无来源</t>
        </is>
      </c>
      <c r="H55" s="17" t="inlineStr">
        <is>
          <t>未进入商铺、拍卖、任务、宝箱、生产或可达锻造闭环</t>
        </is>
      </c>
      <c r="I55" s="17" t="inlineStr">
        <is>
          <t>是</t>
        </is>
      </c>
      <c r="J55" s="17" t="inlineStr">
        <is>
          <t>有：机器人随机投放成品</t>
        </is>
      </c>
      <c r="K55" s="17" t="inlineStr">
        <is>
          <t>data/item_templates.yaml:L5111</t>
        </is>
      </c>
    </row>
    <row r="56">
      <c r="A56" s="16" t="n">
        <v>55</v>
      </c>
      <c r="B56" s="17" t="inlineStr">
        <is>
          <t>equip_shuanghuagong</t>
        </is>
      </c>
      <c r="C56" s="17" t="inlineStr">
        <is>
          <t>霜华弓</t>
        </is>
      </c>
      <c r="D56" s="17" t="inlineStr">
        <is>
          <t>装备</t>
        </is>
      </c>
      <c r="E56" s="17" t="inlineStr">
        <is>
          <t>武器</t>
        </is>
      </c>
      <c r="F56" s="17" t="inlineStr">
        <is>
          <t>紫色</t>
        </is>
      </c>
      <c r="G56" s="17" t="inlineStr">
        <is>
          <t>直接无来源</t>
        </is>
      </c>
      <c r="H56" s="17" t="inlineStr">
        <is>
          <t>未进入商铺、拍卖、任务、宝箱、生产或可达锻造闭环</t>
        </is>
      </c>
      <c r="I56" s="17" t="inlineStr">
        <is>
          <t>是</t>
        </is>
      </c>
      <c r="J56" s="17" t="inlineStr">
        <is>
          <t>有：机器人随机投放成品</t>
        </is>
      </c>
      <c r="K56" s="17" t="inlineStr">
        <is>
          <t>data/item_templates.yaml:L5040</t>
        </is>
      </c>
    </row>
    <row r="57">
      <c r="A57" s="16" t="n">
        <v>56</v>
      </c>
      <c r="B57" s="17" t="inlineStr">
        <is>
          <t>equip_yuanyangdao</t>
        </is>
      </c>
      <c r="C57" s="17" t="inlineStr">
        <is>
          <t>鸳鸯刀</t>
        </is>
      </c>
      <c r="D57" s="17" t="inlineStr">
        <is>
          <t>装备</t>
        </is>
      </c>
      <c r="E57" s="17" t="inlineStr">
        <is>
          <t>武器</t>
        </is>
      </c>
      <c r="F57" s="17" t="inlineStr">
        <is>
          <t>紫色</t>
        </is>
      </c>
      <c r="G57" s="17" t="inlineStr">
        <is>
          <t>直接无来源</t>
        </is>
      </c>
      <c r="H57" s="17" t="inlineStr">
        <is>
          <t>未进入商铺、拍卖、任务、宝箱、生产或可达锻造闭环</t>
        </is>
      </c>
      <c r="I57" s="17" t="inlineStr">
        <is>
          <t>是</t>
        </is>
      </c>
      <c r="J57" s="17" t="inlineStr">
        <is>
          <t>有：机器人随机投放成品</t>
        </is>
      </c>
      <c r="K57" s="17" t="inlineStr">
        <is>
          <t>data/item_templates.yaml:L5139</t>
        </is>
      </c>
    </row>
    <row r="58">
      <c r="A58" s="16" t="n">
        <v>57</v>
      </c>
      <c r="B58" s="17" t="inlineStr">
        <is>
          <t>equip_qiankunshengong</t>
        </is>
      </c>
      <c r="C58" s="17" t="inlineStr">
        <is>
          <t>乾坤神弓</t>
        </is>
      </c>
      <c r="D58" s="17" t="inlineStr">
        <is>
          <t>装备</t>
        </is>
      </c>
      <c r="E58" s="17" t="inlineStr">
        <is>
          <t>武器</t>
        </is>
      </c>
      <c r="F58" s="17" t="inlineStr">
        <is>
          <t>橙色</t>
        </is>
      </c>
      <c r="G58" s="17" t="inlineStr">
        <is>
          <t>直接无来源</t>
        </is>
      </c>
      <c r="H58" s="17" t="inlineStr">
        <is>
          <t>未进入商铺、拍卖、任务、宝箱、生产或可达锻造闭环</t>
        </is>
      </c>
      <c r="I58" s="17" t="inlineStr">
        <is>
          <t>是</t>
        </is>
      </c>
      <c r="J58" s="17" t="inlineStr">
        <is>
          <t>有：机器人随机投放成品</t>
        </is>
      </c>
      <c r="K58" s="17" t="inlineStr">
        <is>
          <t>data/item_templates.yaml:L5339</t>
        </is>
      </c>
    </row>
    <row r="59">
      <c r="A59" s="16" t="n">
        <v>58</v>
      </c>
      <c r="B59" s="17" t="inlineStr">
        <is>
          <t>equip_yuanyuewandao</t>
        </is>
      </c>
      <c r="C59" s="17" t="inlineStr">
        <is>
          <t>圆月弯刀</t>
        </is>
      </c>
      <c r="D59" s="17" t="inlineStr">
        <is>
          <t>装备</t>
        </is>
      </c>
      <c r="E59" s="17" t="inlineStr">
        <is>
          <t>武器</t>
        </is>
      </c>
      <c r="F59" s="17" t="inlineStr">
        <is>
          <t>橙色</t>
        </is>
      </c>
      <c r="G59" s="17" t="inlineStr">
        <is>
          <t>直接无来源</t>
        </is>
      </c>
      <c r="H59" s="17" t="inlineStr">
        <is>
          <t>未进入商铺、拍卖、任务、宝箱、生产或可达锻造闭环</t>
        </is>
      </c>
      <c r="I59" s="17" t="inlineStr">
        <is>
          <t>是</t>
        </is>
      </c>
      <c r="J59" s="17" t="inlineStr">
        <is>
          <t>有：机器人随机投放成品</t>
        </is>
      </c>
      <c r="K59" s="17" t="inlineStr">
        <is>
          <t>data/item_templates.yaml:L5434</t>
        </is>
      </c>
    </row>
    <row r="60">
      <c r="A60" s="16" t="n">
        <v>59</v>
      </c>
      <c r="B60" s="17" t="inlineStr">
        <is>
          <t>equip_tianyamingyuedao</t>
        </is>
      </c>
      <c r="C60" s="17" t="inlineStr">
        <is>
          <t>天涯明月刀</t>
        </is>
      </c>
      <c r="D60" s="17" t="inlineStr">
        <is>
          <t>装备</t>
        </is>
      </c>
      <c r="E60" s="17" t="inlineStr">
        <is>
          <t>武器</t>
        </is>
      </c>
      <c r="F60" s="17" t="inlineStr">
        <is>
          <t>橙色</t>
        </is>
      </c>
      <c r="G60" s="17" t="inlineStr">
        <is>
          <t>直接无来源</t>
        </is>
      </c>
      <c r="H60" s="17" t="inlineStr">
        <is>
          <t>未进入商铺、拍卖、任务、宝箱、生产或可达锻造闭环</t>
        </is>
      </c>
      <c r="I60" s="17" t="inlineStr">
        <is>
          <t>是</t>
        </is>
      </c>
      <c r="J60" s="17" t="inlineStr">
        <is>
          <t>有：机器人随机投放成品</t>
        </is>
      </c>
      <c r="K60" s="17" t="inlineStr">
        <is>
          <t>data/item_templates.yaml:L5419</t>
        </is>
      </c>
    </row>
    <row r="61">
      <c r="A61" s="16" t="n">
        <v>60</v>
      </c>
      <c r="B61" s="17" t="inlineStr">
        <is>
          <t>equip_kongquelin</t>
        </is>
      </c>
      <c r="C61" s="17" t="inlineStr">
        <is>
          <t>孔雀翎</t>
        </is>
      </c>
      <c r="D61" s="17" t="inlineStr">
        <is>
          <t>装备</t>
        </is>
      </c>
      <c r="E61" s="17" t="inlineStr">
        <is>
          <t>武器</t>
        </is>
      </c>
      <c r="F61" s="17" t="inlineStr">
        <is>
          <t>橙色</t>
        </is>
      </c>
      <c r="G61" s="17" t="inlineStr">
        <is>
          <t>直接无来源</t>
        </is>
      </c>
      <c r="H61" s="17" t="inlineStr">
        <is>
          <t>未进入商铺、拍卖、任务、宝箱、生产或可达锻造闭环</t>
        </is>
      </c>
      <c r="I61" s="17" t="inlineStr">
        <is>
          <t>是</t>
        </is>
      </c>
      <c r="J61" s="17" t="inlineStr">
        <is>
          <t>有：机器人随机投放成品</t>
        </is>
      </c>
      <c r="K61" s="17" t="inlineStr">
        <is>
          <t>data/item_templates.yaml:L5403</t>
        </is>
      </c>
    </row>
    <row r="62">
      <c r="A62" s="16" t="n">
        <v>61</v>
      </c>
      <c r="B62" s="17" t="inlineStr">
        <is>
          <t>equip_tuwujian</t>
        </is>
      </c>
      <c r="C62" s="17" t="inlineStr">
        <is>
          <t>屠巫剑</t>
        </is>
      </c>
      <c r="D62" s="17" t="inlineStr">
        <is>
          <t>装备</t>
        </is>
      </c>
      <c r="E62" s="17" t="inlineStr">
        <is>
          <t>武器</t>
        </is>
      </c>
      <c r="F62" s="17" t="inlineStr">
        <is>
          <t>橙色</t>
        </is>
      </c>
      <c r="G62" s="17" t="inlineStr">
        <is>
          <t>直接无来源</t>
        </is>
      </c>
      <c r="H62" s="17" t="inlineStr">
        <is>
          <t>未进入商铺、拍卖、任务、宝箱、生产或可达锻造闭环</t>
        </is>
      </c>
      <c r="I62" s="17" t="inlineStr">
        <is>
          <t>是</t>
        </is>
      </c>
      <c r="J62" s="17" t="inlineStr">
        <is>
          <t>有：机器人随机投放成品</t>
        </is>
      </c>
      <c r="K62" s="17" t="inlineStr">
        <is>
          <t>data/item_templates.yaml:L5257</t>
        </is>
      </c>
    </row>
    <row r="63">
      <c r="A63" s="16" t="n">
        <v>62</v>
      </c>
      <c r="B63" s="17" t="inlineStr">
        <is>
          <t>equip_dagoubang</t>
        </is>
      </c>
      <c r="C63" s="17" t="inlineStr">
        <is>
          <t>打狗棒</t>
        </is>
      </c>
      <c r="D63" s="17" t="inlineStr">
        <is>
          <t>装备</t>
        </is>
      </c>
      <c r="E63" s="17" t="inlineStr">
        <is>
          <t>武器</t>
        </is>
      </c>
      <c r="F63" s="17" t="inlineStr">
        <is>
          <t>橙色</t>
        </is>
      </c>
      <c r="G63" s="17" t="inlineStr">
        <is>
          <t>直接无来源</t>
        </is>
      </c>
      <c r="H63" s="17" t="inlineStr">
        <is>
          <t>未进入商铺、拍卖、任务、宝箱、生产或可达锻造闭环</t>
        </is>
      </c>
      <c r="I63" s="17" t="inlineStr">
        <is>
          <t>是</t>
        </is>
      </c>
      <c r="J63" s="17" t="inlineStr">
        <is>
          <t>有：机器人随机投放成品</t>
        </is>
      </c>
      <c r="K63" s="17" t="inlineStr">
        <is>
          <t>data/item_templates.yaml:L5371</t>
        </is>
      </c>
    </row>
    <row r="64">
      <c r="A64" s="16" t="n">
        <v>63</v>
      </c>
      <c r="B64" s="17" t="inlineStr">
        <is>
          <t>equip_xuantiechongjian</t>
        </is>
      </c>
      <c r="C64" s="17" t="inlineStr">
        <is>
          <t>玄铁重剑</t>
        </is>
      </c>
      <c r="D64" s="17" t="inlineStr">
        <is>
          <t>装备</t>
        </is>
      </c>
      <c r="E64" s="17" t="inlineStr">
        <is>
          <t>武器</t>
        </is>
      </c>
      <c r="F64" s="17" t="inlineStr">
        <is>
          <t>橙色</t>
        </is>
      </c>
      <c r="G64" s="17" t="inlineStr">
        <is>
          <t>直接无来源</t>
        </is>
      </c>
      <c r="H64" s="17" t="inlineStr">
        <is>
          <t>未进入商铺、拍卖、任务、宝箱、生产或可达锻造闭环</t>
        </is>
      </c>
      <c r="I64" s="17" t="inlineStr">
        <is>
          <t>是</t>
        </is>
      </c>
      <c r="J64" s="17" t="inlineStr">
        <is>
          <t>有：机器人随机投放成品</t>
        </is>
      </c>
      <c r="K64" s="17" t="inlineStr">
        <is>
          <t>data/item_templates.yaml:L5356</t>
        </is>
      </c>
    </row>
    <row r="65">
      <c r="A65" s="16" t="n">
        <v>64</v>
      </c>
      <c r="B65" s="17" t="inlineStr">
        <is>
          <t>equip_panlonggun</t>
        </is>
      </c>
      <c r="C65" s="17" t="inlineStr">
        <is>
          <t>盘龙棍</t>
        </is>
      </c>
      <c r="D65" s="17" t="inlineStr">
        <is>
          <t>装备</t>
        </is>
      </c>
      <c r="E65" s="17" t="inlineStr">
        <is>
          <t>武器</t>
        </is>
      </c>
      <c r="F65" s="17" t="inlineStr">
        <is>
          <t>橙色</t>
        </is>
      </c>
      <c r="G65" s="17" t="inlineStr">
        <is>
          <t>直接无来源</t>
        </is>
      </c>
      <c r="H65" s="17" t="inlineStr">
        <is>
          <t>未进入商铺、拍卖、任务、宝箱、生产或可达锻造闭环</t>
        </is>
      </c>
      <c r="I65" s="17" t="inlineStr">
        <is>
          <t>是</t>
        </is>
      </c>
      <c r="J65" s="17" t="inlineStr">
        <is>
          <t>有：机器人随机投放成品</t>
        </is>
      </c>
      <c r="K65" s="17" t="inlineStr">
        <is>
          <t>data/item_templates.yaml:L5306</t>
        </is>
      </c>
    </row>
    <row r="66">
      <c r="A66" s="16" t="n">
        <v>65</v>
      </c>
      <c r="B66" s="17" t="inlineStr">
        <is>
          <t>equip_changshengjian</t>
        </is>
      </c>
      <c r="C66" s="17" t="inlineStr">
        <is>
          <t>长生剑</t>
        </is>
      </c>
      <c r="D66" s="17" t="inlineStr">
        <is>
          <t>装备</t>
        </is>
      </c>
      <c r="E66" s="17" t="inlineStr">
        <is>
          <t>武器</t>
        </is>
      </c>
      <c r="F66" s="17" t="inlineStr">
        <is>
          <t>橙色</t>
        </is>
      </c>
      <c r="G66" s="17" t="inlineStr">
        <is>
          <t>直接无来源</t>
        </is>
      </c>
      <c r="H66" s="17" t="inlineStr">
        <is>
          <t>未进入商铺、拍卖、任务、宝箱、生产或可达锻造闭环</t>
        </is>
      </c>
      <c r="I66" s="17" t="inlineStr">
        <is>
          <t>是</t>
        </is>
      </c>
      <c r="J66" s="17" t="inlineStr">
        <is>
          <t>有：机器人随机投放成品</t>
        </is>
      </c>
      <c r="K66" s="17" t="inlineStr">
        <is>
          <t>data/item_templates.yaml:L5450</t>
        </is>
      </c>
    </row>
    <row r="67">
      <c r="A67" s="16" t="n">
        <v>66</v>
      </c>
      <c r="B67" s="17" t="inlineStr">
        <is>
          <t>equip_zhaohuangfeidian</t>
        </is>
      </c>
      <c r="C67" s="17" t="inlineStr">
        <is>
          <t>爪黄飞电</t>
        </is>
      </c>
      <c r="D67" s="17" t="inlineStr">
        <is>
          <t>装备</t>
        </is>
      </c>
      <c r="E67" s="17" t="inlineStr">
        <is>
          <t>坐骑</t>
        </is>
      </c>
      <c r="F67" s="17" t="inlineStr">
        <is>
          <t>紫色</t>
        </is>
      </c>
      <c r="G67" s="17" t="inlineStr">
        <is>
          <t>直接无来源</t>
        </is>
      </c>
      <c r="H67" s="17" t="inlineStr">
        <is>
          <t>未进入商铺、拍卖、任务、宝箱、生产或可达锻造闭环</t>
        </is>
      </c>
      <c r="I67" s="17" t="inlineStr">
        <is>
          <t>是</t>
        </is>
      </c>
      <c r="J67" s="17" t="inlineStr">
        <is>
          <t>有：机器人随机投放成品</t>
        </is>
      </c>
      <c r="K67" s="17" t="inlineStr">
        <is>
          <t>data/item_templates.yaml:L6732</t>
        </is>
      </c>
    </row>
    <row r="68">
      <c r="A68" s="16" t="n">
        <v>67</v>
      </c>
      <c r="B68" s="17" t="inlineStr">
        <is>
          <t>equip_xuanjiazhanju</t>
        </is>
      </c>
      <c r="C68" s="17" t="inlineStr">
        <is>
          <t>玄甲战驹</t>
        </is>
      </c>
      <c r="D68" s="17" t="inlineStr">
        <is>
          <t>装备</t>
        </is>
      </c>
      <c r="E68" s="17" t="inlineStr">
        <is>
          <t>坐骑</t>
        </is>
      </c>
      <c r="F68" s="17" t="inlineStr">
        <is>
          <t>紫色</t>
        </is>
      </c>
      <c r="G68" s="17" t="inlineStr">
        <is>
          <t>直接无来源</t>
        </is>
      </c>
      <c r="H68" s="17" t="inlineStr">
        <is>
          <t>未进入商铺、拍卖、任务、宝箱、生产或可达锻造闭环</t>
        </is>
      </c>
      <c r="I68" s="17" t="inlineStr">
        <is>
          <t>是</t>
        </is>
      </c>
      <c r="J68" s="17" t="inlineStr">
        <is>
          <t>有：机器人随机投放成品</t>
        </is>
      </c>
      <c r="K68" s="17" t="inlineStr">
        <is>
          <t>data/item_templates.yaml:L6777</t>
        </is>
      </c>
    </row>
    <row r="69">
      <c r="A69" s="16" t="n">
        <v>68</v>
      </c>
      <c r="B69" s="17" t="inlineStr">
        <is>
          <t>equip_dilu</t>
        </is>
      </c>
      <c r="C69" s="17" t="inlineStr">
        <is>
          <t>的卢</t>
        </is>
      </c>
      <c r="D69" s="17" t="inlineStr">
        <is>
          <t>装备</t>
        </is>
      </c>
      <c r="E69" s="17" t="inlineStr">
        <is>
          <t>坐骑</t>
        </is>
      </c>
      <c r="F69" s="17" t="inlineStr">
        <is>
          <t>紫色</t>
        </is>
      </c>
      <c r="G69" s="17" t="inlineStr">
        <is>
          <t>直接无来源</t>
        </is>
      </c>
      <c r="H69" s="17" t="inlineStr">
        <is>
          <t>未进入商铺、拍卖、任务、宝箱、生产或可达锻造闭环</t>
        </is>
      </c>
      <c r="I69" s="17" t="inlineStr">
        <is>
          <t>是</t>
        </is>
      </c>
      <c r="J69" s="17" t="inlineStr">
        <is>
          <t>有：机器人随机投放成品</t>
        </is>
      </c>
      <c r="K69" s="17" t="inlineStr">
        <is>
          <t>data/item_templates.yaml:L6747</t>
        </is>
      </c>
    </row>
    <row r="70">
      <c r="A70" s="16" t="n">
        <v>69</v>
      </c>
      <c r="B70" s="17" t="inlineStr">
        <is>
          <t>equip_jueying</t>
        </is>
      </c>
      <c r="C70" s="17" t="inlineStr">
        <is>
          <t>绝影</t>
        </is>
      </c>
      <c r="D70" s="17" t="inlineStr">
        <is>
          <t>装备</t>
        </is>
      </c>
      <c r="E70" s="17" t="inlineStr">
        <is>
          <t>坐骑</t>
        </is>
      </c>
      <c r="F70" s="17" t="inlineStr">
        <is>
          <t>紫色</t>
        </is>
      </c>
      <c r="G70" s="17" t="inlineStr">
        <is>
          <t>直接无来源</t>
        </is>
      </c>
      <c r="H70" s="17" t="inlineStr">
        <is>
          <t>未进入商铺、拍卖、任务、宝箱、生产或可达锻造闭环</t>
        </is>
      </c>
      <c r="I70" s="17" t="inlineStr">
        <is>
          <t>是</t>
        </is>
      </c>
      <c r="J70" s="17" t="inlineStr">
        <is>
          <t>有：机器人随机投放成品</t>
        </is>
      </c>
      <c r="K70" s="17" t="inlineStr">
        <is>
          <t>data/item_templates.yaml:L6717</t>
        </is>
      </c>
    </row>
    <row r="71">
      <c r="A71" s="16" t="n">
        <v>70</v>
      </c>
      <c r="B71" s="17" t="inlineStr">
        <is>
          <t>equip_qingshuanglu</t>
        </is>
      </c>
      <c r="C71" s="17" t="inlineStr">
        <is>
          <t>青霜鹿</t>
        </is>
      </c>
      <c r="D71" s="17" t="inlineStr">
        <is>
          <t>装备</t>
        </is>
      </c>
      <c r="E71" s="17" t="inlineStr">
        <is>
          <t>坐骑</t>
        </is>
      </c>
      <c r="F71" s="17" t="inlineStr">
        <is>
          <t>紫色</t>
        </is>
      </c>
      <c r="G71" s="17" t="inlineStr">
        <is>
          <t>直接无来源</t>
        </is>
      </c>
      <c r="H71" s="17" t="inlineStr">
        <is>
          <t>未进入商铺、拍卖、任务、宝箱、生产或可达锻造闭环</t>
        </is>
      </c>
      <c r="I71" s="17" t="inlineStr">
        <is>
          <t>是</t>
        </is>
      </c>
      <c r="J71" s="17" t="inlineStr">
        <is>
          <t>有：机器人随机投放成品</t>
        </is>
      </c>
      <c r="K71" s="17" t="inlineStr">
        <is>
          <t>data/item_templates.yaml:L6762</t>
        </is>
      </c>
    </row>
    <row r="72">
      <c r="A72" s="16" t="n">
        <v>71</v>
      </c>
      <c r="B72" s="17" t="inlineStr">
        <is>
          <t>equip_shendiao</t>
        </is>
      </c>
      <c r="C72" s="17" t="inlineStr">
        <is>
          <t>神雕</t>
        </is>
      </c>
      <c r="D72" s="17" t="inlineStr">
        <is>
          <t>装备</t>
        </is>
      </c>
      <c r="E72" s="17" t="inlineStr">
        <is>
          <t>坐骑</t>
        </is>
      </c>
      <c r="F72" s="17" t="inlineStr">
        <is>
          <t>橙色</t>
        </is>
      </c>
      <c r="G72" s="17" t="inlineStr">
        <is>
          <t>直接无来源</t>
        </is>
      </c>
      <c r="H72" s="17" t="inlineStr">
        <is>
          <t>未进入商铺、拍卖、任务、宝箱、生产或可达锻造闭环</t>
        </is>
      </c>
      <c r="I72" s="17" t="inlineStr">
        <is>
          <t>是</t>
        </is>
      </c>
      <c r="J72" s="17" t="inlineStr">
        <is>
          <t>有：机器人随机投放成品</t>
        </is>
      </c>
      <c r="K72" s="17" t="inlineStr">
        <is>
          <t>data/item_templates.yaml:L6854</t>
        </is>
      </c>
    </row>
    <row r="73">
      <c r="A73" s="16" t="n">
        <v>72</v>
      </c>
      <c r="B73" s="17" t="inlineStr">
        <is>
          <t>equip_qingluan</t>
        </is>
      </c>
      <c r="C73" s="17" t="inlineStr">
        <is>
          <t>青鸾</t>
        </is>
      </c>
      <c r="D73" s="17" t="inlineStr">
        <is>
          <t>装备</t>
        </is>
      </c>
      <c r="E73" s="17" t="inlineStr">
        <is>
          <t>坐骑</t>
        </is>
      </c>
      <c r="F73" s="17" t="inlineStr">
        <is>
          <t>橙色</t>
        </is>
      </c>
      <c r="G73" s="17" t="inlineStr">
        <is>
          <t>直接无来源</t>
        </is>
      </c>
      <c r="H73" s="17" t="inlineStr">
        <is>
          <t>未进入商铺、拍卖、任务、宝箱、生产或可达锻造闭环</t>
        </is>
      </c>
      <c r="I73" s="17" t="inlineStr">
        <is>
          <t>是</t>
        </is>
      </c>
      <c r="J73" s="17" t="inlineStr">
        <is>
          <t>有：机器人随机投放成品</t>
        </is>
      </c>
      <c r="K73" s="17" t="inlineStr">
        <is>
          <t>data/item_templates.yaml:L6839</t>
        </is>
      </c>
    </row>
    <row r="74">
      <c r="A74" s="16" t="n">
        <v>73</v>
      </c>
      <c r="B74" s="17" t="inlineStr">
        <is>
          <t>equip_fenghuangyu</t>
        </is>
      </c>
      <c r="C74" s="17" t="inlineStr">
        <is>
          <t>凤凰羽</t>
        </is>
      </c>
      <c r="D74" s="17" t="inlineStr">
        <is>
          <t>装备</t>
        </is>
      </c>
      <c r="E74" s="17" t="inlineStr">
        <is>
          <t>饰品</t>
        </is>
      </c>
      <c r="F74" s="17" t="inlineStr">
        <is>
          <t>紫色</t>
        </is>
      </c>
      <c r="G74" s="17" t="inlineStr">
        <is>
          <t>锻造闭环中断</t>
        </is>
      </c>
      <c r="H74" s="17" t="inlineStr">
        <is>
          <t>存在锻造配方，但所需“凤凰羽图纸”无正常来源</t>
        </is>
      </c>
      <c r="I74" s="17" t="inlineStr">
        <is>
          <t>是</t>
        </is>
      </c>
      <c r="J74" s="17" t="inlineStr">
        <is>
          <t>有：机器人随机投放成品</t>
        </is>
      </c>
      <c r="K74" s="17" t="inlineStr">
        <is>
          <t>data/item_templates.yaml:L5742；data/forge_blueprints.yaml</t>
        </is>
      </c>
    </row>
    <row r="75">
      <c r="A75" s="16" t="n">
        <v>74</v>
      </c>
      <c r="B75" s="17" t="inlineStr">
        <is>
          <t>equip_shenghuoling</t>
        </is>
      </c>
      <c r="C75" s="17" t="inlineStr">
        <is>
          <t>圣火令</t>
        </is>
      </c>
      <c r="D75" s="17" t="inlineStr">
        <is>
          <t>装备</t>
        </is>
      </c>
      <c r="E75" s="17" t="inlineStr">
        <is>
          <t>饰品</t>
        </is>
      </c>
      <c r="F75" s="17" t="inlineStr">
        <is>
          <t>紫色</t>
        </is>
      </c>
      <c r="G75" s="17" t="inlineStr">
        <is>
          <t>直接无来源</t>
        </is>
      </c>
      <c r="H75" s="17" t="inlineStr">
        <is>
          <t>未进入商铺、拍卖、任务、宝箱、生产或可达锻造闭环</t>
        </is>
      </c>
      <c r="I75" s="17" t="inlineStr">
        <is>
          <t>是</t>
        </is>
      </c>
      <c r="J75" s="17" t="inlineStr">
        <is>
          <t>有：机器人随机投放成品</t>
        </is>
      </c>
      <c r="K75" s="17" t="inlineStr">
        <is>
          <t>data/item_templates.yaml:L5838</t>
        </is>
      </c>
    </row>
    <row r="76">
      <c r="A76" s="16" t="n">
        <v>75</v>
      </c>
      <c r="B76" s="17" t="inlineStr">
        <is>
          <t>equip_tianjiyupei</t>
        </is>
      </c>
      <c r="C76" s="17" t="inlineStr">
        <is>
          <t>天机玉佩</t>
        </is>
      </c>
      <c r="D76" s="17" t="inlineStr">
        <is>
          <t>装备</t>
        </is>
      </c>
      <c r="E76" s="17" t="inlineStr">
        <is>
          <t>饰品</t>
        </is>
      </c>
      <c r="F76" s="17" t="inlineStr">
        <is>
          <t>紫色</t>
        </is>
      </c>
      <c r="G76" s="17" t="inlineStr">
        <is>
          <t>直接无来源</t>
        </is>
      </c>
      <c r="H76" s="17" t="inlineStr">
        <is>
          <t>未进入商铺、拍卖、任务、宝箱、生产或可达锻造闭环</t>
        </is>
      </c>
      <c r="I76" s="17" t="inlineStr">
        <is>
          <t>是</t>
        </is>
      </c>
      <c r="J76" s="17" t="inlineStr">
        <is>
          <t>有：机器人随机投放成品</t>
        </is>
      </c>
      <c r="K76" s="17" t="inlineStr">
        <is>
          <t>data/item_templates.yaml:L5793</t>
        </is>
      </c>
    </row>
    <row r="77">
      <c r="A77" s="16" t="n">
        <v>76</v>
      </c>
      <c r="B77" s="17" t="inlineStr">
        <is>
          <t>equip_tianyinguqin</t>
        </is>
      </c>
      <c r="C77" s="17" t="inlineStr">
        <is>
          <t>天音古琴</t>
        </is>
      </c>
      <c r="D77" s="17" t="inlineStr">
        <is>
          <t>装备</t>
        </is>
      </c>
      <c r="E77" s="17" t="inlineStr">
        <is>
          <t>饰品</t>
        </is>
      </c>
      <c r="F77" s="17" t="inlineStr">
        <is>
          <t>紫色</t>
        </is>
      </c>
      <c r="G77" s="17" t="inlineStr">
        <is>
          <t>直接无来源</t>
        </is>
      </c>
      <c r="H77" s="17" t="inlineStr">
        <is>
          <t>未进入商铺、拍卖、任务、宝箱、生产或可达锻造闭环</t>
        </is>
      </c>
      <c r="I77" s="17" t="inlineStr">
        <is>
          <t>是</t>
        </is>
      </c>
      <c r="J77" s="17" t="inlineStr">
        <is>
          <t>有：机器人随机投放成品</t>
        </is>
      </c>
      <c r="K77" s="17" t="inlineStr">
        <is>
          <t>data/item_templates.yaml:L6258</t>
        </is>
      </c>
    </row>
    <row r="78">
      <c r="A78" s="16" t="n">
        <v>77</v>
      </c>
      <c r="B78" s="17" t="inlineStr">
        <is>
          <t>equip_guiyuanzhu</t>
        </is>
      </c>
      <c r="C78" s="17" t="inlineStr">
        <is>
          <t>归元珠</t>
        </is>
      </c>
      <c r="D78" s="17" t="inlineStr">
        <is>
          <t>装备</t>
        </is>
      </c>
      <c r="E78" s="17" t="inlineStr">
        <is>
          <t>饰品</t>
        </is>
      </c>
      <c r="F78" s="17" t="inlineStr">
        <is>
          <t>紫色</t>
        </is>
      </c>
      <c r="G78" s="17" t="inlineStr">
        <is>
          <t>直接无来源</t>
        </is>
      </c>
      <c r="H78" s="17" t="inlineStr">
        <is>
          <t>未进入商铺、拍卖、任务、宝箱、生产或可达锻造闭环</t>
        </is>
      </c>
      <c r="I78" s="17" t="inlineStr">
        <is>
          <t>是</t>
        </is>
      </c>
      <c r="J78" s="17" t="inlineStr">
        <is>
          <t>有：机器人随机投放成品</t>
        </is>
      </c>
      <c r="K78" s="17" t="inlineStr">
        <is>
          <t>data/item_templates.yaml:L5823</t>
        </is>
      </c>
    </row>
    <row r="79">
      <c r="A79" s="16" t="n">
        <v>78</v>
      </c>
      <c r="B79" s="17" t="inlineStr">
        <is>
          <t>equip_hunyuansan</t>
        </is>
      </c>
      <c r="C79" s="17" t="inlineStr">
        <is>
          <t>混元伞</t>
        </is>
      </c>
      <c r="D79" s="17" t="inlineStr">
        <is>
          <t>装备</t>
        </is>
      </c>
      <c r="E79" s="17" t="inlineStr">
        <is>
          <t>饰品</t>
        </is>
      </c>
      <c r="F79" s="17" t="inlineStr">
        <is>
          <t>紫色</t>
        </is>
      </c>
      <c r="G79" s="17" t="inlineStr">
        <is>
          <t>直接无来源</t>
        </is>
      </c>
      <c r="H79" s="17" t="inlineStr">
        <is>
          <t>未进入商铺、拍卖、任务、宝箱、生产或可达锻造闭环</t>
        </is>
      </c>
      <c r="I79" s="17" t="inlineStr">
        <is>
          <t>是</t>
        </is>
      </c>
      <c r="J79" s="17" t="inlineStr">
        <is>
          <t>有：机器人随机投放成品</t>
        </is>
      </c>
      <c r="K79" s="17" t="inlineStr">
        <is>
          <t>data/item_templates.yaml:L6228</t>
        </is>
      </c>
    </row>
    <row r="80">
      <c r="A80" s="16" t="n">
        <v>79</v>
      </c>
      <c r="B80" s="17" t="inlineStr">
        <is>
          <t>equip_xuanmingdeng</t>
        </is>
      </c>
      <c r="C80" s="17" t="inlineStr">
        <is>
          <t>玄冥灯</t>
        </is>
      </c>
      <c r="D80" s="17" t="inlineStr">
        <is>
          <t>装备</t>
        </is>
      </c>
      <c r="E80" s="17" t="inlineStr">
        <is>
          <t>饰品</t>
        </is>
      </c>
      <c r="F80" s="17" t="inlineStr">
        <is>
          <t>紫色</t>
        </is>
      </c>
      <c r="G80" s="17" t="inlineStr">
        <is>
          <t>直接无来源</t>
        </is>
      </c>
      <c r="H80" s="17" t="inlineStr">
        <is>
          <t>未进入商铺、拍卖、任务、宝箱、生产或可达锻造闭环</t>
        </is>
      </c>
      <c r="I80" s="17" t="inlineStr">
        <is>
          <t>是</t>
        </is>
      </c>
      <c r="J80" s="17" t="inlineStr">
        <is>
          <t>有：机器人随机投放成品</t>
        </is>
      </c>
      <c r="K80" s="17" t="inlineStr">
        <is>
          <t>data/item_templates.yaml:L6272</t>
        </is>
      </c>
    </row>
    <row r="81">
      <c r="A81" s="16" t="n">
        <v>80</v>
      </c>
      <c r="B81" s="17" t="inlineStr">
        <is>
          <t>equip_xuanwuyufu</t>
        </is>
      </c>
      <c r="C81" s="17" t="inlineStr">
        <is>
          <t>玄武玉符</t>
        </is>
      </c>
      <c r="D81" s="17" t="inlineStr">
        <is>
          <t>装备</t>
        </is>
      </c>
      <c r="E81" s="17" t="inlineStr">
        <is>
          <t>饰品</t>
        </is>
      </c>
      <c r="F81" s="17" t="inlineStr">
        <is>
          <t>紫色</t>
        </is>
      </c>
      <c r="G81" s="17" t="inlineStr">
        <is>
          <t>直接无来源</t>
        </is>
      </c>
      <c r="H81" s="17" t="inlineStr">
        <is>
          <t>未进入商铺、拍卖、任务、宝箱、生产或可达锻造闭环</t>
        </is>
      </c>
      <c r="I81" s="17" t="inlineStr">
        <is>
          <t>是</t>
        </is>
      </c>
      <c r="J81" s="17" t="inlineStr">
        <is>
          <t>有：机器人随机投放成品</t>
        </is>
      </c>
      <c r="K81" s="17" t="inlineStr">
        <is>
          <t>data/item_templates.yaml:L5778</t>
        </is>
      </c>
    </row>
    <row r="82">
      <c r="A82" s="16" t="n">
        <v>81</v>
      </c>
      <c r="B82" s="17" t="inlineStr">
        <is>
          <t>equip_pojunhufu</t>
        </is>
      </c>
      <c r="C82" s="17" t="inlineStr">
        <is>
          <t>破军虎符</t>
        </is>
      </c>
      <c r="D82" s="17" t="inlineStr">
        <is>
          <t>装备</t>
        </is>
      </c>
      <c r="E82" s="17" t="inlineStr">
        <is>
          <t>饰品</t>
        </is>
      </c>
      <c r="F82" s="17" t="inlineStr">
        <is>
          <t>紫色</t>
        </is>
      </c>
      <c r="G82" s="17" t="inlineStr">
        <is>
          <t>直接无来源</t>
        </is>
      </c>
      <c r="H82" s="17" t="inlineStr">
        <is>
          <t>未进入商铺、拍卖、任务、宝箱、生产或可达锻造闭环</t>
        </is>
      </c>
      <c r="I82" s="17" t="inlineStr">
        <is>
          <t>是</t>
        </is>
      </c>
      <c r="J82" s="17" t="inlineStr">
        <is>
          <t>有：机器人随机投放成品</t>
        </is>
      </c>
      <c r="K82" s="17" t="inlineStr">
        <is>
          <t>data/item_templates.yaml:L5808</t>
        </is>
      </c>
    </row>
    <row r="83">
      <c r="A83" s="16" t="n">
        <v>82</v>
      </c>
      <c r="B83" s="17" t="inlineStr">
        <is>
          <t>equip_zijinhulu</t>
        </is>
      </c>
      <c r="C83" s="17" t="inlineStr">
        <is>
          <t>紫金葫芦</t>
        </is>
      </c>
      <c r="D83" s="17" t="inlineStr">
        <is>
          <t>装备</t>
        </is>
      </c>
      <c r="E83" s="17" t="inlineStr">
        <is>
          <t>饰品</t>
        </is>
      </c>
      <c r="F83" s="17" t="inlineStr">
        <is>
          <t>紫色</t>
        </is>
      </c>
      <c r="G83" s="17" t="inlineStr">
        <is>
          <t>直接无来源</t>
        </is>
      </c>
      <c r="H83" s="17" t="inlineStr">
        <is>
          <t>未进入商铺、拍卖、任务、宝箱、生产或可达锻造闭环</t>
        </is>
      </c>
      <c r="I83" s="17" t="inlineStr">
        <is>
          <t>是</t>
        </is>
      </c>
      <c r="J83" s="17" t="inlineStr">
        <is>
          <t>有：机器人随机投放成品</t>
        </is>
      </c>
      <c r="K83" s="17" t="inlineStr">
        <is>
          <t>data/item_templates.yaml:L6243</t>
        </is>
      </c>
    </row>
    <row r="84">
      <c r="A84" s="16" t="n">
        <v>83</v>
      </c>
      <c r="B84" s="17" t="inlineStr">
        <is>
          <t>equip_zhuyuye</t>
        </is>
      </c>
      <c r="C84" s="17" t="inlineStr">
        <is>
          <t>茱萸叶</t>
        </is>
      </c>
      <c r="D84" s="17" t="inlineStr">
        <is>
          <t>装备</t>
        </is>
      </c>
      <c r="E84" s="17" t="inlineStr">
        <is>
          <t>饰品</t>
        </is>
      </c>
      <c r="F84" s="17" t="inlineStr">
        <is>
          <t>紫色</t>
        </is>
      </c>
      <c r="G84" s="17" t="inlineStr">
        <is>
          <t>直接无来源</t>
        </is>
      </c>
      <c r="H84" s="17" t="inlineStr">
        <is>
          <t>未进入商铺、拍卖、任务、宝箱、生产或可达锻造闭环</t>
        </is>
      </c>
      <c r="I84" s="17" t="inlineStr">
        <is>
          <t>否</t>
        </is>
      </c>
      <c r="J84" s="17" t="inlineStr">
        <is>
          <t>无</t>
        </is>
      </c>
      <c r="K84" s="17" t="inlineStr">
        <is>
          <t>data/item_templates.yaml:L5470</t>
        </is>
      </c>
    </row>
    <row r="85">
      <c r="A85" s="16" t="n">
        <v>84</v>
      </c>
      <c r="B85" s="17" t="inlineStr">
        <is>
          <t>equip_longjingzhu</t>
        </is>
      </c>
      <c r="C85" s="17" t="inlineStr">
        <is>
          <t>龙睛珠</t>
        </is>
      </c>
      <c r="D85" s="17" t="inlineStr">
        <is>
          <t>装备</t>
        </is>
      </c>
      <c r="E85" s="17" t="inlineStr">
        <is>
          <t>饰品</t>
        </is>
      </c>
      <c r="F85" s="17" t="inlineStr">
        <is>
          <t>紫色</t>
        </is>
      </c>
      <c r="G85" s="17" t="inlineStr">
        <is>
          <t>直接无来源</t>
        </is>
      </c>
      <c r="H85" s="17" t="inlineStr">
        <is>
          <t>未进入商铺、拍卖、任务、宝箱、生产或可达锻造闭环</t>
        </is>
      </c>
      <c r="I85" s="17" t="inlineStr">
        <is>
          <t>是</t>
        </is>
      </c>
      <c r="J85" s="17" t="inlineStr">
        <is>
          <t>有：机器人随机投放成品</t>
        </is>
      </c>
      <c r="K85" s="17" t="inlineStr">
        <is>
          <t>data/item_templates.yaml:L5763</t>
        </is>
      </c>
    </row>
    <row r="86">
      <c r="A86" s="16" t="n">
        <v>85</v>
      </c>
      <c r="B86" s="17" t="inlineStr">
        <is>
          <t>equip_businiaoyu</t>
        </is>
      </c>
      <c r="C86" s="17" t="inlineStr">
        <is>
          <t>不死鸟羽</t>
        </is>
      </c>
      <c r="D86" s="17" t="inlineStr">
        <is>
          <t>装备</t>
        </is>
      </c>
      <c r="E86" s="17" t="inlineStr">
        <is>
          <t>饰品</t>
        </is>
      </c>
      <c r="F86" s="17" t="inlineStr">
        <is>
          <t>橙色</t>
        </is>
      </c>
      <c r="G86" s="17" t="inlineStr">
        <is>
          <t>直接无来源</t>
        </is>
      </c>
      <c r="H86" s="17" t="inlineStr">
        <is>
          <t>未进入商铺、拍卖、任务、宝箱、生产或可达锻造闭环</t>
        </is>
      </c>
      <c r="I86" s="17" t="inlineStr">
        <is>
          <t>是</t>
        </is>
      </c>
      <c r="J86" s="17" t="inlineStr">
        <is>
          <t>有：机器人随机投放成品</t>
        </is>
      </c>
      <c r="K86" s="17" t="inlineStr">
        <is>
          <t>data/item_templates.yaml:L5904</t>
        </is>
      </c>
    </row>
    <row r="87">
      <c r="A87" s="16" t="n">
        <v>86</v>
      </c>
      <c r="B87" s="17" t="inlineStr">
        <is>
          <t>equip_jianghuling</t>
        </is>
      </c>
      <c r="C87" s="17" t="inlineStr">
        <is>
          <t>江湖令</t>
        </is>
      </c>
      <c r="D87" s="17" t="inlineStr">
        <is>
          <t>装备</t>
        </is>
      </c>
      <c r="E87" s="17" t="inlineStr">
        <is>
          <t>饰品</t>
        </is>
      </c>
      <c r="F87" s="17" t="inlineStr">
        <is>
          <t>橙色</t>
        </is>
      </c>
      <c r="G87" s="17" t="inlineStr">
        <is>
          <t>直接无来源</t>
        </is>
      </c>
      <c r="H87" s="17" t="inlineStr">
        <is>
          <t>未进入商铺、拍卖、任务、宝箱、生产或可达锻造闭环</t>
        </is>
      </c>
      <c r="I87" s="17" t="inlineStr">
        <is>
          <t>是</t>
        </is>
      </c>
      <c r="J87" s="17" t="inlineStr">
        <is>
          <t>有：机器人随机投放成品</t>
        </is>
      </c>
      <c r="K87" s="17" t="inlineStr">
        <is>
          <t>data/item_templates.yaml:L5918</t>
        </is>
      </c>
    </row>
    <row r="88">
      <c r="A88" s="16" t="n">
        <v>87</v>
      </c>
      <c r="B88" s="17" t="inlineStr">
        <is>
          <t>equip_shangshanfaeling</t>
        </is>
      </c>
      <c r="C88" s="17" t="inlineStr">
        <is>
          <t>赏善罚恶令</t>
        </is>
      </c>
      <c r="D88" s="17" t="inlineStr">
        <is>
          <t>装备</t>
        </is>
      </c>
      <c r="E88" s="17" t="inlineStr">
        <is>
          <t>饰品</t>
        </is>
      </c>
      <c r="F88" s="17" t="inlineStr">
        <is>
          <t>橙色</t>
        </is>
      </c>
      <c r="G88" s="17" t="inlineStr">
        <is>
          <t>直接无来源</t>
        </is>
      </c>
      <c r="H88" s="17" t="inlineStr">
        <is>
          <t>未进入商铺、拍卖、任务、宝箱、生产或可达锻造闭环</t>
        </is>
      </c>
      <c r="I88" s="17" t="inlineStr">
        <is>
          <t>是</t>
        </is>
      </c>
      <c r="J88" s="17" t="inlineStr">
        <is>
          <t>有：机器人随机投放成品</t>
        </is>
      </c>
      <c r="K88" s="17" t="inlineStr">
        <is>
          <t>data/item_templates.yaml:L5934</t>
        </is>
      </c>
    </row>
    <row r="89">
      <c r="A89" s="16" t="n">
        <v>88</v>
      </c>
      <c r="B89" s="17" t="inlineStr">
        <is>
          <t>equip_xiaoxingjiguanshu</t>
        </is>
      </c>
      <c r="C89" s="17" t="inlineStr">
        <is>
          <t>小型机关鼠</t>
        </is>
      </c>
      <c r="D89" s="17" t="inlineStr">
        <is>
          <t>装备</t>
        </is>
      </c>
      <c r="E89" s="17" t="inlineStr">
        <is>
          <t>器械</t>
        </is>
      </c>
      <c r="F89" s="17" t="inlineStr">
        <is>
          <t>绿色</t>
        </is>
      </c>
      <c r="G89" s="17" t="inlineStr">
        <is>
          <t>锻造闭环中断</t>
        </is>
      </c>
      <c r="H89" s="17" t="inlineStr">
        <is>
          <t>存在锻造配方，但所需“小型机关鼠图纸”无正常来源</t>
        </is>
      </c>
      <c r="I89" s="17" t="inlineStr">
        <is>
          <t>是</t>
        </is>
      </c>
      <c r="J89" s="17" t="inlineStr">
        <is>
          <t>有：机器人随机投放成品</t>
        </is>
      </c>
      <c r="K89" s="17" t="inlineStr">
        <is>
          <t>data/item_templates.yaml:L6055；data/forge_blueprints.yaml</t>
        </is>
      </c>
    </row>
    <row r="90">
      <c r="A90" s="16" t="n">
        <v>89</v>
      </c>
      <c r="B90" s="17" t="inlineStr">
        <is>
          <t>equip_tongchanjiguan</t>
        </is>
      </c>
      <c r="C90" s="17" t="inlineStr">
        <is>
          <t>铜蝉机关</t>
        </is>
      </c>
      <c r="D90" s="17" t="inlineStr">
        <is>
          <t>装备</t>
        </is>
      </c>
      <c r="E90" s="17" t="inlineStr">
        <is>
          <t>器械</t>
        </is>
      </c>
      <c r="F90" s="17" t="inlineStr">
        <is>
          <t>绿色</t>
        </is>
      </c>
      <c r="G90" s="17" t="inlineStr">
        <is>
          <t>锻造闭环中断</t>
        </is>
      </c>
      <c r="H90" s="17" t="inlineStr">
        <is>
          <t>存在锻造配方，但所需“铜蝉机关图纸”无正常来源</t>
        </is>
      </c>
      <c r="I90" s="17" t="inlineStr">
        <is>
          <t>是</t>
        </is>
      </c>
      <c r="J90" s="17" t="inlineStr">
        <is>
          <t>有：机器人随机投放成品</t>
        </is>
      </c>
      <c r="K90" s="17" t="inlineStr">
        <is>
          <t>data/item_templates.yaml:L6069；data/forge_blueprints.yaml</t>
        </is>
      </c>
    </row>
    <row r="91">
      <c r="A91" s="16" t="n">
        <v>90</v>
      </c>
      <c r="B91" s="17" t="inlineStr">
        <is>
          <t>equip_kuileiren</t>
        </is>
      </c>
      <c r="C91" s="17" t="inlineStr">
        <is>
          <t>傀儡人</t>
        </is>
      </c>
      <c r="D91" s="17" t="inlineStr">
        <is>
          <t>装备</t>
        </is>
      </c>
      <c r="E91" s="17" t="inlineStr">
        <is>
          <t>器械</t>
        </is>
      </c>
      <c r="F91" s="17" t="inlineStr">
        <is>
          <t>紫色</t>
        </is>
      </c>
      <c r="G91" s="17" t="inlineStr">
        <is>
          <t>锻造闭环中断</t>
        </is>
      </c>
      <c r="H91" s="17" t="inlineStr">
        <is>
          <t>存在锻造配方，但所需“傀儡人图纸”无正常来源</t>
        </is>
      </c>
      <c r="I91" s="17" t="inlineStr">
        <is>
          <t>是</t>
        </is>
      </c>
      <c r="J91" s="17" t="inlineStr">
        <is>
          <t>有：机器人随机投放成品</t>
        </is>
      </c>
      <c r="K91" s="17" t="inlineStr">
        <is>
          <t>data/item_templates.yaml:L6317；data/forge_blueprints.yaml</t>
        </is>
      </c>
    </row>
    <row r="92">
      <c r="A92" s="16" t="n">
        <v>91</v>
      </c>
      <c r="B92" s="17" t="inlineStr">
        <is>
          <t>equip_muniuliuma</t>
        </is>
      </c>
      <c r="C92" s="17" t="inlineStr">
        <is>
          <t>木牛流马</t>
        </is>
      </c>
      <c r="D92" s="17" t="inlineStr">
        <is>
          <t>装备</t>
        </is>
      </c>
      <c r="E92" s="17" t="inlineStr">
        <is>
          <t>器械</t>
        </is>
      </c>
      <c r="F92" s="17" t="inlineStr">
        <is>
          <t>紫色</t>
        </is>
      </c>
      <c r="G92" s="17" t="inlineStr">
        <is>
          <t>锻造闭环中断</t>
        </is>
      </c>
      <c r="H92" s="17" t="inlineStr">
        <is>
          <t>存在锻造配方，但所需“木牛流马图纸”无正常来源</t>
        </is>
      </c>
      <c r="I92" s="17" t="inlineStr">
        <is>
          <t>是</t>
        </is>
      </c>
      <c r="J92" s="17" t="inlineStr">
        <is>
          <t>有：机器人随机投放成品</t>
        </is>
      </c>
      <c r="K92" s="17" t="inlineStr">
        <is>
          <t>data/item_templates.yaml:L6302；data/forge_blueprints.yaml</t>
        </is>
      </c>
    </row>
    <row r="93">
      <c r="A93" s="16" t="n">
        <v>92</v>
      </c>
      <c r="B93" s="17" t="inlineStr">
        <is>
          <t>equip_jiguanxiong</t>
        </is>
      </c>
      <c r="C93" s="17" t="inlineStr">
        <is>
          <t>机关熊</t>
        </is>
      </c>
      <c r="D93" s="17" t="inlineStr">
        <is>
          <t>装备</t>
        </is>
      </c>
      <c r="E93" s="17" t="inlineStr">
        <is>
          <t>器械</t>
        </is>
      </c>
      <c r="F93" s="17" t="inlineStr">
        <is>
          <t>紫色</t>
        </is>
      </c>
      <c r="G93" s="17" t="inlineStr">
        <is>
          <t>锻造闭环中断</t>
        </is>
      </c>
      <c r="H93" s="17" t="inlineStr">
        <is>
          <t>存在锻造配方，但所需“机关熊图纸”无正常来源</t>
        </is>
      </c>
      <c r="I93" s="17" t="inlineStr">
        <is>
          <t>是</t>
        </is>
      </c>
      <c r="J93" s="17" t="inlineStr">
        <is>
          <t>有：机器人随机投放成品</t>
        </is>
      </c>
      <c r="K93" s="17" t="inlineStr">
        <is>
          <t>data/item_templates.yaml:L6287；data/forge_blueprints.yaml</t>
        </is>
      </c>
    </row>
    <row r="94">
      <c r="A94" s="16" t="n">
        <v>93</v>
      </c>
      <c r="B94" s="17" t="inlineStr">
        <is>
          <t>equip_xuanwujigui</t>
        </is>
      </c>
      <c r="C94" s="17" t="inlineStr">
        <is>
          <t>玄武机龟</t>
        </is>
      </c>
      <c r="D94" s="17" t="inlineStr">
        <is>
          <t>装备</t>
        </is>
      </c>
      <c r="E94" s="17" t="inlineStr">
        <is>
          <t>器械</t>
        </is>
      </c>
      <c r="F94" s="17" t="inlineStr">
        <is>
          <t>紫色</t>
        </is>
      </c>
      <c r="G94" s="17" t="inlineStr">
        <is>
          <t>锻造闭环中断</t>
        </is>
      </c>
      <c r="H94" s="17" t="inlineStr">
        <is>
          <t>存在锻造配方，但所需“玄武机龟图纸”无正常来源</t>
        </is>
      </c>
      <c r="I94" s="17" t="inlineStr">
        <is>
          <t>是</t>
        </is>
      </c>
      <c r="J94" s="17" t="inlineStr">
        <is>
          <t>有：机器人随机投放成品</t>
        </is>
      </c>
      <c r="K94" s="17" t="inlineStr">
        <is>
          <t>data/item_templates.yaml:L6332；data/forge_blueprints.yaml</t>
        </is>
      </c>
    </row>
    <row r="95">
      <c r="A95" s="16" t="n">
        <v>94</v>
      </c>
      <c r="B95" s="17" t="inlineStr">
        <is>
          <t>equip_taotieding</t>
        </is>
      </c>
      <c r="C95" s="17" t="inlineStr">
        <is>
          <t>饕餮鼎</t>
        </is>
      </c>
      <c r="D95" s="17" t="inlineStr">
        <is>
          <t>装备</t>
        </is>
      </c>
      <c r="E95" s="17" t="inlineStr">
        <is>
          <t>器械</t>
        </is>
      </c>
      <c r="F95" s="17" t="inlineStr">
        <is>
          <t>紫色</t>
        </is>
      </c>
      <c r="G95" s="17" t="inlineStr">
        <is>
          <t>锻造闭环中断</t>
        </is>
      </c>
      <c r="H95" s="17" t="inlineStr">
        <is>
          <t>存在锻造配方，但所需“饕餮鼎图纸”无正常来源</t>
        </is>
      </c>
      <c r="I95" s="17" t="inlineStr">
        <is>
          <t>否</t>
        </is>
      </c>
      <c r="J95" s="17" t="inlineStr">
        <is>
          <t>有：机器人投放图纸后锻造</t>
        </is>
      </c>
      <c r="K95" s="17" t="inlineStr">
        <is>
          <t>data/item_templates.yaml:L5954；data/forge_blueprints.yaml</t>
        </is>
      </c>
    </row>
  </sheetData>
  <conditionalFormatting sqref="J2:J95">
    <cfRule type="expression" priority="1" dxfId="0">
      <formula>$J2="无"</formula>
    </cfRule>
  </conditionalFormatting>
  <conditionalFormatting sqref="G2:G95">
    <cfRule type="expression" priority="2" dxfId="1">
      <formula>$G2="锻造闭环中断"</formula>
    </cfRule>
    <cfRule type="expression" priority="3" dxfId="2">
      <formula>$G2="图纸无来源"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zoomScale="90" zoomScaleNormal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13" customWidth="1" min="4" max="4"/>
    <col width="18" customWidth="1" min="5" max="5"/>
    <col width="36" customWidth="1" min="6" max="6"/>
    <col width="24" customWidth="1" min="7" max="7"/>
    <col width="28" customWidth="1" min="8" max="8"/>
    <col width="40" customWidth="1" min="9" max="9"/>
  </cols>
  <sheetData>
    <row r="1" ht="32" customHeight="1">
      <c r="A1" s="15" t="inlineStr">
        <is>
          <t>序号</t>
        </is>
      </c>
      <c r="B1" s="15" t="inlineStr">
        <is>
          <t>物品Key</t>
        </is>
      </c>
      <c r="C1" s="15" t="inlineStr">
        <is>
          <t>名称</t>
        </is>
      </c>
      <c r="D1" s="15" t="inlineStr">
        <is>
          <t>大类</t>
        </is>
      </c>
      <c r="E1" s="15" t="inlineStr">
        <is>
          <t>修复类型</t>
        </is>
      </c>
      <c r="F1" s="15" t="inlineStr">
        <is>
          <t>当前获取路线</t>
        </is>
      </c>
      <c r="G1" s="15" t="inlineStr">
        <is>
          <t>同步前状态</t>
        </is>
      </c>
      <c r="H1" s="15" t="inlineStr">
        <is>
          <t>同步后状态</t>
        </is>
      </c>
      <c r="I1" s="15" t="inlineStr">
        <is>
          <t>配置依据</t>
        </is>
      </c>
    </row>
    <row r="2">
      <c r="A2" s="16" t="n">
        <v>1</v>
      </c>
      <c r="B2" s="17" t="inlineStr">
        <is>
          <t>wu_gang_summon_scroll</t>
        </is>
      </c>
      <c r="C2" s="17" t="inlineStr">
        <is>
          <t>吴刚召唤卷轴</t>
        </is>
      </c>
      <c r="D2" s="17" t="inlineStr">
        <is>
          <t>功能道具</t>
        </is>
      </c>
      <c r="E2" s="17" t="inlineStr">
        <is>
          <t>任务掉落恢复</t>
        </is>
      </c>
      <c r="F2" s="17" t="inlineStr">
        <is>
          <t>广寒宫试炼</t>
        </is>
      </c>
      <c r="G2" s="17" t="inlineStr">
        <is>
          <t>同步前无完整获取闭环</t>
        </is>
      </c>
      <c r="H2" s="17" t="inlineStr">
        <is>
          <t>当前数据库已有正常获取闭环</t>
        </is>
      </c>
      <c r="I2" s="17" t="inlineStr">
        <is>
          <t>data/item_templates.yaml:L1126</t>
        </is>
      </c>
    </row>
    <row r="3">
      <c r="A3" s="16" t="n">
        <v>2</v>
      </c>
      <c r="B3" s="17" t="inlineStr">
        <is>
          <t>chang_e_summon_scroll</t>
        </is>
      </c>
      <c r="C3" s="17" t="inlineStr">
        <is>
          <t>嫦娥召唤卷轴</t>
        </is>
      </c>
      <c r="D3" s="17" t="inlineStr">
        <is>
          <t>功能道具</t>
        </is>
      </c>
      <c r="E3" s="17" t="inlineStr">
        <is>
          <t>任务掉落恢复</t>
        </is>
      </c>
      <c r="F3" s="17" t="inlineStr">
        <is>
          <t>广寒宫试炼</t>
        </is>
      </c>
      <c r="G3" s="17" t="inlineStr">
        <is>
          <t>同步前无完整获取闭环</t>
        </is>
      </c>
      <c r="H3" s="17" t="inlineStr">
        <is>
          <t>当前数据库已有正常获取闭环</t>
        </is>
      </c>
      <c r="I3" s="17" t="inlineStr">
        <is>
          <t>data/item_templates.yaml:L1146</t>
        </is>
      </c>
    </row>
    <row r="4">
      <c r="A4" s="16" t="n">
        <v>3</v>
      </c>
      <c r="B4" s="17" t="inlineStr">
        <is>
          <t>mid_autumn_mooncake</t>
        </is>
      </c>
      <c r="C4" s="17" t="inlineStr">
        <is>
          <t>月饼</t>
        </is>
      </c>
      <c r="D4" s="17" t="inlineStr">
        <is>
          <t>功能道具</t>
        </is>
      </c>
      <c r="E4" s="17" t="inlineStr">
        <is>
          <t>任务掉落恢复</t>
        </is>
      </c>
      <c r="F4" s="17" t="inlineStr">
        <is>
          <t>广寒宫试炼</t>
        </is>
      </c>
      <c r="G4" s="17" t="inlineStr">
        <is>
          <t>同步前无完整获取闭环</t>
        </is>
      </c>
      <c r="H4" s="17" t="inlineStr">
        <is>
          <t>当前数据库已有正常获取闭环</t>
        </is>
      </c>
      <c r="I4" s="17" t="inlineStr">
        <is>
          <t>data/item_templates.yaml:L973</t>
        </is>
      </c>
    </row>
    <row r="5">
      <c r="A5" s="16" t="n">
        <v>4</v>
      </c>
      <c r="B5" s="17" t="inlineStr">
        <is>
          <t>jade_rabbit_summon_scroll</t>
        </is>
      </c>
      <c r="C5" s="17" t="inlineStr">
        <is>
          <t>玉兔召唤卷轴</t>
        </is>
      </c>
      <c r="D5" s="17" t="inlineStr">
        <is>
          <t>功能道具</t>
        </is>
      </c>
      <c r="E5" s="17" t="inlineStr">
        <is>
          <t>任务掉落恢复</t>
        </is>
      </c>
      <c r="F5" s="17" t="inlineStr">
        <is>
          <t>广寒宫试炼</t>
        </is>
      </c>
      <c r="G5" s="17" t="inlineStr">
        <is>
          <t>同步前无完整获取闭环</t>
        </is>
      </c>
      <c r="H5" s="17" t="inlineStr">
        <is>
          <t>当前数据库已有正常获取闭环</t>
        </is>
      </c>
      <c r="I5" s="17" t="inlineStr">
        <is>
          <t>data/item_templates.yaml:L1106</t>
        </is>
      </c>
    </row>
    <row r="6">
      <c r="A6" s="16" t="n">
        <v>5</v>
      </c>
      <c r="B6" s="17" t="inlineStr">
        <is>
          <t>blueprint_kuileimuren</t>
        </is>
      </c>
      <c r="C6" s="17" t="inlineStr">
        <is>
          <t>傀儡木人图纸</t>
        </is>
      </c>
      <c r="D6" s="17" t="inlineStr">
        <is>
          <t>图纸</t>
        </is>
      </c>
      <c r="E6" s="17" t="inlineStr">
        <is>
          <t>图纸掉落恢复</t>
        </is>
      </c>
      <c r="F6" s="17" t="inlineStr">
        <is>
          <t>机关雏鸟</t>
        </is>
      </c>
      <c r="G6" s="17" t="inlineStr">
        <is>
          <t>同步前无完整获取闭环</t>
        </is>
      </c>
      <c r="H6" s="17" t="inlineStr">
        <is>
          <t>当前数据库已有正常获取闭环</t>
        </is>
      </c>
      <c r="I6" s="17" t="inlineStr">
        <is>
          <t>data/item_templates.yaml:L861</t>
        </is>
      </c>
    </row>
    <row r="7">
      <c r="A7" s="16" t="n">
        <v>6</v>
      </c>
      <c r="B7" s="17" t="inlineStr">
        <is>
          <t>blueprint_qingji</t>
        </is>
      </c>
      <c r="C7" s="17" t="inlineStr">
        <is>
          <t>庆忌图纸</t>
        </is>
      </c>
      <c r="D7" s="17" t="inlineStr">
        <is>
          <t>图纸</t>
        </is>
      </c>
      <c r="E7" s="17" t="inlineStr">
        <is>
          <t>图纸掉落恢复</t>
        </is>
      </c>
      <c r="F7" s="17" t="inlineStr">
        <is>
          <t>机关雏鸟</t>
        </is>
      </c>
      <c r="G7" s="17" t="inlineStr">
        <is>
          <t>同步前无完整获取闭环</t>
        </is>
      </c>
      <c r="H7" s="17" t="inlineStr">
        <is>
          <t>当前数据库已有正常获取闭环</t>
        </is>
      </c>
      <c r="I7" s="17" t="inlineStr">
        <is>
          <t>data/item_templates.yaml:L872</t>
        </is>
      </c>
    </row>
    <row r="8">
      <c r="A8" s="16" t="n">
        <v>7</v>
      </c>
      <c r="B8" s="17" t="inlineStr">
        <is>
          <t>blueprint_jiguanchuniao</t>
        </is>
      </c>
      <c r="C8" s="17" t="inlineStr">
        <is>
          <t>机关雏鸟图纸</t>
        </is>
      </c>
      <c r="D8" s="17" t="inlineStr">
        <is>
          <t>图纸</t>
        </is>
      </c>
      <c r="E8" s="17" t="inlineStr">
        <is>
          <t>图纸掉落恢复</t>
        </is>
      </c>
      <c r="F8" s="17" t="inlineStr">
        <is>
          <t>机关雏鸟</t>
        </is>
      </c>
      <c r="G8" s="17" t="inlineStr">
        <is>
          <t>同步前无完整获取闭环</t>
        </is>
      </c>
      <c r="H8" s="17" t="inlineStr">
        <is>
          <t>当前数据库已有正常获取闭环</t>
        </is>
      </c>
      <c r="I8" s="17" t="inlineStr">
        <is>
          <t>data/item_templates.yaml:L850</t>
        </is>
      </c>
    </row>
    <row r="9">
      <c r="A9" s="16" t="n">
        <v>8</v>
      </c>
      <c r="B9" s="17" t="inlineStr">
        <is>
          <t>blueprint_jixiemao</t>
        </is>
      </c>
      <c r="C9" s="17" t="inlineStr">
        <is>
          <t>机械猫图纸</t>
        </is>
      </c>
      <c r="D9" s="17" t="inlineStr">
        <is>
          <t>图纸</t>
        </is>
      </c>
      <c r="E9" s="17" t="inlineStr">
        <is>
          <t>图纸掉落恢复</t>
        </is>
      </c>
      <c r="F9" s="17" t="inlineStr">
        <is>
          <t>机关雏鸟</t>
        </is>
      </c>
      <c r="G9" s="17" t="inlineStr">
        <is>
          <t>同步前无完整获取闭环</t>
        </is>
      </c>
      <c r="H9" s="17" t="inlineStr">
        <is>
          <t>当前数据库已有正常获取闭环</t>
        </is>
      </c>
      <c r="I9" s="17" t="inlineStr">
        <is>
          <t>data/item_templates.yaml:L839</t>
        </is>
      </c>
    </row>
    <row r="10">
      <c r="A10" s="16" t="n">
        <v>9</v>
      </c>
      <c r="B10" s="17" t="inlineStr">
        <is>
          <t>blueprint_qinglongdao</t>
        </is>
      </c>
      <c r="C10" s="17" t="inlineStr">
        <is>
          <t>青龙刀图纸</t>
        </is>
      </c>
      <c r="D10" s="17" t="inlineStr">
        <is>
          <t>图纸</t>
        </is>
      </c>
      <c r="E10" s="17" t="inlineStr">
        <is>
          <t>图纸掉落恢复</t>
        </is>
      </c>
      <c r="F10" s="17" t="inlineStr">
        <is>
          <t>封榜天门／逐鹿中原</t>
        </is>
      </c>
      <c r="G10" s="17" t="inlineStr">
        <is>
          <t>同步前无完整获取闭环</t>
        </is>
      </c>
      <c r="H10" s="17" t="inlineStr">
        <is>
          <t>当前数据库已有正常获取闭环</t>
        </is>
      </c>
      <c r="I10" s="17" t="inlineStr">
        <is>
          <t>data/item_templates.yaml:L652</t>
        </is>
      </c>
    </row>
    <row r="11">
      <c r="A11" s="16" t="n">
        <v>10</v>
      </c>
      <c r="B11" s="17" t="inlineStr">
        <is>
          <t>blueprint_qinglongxue</t>
        </is>
      </c>
      <c r="C11" s="17" t="inlineStr">
        <is>
          <t>青龙靴图纸</t>
        </is>
      </c>
      <c r="D11" s="17" t="inlineStr">
        <is>
          <t>图纸</t>
        </is>
      </c>
      <c r="E11" s="17" t="inlineStr">
        <is>
          <t>图纸掉落恢复</t>
        </is>
      </c>
      <c r="F11" s="17" t="inlineStr">
        <is>
          <t>封榜天门／逐鹿中原</t>
        </is>
      </c>
      <c r="G11" s="17" t="inlineStr">
        <is>
          <t>同步前无完整获取闭环</t>
        </is>
      </c>
      <c r="H11" s="17" t="inlineStr">
        <is>
          <t>当前数据库已有正常获取闭环</t>
        </is>
      </c>
      <c r="I11" s="17" t="inlineStr">
        <is>
          <t>data/item_templates.yaml:L641</t>
        </is>
      </c>
    </row>
    <row r="12">
      <c r="A12" s="16" t="n">
        <v>11</v>
      </c>
      <c r="B12" s="17" t="inlineStr">
        <is>
          <t>blueprint_qilindao</t>
        </is>
      </c>
      <c r="C12" s="17" t="inlineStr">
        <is>
          <t>麒麟刀图纸</t>
        </is>
      </c>
      <c r="D12" s="17" t="inlineStr">
        <is>
          <t>图纸</t>
        </is>
      </c>
      <c r="E12" s="17" t="inlineStr">
        <is>
          <t>图纸掉落恢复</t>
        </is>
      </c>
      <c r="F12" s="17" t="inlineStr">
        <is>
          <t>封榜天门／逐鹿中原</t>
        </is>
      </c>
      <c r="G12" s="17" t="inlineStr">
        <is>
          <t>同步前无完整获取闭环</t>
        </is>
      </c>
      <c r="H12" s="17" t="inlineStr">
        <is>
          <t>当前数据库已有正常获取闭环</t>
        </is>
      </c>
      <c r="I12" s="17" t="inlineStr">
        <is>
          <t>data/item_templates.yaml:L729</t>
        </is>
      </c>
    </row>
    <row r="13">
      <c r="A13" s="16" t="n">
        <v>12</v>
      </c>
      <c r="B13" s="17" t="inlineStr">
        <is>
          <t>blueprint_qilinxue</t>
        </is>
      </c>
      <c r="C13" s="17" t="inlineStr">
        <is>
          <t>麒麟靴图纸</t>
        </is>
      </c>
      <c r="D13" s="17" t="inlineStr">
        <is>
          <t>图纸</t>
        </is>
      </c>
      <c r="E13" s="17" t="inlineStr">
        <is>
          <t>图纸掉落恢复</t>
        </is>
      </c>
      <c r="F13" s="17" t="inlineStr">
        <is>
          <t>封榜天门／逐鹿中原</t>
        </is>
      </c>
      <c r="G13" s="17" t="inlineStr">
        <is>
          <t>同步前无完整获取闭环</t>
        </is>
      </c>
      <c r="H13" s="17" t="inlineStr">
        <is>
          <t>当前数据库已有正常获取闭环</t>
        </is>
      </c>
      <c r="I13" s="17" t="inlineStr">
        <is>
          <t>data/item_templates.yaml:L718</t>
        </is>
      </c>
    </row>
    <row r="14">
      <c r="A14" s="16" t="n">
        <v>13</v>
      </c>
      <c r="B14" s="17" t="inlineStr">
        <is>
          <t>equip_kuileimuren</t>
        </is>
      </c>
      <c r="C14" s="17" t="inlineStr">
        <is>
          <t>傀儡木人</t>
        </is>
      </c>
      <c r="D14" s="17" t="inlineStr">
        <is>
          <t>装备</t>
        </is>
      </c>
      <c r="E14" s="17" t="inlineStr">
        <is>
          <t>锻造闭环恢复</t>
        </is>
      </c>
      <c r="F14" s="17" t="inlineStr">
        <is>
          <t>傀儡木人图纸 + 铁匠铺合成</t>
        </is>
      </c>
      <c r="G14" s="17" t="inlineStr">
        <is>
          <t>同步前无完整获取闭环</t>
        </is>
      </c>
      <c r="H14" s="17" t="inlineStr">
        <is>
          <t>当前数据库已有正常获取闭环</t>
        </is>
      </c>
      <c r="I14" s="17" t="inlineStr">
        <is>
          <t>data/item_templates.yaml:L6183</t>
        </is>
      </c>
    </row>
    <row r="15">
      <c r="A15" s="16" t="n">
        <v>14</v>
      </c>
      <c r="B15" s="17" t="inlineStr">
        <is>
          <t>equip_qingji</t>
        </is>
      </c>
      <c r="C15" s="17" t="inlineStr">
        <is>
          <t>庆忌</t>
        </is>
      </c>
      <c r="D15" s="17" t="inlineStr">
        <is>
          <t>装备</t>
        </is>
      </c>
      <c r="E15" s="17" t="inlineStr">
        <is>
          <t>锻造闭环恢复</t>
        </is>
      </c>
      <c r="F15" s="17" t="inlineStr">
        <is>
          <t>庆忌图纸 + 铁匠铺合成</t>
        </is>
      </c>
      <c r="G15" s="17" t="inlineStr">
        <is>
          <t>同步前无完整获取闭环</t>
        </is>
      </c>
      <c r="H15" s="17" t="inlineStr">
        <is>
          <t>当前数据库已有正常获取闭环</t>
        </is>
      </c>
      <c r="I15" s="17" t="inlineStr">
        <is>
          <t>data/item_templates.yaml:L6198</t>
        </is>
      </c>
    </row>
    <row r="16">
      <c r="A16" s="16" t="n">
        <v>15</v>
      </c>
      <c r="B16" s="17" t="inlineStr">
        <is>
          <t>equip_qinglongxue</t>
        </is>
      </c>
      <c r="C16" s="17" t="inlineStr">
        <is>
          <t>青龙靴</t>
        </is>
      </c>
      <c r="D16" s="17" t="inlineStr">
        <is>
          <t>装备</t>
        </is>
      </c>
      <c r="E16" s="17" t="inlineStr">
        <is>
          <t>锻造闭环恢复</t>
        </is>
      </c>
      <c r="F16" s="17" t="inlineStr">
        <is>
          <t>青龙靴图纸 + 铁匠铺合成</t>
        </is>
      </c>
      <c r="G16" s="17" t="inlineStr">
        <is>
          <t>同步前无完整获取闭环</t>
        </is>
      </c>
      <c r="H16" s="17" t="inlineStr">
        <is>
          <t>当前数据库已有正常获取闭环</t>
        </is>
      </c>
      <c r="I16" s="17" t="inlineStr">
        <is>
          <t>data/item_templates.yaml:L4011</t>
        </is>
      </c>
    </row>
  </sheetData>
  <conditionalFormatting sqref="H2:H16">
    <cfRule type="expression" priority="1" dxfId="3">
      <formula>ISNUMBER(SEARCH("已有正常获取闭环",$H2))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90" zoomScaleNormal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0" customWidth="1" min="4" max="4"/>
    <col width="18" customWidth="1" min="5" max="5"/>
    <col width="38" customWidth="1" min="6" max="6"/>
    <col width="24" customWidth="1" min="7" max="7"/>
    <col width="36" customWidth="1" min="8" max="8"/>
  </cols>
  <sheetData>
    <row r="1" ht="32" customHeight="1">
      <c r="A1" s="15" t="inlineStr">
        <is>
          <t>序号</t>
        </is>
      </c>
      <c r="B1" s="15" t="inlineStr">
        <is>
          <t>任务Key</t>
        </is>
      </c>
      <c r="C1" s="15" t="inlineStr">
        <is>
          <t>任务名称</t>
        </is>
      </c>
      <c r="D1" s="15" t="inlineStr">
        <is>
          <t>操作</t>
        </is>
      </c>
      <c r="E1" s="15" t="inlineStr">
        <is>
          <t>变更字段</t>
        </is>
      </c>
      <c r="F1" s="15" t="inlineStr">
        <is>
          <t>影响</t>
        </is>
      </c>
      <c r="G1" s="15" t="inlineStr">
        <is>
          <t>验证结果</t>
        </is>
      </c>
      <c r="H1" s="15" t="inlineStr">
        <is>
          <t>配置来源</t>
        </is>
      </c>
    </row>
    <row r="2">
      <c r="A2" s="16" t="n">
        <v>1</v>
      </c>
      <c r="B2" s="17" t="inlineStr">
        <is>
          <t>mid_autumn_moon_palace_trial</t>
        </is>
      </c>
      <c r="C2" s="17" t="inlineStr">
        <is>
          <t>广寒宫试炼</t>
        </is>
      </c>
      <c r="D2" s="17" t="inlineStr">
        <is>
          <t>新增</t>
        </is>
      </c>
      <c r="E2" s="17" t="inlineStr">
        <is>
          <t>完整任务模板</t>
        </is>
      </c>
      <c r="F2" s="17" t="inlineStr">
        <is>
          <t>补齐月饼与三种月宫卷轴来源</t>
        </is>
      </c>
      <c r="G2" s="17" t="inlineStr">
        <is>
          <t>数据库与 YAML 一致</t>
        </is>
      </c>
      <c r="H2" s="17" t="inlineStr">
        <is>
          <t>data/mission_templates.yaml</t>
        </is>
      </c>
    </row>
    <row r="3">
      <c r="A3" s="16" t="n">
        <v>2</v>
      </c>
      <c r="B3" s="17" t="inlineStr">
        <is>
          <t>jiguan_chuniao</t>
        </is>
      </c>
      <c r="C3" s="17" t="inlineStr">
        <is>
          <t>机关雏鸟</t>
        </is>
      </c>
      <c r="D3" s="17" t="inlineStr">
        <is>
          <t>更新</t>
        </is>
      </c>
      <c r="E3" s="17" t="inlineStr">
        <is>
          <t>drop_table</t>
        </is>
      </c>
      <c r="F3" s="17" t="inlineStr">
        <is>
          <t>补齐四张机关图纸来源</t>
        </is>
      </c>
      <c r="G3" s="17" t="inlineStr">
        <is>
          <t>数据库与 YAML 一致</t>
        </is>
      </c>
      <c r="H3" s="17" t="inlineStr">
        <is>
          <t>data/mission_templates.yaml</t>
        </is>
      </c>
    </row>
    <row r="4">
      <c r="A4" s="16" t="n">
        <v>3</v>
      </c>
      <c r="B4" s="17" t="inlineStr">
        <is>
          <t>biyou_candeng</t>
        </is>
      </c>
      <c r="C4" s="17" t="inlineStr">
        <is>
          <t>封神之战：碧游残灯</t>
        </is>
      </c>
      <c r="D4" s="17" t="inlineStr">
        <is>
          <t>更新</t>
        </is>
      </c>
      <c r="E4" s="17" t="inlineStr">
        <is>
          <t>drop_table</t>
        </is>
      </c>
      <c r="F4" s="17" t="inlineStr">
        <is>
          <t>同步蓝色与紫色图纸池</t>
        </is>
      </c>
      <c r="G4" s="17" t="inlineStr">
        <is>
          <t>数据库与 YAML 一致</t>
        </is>
      </c>
      <c r="H4" s="17" t="inlineStr">
        <is>
          <t>data/mission_templates.yaml</t>
        </is>
      </c>
    </row>
    <row r="5">
      <c r="A5" s="16" t="n">
        <v>4</v>
      </c>
      <c r="B5" s="17" t="inlineStr">
        <is>
          <t>fengbang_tianmen</t>
        </is>
      </c>
      <c r="C5" s="17" t="inlineStr">
        <is>
          <t>封神之战：封榜天门</t>
        </is>
      </c>
      <c r="D5" s="17" t="inlineStr">
        <is>
          <t>更新</t>
        </is>
      </c>
      <c r="E5" s="17" t="inlineStr">
        <is>
          <t>drop_table</t>
        </is>
      </c>
      <c r="F5" s="17" t="inlineStr">
        <is>
          <t>同步高阶蓝／紫／橙图纸池</t>
        </is>
      </c>
      <c r="G5" s="17" t="inlineStr">
        <is>
          <t>数据库与 YAML 一致</t>
        </is>
      </c>
      <c r="H5" s="17" t="inlineStr">
        <is>
          <t>data/mission_templates.yaml</t>
        </is>
      </c>
    </row>
    <row r="6">
      <c r="A6" s="16" t="n">
        <v>5</v>
      </c>
      <c r="B6" s="17" t="inlineStr">
        <is>
          <t>zhuolu_zhongyuan</t>
        </is>
      </c>
      <c r="C6" s="17" t="inlineStr">
        <is>
          <t>逐鹿中原</t>
        </is>
      </c>
      <c r="D6" s="17" t="inlineStr">
        <is>
          <t>更新</t>
        </is>
      </c>
      <c r="E6" s="17" t="inlineStr">
        <is>
          <t>drop_table</t>
        </is>
      </c>
      <c r="F6" s="17" t="inlineStr">
        <is>
          <t>同步高阶蓝／紫／橙图纸池</t>
        </is>
      </c>
      <c r="G6" s="17" t="inlineStr">
        <is>
          <t>数据库与 YAML 一致</t>
        </is>
      </c>
      <c r="H6" s="17" t="inlineStr">
        <is>
          <t>data/mission_templates.yaml</t>
        </is>
      </c>
    </row>
  </sheetData>
  <conditionalFormatting sqref="G2:G6">
    <cfRule type="expression" priority="1" dxfId="3">
      <formula>ISNUMBER(SEARCH("一致",$G2))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zoomScale="90" zoomScaleNormal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5" customWidth="1" min="2" max="2"/>
  </cols>
  <sheetData>
    <row r="1" ht="30" customHeight="1">
      <c r="A1" s="6" t="inlineStr">
        <is>
          <t>项目</t>
        </is>
      </c>
      <c r="B1" s="6" t="inlineStr">
        <is>
          <t>说明</t>
        </is>
      </c>
    </row>
    <row r="2" ht="38" customHeight="1">
      <c r="A2" s="18" t="inlineStr">
        <is>
          <t>统计对象</t>
        </is>
      </c>
      <c r="B2" s="17" t="inlineStr">
        <is>
          <t>data/item_templates.yaml 中 414 个固定 ItemTemplate.key；动态 soulorn_* 模板不计入。</t>
        </is>
      </c>
    </row>
    <row r="3" ht="38" customHeight="1">
      <c r="A3" s="18" t="inlineStr">
        <is>
          <t>正常获取方式</t>
        </is>
      </c>
      <c r="B3" s="17" t="inlineStr">
        <is>
          <t>商铺、系统拍卖、任务、竞技场、帮会奖励/生产、庄园生产、锻造、分解、宝箱、战斗回收、初始化赠送等能够从零新增物品的稳定玩法。</t>
        </is>
      </c>
    </row>
    <row r="4" ht="38" customHeight="1">
      <c r="A4" s="18" t="inlineStr">
        <is>
          <t>不计入正常来源</t>
        </is>
      </c>
      <c r="B4" s="17" t="inlineStr">
        <is>
          <t>管理员手工发放、直接改库、动态邮件、玩家交易行和普通玩家间掠夺；这些方式只重新分配已有资产。</t>
        </is>
      </c>
    </row>
    <row r="5" ht="38" customHeight="1">
      <c r="A5" s="18" t="inlineStr">
        <is>
          <t>锻造闭环</t>
        </is>
      </c>
      <c r="B5" s="17" t="inlineStr">
        <is>
          <t>成品存在配方但图纸无来源时，成品仍记为缺口；材料来源也纳入闭环传播计算。</t>
        </is>
      </c>
    </row>
    <row r="6" ht="38" customHeight="1">
      <c r="A6" s="18" t="inlineStr">
        <is>
          <t>机器人例外</t>
        </is>
      </c>
      <c r="B6" s="17" t="inlineStr">
        <is>
          <t>virtual_players.yaml 配置 __all_tradeable__，机器人理论上可随机投放可交易模板，再由真人踢馆掠夺。该随机隐式机制不计入正常稳定来源。</t>
        </is>
      </c>
    </row>
    <row r="7" ht="38" customHeight="1">
      <c r="A7" s="18" t="inlineStr">
        <is>
          <t>唯一硬缺口</t>
        </is>
      </c>
      <c r="B7" s="17" t="inlineStr">
        <is>
          <t>若计入机器人隐式投放，94 个缺口中只有 equip_zhuyuye（茱萸叶）仍绝对不可获得。</t>
        </is>
      </c>
    </row>
    <row r="8" ht="38" customHeight="1">
      <c r="A8" s="18" t="inlineStr">
        <is>
          <t>数据库漂移</t>
        </is>
      </c>
      <c r="B8" s="17" t="inlineStr">
        <is>
          <t>数据库 ItemTemplate 为 415 行，YAML 为 414 项；额外历史残留 equip_xiaoweitoukie 未计入，也未在本次操作中删除。</t>
        </is>
      </c>
    </row>
    <row r="9" ht="38" customHeight="1">
      <c r="A9" s="18" t="inlineStr">
        <is>
          <t>同步验证</t>
        </is>
      </c>
      <c r="B9" s="17" t="inlineStr">
        <is>
          <t>MissionTemplate 数据库 27 条，与 mission_templates.yaml 27 条逐字段一致；create=0、update=0、extra=0。</t>
        </is>
      </c>
    </row>
    <row r="10" ht="38" customHeight="1">
      <c r="A10" s="18" t="inlineStr">
        <is>
          <t>配置校验</t>
        </is>
      </c>
      <c r="B10" s="17" t="inlineStr">
        <is>
          <t>python manage.py validate_yaml_configs --dry-run：27 个受支持 YAML 全部通过。</t>
        </is>
      </c>
    </row>
    <row r="11" ht="38" customHeight="1">
      <c r="A11" s="18" t="inlineStr">
        <is>
          <t>主要依据</t>
        </is>
      </c>
      <c r="B11" s="17" t="inlineStr">
        <is>
          <t>data/item_templates.yaml；data/mission_templates.yaml；data/forge_blueprints.yaml；data/shop_items.yaml；data/auction_items.yaml；data/virtual_players.yaml。</t>
        </is>
      </c>
    </row>
    <row r="12" ht="38" customHeight="1">
      <c r="A12" s="18" t="inlineStr">
        <is>
          <t>生成时间</t>
        </is>
      </c>
      <c r="B12" s="17" t="inlineStr">
        <is>
          <t>2026-07-25 22:21:52 CST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道具装备获取缺口审计</dc:title>
  <dc:description xmlns:dc="http://purl.org/dc/elements/1.1/">基于当前数据库与 YAML 配置生成，统计稳定玩家玩法中的道具装备获取缺口。</dc:description>
  <dc:subject xmlns:dc="http://purl.org/dc/elements/1.1/">数据库任务模板同步后的物品获取闭环审计</dc:subject>
  <dcterms:created xmlns:dcterms="http://purl.org/dc/terms/" xmlns:xsi="http://www.w3.org/2001/XMLSchema-instance" xsi:type="dcterms:W3CDTF">2026-07-25T14:21:52Z</dcterms:created>
  <dcterms:modified xmlns:dcterms="http://purl.org/dc/terms/" xmlns:xsi="http://www.w3.org/2001/XMLSchema-instance" xsi:type="dcterms:W3CDTF">2026-07-25T14:21:52Z</dcterms:modified>
</cp:coreProperties>
</file>