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备总表" sheetId="1" state="visible" r:id="rId1"/>
    <sheet xmlns:r="http://schemas.openxmlformats.org/officeDocument/2006/relationships" name="强度系数说明" sheetId="2" state="visible" r:id="rId2"/>
    <sheet xmlns:r="http://schemas.openxmlformats.org/officeDocument/2006/relationships" name="部位稀有度汇总" sheetId="3" state="visible" r:id="rId3"/>
    <sheet xmlns:r="http://schemas.openxmlformats.org/officeDocument/2006/relationships" name="套装效果" sheetId="4" state="visible" r:id="rId4"/>
    <sheet xmlns:r="http://schemas.openxmlformats.org/officeDocument/2006/relationships" name="核对摘要" sheetId="5" state="visible" r:id="rId5"/>
  </sheets>
  <definedNames>
    <definedName name="_xlnm._FilterDatabase" localSheetId="0" hidden="1">'装备总表'!$A$1:$AF$263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x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1F1F"/>
      <sz val="10"/>
    </font>
    <font>
      <name val="Arial"/>
      <color rgb="00000000"/>
      <sz val="10"/>
    </font>
    <font>
      <name val="Arial"/>
      <b val="1"/>
      <color rgb="001F4E78"/>
      <sz val="16"/>
    </font>
    <font>
      <name val="Arial"/>
      <b val="1"/>
      <color rgb="001F4E78"/>
      <sz val="10"/>
    </font>
    <font>
      <name val="Arial"/>
      <color rgb="00666666"/>
      <sz val="9"/>
    </font>
    <font>
      <name val="Arial"/>
      <b val="1"/>
      <color rgb="001F4E78"/>
      <sz val="11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EF5FB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medium">
        <color rgb="001F4E78"/>
      </top>
      <bottom style="medium">
        <color rgb="001F4E78"/>
      </bottom>
    </border>
    <border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/>
    </xf>
    <xf numFmtId="0" fontId="2" fillId="0" borderId="2" applyAlignment="1" pivotButton="0" quotePrefix="0" xfId="0">
      <alignment vertical="top" wrapText="1"/>
    </xf>
    <xf numFmtId="1" fontId="2" fillId="0" borderId="2" applyAlignment="1" pivotButton="0" quotePrefix="0" xfId="0">
      <alignment vertical="top"/>
    </xf>
    <xf numFmtId="2" fontId="3" fillId="0" borderId="2" applyAlignment="1" pivotButton="0" quotePrefix="0" xfId="0">
      <alignment vertical="top"/>
    </xf>
    <xf numFmtId="2" fontId="3" fillId="3" borderId="2" applyAlignment="1" pivotButton="0" quotePrefix="0" xfId="0">
      <alignment vertical="top"/>
    </xf>
    <xf numFmtId="2" fontId="3" fillId="4" borderId="2" applyAlignment="1" pivotButton="0" quotePrefix="0" xfId="0">
      <alignment vertical="top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8" fillId="0" borderId="2" applyAlignment="1" pivotButton="0" quotePrefix="0" xfId="0">
      <alignment vertical="top" wrapText="1"/>
    </xf>
    <xf numFmtId="0" fontId="0" fillId="3" borderId="2" pivotButton="0" quotePrefix="0" xfId="0"/>
    <xf numFmtId="165" fontId="8" fillId="3" borderId="2" pivotButton="0" quotePrefix="0" xfId="0"/>
    <xf numFmtId="0" fontId="7" fillId="0" borderId="0" pivotButton="0" quotePrefix="0" xfId="0"/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2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W1" authorId="0" shapeId="0">
      <text>
        <t>固定装备强度评分：生命/54 + 防御 + 武力 + 智力 + 敏捷 + 运势×1.2 + 带兵上限/2。口径来自 tests/test_item_template_equipment_balance.py::_equipment_score。</t>
      </text>
    </comment>
    <comment ref="X1" authorId="0" shapeId="0">
      <text>
        <t>动态候选 Power 的静态输入：当前装备模板 attack_bonus、defense_bonus 默认均为 0，因此等于各项直接属性的非负和；动态候选权重还会叠加成长阶段、角色适配、门客属性。</t>
      </text>
    </comment>
    <comment ref="AD1" authorId="0" shapeId="0">
      <text>
        <t>原始套装阈值与加成定义；具体拆分见“套装效果”工作表。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B15" authorId="0" shapeId="0">
      <text>
        <t>来源：tests/test_item_template_equipment_balance.py:MIN_RARITY_SCORE_RATIO = 1.10</t>
      </text>
    </comment>
  </commentList>
</comments>
</file>

<file path=xl/tables/table1.xml><?xml version="1.0" encoding="utf-8"?>
<table xmlns="http://schemas.openxmlformats.org/spreadsheetml/2006/main" id="1" name="EquipmentTable" displayName="EquipmentTable" ref="A1:AF263" headerRowCount="1">
  <autoFilter ref="A1:AF263"/>
  <tableColumns count="32">
    <tableColumn id="1" name="序号"/>
    <tableColumn id="2" name="装备key"/>
    <tableColumn id="3" name="装备名称"/>
    <tableColumn id="4" name="部位代码"/>
    <tableColumn id="5" name="部位"/>
    <tableColumn id="6" name="effect_type"/>
    <tableColumn id="7" name="稀有度代码"/>
    <tableColumn id="8" name="稀有度"/>
    <tableColumn id="9" name="套装key"/>
    <tableColumn id="10" name="套装描述"/>
    <tableColumn id="11" name="装备描述"/>
    <tableColumn id="12" name="价格"/>
    <tableColumn id="13" name="占用空间"/>
    <tableColumn id="14" name="可交易"/>
    <tableColumn id="15" name="生命"/>
    <tableColumn id="16" name="防御"/>
    <tableColumn id="17" name="武力"/>
    <tableColumn id="18" name="智力"/>
    <tableColumn id="19" name="敏捷"/>
    <tableColumn id="20" name="运势"/>
    <tableColumn id="21" name="带兵上限"/>
    <tableColumn id="22" name="属性总和"/>
    <tableColumn id="23" name="基础强度评分"/>
    <tableColumn id="24" name="动态候选Power"/>
    <tableColumn id="25" name="可锻造"/>
    <tableColumn id="26" name="锻造类别"/>
    <tableColumn id="27" name="所需锻造等级"/>
    <tableColumn id="28" name="锻造基准耗时(秒)"/>
    <tableColumn id="29" name="锻造材料(JSON)"/>
    <tableColumn id="30" name="套装效果(JSON)"/>
    <tableColumn id="31" name="原始effect_payload(JSON)"/>
    <tableColumn id="32" name="数据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lotRaritySummary" displayName="SlotRaritySummary" ref="A4:K39" headerRowCount="1">
  <autoFilter ref="A4:K39"/>
  <tableColumns count="11">
    <tableColumn id="1" name="部位代码"/>
    <tableColumn id="2" name="部位"/>
    <tableColumn id="3" name="稀有度代码"/>
    <tableColumn id="4" name="稀有度"/>
    <tableColumn id="5" name="装备数量"/>
    <tableColumn id="6" name="平均基础强度"/>
    <tableColumn id="7" name="最低"/>
    <tableColumn id="8" name="最高"/>
    <tableColumn id="9" name="上一档平均"/>
    <tableColumn id="10" name="提升系数"/>
    <tableColumn id="11" name="阈值核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tBonusTable" displayName="SetBonusTable" ref="A4:N16" headerRowCount="1">
  <autoFilter ref="A4:N16"/>
  <tableColumns count="14">
    <tableColumn id="1" name="套装key"/>
    <tableColumn id="2" name="套装描述"/>
    <tableColumn id="3" name="需要件数"/>
    <tableColumn id="4" name="攻击"/>
    <tableColumn id="5" name="防御"/>
    <tableColumn id="6" name="生命"/>
    <tableColumn id="7" name="武力"/>
    <tableColumn id="8" name="智力"/>
    <tableColumn id="9" name="敏捷"/>
    <tableColumn id="10" name="运势"/>
    <tableColumn id="11" name="带兵上限"/>
    <tableColumn id="12" name="套装效果(JSON)"/>
    <tableColumn id="13" name="装备数量"/>
    <tableColumn id="14" name="涉及装备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AF26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8" customWidth="1" min="3" max="3"/>
    <col width="13" customWidth="1" min="4" max="4"/>
    <col width="10" customWidth="1" min="5" max="5"/>
    <col width="16" customWidth="1" min="6" max="6"/>
    <col width="12" customWidth="1" min="7" max="7"/>
    <col width="12" customWidth="1" min="8" max="8"/>
    <col width="24" customWidth="1" min="9" max="9"/>
    <col width="24" customWidth="1" min="10" max="10"/>
    <col width="42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2" customWidth="1" min="21" max="21"/>
    <col width="11" customWidth="1" min="22" max="22"/>
    <col width="13" customWidth="1" min="23" max="23"/>
    <col width="14" customWidth="1" min="24" max="24"/>
    <col width="10" customWidth="1" min="25" max="25"/>
    <col width="12" customWidth="1" min="26" max="26"/>
    <col width="13" customWidth="1" min="27" max="27"/>
    <col width="16" customWidth="1" min="28" max="28"/>
    <col width="42" customWidth="1" min="29" max="29"/>
    <col width="46" customWidth="1" min="30" max="30"/>
    <col width="58" customWidth="1" min="31" max="31"/>
    <col width="52" customWidth="1" min="32" max="32"/>
  </cols>
  <sheetData>
    <row r="1" ht="30" customHeight="1">
      <c r="A1" s="1" t="inlineStr">
        <is>
          <t>序号</t>
        </is>
      </c>
      <c r="B1" s="1" t="inlineStr">
        <is>
          <t>装备key</t>
        </is>
      </c>
      <c r="C1" s="1" t="inlineStr">
        <is>
          <t>装备名称</t>
        </is>
      </c>
      <c r="D1" s="1" t="inlineStr">
        <is>
          <t>部位代码</t>
        </is>
      </c>
      <c r="E1" s="1" t="inlineStr">
        <is>
          <t>部位</t>
        </is>
      </c>
      <c r="F1" s="1" t="inlineStr">
        <is>
          <t>effect_type</t>
        </is>
      </c>
      <c r="G1" s="1" t="inlineStr">
        <is>
          <t>稀有度代码</t>
        </is>
      </c>
      <c r="H1" s="1" t="inlineStr">
        <is>
          <t>稀有度</t>
        </is>
      </c>
      <c r="I1" s="1" t="inlineStr">
        <is>
          <t>套装key</t>
        </is>
      </c>
      <c r="J1" s="1" t="inlineStr">
        <is>
          <t>套装描述</t>
        </is>
      </c>
      <c r="K1" s="1" t="inlineStr">
        <is>
          <t>装备描述</t>
        </is>
      </c>
      <c r="L1" s="1" t="inlineStr">
        <is>
          <t>价格</t>
        </is>
      </c>
      <c r="M1" s="1" t="inlineStr">
        <is>
          <t>占用空间</t>
        </is>
      </c>
      <c r="N1" s="1" t="inlineStr">
        <is>
          <t>可交易</t>
        </is>
      </c>
      <c r="O1" s="1" t="inlineStr">
        <is>
          <t>生命</t>
        </is>
      </c>
      <c r="P1" s="1" t="inlineStr">
        <is>
          <t>防御</t>
        </is>
      </c>
      <c r="Q1" s="1" t="inlineStr">
        <is>
          <t>武力</t>
        </is>
      </c>
      <c r="R1" s="1" t="inlineStr">
        <is>
          <t>智力</t>
        </is>
      </c>
      <c r="S1" s="1" t="inlineStr">
        <is>
          <t>敏捷</t>
        </is>
      </c>
      <c r="T1" s="1" t="inlineStr">
        <is>
          <t>运势</t>
        </is>
      </c>
      <c r="U1" s="1" t="inlineStr">
        <is>
          <t>带兵上限</t>
        </is>
      </c>
      <c r="V1" s="1" t="inlineStr">
        <is>
          <t>属性总和</t>
        </is>
      </c>
      <c r="W1" s="1" t="inlineStr">
        <is>
          <t>基础强度评分</t>
        </is>
      </c>
      <c r="X1" s="1" t="inlineStr">
        <is>
          <t>动态候选Power</t>
        </is>
      </c>
      <c r="Y1" s="1" t="inlineStr">
        <is>
          <t>可锻造</t>
        </is>
      </c>
      <c r="Z1" s="1" t="inlineStr">
        <is>
          <t>锻造类别</t>
        </is>
      </c>
      <c r="AA1" s="1" t="inlineStr">
        <is>
          <t>所需锻造等级</t>
        </is>
      </c>
      <c r="AB1" s="1" t="inlineStr">
        <is>
          <t>锻造基准耗时(秒)</t>
        </is>
      </c>
      <c r="AC1" s="1" t="inlineStr">
        <is>
          <t>锻造材料(JSON)</t>
        </is>
      </c>
      <c r="AD1" s="1" t="inlineStr">
        <is>
          <t>套装效果(JSON)</t>
        </is>
      </c>
      <c r="AE1" s="1" t="inlineStr">
        <is>
          <t>原始effect_payload(JSON)</t>
        </is>
      </c>
      <c r="AF1" s="1" t="inlineStr">
        <is>
          <t>数据来源</t>
        </is>
      </c>
    </row>
    <row r="2">
      <c r="A2" s="2" t="n">
        <v>1</v>
      </c>
      <c r="B2" s="2" t="inlineStr">
        <is>
          <t>equip_action_mask</t>
        </is>
      </c>
      <c r="C2" s="2" t="inlineStr">
        <is>
          <t>动感超人面具</t>
        </is>
      </c>
      <c r="D2" s="2" t="inlineStr">
        <is>
          <t>helmet</t>
        </is>
      </c>
      <c r="E2" s="2" t="inlineStr">
        <is>
          <t>头盔</t>
        </is>
      </c>
      <c r="F2" s="2" t="inlineStr">
        <is>
          <t>equip_helmet</t>
        </is>
      </c>
      <c r="G2" s="2" t="inlineStr">
        <is>
          <t>blue</t>
        </is>
      </c>
      <c r="H2" s="2" t="inlineStr">
        <is>
          <t>稀有/蓝</t>
        </is>
      </c>
      <c r="I2" s="2" t="inlineStr">
        <is>
          <t>kasukabe_defense_set</t>
        </is>
      </c>
      <c r="J2" s="3" t="inlineStr">
        <is>
          <t>春日部防卫队</t>
        </is>
      </c>
      <c r="K2" s="3" t="inlineStr">
        <is>
          <t>春日部防卫队收藏的英雄面具，戴上后总觉得出拳更有气势。</t>
        </is>
      </c>
      <c r="L2" s="4" t="n">
        <v>6000</v>
      </c>
      <c r="M2" s="4" t="n">
        <v>100</v>
      </c>
      <c r="N2" s="2" t="inlineStr">
        <is>
          <t>是</t>
        </is>
      </c>
      <c r="O2" s="4" t="n">
        <v>300</v>
      </c>
      <c r="P2" s="4" t="n">
        <v>5</v>
      </c>
      <c r="Q2" s="4" t="n">
        <v>20</v>
      </c>
      <c r="R2" s="4" t="n">
        <v>0</v>
      </c>
      <c r="S2" s="4" t="n">
        <v>15</v>
      </c>
      <c r="T2" s="4" t="n">
        <v>0</v>
      </c>
      <c r="U2" s="4" t="n">
        <v>0</v>
      </c>
      <c r="V2" s="5">
        <f>SUM(O2:U2)</f>
        <v/>
      </c>
      <c r="W2" s="6">
        <f>O2*'强度系数说明'!$B$7+P2*'强度系数说明'!$B$8+Q2*'强度系数说明'!$B$9+R2*'强度系数说明'!$B$10+S2*'强度系数说明'!$B$11+T2*'强度系数说明'!$B$12+U2*'强度系数说明'!$B$13</f>
        <v/>
      </c>
      <c r="X2" s="7">
        <f>SUMPRODUCT((O2:U2&gt;0)*O2:U2)</f>
        <v/>
      </c>
      <c r="Y2" s="2" t="inlineStr">
        <is>
          <t>否</t>
        </is>
      </c>
      <c r="Z2" s="2" t="inlineStr"/>
      <c r="AA2" s="4" t="inlineStr"/>
      <c r="AB2" s="4" t="inlineStr"/>
      <c r="AC2" s="3" t="inlineStr"/>
      <c r="AD2" s="3" t="inlineStr">
        <is>
          <t>[{"bonus":{"attack":30,"defense":20},"pieces":2},{"bonus":{"agility":20,"hp":600,"luck":15},"pieces":4}]</t>
        </is>
      </c>
      <c r="AE2" s="3" t="inlineStr">
        <is>
          <t>{"agility":15,"defense":5,"force":20,"hp":300,"set_bonus":[{"bonus":{"attack":30,"defense":20},"pieces":2},{"bonus":{"agility":20,"hp":600,"luck":15},"pieces":4}],"set_description":"春日部防卫队","set_key":"kasukabe_defense_set"}</t>
        </is>
      </c>
      <c r="AF2" s="3" t="inlineStr">
        <is>
          <t>data/item_templates.yaml:L2674</t>
        </is>
      </c>
    </row>
    <row r="3">
      <c r="A3" s="2" t="n">
        <v>2</v>
      </c>
      <c r="B3" s="2" t="inlineStr">
        <is>
          <t>equip_shiro_leash</t>
        </is>
      </c>
      <c r="C3" s="2" t="inlineStr">
        <is>
          <t>小白的散步绳</t>
        </is>
      </c>
      <c r="D3" s="2" t="inlineStr">
        <is>
          <t>ornament</t>
        </is>
      </c>
      <c r="E3" s="2" t="inlineStr">
        <is>
          <t>饰品</t>
        </is>
      </c>
      <c r="F3" s="2" t="inlineStr">
        <is>
          <t>equip_ornament</t>
        </is>
      </c>
      <c r="G3" s="2" t="inlineStr">
        <is>
          <t>blue</t>
        </is>
      </c>
      <c r="H3" s="2" t="inlineStr">
        <is>
          <t>稀有/蓝</t>
        </is>
      </c>
      <c r="I3" s="2" t="inlineStr">
        <is>
          <t>kasukabe_defense_set</t>
        </is>
      </c>
      <c r="J3" s="3" t="inlineStr">
        <is>
          <t>春日部防卫队</t>
        </is>
      </c>
      <c r="K3" s="3" t="inlineStr">
        <is>
          <t>看似普通的牵绳，却能在混战中稳住阵脚，守住不该乱跑的人。</t>
        </is>
      </c>
      <c r="L3" s="4" t="n">
        <v>5600</v>
      </c>
      <c r="M3" s="4" t="n">
        <v>100</v>
      </c>
      <c r="N3" s="2" t="inlineStr">
        <is>
          <t>是</t>
        </is>
      </c>
      <c r="O3" s="4" t="n">
        <v>360</v>
      </c>
      <c r="P3" s="4" t="n">
        <v>15</v>
      </c>
      <c r="Q3" s="4" t="n">
        <v>5</v>
      </c>
      <c r="R3" s="4" t="n">
        <v>0</v>
      </c>
      <c r="S3" s="4" t="n">
        <v>0</v>
      </c>
      <c r="T3" s="4" t="n">
        <v>10</v>
      </c>
      <c r="U3" s="4" t="n">
        <v>0</v>
      </c>
      <c r="V3" s="5">
        <f>SUM(O3:U3)</f>
        <v/>
      </c>
      <c r="W3" s="6">
        <f>O3*'强度系数说明'!$B$7+P3*'强度系数说明'!$B$8+Q3*'强度系数说明'!$B$9+R3*'强度系数说明'!$B$10+S3*'强度系数说明'!$B$11+T3*'强度系数说明'!$B$12+U3*'强度系数说明'!$B$13</f>
        <v/>
      </c>
      <c r="X3" s="7">
        <f>SUMPRODUCT((O3:U3&gt;0)*O3:U3)</f>
        <v/>
      </c>
      <c r="Y3" s="2" t="inlineStr">
        <is>
          <t>否</t>
        </is>
      </c>
      <c r="Z3" s="2" t="inlineStr"/>
      <c r="AA3" s="4" t="inlineStr"/>
      <c r="AB3" s="4" t="inlineStr"/>
      <c r="AC3" s="3" t="inlineStr"/>
      <c r="AD3" s="3" t="inlineStr">
        <is>
          <t>[{"bonus":{"attack":30,"defense":20},"pieces":2},{"bonus":{"agility":20,"hp":600,"luck":15},"pieces":4}]</t>
        </is>
      </c>
      <c r="AE3" s="3" t="inlineStr">
        <is>
          <t>{"defense":15,"force":5,"hp":360,"luck":10,"set_bonus":[{"bonus":{"attack":30,"defense":20},"pieces":2},{"bonus":{"agility":20,"hp":600,"luck":15},"pieces":4}],"set_description":"春日部防卫队","set_key":"kasukabe_defense_set"}</t>
        </is>
      </c>
      <c r="AF3" s="3" t="inlineStr">
        <is>
          <t>data/item_templates.yaml:L2700</t>
        </is>
      </c>
    </row>
    <row r="4">
      <c r="A4" s="2" t="n">
        <v>3</v>
      </c>
      <c r="B4" s="2" t="inlineStr">
        <is>
          <t>equip_kasukabe_satchel</t>
        </is>
      </c>
      <c r="C4" s="2" t="inlineStr">
        <is>
          <t>春日部小书包</t>
        </is>
      </c>
      <c r="D4" s="2" t="inlineStr">
        <is>
          <t>armor</t>
        </is>
      </c>
      <c r="E4" s="2" t="inlineStr">
        <is>
          <t>护甲</t>
        </is>
      </c>
      <c r="F4" s="2" t="inlineStr">
        <is>
          <t>equip_armor</t>
        </is>
      </c>
      <c r="G4" s="2" t="inlineStr">
        <is>
          <t>blue</t>
        </is>
      </c>
      <c r="H4" s="2" t="inlineStr">
        <is>
          <t>稀有/蓝</t>
        </is>
      </c>
      <c r="I4" s="2" t="inlineStr">
        <is>
          <t>kasukabe_defense_set</t>
        </is>
      </c>
      <c r="J4" s="3" t="inlineStr">
        <is>
          <t>春日部防卫队</t>
        </is>
      </c>
      <c r="K4" s="3" t="inlineStr">
        <is>
          <t>塞满点心、画纸和奇怪作战计划的小书包，防护意外地可靠。</t>
        </is>
      </c>
      <c r="L4" s="4" t="n">
        <v>6200</v>
      </c>
      <c r="M4" s="4" t="n">
        <v>100</v>
      </c>
      <c r="N4" s="2" t="inlineStr">
        <is>
          <t>是</t>
        </is>
      </c>
      <c r="O4" s="4" t="n">
        <v>420</v>
      </c>
      <c r="P4" s="4" t="n">
        <v>20</v>
      </c>
      <c r="Q4" s="4" t="n">
        <v>0</v>
      </c>
      <c r="R4" s="4" t="n">
        <v>0</v>
      </c>
      <c r="S4" s="4" t="n">
        <v>10</v>
      </c>
      <c r="T4" s="4" t="n">
        <v>10</v>
      </c>
      <c r="U4" s="4" t="n">
        <v>0</v>
      </c>
      <c r="V4" s="5">
        <f>SUM(O4:U4)</f>
        <v/>
      </c>
      <c r="W4" s="6">
        <f>O4*'强度系数说明'!$B$7+P4*'强度系数说明'!$B$8+Q4*'强度系数说明'!$B$9+R4*'强度系数说明'!$B$10+S4*'强度系数说明'!$B$11+T4*'强度系数说明'!$B$12+U4*'强度系数说明'!$B$13</f>
        <v/>
      </c>
      <c r="X4" s="7">
        <f>SUMPRODUCT((O4:U4&gt;0)*O4:U4)</f>
        <v/>
      </c>
      <c r="Y4" s="2" t="inlineStr">
        <is>
          <t>否</t>
        </is>
      </c>
      <c r="Z4" s="2" t="inlineStr"/>
      <c r="AA4" s="4" t="inlineStr"/>
      <c r="AB4" s="4" t="inlineStr"/>
      <c r="AC4" s="3" t="inlineStr"/>
      <c r="AD4" s="3" t="inlineStr">
        <is>
          <t>[{"bonus":{"attack":30,"defense":20},"pieces":2},{"bonus":{"agility":20,"hp":600,"luck":15},"pieces":4}]</t>
        </is>
      </c>
      <c r="AE4" s="3" t="inlineStr">
        <is>
          <t>{"agility":10,"defense":20,"hp":420,"luck":10,"set_bonus":[{"bonus":{"attack":30,"defense":20},"pieces":2},{"bonus":{"agility":20,"hp":600,"luck":15},"pieces":4}],"set_description":"春日部防卫队","set_key":"kasukabe_defense_set"}</t>
        </is>
      </c>
      <c r="AF4" s="3" t="inlineStr">
        <is>
          <t>data/item_templates.yaml:L2726</t>
        </is>
      </c>
    </row>
    <row r="5">
      <c r="A5" s="2" t="n">
        <v>4</v>
      </c>
      <c r="B5" s="2" t="inlineStr">
        <is>
          <t>equip_action_beam_glove</t>
        </is>
      </c>
      <c r="C5" s="2" t="inlineStr">
        <is>
          <t>动感光波手套</t>
        </is>
      </c>
      <c r="D5" s="2" t="inlineStr">
        <is>
          <t>weapon</t>
        </is>
      </c>
      <c r="E5" s="2" t="inlineStr">
        <is>
          <t>武器</t>
        </is>
      </c>
      <c r="F5" s="2" t="inlineStr">
        <is>
          <t>equip_weapon</t>
        </is>
      </c>
      <c r="G5" s="2" t="inlineStr">
        <is>
          <t>blue</t>
        </is>
      </c>
      <c r="H5" s="2" t="inlineStr">
        <is>
          <t>稀有/蓝</t>
        </is>
      </c>
      <c r="I5" s="2" t="inlineStr">
        <is>
          <t>kasukabe_defense_set</t>
        </is>
      </c>
      <c r="J5" s="3" t="inlineStr">
        <is>
          <t>春日部防卫队</t>
        </is>
      </c>
      <c r="K5" s="3" t="inlineStr">
        <is>
          <t>模仿动感超人招式制作的手套，挥动时能带出夸张的战斗节奏。</t>
        </is>
      </c>
      <c r="L5" s="4" t="n">
        <v>7000</v>
      </c>
      <c r="M5" s="4" t="n">
        <v>100</v>
      </c>
      <c r="N5" s="2" t="inlineStr">
        <is>
          <t>是</t>
        </is>
      </c>
      <c r="O5" s="4" t="n">
        <v>0</v>
      </c>
      <c r="P5" s="4" t="n">
        <v>0</v>
      </c>
      <c r="Q5" s="4" t="n">
        <v>40</v>
      </c>
      <c r="R5" s="4" t="n">
        <v>0</v>
      </c>
      <c r="S5" s="4" t="n">
        <v>15</v>
      </c>
      <c r="T5" s="4" t="n">
        <v>0</v>
      </c>
      <c r="U5" s="4" t="n">
        <v>0</v>
      </c>
      <c r="V5" s="5">
        <f>SUM(O5:U5)</f>
        <v/>
      </c>
      <c r="W5" s="6">
        <f>O5*'强度系数说明'!$B$7+P5*'强度系数说明'!$B$8+Q5*'强度系数说明'!$B$9+R5*'强度系数说明'!$B$10+S5*'强度系数说明'!$B$11+T5*'强度系数说明'!$B$12+U5*'强度系数说明'!$B$13</f>
        <v/>
      </c>
      <c r="X5" s="7">
        <f>SUMPRODUCT((O5:U5&gt;0)*O5:U5)</f>
        <v/>
      </c>
      <c r="Y5" s="2" t="inlineStr">
        <is>
          <t>否</t>
        </is>
      </c>
      <c r="Z5" s="2" t="inlineStr"/>
      <c r="AA5" s="4" t="inlineStr"/>
      <c r="AB5" s="4" t="inlineStr"/>
      <c r="AC5" s="3" t="inlineStr"/>
      <c r="AD5" s="3" t="inlineStr">
        <is>
          <t>[{"bonus":{"attack":30,"defense":20},"pieces":2},{"bonus":{"agility":20,"hp":600,"luck":15},"pieces":4}]</t>
        </is>
      </c>
      <c r="AE5" s="3" t="inlineStr">
        <is>
          <t>{"agility":15,"force":40,"set_bonus":[{"bonus":{"attack":30,"defense":20},"pieces":2},{"bonus":{"agility":20,"hp":600,"luck":15},"pieces":4}],"set_description":"春日部防卫队","set_key":"kasukabe_defense_set"}</t>
        </is>
      </c>
      <c r="AF5" s="3" t="inlineStr">
        <is>
          <t>data/item_templates.yaml:L2752</t>
        </is>
      </c>
    </row>
    <row r="6">
      <c r="A6" s="2" t="n">
        <v>5</v>
      </c>
      <c r="B6" s="2" t="inlineStr">
        <is>
          <t>equip_nohara_pan</t>
        </is>
      </c>
      <c r="C6" s="2" t="inlineStr">
        <is>
          <t>野原家的平底锅</t>
        </is>
      </c>
      <c r="D6" s="2" t="inlineStr">
        <is>
          <t>weapon</t>
        </is>
      </c>
      <c r="E6" s="2" t="inlineStr">
        <is>
          <t>武器</t>
        </is>
      </c>
      <c r="F6" s="2" t="inlineStr">
        <is>
          <t>equip_weapon</t>
        </is>
      </c>
      <c r="G6" s="2" t="inlineStr">
        <is>
          <t>blue</t>
        </is>
      </c>
      <c r="H6" s="2" t="inlineStr">
        <is>
          <t>稀有/蓝</t>
        </is>
      </c>
      <c r="I6" s="2" t="inlineStr">
        <is>
          <t>kasukabe_defense_set</t>
        </is>
      </c>
      <c r="J6" s="3" t="inlineStr">
        <is>
          <t>春日部防卫队</t>
        </is>
      </c>
      <c r="K6" s="3" t="inlineStr">
        <is>
          <t>厨房里磨炼出的实战兵器，攻守兼备，敲起来声势惊人。</t>
        </is>
      </c>
      <c r="L6" s="4" t="n">
        <v>6800</v>
      </c>
      <c r="M6" s="4" t="n">
        <v>100</v>
      </c>
      <c r="N6" s="2" t="inlineStr">
        <is>
          <t>是</t>
        </is>
      </c>
      <c r="O6" s="4" t="n">
        <v>180</v>
      </c>
      <c r="P6" s="4" t="n">
        <v>18</v>
      </c>
      <c r="Q6" s="4" t="n">
        <v>36</v>
      </c>
      <c r="R6" s="4" t="n">
        <v>0</v>
      </c>
      <c r="S6" s="4" t="n">
        <v>0</v>
      </c>
      <c r="T6" s="4" t="n">
        <v>0</v>
      </c>
      <c r="U6" s="4" t="n">
        <v>0</v>
      </c>
      <c r="V6" s="5">
        <f>SUM(O6:U6)</f>
        <v/>
      </c>
      <c r="W6" s="6">
        <f>O6*'强度系数说明'!$B$7+P6*'强度系数说明'!$B$8+Q6*'强度系数说明'!$B$9+R6*'强度系数说明'!$B$10+S6*'强度系数说明'!$B$11+T6*'强度系数说明'!$B$12+U6*'强度系数说明'!$B$13</f>
        <v/>
      </c>
      <c r="X6" s="7">
        <f>SUMPRODUCT((O6:U6&gt;0)*O6:U6)</f>
        <v/>
      </c>
      <c r="Y6" s="2" t="inlineStr">
        <is>
          <t>否</t>
        </is>
      </c>
      <c r="Z6" s="2" t="inlineStr"/>
      <c r="AA6" s="4" t="inlineStr"/>
      <c r="AB6" s="4" t="inlineStr"/>
      <c r="AC6" s="3" t="inlineStr"/>
      <c r="AD6" s="3" t="inlineStr">
        <is>
          <t>[{"bonus":{"attack":30,"defense":20},"pieces":2},{"bonus":{"agility":20,"hp":600,"luck":15},"pieces":4}]</t>
        </is>
      </c>
      <c r="AE6" s="3" t="inlineStr">
        <is>
          <t>{"defense":18,"force":36,"hp":180,"set_bonus":[{"bonus":{"attack":30,"defense":20},"pieces":2},{"bonus":{"agility":20,"hp":600,"luck":15},"pieces":4}],"set_description":"春日部防卫队","set_key":"kasukabe_defense_set"}</t>
        </is>
      </c>
      <c r="AF6" s="3" t="inlineStr">
        <is>
          <t>data/item_templates.yaml:L2776</t>
        </is>
      </c>
    </row>
    <row r="7">
      <c r="A7" s="2" t="n">
        <v>6</v>
      </c>
      <c r="B7" s="2" t="inlineStr">
        <is>
          <t>equip_caomao</t>
        </is>
      </c>
      <c r="C7" s="2" t="inlineStr">
        <is>
          <t>斗笠</t>
        </is>
      </c>
      <c r="D7" s="2" t="inlineStr">
        <is>
          <t>helmet</t>
        </is>
      </c>
      <c r="E7" s="2" t="inlineStr">
        <is>
          <t>头盔</t>
        </is>
      </c>
      <c r="F7" s="2" t="inlineStr">
        <is>
          <t>equip_helmet</t>
        </is>
      </c>
      <c r="G7" s="2" t="inlineStr">
        <is>
          <t>black</t>
        </is>
      </c>
      <c r="H7" s="2" t="inlineStr">
        <is>
          <t>普通/白</t>
        </is>
      </c>
      <c r="I7" s="2" t="inlineStr">
        <is>
          <t>starter_cloth_set</t>
        </is>
      </c>
      <c r="J7" s="3" t="inlineStr">
        <is>
          <t>一蓑烟雨</t>
        </is>
      </c>
      <c r="K7" s="3" t="inlineStr">
        <is>
          <t>由棕叶编织而成的宽边帽，可以简单遮蔽风雨。</t>
        </is>
      </c>
      <c r="L7" s="4" t="n">
        <v>0</v>
      </c>
      <c r="M7" s="4" t="n">
        <v>50</v>
      </c>
      <c r="N7" s="2" t="inlineStr">
        <is>
          <t>否</t>
        </is>
      </c>
      <c r="O7" s="4" t="n">
        <v>250</v>
      </c>
      <c r="P7" s="4" t="n">
        <v>10</v>
      </c>
      <c r="Q7" s="4" t="n">
        <v>5</v>
      </c>
      <c r="R7" s="4" t="n">
        <v>0</v>
      </c>
      <c r="S7" s="4" t="n">
        <v>0</v>
      </c>
      <c r="T7" s="4" t="n">
        <v>0</v>
      </c>
      <c r="U7" s="4" t="n">
        <v>0</v>
      </c>
      <c r="V7" s="5">
        <f>SUM(O7:U7)</f>
        <v/>
      </c>
      <c r="W7" s="6">
        <f>O7*'强度系数说明'!$B$7+P7*'强度系数说明'!$B$8+Q7*'强度系数说明'!$B$9+R7*'强度系数说明'!$B$10+S7*'强度系数说明'!$B$11+T7*'强度系数说明'!$B$12+U7*'强度系数说明'!$B$13</f>
        <v/>
      </c>
      <c r="X7" s="7">
        <f>SUMPRODUCT((O7:U7&gt;0)*O7:U7)</f>
        <v/>
      </c>
      <c r="Y7" s="2" t="inlineStr">
        <is>
          <t>否</t>
        </is>
      </c>
      <c r="Z7" s="2" t="inlineStr"/>
      <c r="AA7" s="4" t="inlineStr"/>
      <c r="AB7" s="4" t="inlineStr"/>
      <c r="AC7" s="3" t="inlineStr"/>
      <c r="AD7" s="3" t="inlineStr">
        <is>
          <t>{"bonus":{"force":20,"hp":200,"luck":15,"troop_capacity":20},"pieces":4}</t>
        </is>
      </c>
      <c r="AE7" s="3" t="inlineStr">
        <is>
          <t>{"defense":10,"force":5,"hp":250,"set_bonus":{"bonus":{"force":20,"hp":200,"luck":15,"troop_capacity":20},"pieces":4},"set_description":"一蓑烟雨","set_key":"starter_cloth_set"}</t>
        </is>
      </c>
      <c r="AF7" s="3" t="inlineStr">
        <is>
          <t>data/item_templates.yaml:L2801</t>
        </is>
      </c>
    </row>
    <row r="8">
      <c r="A8" s="2" t="n">
        <v>7</v>
      </c>
      <c r="B8" s="2" t="inlineStr">
        <is>
          <t>equip_suoyi</t>
        </is>
      </c>
      <c r="C8" s="2" t="inlineStr">
        <is>
          <t>蓑衣</t>
        </is>
      </c>
      <c r="D8" s="2" t="inlineStr">
        <is>
          <t>armor</t>
        </is>
      </c>
      <c r="E8" s="2" t="inlineStr">
        <is>
          <t>护甲</t>
        </is>
      </c>
      <c r="F8" s="2" t="inlineStr">
        <is>
          <t>equip_armor</t>
        </is>
      </c>
      <c r="G8" s="2" t="inlineStr">
        <is>
          <t>black</t>
        </is>
      </c>
      <c r="H8" s="2" t="inlineStr">
        <is>
          <t>普通/白</t>
        </is>
      </c>
      <c r="I8" s="2" t="inlineStr">
        <is>
          <t>starter_cloth_set</t>
        </is>
      </c>
      <c r="J8" s="3" t="inlineStr">
        <is>
          <t>一蓑烟雨</t>
        </is>
      </c>
      <c r="K8" s="3" t="inlineStr">
        <is>
          <t>以莎草编织而成，劳动人民遮风避雨的必需品。</t>
        </is>
      </c>
      <c r="L8" s="4" t="n">
        <v>0</v>
      </c>
      <c r="M8" s="4" t="n">
        <v>50</v>
      </c>
      <c r="N8" s="2" t="inlineStr">
        <is>
          <t>否</t>
        </is>
      </c>
      <c r="O8" s="4" t="n">
        <v>100</v>
      </c>
      <c r="P8" s="4" t="n">
        <v>10</v>
      </c>
      <c r="Q8" s="4" t="n">
        <v>5</v>
      </c>
      <c r="R8" s="4" t="n">
        <v>0</v>
      </c>
      <c r="S8" s="4" t="n">
        <v>5</v>
      </c>
      <c r="T8" s="4" t="n">
        <v>0</v>
      </c>
      <c r="U8" s="4" t="n">
        <v>0</v>
      </c>
      <c r="V8" s="5">
        <f>SUM(O8:U8)</f>
        <v/>
      </c>
      <c r="W8" s="6">
        <f>O8*'强度系数说明'!$B$7+P8*'强度系数说明'!$B$8+Q8*'强度系数说明'!$B$9+R8*'强度系数说明'!$B$10+S8*'强度系数说明'!$B$11+T8*'强度系数说明'!$B$12+U8*'强度系数说明'!$B$13</f>
        <v/>
      </c>
      <c r="X8" s="7">
        <f>SUMPRODUCT((O8:U8&gt;0)*O8:U8)</f>
        <v/>
      </c>
      <c r="Y8" s="2" t="inlineStr">
        <is>
          <t>否</t>
        </is>
      </c>
      <c r="Z8" s="2" t="inlineStr"/>
      <c r="AA8" s="4" t="inlineStr"/>
      <c r="AB8" s="4" t="inlineStr"/>
      <c r="AC8" s="3" t="inlineStr"/>
      <c r="AD8" s="3" t="inlineStr">
        <is>
          <t>{"bonus":{"force":20,"hp":200,"luck":15,"troop_capacity":20},"pieces":4}</t>
        </is>
      </c>
      <c r="AE8" s="3" t="inlineStr">
        <is>
          <t>{"agility":5,"defense":10,"force":5,"hp":100,"set_bonus":{"bonus":{"force":20,"hp":200,"luck":15,"troop_capacity":20},"pieces":4},"set_description":"一蓑烟雨","set_key":"starter_cloth_set"}</t>
        </is>
      </c>
      <c r="AF8" s="3" t="inlineStr">
        <is>
          <t>data/item_templates.yaml:L2824</t>
        </is>
      </c>
    </row>
    <row r="9">
      <c r="A9" s="2" t="n">
        <v>8</v>
      </c>
      <c r="B9" s="2" t="inlineStr">
        <is>
          <t>equip_caoxie</t>
        </is>
      </c>
      <c r="C9" s="2" t="inlineStr">
        <is>
          <t>草鞋</t>
        </is>
      </c>
      <c r="D9" s="2" t="inlineStr">
        <is>
          <t>shoes</t>
        </is>
      </c>
      <c r="E9" s="2" t="inlineStr">
        <is>
          <t>鞋履</t>
        </is>
      </c>
      <c r="F9" s="2" t="inlineStr">
        <is>
          <t>equip_shoes</t>
        </is>
      </c>
      <c r="G9" s="2" t="inlineStr">
        <is>
          <t>black</t>
        </is>
      </c>
      <c r="H9" s="2" t="inlineStr">
        <is>
          <t>普通/白</t>
        </is>
      </c>
      <c r="I9" s="2" t="inlineStr">
        <is>
          <t>starter_cloth_set</t>
        </is>
      </c>
      <c r="J9" s="3" t="inlineStr">
        <is>
          <t>一蓑烟雨</t>
        </is>
      </c>
      <c r="K9" s="3" t="inlineStr">
        <is>
          <t>由稻草编织而成的鞋子，透水但也透气。</t>
        </is>
      </c>
      <c r="L9" s="4" t="n">
        <v>0</v>
      </c>
      <c r="M9" s="4" t="n">
        <v>50</v>
      </c>
      <c r="N9" s="2" t="inlineStr">
        <is>
          <t>否</t>
        </is>
      </c>
      <c r="O9" s="4" t="n">
        <v>200</v>
      </c>
      <c r="P9" s="4" t="n">
        <v>5</v>
      </c>
      <c r="Q9" s="4" t="n">
        <v>0</v>
      </c>
      <c r="R9" s="4" t="n">
        <v>0</v>
      </c>
      <c r="S9" s="4" t="n">
        <v>10</v>
      </c>
      <c r="T9" s="4" t="n">
        <v>0</v>
      </c>
      <c r="U9" s="4" t="n">
        <v>0</v>
      </c>
      <c r="V9" s="5">
        <f>SUM(O9:U9)</f>
        <v/>
      </c>
      <c r="W9" s="6">
        <f>O9*'强度系数说明'!$B$7+P9*'强度系数说明'!$B$8+Q9*'强度系数说明'!$B$9+R9*'强度系数说明'!$B$10+S9*'强度系数说明'!$B$11+T9*'强度系数说明'!$B$12+U9*'强度系数说明'!$B$13</f>
        <v/>
      </c>
      <c r="X9" s="7">
        <f>SUMPRODUCT((O9:U9&gt;0)*O9:U9)</f>
        <v/>
      </c>
      <c r="Y9" s="2" t="inlineStr">
        <is>
          <t>否</t>
        </is>
      </c>
      <c r="Z9" s="2" t="inlineStr"/>
      <c r="AA9" s="4" t="inlineStr"/>
      <c r="AB9" s="4" t="inlineStr"/>
      <c r="AC9" s="3" t="inlineStr"/>
      <c r="AD9" s="3" t="inlineStr">
        <is>
          <t>{"bonus":{"force":20,"hp":200,"luck":15,"troop_capacity":20},"pieces":4}</t>
        </is>
      </c>
      <c r="AE9" s="3" t="inlineStr">
        <is>
          <t>{"agility":10,"defense":5,"hp":200,"set_bonus":{"bonus":{"force":20,"hp":200,"luck":15,"troop_capacity":20},"pieces":4},"set_description":"一蓑烟雨","set_key":"starter_cloth_set"}</t>
        </is>
      </c>
      <c r="AF9" s="3" t="inlineStr">
        <is>
          <t>data/item_templates.yaml:L2848</t>
        </is>
      </c>
    </row>
    <row r="10">
      <c r="A10" s="2" t="n">
        <v>9</v>
      </c>
      <c r="B10" s="2" t="inlineStr">
        <is>
          <t>equip_tiejian</t>
        </is>
      </c>
      <c r="C10" s="2" t="inlineStr">
        <is>
          <t>铁剑</t>
        </is>
      </c>
      <c r="D10" s="2" t="inlineStr">
        <is>
          <t>weapon</t>
        </is>
      </c>
      <c r="E10" s="2" t="inlineStr">
        <is>
          <t>武器</t>
        </is>
      </c>
      <c r="F10" s="2" t="inlineStr">
        <is>
          <t>equip_weapon</t>
        </is>
      </c>
      <c r="G10" s="2" t="inlineStr">
        <is>
          <t>black</t>
        </is>
      </c>
      <c r="H10" s="2" t="inlineStr">
        <is>
          <t>普通/白</t>
        </is>
      </c>
      <c r="I10" s="2" t="inlineStr">
        <is>
          <t>starter_cloth_set</t>
        </is>
      </c>
      <c r="J10" s="3" t="inlineStr">
        <is>
          <t>一蓑烟雨</t>
        </is>
      </c>
      <c r="K10" s="3" t="inlineStr">
        <is>
          <t>一柄简朴耐用的铁剑，适合初入江湖之人防身。</t>
        </is>
      </c>
      <c r="L10" s="4" t="n">
        <v>0</v>
      </c>
      <c r="M10" s="4" t="n">
        <v>50</v>
      </c>
      <c r="N10" s="2" t="inlineStr">
        <is>
          <t>否</t>
        </is>
      </c>
      <c r="O10" s="4" t="n">
        <v>0</v>
      </c>
      <c r="P10" s="4" t="n">
        <v>5</v>
      </c>
      <c r="Q10" s="4" t="n">
        <v>15</v>
      </c>
      <c r="R10" s="4" t="n">
        <v>0</v>
      </c>
      <c r="S10" s="4" t="n">
        <v>0</v>
      </c>
      <c r="T10" s="4" t="n">
        <v>0</v>
      </c>
      <c r="U10" s="4" t="n">
        <v>0</v>
      </c>
      <c r="V10" s="5">
        <f>SUM(O10:U10)</f>
        <v/>
      </c>
      <c r="W10" s="6">
        <f>O10*'强度系数说明'!$B$7+P10*'强度系数说明'!$B$8+Q10*'强度系数说明'!$B$9+R10*'强度系数说明'!$B$10+S10*'强度系数说明'!$B$11+T10*'强度系数说明'!$B$12+U10*'强度系数说明'!$B$13</f>
        <v/>
      </c>
      <c r="X10" s="7">
        <f>SUMPRODUCT((O10:U10&gt;0)*O10:U10)</f>
        <v/>
      </c>
      <c r="Y10" s="2" t="inlineStr">
        <is>
          <t>否</t>
        </is>
      </c>
      <c r="Z10" s="2" t="inlineStr"/>
      <c r="AA10" s="4" t="inlineStr"/>
      <c r="AB10" s="4" t="inlineStr"/>
      <c r="AC10" s="3" t="inlineStr"/>
      <c r="AD10" s="3" t="inlineStr">
        <is>
          <t>{"bonus":{"force":20,"hp":200,"luck":15,"troop_capacity":20},"pieces":4}</t>
        </is>
      </c>
      <c r="AE10" s="3" t="inlineStr">
        <is>
          <t>{"defense":5,"force":15,"set_bonus":{"bonus":{"force":20,"hp":200,"luck":15,"troop_capacity":20},"pieces":4},"set_description":"一蓑烟雨","set_key":"starter_cloth_set"}</t>
        </is>
      </c>
      <c r="AF10" s="3" t="inlineStr">
        <is>
          <t>data/item_templates.yaml:L2871</t>
        </is>
      </c>
    </row>
    <row r="11">
      <c r="A11" s="2" t="n">
        <v>10</v>
      </c>
      <c r="B11" s="2" t="inlineStr">
        <is>
          <t>equip_bumao</t>
        </is>
      </c>
      <c r="C11" s="2" t="inlineStr">
        <is>
          <t>布帽</t>
        </is>
      </c>
      <c r="D11" s="2" t="inlineStr">
        <is>
          <t>helmet</t>
        </is>
      </c>
      <c r="E11" s="2" t="inlineStr">
        <is>
          <t>头盔</t>
        </is>
      </c>
      <c r="F11" s="2" t="inlineStr">
        <is>
          <t>equip_helmet</t>
        </is>
      </c>
      <c r="G11" s="2" t="inlineStr">
        <is>
          <t>black</t>
        </is>
      </c>
      <c r="H11" s="2" t="inlineStr">
        <is>
          <t>普通/白</t>
        </is>
      </c>
      <c r="I11" s="2" t="inlineStr"/>
      <c r="J11" s="3" t="inlineStr"/>
      <c r="K11" s="3" t="inlineStr">
        <is>
          <t>一般老百姓戴的帽子，遮风遮日用。</t>
        </is>
      </c>
      <c r="L11" s="4" t="n">
        <v>100</v>
      </c>
      <c r="M11" s="4" t="n">
        <v>50</v>
      </c>
      <c r="N11" s="2" t="inlineStr">
        <is>
          <t>是</t>
        </is>
      </c>
      <c r="O11" s="4" t="n">
        <v>100</v>
      </c>
      <c r="P11" s="4" t="n">
        <v>5</v>
      </c>
      <c r="Q11" s="4" t="n">
        <v>0</v>
      </c>
      <c r="R11" s="4" t="n">
        <v>8</v>
      </c>
      <c r="S11" s="4" t="n">
        <v>5</v>
      </c>
      <c r="T11" s="4" t="n">
        <v>0</v>
      </c>
      <c r="U11" s="4" t="n">
        <v>0</v>
      </c>
      <c r="V11" s="5">
        <f>SUM(O11:U11)</f>
        <v/>
      </c>
      <c r="W11" s="6">
        <f>O11*'强度系数说明'!$B$7+P11*'强度系数说明'!$B$8+Q11*'强度系数说明'!$B$9+R11*'强度系数说明'!$B$10+S11*'强度系数说明'!$B$11+T11*'强度系数说明'!$B$12+U11*'强度系数说明'!$B$13</f>
        <v/>
      </c>
      <c r="X11" s="7">
        <f>SUMPRODUCT((O11:U11&gt;0)*O11:U11)</f>
        <v/>
      </c>
      <c r="Y11" s="2" t="inlineStr">
        <is>
          <t>是</t>
        </is>
      </c>
      <c r="Z11" s="2" t="inlineStr">
        <is>
          <t>头盔</t>
        </is>
      </c>
      <c r="AA11" s="4" t="n">
        <v>1</v>
      </c>
      <c r="AB11" s="4" t="n">
        <v>120</v>
      </c>
      <c r="AC11" s="3" t="inlineStr">
        <is>
          <t>{"tong":5}</t>
        </is>
      </c>
      <c r="AD11" s="3" t="inlineStr"/>
      <c r="AE11" s="3" t="inlineStr">
        <is>
          <t>{"agility":5,"defense":5,"hp":100,"intellect":8}</t>
        </is>
      </c>
      <c r="AF11" s="3" t="inlineStr">
        <is>
          <t>data/item_templates.yaml:L2897; data/forge_equipment.yaml:L2</t>
        </is>
      </c>
    </row>
    <row r="12">
      <c r="A12" s="2" t="n">
        <v>11</v>
      </c>
      <c r="B12" s="2" t="inlineStr">
        <is>
          <t>equip_niupimao</t>
        </is>
      </c>
      <c r="C12" s="2" t="inlineStr">
        <is>
          <t>牛皮帽</t>
        </is>
      </c>
      <c r="D12" s="2" t="inlineStr">
        <is>
          <t>helmet</t>
        </is>
      </c>
      <c r="E12" s="2" t="inlineStr">
        <is>
          <t>头盔</t>
        </is>
      </c>
      <c r="F12" s="2" t="inlineStr">
        <is>
          <t>equip_helmet</t>
        </is>
      </c>
      <c r="G12" s="2" t="inlineStr">
        <is>
          <t>black</t>
        </is>
      </c>
      <c r="H12" s="2" t="inlineStr">
        <is>
          <t>普通/白</t>
        </is>
      </c>
      <c r="I12" s="2" t="inlineStr"/>
      <c r="J12" s="3" t="inlineStr"/>
      <c r="K12" s="3" t="inlineStr">
        <is>
          <t>既能御寒，又能稍微保护脑袋。</t>
        </is>
      </c>
      <c r="L12" s="4" t="n">
        <v>300</v>
      </c>
      <c r="M12" s="4" t="n">
        <v>50</v>
      </c>
      <c r="N12" s="2" t="inlineStr">
        <is>
          <t>是</t>
        </is>
      </c>
      <c r="O12" s="4" t="n">
        <v>100</v>
      </c>
      <c r="P12" s="4" t="n">
        <v>10</v>
      </c>
      <c r="Q12" s="4" t="n">
        <v>5</v>
      </c>
      <c r="R12" s="4" t="n">
        <v>0</v>
      </c>
      <c r="S12" s="4" t="n">
        <v>5</v>
      </c>
      <c r="T12" s="4" t="n">
        <v>0</v>
      </c>
      <c r="U12" s="4" t="n">
        <v>0</v>
      </c>
      <c r="V12" s="5">
        <f>SUM(O12:U12)</f>
        <v/>
      </c>
      <c r="W12" s="6">
        <f>O12*'强度系数说明'!$B$7+P12*'强度系数说明'!$B$8+Q12*'强度系数说明'!$B$9+R12*'强度系数说明'!$B$10+S12*'强度系数说明'!$B$11+T12*'强度系数说明'!$B$12+U12*'强度系数说明'!$B$13</f>
        <v/>
      </c>
      <c r="X12" s="7">
        <f>SUMPRODUCT((O12:U12&gt;0)*O12:U12)</f>
        <v/>
      </c>
      <c r="Y12" s="2" t="inlineStr">
        <is>
          <t>是</t>
        </is>
      </c>
      <c r="Z12" s="2" t="inlineStr">
        <is>
          <t>头盔</t>
        </is>
      </c>
      <c r="AA12" s="4" t="n">
        <v>3</v>
      </c>
      <c r="AB12" s="4" t="n">
        <v>180</v>
      </c>
      <c r="AC12" s="3" t="inlineStr">
        <is>
          <t>{"tong":10,"xi":5}</t>
        </is>
      </c>
      <c r="AD12" s="3" t="inlineStr"/>
      <c r="AE12" s="3" t="inlineStr">
        <is>
          <t>{"agility":5,"defense":10,"force":5,"hp":100}</t>
        </is>
      </c>
      <c r="AF12" s="3" t="inlineStr">
        <is>
          <t>data/item_templates.yaml:L2912; data/forge_equipment.yaml:L8</t>
        </is>
      </c>
    </row>
    <row r="13">
      <c r="A13" s="2" t="n">
        <v>12</v>
      </c>
      <c r="B13" s="2" t="inlineStr">
        <is>
          <t>equip_tieyekui</t>
        </is>
      </c>
      <c r="C13" s="2" t="inlineStr">
        <is>
          <t>铁叶盔</t>
        </is>
      </c>
      <c r="D13" s="2" t="inlineStr">
        <is>
          <t>helmet</t>
        </is>
      </c>
      <c r="E13" s="2" t="inlineStr">
        <is>
          <t>头盔</t>
        </is>
      </c>
      <c r="F13" s="2" t="inlineStr">
        <is>
          <t>equip_helmet</t>
        </is>
      </c>
      <c r="G13" s="2" t="inlineStr">
        <is>
          <t>green</t>
        </is>
      </c>
      <c r="H13" s="2" t="inlineStr">
        <is>
          <t>优良/绿</t>
        </is>
      </c>
      <c r="I13" s="2" t="inlineStr"/>
      <c r="J13" s="3" t="inlineStr"/>
      <c r="K13" s="3" t="inlineStr">
        <is>
          <t>有不错的保护效果，但是太过沉重，压着脑袋很难受。</t>
        </is>
      </c>
      <c r="L13" s="4" t="n">
        <v>800</v>
      </c>
      <c r="M13" s="4" t="n">
        <v>75</v>
      </c>
      <c r="N13" s="2" t="inlineStr">
        <is>
          <t>是</t>
        </is>
      </c>
      <c r="O13" s="4" t="n">
        <v>150</v>
      </c>
      <c r="P13" s="4" t="n">
        <v>10</v>
      </c>
      <c r="Q13" s="4" t="n">
        <v>15</v>
      </c>
      <c r="R13" s="4" t="n">
        <v>0</v>
      </c>
      <c r="S13" s="4" t="n">
        <v>0</v>
      </c>
      <c r="T13" s="4" t="n">
        <v>0</v>
      </c>
      <c r="U13" s="4" t="n">
        <v>0</v>
      </c>
      <c r="V13" s="5">
        <f>SUM(O13:U13)</f>
        <v/>
      </c>
      <c r="W13" s="6">
        <f>O13*'强度系数说明'!$B$7+P13*'强度系数说明'!$B$8+Q13*'强度系数说明'!$B$9+R13*'强度系数说明'!$B$10+S13*'强度系数说明'!$B$11+T13*'强度系数说明'!$B$12+U13*'强度系数说明'!$B$13</f>
        <v/>
      </c>
      <c r="X13" s="7">
        <f>SUMPRODUCT((O13:U13&gt;0)*O13:U13)</f>
        <v/>
      </c>
      <c r="Y13" s="2" t="inlineStr">
        <is>
          <t>是</t>
        </is>
      </c>
      <c r="Z13" s="2" t="inlineStr">
        <is>
          <t>头盔</t>
        </is>
      </c>
      <c r="AA13" s="4" t="n">
        <v>5</v>
      </c>
      <c r="AB13" s="4" t="n">
        <v>240</v>
      </c>
      <c r="AC13" s="3" t="inlineStr">
        <is>
          <t>{"tie":10}</t>
        </is>
      </c>
      <c r="AD13" s="3" t="inlineStr"/>
      <c r="AE13" s="3" t="inlineStr">
        <is>
          <t>{"defense":10,"force":15,"hp":150}</t>
        </is>
      </c>
      <c r="AF13" s="3" t="inlineStr">
        <is>
          <t>data/item_templates.yaml:L2927; data/forge_equipment.yaml:L15</t>
        </is>
      </c>
    </row>
    <row r="14">
      <c r="A14" s="2" t="n">
        <v>13</v>
      </c>
      <c r="B14" s="2" t="inlineStr">
        <is>
          <t>equip_yulindin</t>
        </is>
      </c>
      <c r="C14" s="2" t="inlineStr">
        <is>
          <t>鱼鳞顶</t>
        </is>
      </c>
      <c r="D14" s="2" t="inlineStr">
        <is>
          <t>helmet</t>
        </is>
      </c>
      <c r="E14" s="2" t="inlineStr">
        <is>
          <t>头盔</t>
        </is>
      </c>
      <c r="F14" s="2" t="inlineStr">
        <is>
          <t>equip_helmet</t>
        </is>
      </c>
      <c r="G14" s="2" t="inlineStr">
        <is>
          <t>green</t>
        </is>
      </c>
      <c r="H14" s="2" t="inlineStr">
        <is>
          <t>优良/绿</t>
        </is>
      </c>
      <c r="I14" s="2" t="inlineStr"/>
      <c r="J14" s="3" t="inlineStr"/>
      <c r="K14" s="3" t="inlineStr">
        <is>
          <t>鱼鳞状的铜片编成，轻便而坚固。</t>
        </is>
      </c>
      <c r="L14" s="4" t="n">
        <v>1500</v>
      </c>
      <c r="M14" s="4" t="n">
        <v>75</v>
      </c>
      <c r="N14" s="2" t="inlineStr">
        <is>
          <t>是</t>
        </is>
      </c>
      <c r="O14" s="4" t="n">
        <v>500</v>
      </c>
      <c r="P14" s="4" t="n">
        <v>15</v>
      </c>
      <c r="Q14" s="4" t="n">
        <v>2</v>
      </c>
      <c r="R14" s="4" t="n">
        <v>0</v>
      </c>
      <c r="S14" s="4" t="n">
        <v>5</v>
      </c>
      <c r="T14" s="4" t="n">
        <v>0</v>
      </c>
      <c r="U14" s="4" t="n">
        <v>0</v>
      </c>
      <c r="V14" s="5">
        <f>SUM(O14:U14)</f>
        <v/>
      </c>
      <c r="W14" s="6">
        <f>O14*'强度系数说明'!$B$7+P14*'强度系数说明'!$B$8+Q14*'强度系数说明'!$B$9+R14*'强度系数说明'!$B$10+S14*'强度系数说明'!$B$11+T14*'强度系数说明'!$B$12+U14*'强度系数说明'!$B$13</f>
        <v/>
      </c>
      <c r="X14" s="7">
        <f>SUMPRODUCT((O14:U14&gt;0)*O14:U14)</f>
        <v/>
      </c>
      <c r="Y14" s="2" t="inlineStr">
        <is>
          <t>是</t>
        </is>
      </c>
      <c r="Z14" s="2" t="inlineStr">
        <is>
          <t>头盔</t>
        </is>
      </c>
      <c r="AA14" s="4" t="n">
        <v>7</v>
      </c>
      <c r="AB14" s="4" t="n">
        <v>300</v>
      </c>
      <c r="AC14" s="3" t="inlineStr">
        <is>
          <t>{"tie":20}</t>
        </is>
      </c>
      <c r="AD14" s="3" t="inlineStr"/>
      <c r="AE14" s="3" t="inlineStr">
        <is>
          <t>{"agility":5,"defense":15,"force":2,"hp":500}</t>
        </is>
      </c>
      <c r="AF14" s="3" t="inlineStr">
        <is>
          <t>data/item_templates.yaml:L2941; data/forge_equipment.yaml:L21</t>
        </is>
      </c>
    </row>
    <row r="15">
      <c r="A15" s="2" t="n">
        <v>14</v>
      </c>
      <c r="B15" s="2" t="inlineStr">
        <is>
          <t>equip_baihongkui</t>
        </is>
      </c>
      <c r="C15" s="2" t="inlineStr">
        <is>
          <t>白虹盔</t>
        </is>
      </c>
      <c r="D15" s="2" t="inlineStr">
        <is>
          <t>helmet</t>
        </is>
      </c>
      <c r="E15" s="2" t="inlineStr">
        <is>
          <t>头盔</t>
        </is>
      </c>
      <c r="F15" s="2" t="inlineStr">
        <is>
          <t>equip_helmet</t>
        </is>
      </c>
      <c r="G15" s="2" t="inlineStr">
        <is>
          <t>green</t>
        </is>
      </c>
      <c r="H15" s="2" t="inlineStr">
        <is>
          <t>优良/绿</t>
        </is>
      </c>
      <c r="I15" s="2" t="inlineStr"/>
      <c r="J15" s="3" t="inlineStr"/>
      <c r="K15" s="3" t="inlineStr">
        <is>
          <t>精钢铸就，盔顶白缨飘飘，威武不凡。</t>
        </is>
      </c>
      <c r="L15" s="4" t="n">
        <v>3000</v>
      </c>
      <c r="M15" s="4" t="n">
        <v>75</v>
      </c>
      <c r="N15" s="2" t="inlineStr">
        <is>
          <t>是</t>
        </is>
      </c>
      <c r="O15" s="4" t="n">
        <v>200</v>
      </c>
      <c r="P15" s="4" t="n">
        <v>15</v>
      </c>
      <c r="Q15" s="4" t="n">
        <v>5</v>
      </c>
      <c r="R15" s="4" t="n">
        <v>0</v>
      </c>
      <c r="S15" s="4" t="n">
        <v>0</v>
      </c>
      <c r="T15" s="4" t="n">
        <v>0</v>
      </c>
      <c r="U15" s="4" t="n">
        <v>20</v>
      </c>
      <c r="V15" s="5">
        <f>SUM(O15:U15)</f>
        <v/>
      </c>
      <c r="W15" s="6">
        <f>O15*'强度系数说明'!$B$7+P15*'强度系数说明'!$B$8+Q15*'强度系数说明'!$B$9+R15*'强度系数说明'!$B$10+S15*'强度系数说明'!$B$11+T15*'强度系数说明'!$B$12+U15*'强度系数说明'!$B$13</f>
        <v/>
      </c>
      <c r="X15" s="7">
        <f>SUMPRODUCT((O15:U15&gt;0)*O15:U15)</f>
        <v/>
      </c>
      <c r="Y15" s="2" t="inlineStr">
        <is>
          <t>是</t>
        </is>
      </c>
      <c r="Z15" s="2" t="inlineStr">
        <is>
          <t>头盔</t>
        </is>
      </c>
      <c r="AA15" s="4" t="n">
        <v>9</v>
      </c>
      <c r="AB15" s="4" t="n">
        <v>360</v>
      </c>
      <c r="AC15" s="3" t="inlineStr">
        <is>
          <t>{"tie":30}</t>
        </is>
      </c>
      <c r="AD15" s="3" t="inlineStr"/>
      <c r="AE15" s="3" t="inlineStr">
        <is>
          <t>{"defense":15,"force":5,"hp":200,"troop_capacity":20}</t>
        </is>
      </c>
      <c r="AF15" s="3" t="inlineStr">
        <is>
          <t>data/item_templates.yaml:L2956; data/forge_equipment.yaml:L27</t>
        </is>
      </c>
    </row>
    <row r="16">
      <c r="A16" s="2" t="n">
        <v>15</v>
      </c>
      <c r="B16" s="2" t="inlineStr">
        <is>
          <t>equip_zhubiankui</t>
        </is>
      </c>
      <c r="C16" s="2" t="inlineStr">
        <is>
          <t>竹编盔</t>
        </is>
      </c>
      <c r="D16" s="2" t="inlineStr">
        <is>
          <t>helmet</t>
        </is>
      </c>
      <c r="E16" s="2" t="inlineStr">
        <is>
          <t>头盔</t>
        </is>
      </c>
      <c r="F16" s="2" t="inlineStr">
        <is>
          <t>equip_helmet</t>
        </is>
      </c>
      <c r="G16" s="2" t="inlineStr">
        <is>
          <t>black</t>
        </is>
      </c>
      <c r="H16" s="2" t="inlineStr">
        <is>
          <t>普通/白</t>
        </is>
      </c>
      <c r="I16" s="2" t="inlineStr"/>
      <c r="J16" s="3" t="inlineStr"/>
      <c r="K16" s="3" t="inlineStr">
        <is>
          <t>终南山道士所编，取材自千年古竹林，轻巧透气。</t>
        </is>
      </c>
      <c r="L16" s="4" t="n">
        <v>200</v>
      </c>
      <c r="M16" s="4" t="n">
        <v>50</v>
      </c>
      <c r="N16" s="2" t="inlineStr">
        <is>
          <t>是</t>
        </is>
      </c>
      <c r="O16" s="4" t="n">
        <v>300</v>
      </c>
      <c r="P16" s="4" t="n">
        <v>15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5">
        <f>SUM(O16:U16)</f>
        <v/>
      </c>
      <c r="W16" s="6">
        <f>O16*'强度系数说明'!$B$7+P16*'强度系数说明'!$B$8+Q16*'强度系数说明'!$B$9+R16*'强度系数说明'!$B$10+S16*'强度系数说明'!$B$11+T16*'强度系数说明'!$B$12+U16*'强度系数说明'!$B$13</f>
        <v/>
      </c>
      <c r="X16" s="7">
        <f>SUMPRODUCT((O16:U16&gt;0)*O16:U16)</f>
        <v/>
      </c>
      <c r="Y16" s="2" t="inlineStr">
        <is>
          <t>否</t>
        </is>
      </c>
      <c r="Z16" s="2" t="inlineStr"/>
      <c r="AA16" s="4" t="inlineStr"/>
      <c r="AB16" s="4" t="inlineStr"/>
      <c r="AC16" s="3" t="inlineStr"/>
      <c r="AD16" s="3" t="inlineStr"/>
      <c r="AE16" s="3" t="inlineStr">
        <is>
          <t>{"defense":15,"hp":300}</t>
        </is>
      </c>
      <c r="AF16" s="3" t="inlineStr">
        <is>
          <t>data/item_templates.yaml:L2971</t>
        </is>
      </c>
    </row>
    <row r="17">
      <c r="A17" s="2" t="n">
        <v>16</v>
      </c>
      <c r="B17" s="2" t="inlineStr">
        <is>
          <t>equip_yemantoukie</t>
        </is>
      </c>
      <c r="C17" s="2" t="inlineStr">
        <is>
          <t>野蛮头盔</t>
        </is>
      </c>
      <c r="D17" s="2" t="inlineStr">
        <is>
          <t>helmet</t>
        </is>
      </c>
      <c r="E17" s="2" t="inlineStr">
        <is>
          <t>头盔</t>
        </is>
      </c>
      <c r="F17" s="2" t="inlineStr">
        <is>
          <t>equip_helmet</t>
        </is>
      </c>
      <c r="G17" s="2" t="inlineStr">
        <is>
          <t>green</t>
        </is>
      </c>
      <c r="H17" s="2" t="inlineStr">
        <is>
          <t>优良/绿</t>
        </is>
      </c>
      <c r="I17" s="2" t="inlineStr">
        <is>
          <t>yeman_set</t>
        </is>
      </c>
      <c r="J17" s="3" t="inlineStr">
        <is>
          <t>野蛮套装</t>
        </is>
      </c>
      <c r="K17" s="3" t="inlineStr">
        <is>
          <t>北方蛮族的战利品，以兽皮与铁铆拼制，带有异域风格。</t>
        </is>
      </c>
      <c r="L17" s="4" t="n">
        <v>2000</v>
      </c>
      <c r="M17" s="4" t="n">
        <v>75</v>
      </c>
      <c r="N17" s="2" t="inlineStr">
        <is>
          <t>是</t>
        </is>
      </c>
      <c r="O17" s="4" t="n">
        <v>150</v>
      </c>
      <c r="P17" s="4" t="n">
        <v>10</v>
      </c>
      <c r="Q17" s="4" t="n">
        <v>20</v>
      </c>
      <c r="R17" s="4" t="n">
        <v>0</v>
      </c>
      <c r="S17" s="4" t="n">
        <v>0</v>
      </c>
      <c r="T17" s="4" t="n">
        <v>0</v>
      </c>
      <c r="U17" s="4" t="n">
        <v>0</v>
      </c>
      <c r="V17" s="5">
        <f>SUM(O17:U17)</f>
        <v/>
      </c>
      <c r="W17" s="6">
        <f>O17*'强度系数说明'!$B$7+P17*'强度系数说明'!$B$8+Q17*'强度系数说明'!$B$9+R17*'强度系数说明'!$B$10+S17*'强度系数说明'!$B$11+T17*'强度系数说明'!$B$12+U17*'强度系数说明'!$B$13</f>
        <v/>
      </c>
      <c r="X17" s="7">
        <f>SUMPRODUCT((O17:U17&gt;0)*O17:U17)</f>
        <v/>
      </c>
      <c r="Y17" s="2" t="inlineStr">
        <is>
          <t>否</t>
        </is>
      </c>
      <c r="Z17" s="2" t="inlineStr"/>
      <c r="AA17" s="4" t="inlineStr"/>
      <c r="AB17" s="4" t="inlineStr"/>
      <c r="AC17" s="3" t="inlineStr"/>
      <c r="AD17" s="3" t="inlineStr">
        <is>
          <t>{"bonus":{"defense":10,"force":25,"hp":300},"pieces":2}</t>
        </is>
      </c>
      <c r="AE17" s="3" t="inlineStr">
        <is>
          <t>{"defense":10,"force":20,"hp":150,"set_bonus":{"bonus":{"defense":10,"force":25,"hp":300},"pieces":2},"set_description":"野蛮套装","set_key":"yeman_set"}</t>
        </is>
      </c>
      <c r="AF17" s="3" t="inlineStr">
        <is>
          <t>data/item_templates.yaml:L2986</t>
        </is>
      </c>
    </row>
    <row r="18">
      <c r="A18" s="2" t="n">
        <v>17</v>
      </c>
      <c r="B18" s="2" t="inlineStr">
        <is>
          <t>equip_huwenkui</t>
        </is>
      </c>
      <c r="C18" s="2" t="inlineStr">
        <is>
          <t>虎纹盔</t>
        </is>
      </c>
      <c r="D18" s="2" t="inlineStr">
        <is>
          <t>helmet</t>
        </is>
      </c>
      <c r="E18" s="2" t="inlineStr">
        <is>
          <t>头盔</t>
        </is>
      </c>
      <c r="F18" s="2" t="inlineStr">
        <is>
          <t>equip_helmet</t>
        </is>
      </c>
      <c r="G18" s="2" t="inlineStr">
        <is>
          <t>green</t>
        </is>
      </c>
      <c r="H18" s="2" t="inlineStr">
        <is>
          <t>优良/绿</t>
        </is>
      </c>
      <c r="I18" s="2" t="inlineStr"/>
      <c r="J18" s="3" t="inlineStr"/>
      <c r="K18" s="3" t="inlineStr">
        <is>
          <t>据说是某位虎将的遗物，虎纹威猛，煞气逼人。</t>
        </is>
      </c>
      <c r="L18" s="4" t="n">
        <v>2500</v>
      </c>
      <c r="M18" s="4" t="n">
        <v>75</v>
      </c>
      <c r="N18" s="2" t="inlineStr">
        <is>
          <t>是</t>
        </is>
      </c>
      <c r="O18" s="4" t="n">
        <v>220</v>
      </c>
      <c r="P18" s="4" t="n">
        <v>18</v>
      </c>
      <c r="Q18" s="4" t="n">
        <v>15</v>
      </c>
      <c r="R18" s="4" t="n">
        <v>0</v>
      </c>
      <c r="S18" s="4" t="n">
        <v>0</v>
      </c>
      <c r="T18" s="4" t="n">
        <v>0</v>
      </c>
      <c r="U18" s="4" t="n">
        <v>0</v>
      </c>
      <c r="V18" s="5">
        <f>SUM(O18:U18)</f>
        <v/>
      </c>
      <c r="W18" s="6">
        <f>O18*'强度系数说明'!$B$7+P18*'强度系数说明'!$B$8+Q18*'强度系数说明'!$B$9+R18*'强度系数说明'!$B$10+S18*'强度系数说明'!$B$11+T18*'强度系数说明'!$B$12+U18*'强度系数说明'!$B$13</f>
        <v/>
      </c>
      <c r="X18" s="7">
        <f>SUMPRODUCT((O18:U18&gt;0)*O18:U18)</f>
        <v/>
      </c>
      <c r="Y18" s="2" t="inlineStr">
        <is>
          <t>否</t>
        </is>
      </c>
      <c r="Z18" s="2" t="inlineStr"/>
      <c r="AA18" s="4" t="inlineStr"/>
      <c r="AB18" s="4" t="inlineStr"/>
      <c r="AC18" s="3" t="inlineStr"/>
      <c r="AD18" s="3" t="inlineStr"/>
      <c r="AE18" s="3" t="inlineStr">
        <is>
          <t>{"defense":18,"force":15,"hp":220}</t>
        </is>
      </c>
      <c r="AF18" s="3" t="inlineStr">
        <is>
          <t>data/item_templates.yaml:L3007</t>
        </is>
      </c>
    </row>
    <row r="19">
      <c r="A19" s="2" t="n">
        <v>18</v>
      </c>
      <c r="B19" s="2" t="inlineStr">
        <is>
          <t>equip_baoutoukui</t>
        </is>
      </c>
      <c r="C19" s="2" t="inlineStr">
        <is>
          <t>豹头盔</t>
        </is>
      </c>
      <c r="D19" s="2" t="inlineStr">
        <is>
          <t>helmet</t>
        </is>
      </c>
      <c r="E19" s="2" t="inlineStr">
        <is>
          <t>头盔</t>
        </is>
      </c>
      <c r="F19" s="2" t="inlineStr">
        <is>
          <t>equip_helmet</t>
        </is>
      </c>
      <c r="G19" s="2" t="inlineStr">
        <is>
          <t>green</t>
        </is>
      </c>
      <c r="H19" s="2" t="inlineStr">
        <is>
          <t>优良/绿</t>
        </is>
      </c>
      <c r="I19" s="2" t="inlineStr"/>
      <c r="J19" s="3" t="inlineStr"/>
      <c r="K19" s="3" t="inlineStr">
        <is>
          <t>豹首造型的头盔，相传为豹子头林冲年轻时所佩。</t>
        </is>
      </c>
      <c r="L19" s="4" t="n">
        <v>2800</v>
      </c>
      <c r="M19" s="4" t="n">
        <v>75</v>
      </c>
      <c r="N19" s="2" t="inlineStr">
        <is>
          <t>是</t>
        </is>
      </c>
      <c r="O19" s="4" t="n">
        <v>200</v>
      </c>
      <c r="P19" s="4" t="n">
        <v>20</v>
      </c>
      <c r="Q19" s="4" t="n">
        <v>0</v>
      </c>
      <c r="R19" s="4" t="n">
        <v>0</v>
      </c>
      <c r="S19" s="4" t="n">
        <v>15</v>
      </c>
      <c r="T19" s="4" t="n">
        <v>0</v>
      </c>
      <c r="U19" s="4" t="n">
        <v>0</v>
      </c>
      <c r="V19" s="5">
        <f>SUM(O19:U19)</f>
        <v/>
      </c>
      <c r="W19" s="6">
        <f>O19*'强度系数说明'!$B$7+P19*'强度系数说明'!$B$8+Q19*'强度系数说明'!$B$9+R19*'强度系数说明'!$B$10+S19*'强度系数说明'!$B$11+T19*'强度系数说明'!$B$12+U19*'强度系数说明'!$B$13</f>
        <v/>
      </c>
      <c r="X19" s="7">
        <f>SUMPRODUCT((O19:U19&gt;0)*O19:U19)</f>
        <v/>
      </c>
      <c r="Y19" s="2" t="inlineStr">
        <is>
          <t>否</t>
        </is>
      </c>
      <c r="Z19" s="2" t="inlineStr"/>
      <c r="AA19" s="4" t="inlineStr"/>
      <c r="AB19" s="4" t="inlineStr"/>
      <c r="AC19" s="3" t="inlineStr"/>
      <c r="AD19" s="3" t="inlineStr"/>
      <c r="AE19" s="3" t="inlineStr">
        <is>
          <t>{"agility":15,"defense":20,"hp":200}</t>
        </is>
      </c>
      <c r="AF19" s="3" t="inlineStr">
        <is>
          <t>data/item_templates.yaml:L3021</t>
        </is>
      </c>
    </row>
    <row r="20">
      <c r="A20" s="2" t="n">
        <v>19</v>
      </c>
      <c r="B20" s="2" t="inlineStr">
        <is>
          <t>equip_yanlingmao</t>
        </is>
      </c>
      <c r="C20" s="2" t="inlineStr">
        <is>
          <t>雁翎帽</t>
        </is>
      </c>
      <c r="D20" s="2" t="inlineStr">
        <is>
          <t>helmet</t>
        </is>
      </c>
      <c r="E20" s="2" t="inlineStr">
        <is>
          <t>头盔</t>
        </is>
      </c>
      <c r="F20" s="2" t="inlineStr">
        <is>
          <t>equip_helmet</t>
        </is>
      </c>
      <c r="G20" s="2" t="inlineStr">
        <is>
          <t>green</t>
        </is>
      </c>
      <c r="H20" s="2" t="inlineStr">
        <is>
          <t>优良/绿</t>
        </is>
      </c>
      <c r="I20" s="2" t="inlineStr"/>
      <c r="J20" s="3" t="inlineStr"/>
      <c r="K20" s="3" t="inlineStr">
        <is>
          <t>以雁翎装饰的轻帽，是江湖侠客间广为流传的款式。</t>
        </is>
      </c>
      <c r="L20" s="4" t="n">
        <v>2200</v>
      </c>
      <c r="M20" s="4" t="n">
        <v>75</v>
      </c>
      <c r="N20" s="2" t="inlineStr">
        <is>
          <t>是</t>
        </is>
      </c>
      <c r="O20" s="4" t="n">
        <v>200</v>
      </c>
      <c r="P20" s="4" t="n">
        <v>15</v>
      </c>
      <c r="Q20" s="4" t="n">
        <v>0</v>
      </c>
      <c r="R20" s="4" t="n">
        <v>0</v>
      </c>
      <c r="S20" s="4" t="n">
        <v>15</v>
      </c>
      <c r="T20" s="4" t="n">
        <v>0</v>
      </c>
      <c r="U20" s="4" t="n">
        <v>0</v>
      </c>
      <c r="V20" s="5">
        <f>SUM(O20:U20)</f>
        <v/>
      </c>
      <c r="W20" s="6">
        <f>O20*'强度系数说明'!$B$7+P20*'强度系数说明'!$B$8+Q20*'强度系数说明'!$B$9+R20*'强度系数说明'!$B$10+S20*'强度系数说明'!$B$11+T20*'强度系数说明'!$B$12+U20*'强度系数说明'!$B$13</f>
        <v/>
      </c>
      <c r="X20" s="7">
        <f>SUMPRODUCT((O20:U20&gt;0)*O20:U20)</f>
        <v/>
      </c>
      <c r="Y20" s="2" t="inlineStr">
        <is>
          <t>否</t>
        </is>
      </c>
      <c r="Z20" s="2" t="inlineStr"/>
      <c r="AA20" s="4" t="inlineStr"/>
      <c r="AB20" s="4" t="inlineStr"/>
      <c r="AC20" s="3" t="inlineStr"/>
      <c r="AD20" s="3" t="inlineStr"/>
      <c r="AE20" s="3" t="inlineStr">
        <is>
          <t>{"agility":15,"defense":15,"hp":200}</t>
        </is>
      </c>
      <c r="AF20" s="3" t="inlineStr">
        <is>
          <t>data/item_templates.yaml:L3035</t>
        </is>
      </c>
    </row>
    <row r="21">
      <c r="A21" s="2" t="n">
        <v>20</v>
      </c>
      <c r="B21" s="2" t="inlineStr">
        <is>
          <t>equip_qingtengguan</t>
        </is>
      </c>
      <c r="C21" s="2" t="inlineStr">
        <is>
          <t>青藤冠</t>
        </is>
      </c>
      <c r="D21" s="2" t="inlineStr">
        <is>
          <t>helmet</t>
        </is>
      </c>
      <c r="E21" s="2" t="inlineStr">
        <is>
          <t>头盔</t>
        </is>
      </c>
      <c r="F21" s="2" t="inlineStr">
        <is>
          <t>equip_helmet</t>
        </is>
      </c>
      <c r="G21" s="2" t="inlineStr">
        <is>
          <t>green</t>
        </is>
      </c>
      <c r="H21" s="2" t="inlineStr">
        <is>
          <t>优良/绿</t>
        </is>
      </c>
      <c r="I21" s="2" t="inlineStr"/>
      <c r="J21" s="3" t="inlineStr"/>
      <c r="K21" s="3" t="inlineStr">
        <is>
          <t>以藤蔓与玉扣编织而成，据说出自某位隐居山林的高人之手。</t>
        </is>
      </c>
      <c r="L21" s="4" t="n">
        <v>2600</v>
      </c>
      <c r="M21" s="4" t="n">
        <v>75</v>
      </c>
      <c r="N21" s="2" t="inlineStr">
        <is>
          <t>是</t>
        </is>
      </c>
      <c r="O21" s="4" t="n">
        <v>200</v>
      </c>
      <c r="P21" s="4" t="n">
        <v>10</v>
      </c>
      <c r="Q21" s="4" t="n">
        <v>0</v>
      </c>
      <c r="R21" s="4" t="n">
        <v>15</v>
      </c>
      <c r="S21" s="4" t="n">
        <v>0</v>
      </c>
      <c r="T21" s="4" t="n">
        <v>5</v>
      </c>
      <c r="U21" s="4" t="n">
        <v>0</v>
      </c>
      <c r="V21" s="5">
        <f>SUM(O21:U21)</f>
        <v/>
      </c>
      <c r="W21" s="6">
        <f>O21*'强度系数说明'!$B$7+P21*'强度系数说明'!$B$8+Q21*'强度系数说明'!$B$9+R21*'强度系数说明'!$B$10+S21*'强度系数说明'!$B$11+T21*'强度系数说明'!$B$12+U21*'强度系数说明'!$B$13</f>
        <v/>
      </c>
      <c r="X21" s="7">
        <f>SUMPRODUCT((O21:U21&gt;0)*O21:U21)</f>
        <v/>
      </c>
      <c r="Y21" s="2" t="inlineStr">
        <is>
          <t>否</t>
        </is>
      </c>
      <c r="Z21" s="2" t="inlineStr"/>
      <c r="AA21" s="4" t="inlineStr"/>
      <c r="AB21" s="4" t="inlineStr"/>
      <c r="AC21" s="3" t="inlineStr"/>
      <c r="AD21" s="3" t="inlineStr"/>
      <c r="AE21" s="3" t="inlineStr">
        <is>
          <t>{"defense":10,"hp":200,"intellect":15,"luck":5}</t>
        </is>
      </c>
      <c r="AF21" s="3" t="inlineStr">
        <is>
          <t>data/item_templates.yaml:L3049</t>
        </is>
      </c>
    </row>
    <row r="22">
      <c r="A22" s="2" t="n">
        <v>21</v>
      </c>
      <c r="B22" s="2" t="inlineStr">
        <is>
          <t>equip_xiaoweitoukui</t>
        </is>
      </c>
      <c r="C22" s="2" t="inlineStr">
        <is>
          <t>校尉头盔</t>
        </is>
      </c>
      <c r="D22" s="2" t="inlineStr">
        <is>
          <t>helmet</t>
        </is>
      </c>
      <c r="E22" s="2" t="inlineStr">
        <is>
          <t>头盔</t>
        </is>
      </c>
      <c r="F22" s="2" t="inlineStr">
        <is>
          <t>equip_helmet</t>
        </is>
      </c>
      <c r="G22" s="2" t="inlineStr">
        <is>
          <t>blue</t>
        </is>
      </c>
      <c r="H22" s="2" t="inlineStr">
        <is>
          <t>稀有/蓝</t>
        </is>
      </c>
      <c r="I22" s="2" t="inlineStr">
        <is>
          <t>xiaowei_set</t>
        </is>
      </c>
      <c r="J22" s="3" t="inlineStr">
        <is>
          <t>校尉套装</t>
        </is>
      </c>
      <c r="K22" s="3" t="inlineStr">
        <is>
          <t>军中校尉制式头盔，上有龙纹标识，象征军阶与荣誉。</t>
        </is>
      </c>
      <c r="L22" s="4" t="n">
        <v>5000</v>
      </c>
      <c r="M22" s="4" t="n">
        <v>100</v>
      </c>
      <c r="N22" s="2" t="inlineStr">
        <is>
          <t>是</t>
        </is>
      </c>
      <c r="O22" s="4" t="n">
        <v>350</v>
      </c>
      <c r="P22" s="4" t="n">
        <v>20</v>
      </c>
      <c r="Q22" s="4" t="n">
        <v>15</v>
      </c>
      <c r="R22" s="4" t="n">
        <v>0</v>
      </c>
      <c r="S22" s="4" t="n">
        <v>0</v>
      </c>
      <c r="T22" s="4" t="n">
        <v>0</v>
      </c>
      <c r="U22" s="4" t="n">
        <v>20</v>
      </c>
      <c r="V22" s="5">
        <f>SUM(O22:U22)</f>
        <v/>
      </c>
      <c r="W22" s="6">
        <f>O22*'强度系数说明'!$B$7+P22*'强度系数说明'!$B$8+Q22*'强度系数说明'!$B$9+R22*'强度系数说明'!$B$10+S22*'强度系数说明'!$B$11+T22*'强度系数说明'!$B$12+U22*'强度系数说明'!$B$13</f>
        <v/>
      </c>
      <c r="X22" s="7">
        <f>SUMPRODUCT((O22:U22&gt;0)*O22:U22)</f>
        <v/>
      </c>
      <c r="Y22" s="2" t="inlineStr">
        <is>
          <t>否</t>
        </is>
      </c>
      <c r="Z22" s="2" t="inlineStr"/>
      <c r="AA22" s="4" t="inlineStr"/>
      <c r="AB22" s="4" t="inlineStr"/>
      <c r="AC22" s="3" t="inlineStr"/>
      <c r="AD22" s="3" t="inlineStr">
        <is>
          <t>{"bonus":{"defense":15,"force":40,"hp":360,"troop_capacity":100},"pieces":4}</t>
        </is>
      </c>
      <c r="AE22" s="3" t="inlineStr">
        <is>
          <t>{"defense":20,"force":15,"hp":350,"set_bonus":{"bonus":{"defense":15,"force":40,"hp":360,"troop_capacity":100},"pieces":4},"set_description":"校尉套装","set_key":"xiaowei_set","troop_capacity":20}</t>
        </is>
      </c>
      <c r="AF22" s="3" t="inlineStr">
        <is>
          <t>data/item_templates.yaml:L3066</t>
        </is>
      </c>
    </row>
    <row r="23">
      <c r="A23" s="2" t="n">
        <v>22</v>
      </c>
      <c r="B23" s="2" t="inlineStr">
        <is>
          <t>equip_jiaodoushitoukui</t>
        </is>
      </c>
      <c r="C23" s="2" t="inlineStr">
        <is>
          <t>角斗士头盔</t>
        </is>
      </c>
      <c r="D23" s="2" t="inlineStr">
        <is>
          <t>helmet</t>
        </is>
      </c>
      <c r="E23" s="2" t="inlineStr">
        <is>
          <t>头盔</t>
        </is>
      </c>
      <c r="F23" s="2" t="inlineStr">
        <is>
          <t>equip_helmet</t>
        </is>
      </c>
      <c r="G23" s="2" t="inlineStr">
        <is>
          <t>blue</t>
        </is>
      </c>
      <c r="H23" s="2" t="inlineStr">
        <is>
          <t>稀有/蓝</t>
        </is>
      </c>
      <c r="I23" s="2" t="inlineStr">
        <is>
          <t>jiaodoushi_set</t>
        </is>
      </c>
      <c r="J23" s="3" t="inlineStr">
        <is>
          <t>角斗士套装</t>
        </is>
      </c>
      <c r="K23" s="3" t="inlineStr">
        <is>
          <t>角斗场老兵常用的重盔，面甲刻有胜场纹记，兼顾防护与压迫感。</t>
        </is>
      </c>
      <c r="L23" s="4" t="n">
        <v>6200</v>
      </c>
      <c r="M23" s="4" t="n">
        <v>100</v>
      </c>
      <c r="N23" s="2" t="inlineStr">
        <is>
          <t>是</t>
        </is>
      </c>
      <c r="O23" s="4" t="n">
        <v>350</v>
      </c>
      <c r="P23" s="4" t="n">
        <v>25</v>
      </c>
      <c r="Q23" s="4" t="n">
        <v>20</v>
      </c>
      <c r="R23" s="4" t="n">
        <v>0</v>
      </c>
      <c r="S23" s="4" t="n">
        <v>0</v>
      </c>
      <c r="T23" s="4" t="n">
        <v>0</v>
      </c>
      <c r="U23" s="4" t="n">
        <v>0</v>
      </c>
      <c r="V23" s="5">
        <f>SUM(O23:U23)</f>
        <v/>
      </c>
      <c r="W23" s="6">
        <f>O23*'强度系数说明'!$B$7+P23*'强度系数说明'!$B$8+Q23*'强度系数说明'!$B$9+R23*'强度系数说明'!$B$10+S23*'强度系数说明'!$B$11+T23*'强度系数说明'!$B$12+U23*'强度系数说明'!$B$13</f>
        <v/>
      </c>
      <c r="X23" s="7">
        <f>SUMPRODUCT((O23:U23&gt;0)*O23:U23)</f>
        <v/>
      </c>
      <c r="Y23" s="2" t="inlineStr">
        <is>
          <t>否</t>
        </is>
      </c>
      <c r="Z23" s="2" t="inlineStr"/>
      <c r="AA23" s="4" t="inlineStr"/>
      <c r="AB23" s="4" t="inlineStr"/>
      <c r="AC23" s="3" t="inlineStr"/>
      <c r="AD23" s="3" t="inlineStr">
        <is>
          <t>{"bonus":{"agility":15,"defense":10,"force":30,"hp":280},"pieces":4}</t>
        </is>
      </c>
      <c r="AE23" s="3" t="inlineStr">
        <is>
          <t>{"defense":25,"force":20,"hp":350,"set_bonus":{"bonus":{"agility":15,"defense":10,"force":30,"hp":280},"pieces":4},"set_description":"角斗士套装","set_key":"jiaodoushi_set"}</t>
        </is>
      </c>
      <c r="AF23" s="3" t="inlineStr">
        <is>
          <t>data/item_templates.yaml:L3089</t>
        </is>
      </c>
    </row>
    <row r="24">
      <c r="A24" s="2" t="n">
        <v>23</v>
      </c>
      <c r="B24" s="2" t="inlineStr">
        <is>
          <t>equip_xuantiekui</t>
        </is>
      </c>
      <c r="C24" s="2" t="inlineStr">
        <is>
          <t>玄铁盔</t>
        </is>
      </c>
      <c r="D24" s="2" t="inlineStr">
        <is>
          <t>helmet</t>
        </is>
      </c>
      <c r="E24" s="2" t="inlineStr">
        <is>
          <t>头盔</t>
        </is>
      </c>
      <c r="F24" s="2" t="inlineStr">
        <is>
          <t>equip_helmet</t>
        </is>
      </c>
      <c r="G24" s="2" t="inlineStr">
        <is>
          <t>blue</t>
        </is>
      </c>
      <c r="H24" s="2" t="inlineStr">
        <is>
          <t>稀有/蓝</t>
        </is>
      </c>
      <c r="I24" s="2" t="inlineStr"/>
      <c r="J24" s="3" t="inlineStr"/>
      <c r="K24" s="3" t="inlineStr">
        <is>
          <t>以罕见玄铁锻成，据传耗费了三位铁匠十年心血。</t>
        </is>
      </c>
      <c r="L24" s="4" t="n">
        <v>6000</v>
      </c>
      <c r="M24" s="4" t="n">
        <v>100</v>
      </c>
      <c r="N24" s="2" t="inlineStr">
        <is>
          <t>是</t>
        </is>
      </c>
      <c r="O24" s="4" t="n">
        <v>340</v>
      </c>
      <c r="P24" s="4" t="n">
        <v>40</v>
      </c>
      <c r="Q24" s="4" t="n">
        <v>15</v>
      </c>
      <c r="R24" s="4" t="n">
        <v>0</v>
      </c>
      <c r="S24" s="4" t="n">
        <v>0</v>
      </c>
      <c r="T24" s="4" t="n">
        <v>0</v>
      </c>
      <c r="U24" s="4" t="n">
        <v>0</v>
      </c>
      <c r="V24" s="5">
        <f>SUM(O24:U24)</f>
        <v/>
      </c>
      <c r="W24" s="6">
        <f>O24*'强度系数说明'!$B$7+P24*'强度系数说明'!$B$8+Q24*'强度系数说明'!$B$9+R24*'强度系数说明'!$B$10+S24*'强度系数说明'!$B$11+T24*'强度系数说明'!$B$12+U24*'强度系数说明'!$B$13</f>
        <v/>
      </c>
      <c r="X24" s="7">
        <f>SUMPRODUCT((O24:U24&gt;0)*O24:U24)</f>
        <v/>
      </c>
      <c r="Y24" s="2" t="inlineStr">
        <is>
          <t>否</t>
        </is>
      </c>
      <c r="Z24" s="2" t="inlineStr"/>
      <c r="AA24" s="4" t="inlineStr"/>
      <c r="AB24" s="4" t="inlineStr"/>
      <c r="AC24" s="3" t="inlineStr"/>
      <c r="AD24" s="3" t="inlineStr"/>
      <c r="AE24" s="3" t="inlineStr">
        <is>
          <t>{"defense":40,"force":15,"hp":340}</t>
        </is>
      </c>
      <c r="AF24" s="3" t="inlineStr">
        <is>
          <t>data/item_templates.yaml:L3111</t>
        </is>
      </c>
    </row>
    <row r="25">
      <c r="A25" s="2" t="n">
        <v>24</v>
      </c>
      <c r="B25" s="2" t="inlineStr">
        <is>
          <t>equip_qinglongkui</t>
        </is>
      </c>
      <c r="C25" s="2" t="inlineStr">
        <is>
          <t>青龙盔</t>
        </is>
      </c>
      <c r="D25" s="2" t="inlineStr">
        <is>
          <t>helmet</t>
        </is>
      </c>
      <c r="E25" s="2" t="inlineStr">
        <is>
          <t>头盔</t>
        </is>
      </c>
      <c r="F25" s="2" t="inlineStr">
        <is>
          <t>equip_helmet</t>
        </is>
      </c>
      <c r="G25" s="2" t="inlineStr">
        <is>
          <t>blue</t>
        </is>
      </c>
      <c r="H25" s="2" t="inlineStr">
        <is>
          <t>稀有/蓝</t>
        </is>
      </c>
      <c r="I25" s="2" t="inlineStr">
        <is>
          <t>sixiang_set</t>
        </is>
      </c>
      <c r="J25" s="3" t="inlineStr">
        <is>
          <t>四象套装</t>
        </is>
      </c>
      <c r="K25" s="3" t="inlineStr">
        <is>
          <t>青龙纹路盘绕其上，相传是东方青龙庙镇殿之物。</t>
        </is>
      </c>
      <c r="L25" s="4" t="n">
        <v>5500</v>
      </c>
      <c r="M25" s="4" t="n">
        <v>100</v>
      </c>
      <c r="N25" s="2" t="inlineStr">
        <is>
          <t>是</t>
        </is>
      </c>
      <c r="O25" s="4" t="n">
        <v>400</v>
      </c>
      <c r="P25" s="4" t="n">
        <v>20</v>
      </c>
      <c r="Q25" s="4" t="n">
        <v>0</v>
      </c>
      <c r="R25" s="4" t="n">
        <v>22</v>
      </c>
      <c r="S25" s="4" t="n">
        <v>0</v>
      </c>
      <c r="T25" s="4" t="n">
        <v>0</v>
      </c>
      <c r="U25" s="4" t="n">
        <v>0</v>
      </c>
      <c r="V25" s="5">
        <f>SUM(O25:U25)</f>
        <v/>
      </c>
      <c r="W25" s="6">
        <f>O25*'强度系数说明'!$B$7+P25*'强度系数说明'!$B$8+Q25*'强度系数说明'!$B$9+R25*'强度系数说明'!$B$10+S25*'强度系数说明'!$B$11+T25*'强度系数说明'!$B$12+U25*'强度系数说明'!$B$13</f>
        <v/>
      </c>
      <c r="X25" s="7">
        <f>SUMPRODUCT((O25:U25&gt;0)*O25:U25)</f>
        <v/>
      </c>
      <c r="Y25" s="2" t="inlineStr">
        <is>
          <t>否</t>
        </is>
      </c>
      <c r="Z25" s="2" t="inlineStr"/>
      <c r="AA25" s="4" t="inlineStr"/>
      <c r="AB25" s="4" t="inlineStr"/>
      <c r="AC25" s="3" t="inlineStr"/>
      <c r="AD25" s="3" t="inlineStr">
        <is>
          <t>{"bonus":{"agility":20,"force":35,"hp":360,"intellect":35},"pieces":4}</t>
        </is>
      </c>
      <c r="AE25" s="3" t="inlineStr">
        <is>
          <t>{"defense":20,"hp":400,"intellect":22,"set_bonus":{"bonus":{"agility":20,"force":35,"hp":360,"intellect":35},"pieces":4},"set_description":"四象套装","set_key":"sixiang_set"}</t>
        </is>
      </c>
      <c r="AF25" s="3" t="inlineStr">
        <is>
          <t>data/item_templates.yaml:L3125</t>
        </is>
      </c>
    </row>
    <row r="26">
      <c r="A26" s="2" t="n">
        <v>25</v>
      </c>
      <c r="B26" s="2" t="inlineStr">
        <is>
          <t>equip_hantiekui</t>
        </is>
      </c>
      <c r="C26" s="2" t="inlineStr">
        <is>
          <t>寒铁盔</t>
        </is>
      </c>
      <c r="D26" s="2" t="inlineStr">
        <is>
          <t>helmet</t>
        </is>
      </c>
      <c r="E26" s="2" t="inlineStr">
        <is>
          <t>头盔</t>
        </is>
      </c>
      <c r="F26" s="2" t="inlineStr">
        <is>
          <t>equip_helmet</t>
        </is>
      </c>
      <c r="G26" s="2" t="inlineStr">
        <is>
          <t>blue</t>
        </is>
      </c>
      <c r="H26" s="2" t="inlineStr">
        <is>
          <t>稀有/蓝</t>
        </is>
      </c>
      <c r="I26" s="2" t="inlineStr"/>
      <c r="J26" s="3" t="inlineStr"/>
      <c r="K26" s="3" t="inlineStr">
        <is>
          <t>以极北寒铁铸就，触之冰凉入骨，常年不受寒侵。</t>
        </is>
      </c>
      <c r="L26" s="4" t="n">
        <v>6500</v>
      </c>
      <c r="M26" s="4" t="n">
        <v>100</v>
      </c>
      <c r="N26" s="2" t="inlineStr">
        <is>
          <t>是</t>
        </is>
      </c>
      <c r="O26" s="4" t="n">
        <v>380</v>
      </c>
      <c r="P26" s="4" t="n">
        <v>35</v>
      </c>
      <c r="Q26" s="4" t="n">
        <v>5</v>
      </c>
      <c r="R26" s="4" t="n">
        <v>0</v>
      </c>
      <c r="S26" s="4" t="n">
        <v>0</v>
      </c>
      <c r="T26" s="4" t="n">
        <v>0</v>
      </c>
      <c r="U26" s="4" t="n">
        <v>0</v>
      </c>
      <c r="V26" s="5">
        <f>SUM(O26:U26)</f>
        <v/>
      </c>
      <c r="W26" s="6">
        <f>O26*'强度系数说明'!$B$7+P26*'强度系数说明'!$B$8+Q26*'强度系数说明'!$B$9+R26*'强度系数说明'!$B$10+S26*'强度系数说明'!$B$11+T26*'强度系数说明'!$B$12+U26*'强度系数说明'!$B$13</f>
        <v/>
      </c>
      <c r="X26" s="7">
        <f>SUMPRODUCT((O26:U26&gt;0)*O26:U26)</f>
        <v/>
      </c>
      <c r="Y26" s="2" t="inlineStr">
        <is>
          <t>否</t>
        </is>
      </c>
      <c r="Z26" s="2" t="inlineStr"/>
      <c r="AA26" s="4" t="inlineStr"/>
      <c r="AB26" s="4" t="inlineStr"/>
      <c r="AC26" s="3" t="inlineStr"/>
      <c r="AD26" s="3" t="inlineStr"/>
      <c r="AE26" s="3" t="inlineStr">
        <is>
          <t>{"defense":35,"force":5,"hp":380}</t>
        </is>
      </c>
      <c r="AF26" s="3" t="inlineStr">
        <is>
          <t>data/item_templates.yaml:L3147</t>
        </is>
      </c>
    </row>
    <row r="27">
      <c r="A27" s="2" t="n">
        <v>26</v>
      </c>
      <c r="B27" s="2" t="inlineStr">
        <is>
          <t>equip_langyakui</t>
        </is>
      </c>
      <c r="C27" s="2" t="inlineStr">
        <is>
          <t>狼牙盔</t>
        </is>
      </c>
      <c r="D27" s="2" t="inlineStr">
        <is>
          <t>helmet</t>
        </is>
      </c>
      <c r="E27" s="2" t="inlineStr">
        <is>
          <t>头盔</t>
        </is>
      </c>
      <c r="F27" s="2" t="inlineStr">
        <is>
          <t>equip_helmet</t>
        </is>
      </c>
      <c r="G27" s="2" t="inlineStr">
        <is>
          <t>blue</t>
        </is>
      </c>
      <c r="H27" s="2" t="inlineStr">
        <is>
          <t>稀有/蓝</t>
        </is>
      </c>
      <c r="I27" s="2" t="inlineStr"/>
      <c r="J27" s="3" t="inlineStr"/>
      <c r="K27" s="3" t="inlineStr">
        <is>
          <t>草原狼王的头骨所制，盔缘嵌有狼牙，凶悍异常。</t>
        </is>
      </c>
      <c r="L27" s="4" t="n">
        <v>5800</v>
      </c>
      <c r="M27" s="4" t="n">
        <v>100</v>
      </c>
      <c r="N27" s="2" t="inlineStr">
        <is>
          <t>是</t>
        </is>
      </c>
      <c r="O27" s="4" t="n">
        <v>300</v>
      </c>
      <c r="P27" s="4" t="n">
        <v>20</v>
      </c>
      <c r="Q27" s="4" t="n">
        <v>20</v>
      </c>
      <c r="R27" s="4" t="n">
        <v>0</v>
      </c>
      <c r="S27" s="4" t="n">
        <v>15</v>
      </c>
      <c r="T27" s="4" t="n">
        <v>0</v>
      </c>
      <c r="U27" s="4" t="n">
        <v>0</v>
      </c>
      <c r="V27" s="5">
        <f>SUM(O27:U27)</f>
        <v/>
      </c>
      <c r="W27" s="6">
        <f>O27*'强度系数说明'!$B$7+P27*'强度系数说明'!$B$8+Q27*'强度系数说明'!$B$9+R27*'强度系数说明'!$B$10+S27*'强度系数说明'!$B$11+T27*'强度系数说明'!$B$12+U27*'强度系数说明'!$B$13</f>
        <v/>
      </c>
      <c r="X27" s="7">
        <f>SUMPRODUCT((O27:U27&gt;0)*O27:U27)</f>
        <v/>
      </c>
      <c r="Y27" s="2" t="inlineStr">
        <is>
          <t>否</t>
        </is>
      </c>
      <c r="Z27" s="2" t="inlineStr"/>
      <c r="AA27" s="4" t="inlineStr"/>
      <c r="AB27" s="4" t="inlineStr"/>
      <c r="AC27" s="3" t="inlineStr"/>
      <c r="AD27" s="3" t="inlineStr"/>
      <c r="AE27" s="3" t="inlineStr">
        <is>
          <t>{"agility":15,"defense":20,"force":20,"hp":300}</t>
        </is>
      </c>
      <c r="AF27" s="3" t="inlineStr">
        <is>
          <t>data/item_templates.yaml:L3161</t>
        </is>
      </c>
    </row>
    <row r="28">
      <c r="A28" s="2" t="n">
        <v>27</v>
      </c>
      <c r="B28" s="2" t="inlineStr">
        <is>
          <t>equip_feiyukui</t>
        </is>
      </c>
      <c r="C28" s="2" t="inlineStr">
        <is>
          <t>飞羽盔</t>
        </is>
      </c>
      <c r="D28" s="2" t="inlineStr">
        <is>
          <t>helmet</t>
        </is>
      </c>
      <c r="E28" s="2" t="inlineStr">
        <is>
          <t>头盔</t>
        </is>
      </c>
      <c r="F28" s="2" t="inlineStr">
        <is>
          <t>equip_helmet</t>
        </is>
      </c>
      <c r="G28" s="2" t="inlineStr">
        <is>
          <t>blue</t>
        </is>
      </c>
      <c r="H28" s="2" t="inlineStr">
        <is>
          <t>稀有/蓝</t>
        </is>
      </c>
      <c r="I28" s="2" t="inlineStr"/>
      <c r="J28" s="3" t="inlineStr"/>
      <c r="K28" s="3" t="inlineStr">
        <is>
          <t>以百鸟之羽装饰的轻盔，据说曾是某位神箭手的心爱之物。</t>
        </is>
      </c>
      <c r="L28" s="4" t="n">
        <v>5600</v>
      </c>
      <c r="M28" s="4" t="n">
        <v>100</v>
      </c>
      <c r="N28" s="2" t="inlineStr">
        <is>
          <t>是</t>
        </is>
      </c>
      <c r="O28" s="4" t="n">
        <v>400</v>
      </c>
      <c r="P28" s="4" t="n">
        <v>15</v>
      </c>
      <c r="Q28" s="4" t="n">
        <v>0</v>
      </c>
      <c r="R28" s="4" t="n">
        <v>0</v>
      </c>
      <c r="S28" s="4" t="n">
        <v>25</v>
      </c>
      <c r="T28" s="4" t="n">
        <v>10</v>
      </c>
      <c r="U28" s="4" t="n">
        <v>0</v>
      </c>
      <c r="V28" s="5">
        <f>SUM(O28:U28)</f>
        <v/>
      </c>
      <c r="W28" s="6">
        <f>O28*'强度系数说明'!$B$7+P28*'强度系数说明'!$B$8+Q28*'强度系数说明'!$B$9+R28*'强度系数说明'!$B$10+S28*'强度系数说明'!$B$11+T28*'强度系数说明'!$B$12+U28*'强度系数说明'!$B$13</f>
        <v/>
      </c>
      <c r="X28" s="7">
        <f>SUMPRODUCT((O28:U28&gt;0)*O28:U28)</f>
        <v/>
      </c>
      <c r="Y28" s="2" t="inlineStr">
        <is>
          <t>否</t>
        </is>
      </c>
      <c r="Z28" s="2" t="inlineStr"/>
      <c r="AA28" s="4" t="inlineStr"/>
      <c r="AB28" s="4" t="inlineStr"/>
      <c r="AC28" s="3" t="inlineStr"/>
      <c r="AD28" s="3" t="inlineStr"/>
      <c r="AE28" s="3" t="inlineStr">
        <is>
          <t>{"agility":25,"defense":15,"hp":400,"luck":10}</t>
        </is>
      </c>
      <c r="AF28" s="3" t="inlineStr">
        <is>
          <t>data/item_templates.yaml:L3176</t>
        </is>
      </c>
    </row>
    <row r="29">
      <c r="A29" s="2" t="n">
        <v>28</v>
      </c>
      <c r="B29" s="2" t="inlineStr">
        <is>
          <t>equip_yunwenkui</t>
        </is>
      </c>
      <c r="C29" s="2" t="inlineStr">
        <is>
          <t>云纹盔</t>
        </is>
      </c>
      <c r="D29" s="2" t="inlineStr">
        <is>
          <t>helmet</t>
        </is>
      </c>
      <c r="E29" s="2" t="inlineStr">
        <is>
          <t>头盔</t>
        </is>
      </c>
      <c r="F29" s="2" t="inlineStr">
        <is>
          <t>equip_helmet</t>
        </is>
      </c>
      <c r="G29" s="2" t="inlineStr">
        <is>
          <t>blue</t>
        </is>
      </c>
      <c r="H29" s="2" t="inlineStr">
        <is>
          <t>稀有/蓝</t>
        </is>
      </c>
      <c r="I29" s="2" t="inlineStr"/>
      <c r="J29" s="3" t="inlineStr"/>
      <c r="K29" s="3" t="inlineStr">
        <is>
          <t>盔面云纹如行云流水，出自名匠"云中子"之手。</t>
        </is>
      </c>
      <c r="L29" s="4" t="n">
        <v>6200</v>
      </c>
      <c r="M29" s="4" t="n">
        <v>100</v>
      </c>
      <c r="N29" s="2" t="inlineStr">
        <is>
          <t>是</t>
        </is>
      </c>
      <c r="O29" s="4" t="n">
        <v>300</v>
      </c>
      <c r="P29" s="4" t="n">
        <v>15</v>
      </c>
      <c r="Q29" s="4" t="n">
        <v>0</v>
      </c>
      <c r="R29" s="4" t="n">
        <v>25</v>
      </c>
      <c r="S29" s="4" t="n">
        <v>0</v>
      </c>
      <c r="T29" s="4" t="n">
        <v>10</v>
      </c>
      <c r="U29" s="4" t="n">
        <v>0</v>
      </c>
      <c r="V29" s="5">
        <f>SUM(O29:U29)</f>
        <v/>
      </c>
      <c r="W29" s="6">
        <f>O29*'强度系数说明'!$B$7+P29*'强度系数说明'!$B$8+Q29*'强度系数说明'!$B$9+R29*'强度系数说明'!$B$10+S29*'强度系数说明'!$B$11+T29*'强度系数说明'!$B$12+U29*'强度系数说明'!$B$13</f>
        <v/>
      </c>
      <c r="X29" s="7">
        <f>SUMPRODUCT((O29:U29&gt;0)*O29:U29)</f>
        <v/>
      </c>
      <c r="Y29" s="2" t="inlineStr">
        <is>
          <t>否</t>
        </is>
      </c>
      <c r="Z29" s="2" t="inlineStr"/>
      <c r="AA29" s="4" t="inlineStr"/>
      <c r="AB29" s="4" t="inlineStr"/>
      <c r="AC29" s="3" t="inlineStr"/>
      <c r="AD29" s="3" t="inlineStr"/>
      <c r="AE29" s="3" t="inlineStr">
        <is>
          <t>{"defense":15,"hp":300,"intellect":25,"luck":10}</t>
        </is>
      </c>
      <c r="AF29" s="3" t="inlineStr">
        <is>
          <t>data/item_templates.yaml:L3191</t>
        </is>
      </c>
    </row>
    <row r="30">
      <c r="A30" s="2" t="n">
        <v>29</v>
      </c>
      <c r="B30" s="2" t="inlineStr">
        <is>
          <t>equip_qilinkui</t>
        </is>
      </c>
      <c r="C30" s="2" t="inlineStr">
        <is>
          <t>麒麟盔</t>
        </is>
      </c>
      <c r="D30" s="2" t="inlineStr">
        <is>
          <t>helmet</t>
        </is>
      </c>
      <c r="E30" s="2" t="inlineStr">
        <is>
          <t>头盔</t>
        </is>
      </c>
      <c r="F30" s="2" t="inlineStr">
        <is>
          <t>equip_helmet</t>
        </is>
      </c>
      <c r="G30" s="2" t="inlineStr">
        <is>
          <t>purple</t>
        </is>
      </c>
      <c r="H30" s="2" t="inlineStr">
        <is>
          <t>史诗/紫</t>
        </is>
      </c>
      <c r="I30" s="2" t="inlineStr">
        <is>
          <t>qilin_set</t>
        </is>
      </c>
      <c r="J30" s="3" t="inlineStr">
        <is>
          <t>麒麟套装</t>
        </is>
      </c>
      <c r="K30" s="3" t="inlineStr">
        <is>
          <t>仿麒麟头颅锻造，相传是某位开国将军的传家之宝。</t>
        </is>
      </c>
      <c r="L30" s="4" t="n">
        <v>15000</v>
      </c>
      <c r="M30" s="4" t="n">
        <v>150</v>
      </c>
      <c r="N30" s="2" t="inlineStr">
        <is>
          <t>是</t>
        </is>
      </c>
      <c r="O30" s="4" t="n">
        <v>440</v>
      </c>
      <c r="P30" s="4" t="n">
        <v>33</v>
      </c>
      <c r="Q30" s="4" t="n">
        <v>28</v>
      </c>
      <c r="R30" s="4" t="n">
        <v>3</v>
      </c>
      <c r="S30" s="4" t="n">
        <v>0</v>
      </c>
      <c r="T30" s="4" t="n">
        <v>0</v>
      </c>
      <c r="U30" s="4" t="n">
        <v>0</v>
      </c>
      <c r="V30" s="5">
        <f>SUM(O30:U30)</f>
        <v/>
      </c>
      <c r="W30" s="6">
        <f>O30*'强度系数说明'!$B$7+P30*'强度系数说明'!$B$8+Q30*'强度系数说明'!$B$9+R30*'强度系数说明'!$B$10+S30*'强度系数说明'!$B$11+T30*'强度系数说明'!$B$12+U30*'强度系数说明'!$B$13</f>
        <v/>
      </c>
      <c r="X30" s="7">
        <f>SUMPRODUCT((O30:U30&gt;0)*O30:U30)</f>
        <v/>
      </c>
      <c r="Y30" s="2" t="inlineStr">
        <is>
          <t>否</t>
        </is>
      </c>
      <c r="Z30" s="2" t="inlineStr"/>
      <c r="AA30" s="4" t="inlineStr"/>
      <c r="AB30" s="4" t="inlineStr"/>
      <c r="AC30" s="3" t="inlineStr"/>
      <c r="AD30" s="3" t="inlineStr">
        <is>
          <t>{"bonus":{"agility":18,"force":38,"hp":420,"luck":30},"pieces":4}</t>
        </is>
      </c>
      <c r="AE30" s="3" t="inlineStr">
        <is>
          <t>{"defense":33,"force":28,"hp":440,"intellect":3,"set_bonus":{"bonus":{"agility":18,"force":38,"hp":420,"luck":30},"pieces":4},"set_description":"麒麟套装","set_key":"qilin_set"}</t>
        </is>
      </c>
      <c r="AF30" s="3" t="inlineStr">
        <is>
          <t>data/item_templates.yaml:L3208</t>
        </is>
      </c>
    </row>
    <row r="31">
      <c r="A31" s="2" t="n">
        <v>30</v>
      </c>
      <c r="B31" s="2" t="inlineStr">
        <is>
          <t>equip_fenglingguan</t>
        </is>
      </c>
      <c r="C31" s="2" t="inlineStr">
        <is>
          <t>凤翎冠</t>
        </is>
      </c>
      <c r="D31" s="2" t="inlineStr">
        <is>
          <t>helmet</t>
        </is>
      </c>
      <c r="E31" s="2" t="inlineStr">
        <is>
          <t>头盔</t>
        </is>
      </c>
      <c r="F31" s="2" t="inlineStr">
        <is>
          <t>equip_helmet</t>
        </is>
      </c>
      <c r="G31" s="2" t="inlineStr">
        <is>
          <t>purple</t>
        </is>
      </c>
      <c r="H31" s="2" t="inlineStr">
        <is>
          <t>史诗/紫</t>
        </is>
      </c>
      <c r="I31" s="2" t="inlineStr">
        <is>
          <t>fengling_set</t>
        </is>
      </c>
      <c r="J31" s="3" t="inlineStr">
        <is>
          <t>凤翎套装</t>
        </is>
      </c>
      <c r="K31" s="3" t="inlineStr">
        <is>
          <t>以凤凰翎羽点缀的华冠，曾是后宫贵妃所赐之物。</t>
        </is>
      </c>
      <c r="L31" s="4" t="n">
        <v>14000</v>
      </c>
      <c r="M31" s="4" t="n">
        <v>150</v>
      </c>
      <c r="N31" s="2" t="inlineStr">
        <is>
          <t>是</t>
        </is>
      </c>
      <c r="O31" s="4" t="n">
        <v>360</v>
      </c>
      <c r="P31" s="4" t="n">
        <v>21</v>
      </c>
      <c r="Q31" s="4" t="n">
        <v>0</v>
      </c>
      <c r="R31" s="4" t="n">
        <v>32</v>
      </c>
      <c r="S31" s="4" t="n">
        <v>0</v>
      </c>
      <c r="T31" s="4" t="n">
        <v>11</v>
      </c>
      <c r="U31" s="4" t="n">
        <v>0</v>
      </c>
      <c r="V31" s="5">
        <f>SUM(O31:U31)</f>
        <v/>
      </c>
      <c r="W31" s="6">
        <f>O31*'强度系数说明'!$B$7+P31*'强度系数说明'!$B$8+Q31*'强度系数说明'!$B$9+R31*'强度系数说明'!$B$10+S31*'强度系数说明'!$B$11+T31*'强度系数说明'!$B$12+U31*'强度系数说明'!$B$13</f>
        <v/>
      </c>
      <c r="X31" s="7">
        <f>SUMPRODUCT((O31:U31&gt;0)*O31:U31)</f>
        <v/>
      </c>
      <c r="Y31" s="2" t="inlineStr">
        <is>
          <t>否</t>
        </is>
      </c>
      <c r="Z31" s="2" t="inlineStr"/>
      <c r="AA31" s="4" t="inlineStr"/>
      <c r="AB31" s="4" t="inlineStr"/>
      <c r="AC31" s="3" t="inlineStr"/>
      <c r="AD31" s="3" t="inlineStr">
        <is>
          <t>{"bonus":{"intellect":60,"luck":30},"pieces":3}</t>
        </is>
      </c>
      <c r="AE31" s="3" t="inlineStr">
        <is>
          <t>{"defense":21,"hp":360,"intellect":32,"luck":11,"set_bonus":{"bonus":{"intellect":60,"luck":30},"pieces":3},"set_description":"凤翎套装","set_key":"fengling_set"}</t>
        </is>
      </c>
      <c r="AF31" s="3" t="inlineStr">
        <is>
          <t>data/item_templates.yaml:L3231</t>
        </is>
      </c>
    </row>
    <row r="32">
      <c r="A32" s="2" t="n">
        <v>31</v>
      </c>
      <c r="B32" s="2" t="inlineStr">
        <is>
          <t>equip_bawangkui</t>
        </is>
      </c>
      <c r="C32" s="2" t="inlineStr">
        <is>
          <t>霸王盔</t>
        </is>
      </c>
      <c r="D32" s="2" t="inlineStr">
        <is>
          <t>helmet</t>
        </is>
      </c>
      <c r="E32" s="2" t="inlineStr">
        <is>
          <t>头盔</t>
        </is>
      </c>
      <c r="F32" s="2" t="inlineStr">
        <is>
          <t>equip_helmet</t>
        </is>
      </c>
      <c r="G32" s="2" t="inlineStr">
        <is>
          <t>purple</t>
        </is>
      </c>
      <c r="H32" s="2" t="inlineStr">
        <is>
          <t>史诗/紫</t>
        </is>
      </c>
      <c r="I32" s="2" t="inlineStr"/>
      <c r="J32" s="3" t="inlineStr"/>
      <c r="K32" s="3" t="inlineStr">
        <is>
          <t>相传为西楚霸王项羽的遗物，气势撼人，威压四方。</t>
        </is>
      </c>
      <c r="L32" s="4" t="n">
        <v>18000</v>
      </c>
      <c r="M32" s="4" t="n">
        <v>150</v>
      </c>
      <c r="N32" s="2" t="inlineStr">
        <is>
          <t>是</t>
        </is>
      </c>
      <c r="O32" s="4" t="n">
        <v>500</v>
      </c>
      <c r="P32" s="4" t="n">
        <v>30</v>
      </c>
      <c r="Q32" s="4" t="n">
        <v>35</v>
      </c>
      <c r="R32" s="4" t="n">
        <v>0</v>
      </c>
      <c r="S32" s="4" t="n">
        <v>0</v>
      </c>
      <c r="T32" s="4" t="n">
        <v>0</v>
      </c>
      <c r="U32" s="4" t="n">
        <v>0</v>
      </c>
      <c r="V32" s="5">
        <f>SUM(O32:U32)</f>
        <v/>
      </c>
      <c r="W32" s="6">
        <f>O32*'强度系数说明'!$B$7+P32*'强度系数说明'!$B$8+Q32*'强度系数说明'!$B$9+R32*'强度系数说明'!$B$10+S32*'强度系数说明'!$B$11+T32*'强度系数说明'!$B$12+U32*'强度系数说明'!$B$13</f>
        <v/>
      </c>
      <c r="X32" s="7">
        <f>SUMPRODUCT((O32:U32&gt;0)*O32:U32)</f>
        <v/>
      </c>
      <c r="Y32" s="2" t="inlineStr">
        <is>
          <t>否</t>
        </is>
      </c>
      <c r="Z32" s="2" t="inlineStr"/>
      <c r="AA32" s="4" t="inlineStr"/>
      <c r="AB32" s="4" t="inlineStr"/>
      <c r="AC32" s="3" t="inlineStr"/>
      <c r="AD32" s="3" t="inlineStr"/>
      <c r="AE32" s="3" t="inlineStr">
        <is>
          <t>{"defense":30,"force":35,"hp":500}</t>
        </is>
      </c>
      <c r="AF32" s="3" t="inlineStr">
        <is>
          <t>data/item_templates.yaml:L3252</t>
        </is>
      </c>
    </row>
    <row r="33">
      <c r="A33" s="2" t="n">
        <v>32</v>
      </c>
      <c r="B33" s="2" t="inlineStr">
        <is>
          <t>equip_xuanwukui</t>
        </is>
      </c>
      <c r="C33" s="2" t="inlineStr">
        <is>
          <t>玄武盔</t>
        </is>
      </c>
      <c r="D33" s="2" t="inlineStr">
        <is>
          <t>helmet</t>
        </is>
      </c>
      <c r="E33" s="2" t="inlineStr">
        <is>
          <t>头盔</t>
        </is>
      </c>
      <c r="F33" s="2" t="inlineStr">
        <is>
          <t>equip_helmet</t>
        </is>
      </c>
      <c r="G33" s="2" t="inlineStr">
        <is>
          <t>purple</t>
        </is>
      </c>
      <c r="H33" s="2" t="inlineStr">
        <is>
          <t>史诗/紫</t>
        </is>
      </c>
      <c r="I33" s="2" t="inlineStr">
        <is>
          <t>xuanwu_set</t>
        </is>
      </c>
      <c r="J33" s="3" t="inlineStr">
        <is>
          <t>玄武套装</t>
        </is>
      </c>
      <c r="K33" s="3" t="inlineStr">
        <is>
          <t>仿玄武之形锻造，背负龟壳纹样，象征长寿与坚固。</t>
        </is>
      </c>
      <c r="L33" s="4" t="n">
        <v>16000</v>
      </c>
      <c r="M33" s="4" t="n">
        <v>150</v>
      </c>
      <c r="N33" s="2" t="inlineStr">
        <is>
          <t>是</t>
        </is>
      </c>
      <c r="O33" s="4" t="n">
        <v>545</v>
      </c>
      <c r="P33" s="4" t="n">
        <v>44</v>
      </c>
      <c r="Q33" s="4" t="n">
        <v>10</v>
      </c>
      <c r="R33" s="4" t="n">
        <v>10</v>
      </c>
      <c r="S33" s="4" t="n">
        <v>0</v>
      </c>
      <c r="T33" s="4" t="n">
        <v>0</v>
      </c>
      <c r="U33" s="4" t="n">
        <v>0</v>
      </c>
      <c r="V33" s="5">
        <f>SUM(O33:U33)</f>
        <v/>
      </c>
      <c r="W33" s="6">
        <f>O33*'强度系数说明'!$B$7+P33*'强度系数说明'!$B$8+Q33*'强度系数说明'!$B$9+R33*'强度系数说明'!$B$10+S33*'强度系数说明'!$B$11+T33*'强度系数说明'!$B$12+U33*'强度系数说明'!$B$13</f>
        <v/>
      </c>
      <c r="X33" s="7">
        <f>SUMPRODUCT((O33:U33&gt;0)*O33:U33)</f>
        <v/>
      </c>
      <c r="Y33" s="2" t="inlineStr">
        <is>
          <t>否</t>
        </is>
      </c>
      <c r="Z33" s="2" t="inlineStr"/>
      <c r="AA33" s="4" t="inlineStr"/>
      <c r="AB33" s="4" t="inlineStr"/>
      <c r="AC33" s="3" t="inlineStr"/>
      <c r="AD33" s="3" t="inlineStr">
        <is>
          <t>{"bonus":{"defense":70,"force":20,"hp":260},"pieces":4}</t>
        </is>
      </c>
      <c r="AE33" s="3" t="inlineStr">
        <is>
          <t>{"defense":44,"force":10,"hp":545,"intellect":10,"set_bonus":{"bonus":{"defense":70,"force":20,"hp":260},"pieces":4},"set_description":"玄武套装","set_key":"xuanwu_set"}</t>
        </is>
      </c>
      <c r="AF33" s="3" t="inlineStr">
        <is>
          <t>data/item_templates.yaml:L3266</t>
        </is>
      </c>
    </row>
    <row r="34">
      <c r="A34" s="2" t="n">
        <v>33</v>
      </c>
      <c r="B34" s="2" t="inlineStr">
        <is>
          <t>equip_pojunkui</t>
        </is>
      </c>
      <c r="C34" s="2" t="inlineStr">
        <is>
          <t>破军盔</t>
        </is>
      </c>
      <c r="D34" s="2" t="inlineStr">
        <is>
          <t>helmet</t>
        </is>
      </c>
      <c r="E34" s="2" t="inlineStr">
        <is>
          <t>头盔</t>
        </is>
      </c>
      <c r="F34" s="2" t="inlineStr">
        <is>
          <t>equip_helmet</t>
        </is>
      </c>
      <c r="G34" s="2" t="inlineStr">
        <is>
          <t>purple</t>
        </is>
      </c>
      <c r="H34" s="2" t="inlineStr">
        <is>
          <t>史诗/紫</t>
        </is>
      </c>
      <c r="I34" s="2" t="inlineStr"/>
      <c r="J34" s="3" t="inlineStr"/>
      <c r="K34" s="3" t="inlineStr">
        <is>
          <t>破军星位所铸，据传戴者必成一方悍将。</t>
        </is>
      </c>
      <c r="L34" s="4" t="n">
        <v>15500</v>
      </c>
      <c r="M34" s="4" t="n">
        <v>150</v>
      </c>
      <c r="N34" s="2" t="inlineStr">
        <is>
          <t>是</t>
        </is>
      </c>
      <c r="O34" s="4" t="n">
        <v>445</v>
      </c>
      <c r="P34" s="4" t="n">
        <v>26</v>
      </c>
      <c r="Q34" s="4" t="n">
        <v>27</v>
      </c>
      <c r="R34" s="4" t="n">
        <v>0</v>
      </c>
      <c r="S34" s="4" t="n">
        <v>15</v>
      </c>
      <c r="T34" s="4" t="n">
        <v>0</v>
      </c>
      <c r="U34" s="4" t="n">
        <v>0</v>
      </c>
      <c r="V34" s="5">
        <f>SUM(O34:U34)</f>
        <v/>
      </c>
      <c r="W34" s="6">
        <f>O34*'强度系数说明'!$B$7+P34*'强度系数说明'!$B$8+Q34*'强度系数说明'!$B$9+R34*'强度系数说明'!$B$10+S34*'强度系数说明'!$B$11+T34*'强度系数说明'!$B$12+U34*'强度系数说明'!$B$13</f>
        <v/>
      </c>
      <c r="X34" s="7">
        <f>SUMPRODUCT((O34:U34&gt;0)*O34:U34)</f>
        <v/>
      </c>
      <c r="Y34" s="2" t="inlineStr">
        <is>
          <t>否</t>
        </is>
      </c>
      <c r="Z34" s="2" t="inlineStr"/>
      <c r="AA34" s="4" t="inlineStr"/>
      <c r="AB34" s="4" t="inlineStr"/>
      <c r="AC34" s="3" t="inlineStr"/>
      <c r="AD34" s="3" t="inlineStr"/>
      <c r="AE34" s="3" t="inlineStr">
        <is>
          <t>{"agility":15,"defense":26,"force":27,"hp":445}</t>
        </is>
      </c>
      <c r="AF34" s="3" t="inlineStr">
        <is>
          <t>data/item_templates.yaml:L3288</t>
        </is>
      </c>
    </row>
    <row r="35">
      <c r="A35" s="2" t="n">
        <v>34</v>
      </c>
      <c r="B35" s="2" t="inlineStr">
        <is>
          <t>equip_tianjiguan</t>
        </is>
      </c>
      <c r="C35" s="2" t="inlineStr">
        <is>
          <t>天机冠</t>
        </is>
      </c>
      <c r="D35" s="2" t="inlineStr">
        <is>
          <t>helmet</t>
        </is>
      </c>
      <c r="E35" s="2" t="inlineStr">
        <is>
          <t>头盔</t>
        </is>
      </c>
      <c r="F35" s="2" t="inlineStr">
        <is>
          <t>equip_helmet</t>
        </is>
      </c>
      <c r="G35" s="2" t="inlineStr">
        <is>
          <t>purple</t>
        </is>
      </c>
      <c r="H35" s="2" t="inlineStr">
        <is>
          <t>史诗/紫</t>
        </is>
      </c>
      <c r="I35" s="2" t="inlineStr"/>
      <c r="J35" s="3" t="inlineStr"/>
      <c r="K35" s="3" t="inlineStr">
        <is>
          <t>以天机门秘法打造，冠中暗藏机括，可察天象变化。</t>
        </is>
      </c>
      <c r="L35" s="4" t="n">
        <v>14500</v>
      </c>
      <c r="M35" s="4" t="n">
        <v>150</v>
      </c>
      <c r="N35" s="2" t="inlineStr">
        <is>
          <t>是</t>
        </is>
      </c>
      <c r="O35" s="4" t="n">
        <v>390</v>
      </c>
      <c r="P35" s="4" t="n">
        <v>20</v>
      </c>
      <c r="Q35" s="4" t="n">
        <v>0</v>
      </c>
      <c r="R35" s="4" t="n">
        <v>38</v>
      </c>
      <c r="S35" s="4" t="n">
        <v>0</v>
      </c>
      <c r="T35" s="4" t="n">
        <v>14</v>
      </c>
      <c r="U35" s="4" t="n">
        <v>0</v>
      </c>
      <c r="V35" s="5">
        <f>SUM(O35:U35)</f>
        <v/>
      </c>
      <c r="W35" s="6">
        <f>O35*'强度系数说明'!$B$7+P35*'强度系数说明'!$B$8+Q35*'强度系数说明'!$B$9+R35*'强度系数说明'!$B$10+S35*'强度系数说明'!$B$11+T35*'强度系数说明'!$B$12+U35*'强度系数说明'!$B$13</f>
        <v/>
      </c>
      <c r="X35" s="7">
        <f>SUMPRODUCT((O35:U35&gt;0)*O35:U35)</f>
        <v/>
      </c>
      <c r="Y35" s="2" t="inlineStr">
        <is>
          <t>否</t>
        </is>
      </c>
      <c r="Z35" s="2" t="inlineStr"/>
      <c r="AA35" s="4" t="inlineStr"/>
      <c r="AB35" s="4" t="inlineStr"/>
      <c r="AC35" s="3" t="inlineStr"/>
      <c r="AD35" s="3" t="inlineStr"/>
      <c r="AE35" s="3" t="inlineStr">
        <is>
          <t>{"defense":20,"hp":390,"intellect":38,"luck":14}</t>
        </is>
      </c>
      <c r="AF35" s="3" t="inlineStr">
        <is>
          <t>data/item_templates.yaml:L3303</t>
        </is>
      </c>
    </row>
    <row r="36">
      <c r="A36" s="2" t="n">
        <v>35</v>
      </c>
      <c r="B36" s="2" t="inlineStr">
        <is>
          <t>equip_longhuangguan</t>
        </is>
      </c>
      <c r="C36" s="2" t="inlineStr">
        <is>
          <t>龙皇冠</t>
        </is>
      </c>
      <c r="D36" s="2" t="inlineStr">
        <is>
          <t>helmet</t>
        </is>
      </c>
      <c r="E36" s="2" t="inlineStr">
        <is>
          <t>头盔</t>
        </is>
      </c>
      <c r="F36" s="2" t="inlineStr">
        <is>
          <t>equip_helmet</t>
        </is>
      </c>
      <c r="G36" s="2" t="inlineStr">
        <is>
          <t>orange</t>
        </is>
      </c>
      <c r="H36" s="2" t="inlineStr">
        <is>
          <t>传说/橙</t>
        </is>
      </c>
      <c r="I36" s="2" t="inlineStr"/>
      <c r="J36" s="3" t="inlineStr"/>
      <c r="K36" s="3" t="inlineStr">
        <is>
          <t>相传为远古龙皇遗落人间的宝物，冠身隐有龙吟。</t>
        </is>
      </c>
      <c r="L36" s="4" t="n">
        <v>50000</v>
      </c>
      <c r="M36" s="4" t="n">
        <v>200</v>
      </c>
      <c r="N36" s="2" t="inlineStr">
        <is>
          <t>是</t>
        </is>
      </c>
      <c r="O36" s="4" t="n">
        <v>620</v>
      </c>
      <c r="P36" s="4" t="n">
        <v>26</v>
      </c>
      <c r="Q36" s="4" t="n">
        <v>12</v>
      </c>
      <c r="R36" s="4" t="n">
        <v>32</v>
      </c>
      <c r="S36" s="4" t="n">
        <v>0</v>
      </c>
      <c r="T36" s="4" t="n">
        <v>0</v>
      </c>
      <c r="U36" s="4" t="n">
        <v>20</v>
      </c>
      <c r="V36" s="5">
        <f>SUM(O36:U36)</f>
        <v/>
      </c>
      <c r="W36" s="6">
        <f>O36*'强度系数说明'!$B$7+P36*'强度系数说明'!$B$8+Q36*'强度系数说明'!$B$9+R36*'强度系数说明'!$B$10+S36*'强度系数说明'!$B$11+T36*'强度系数说明'!$B$12+U36*'强度系数说明'!$B$13</f>
        <v/>
      </c>
      <c r="X36" s="7">
        <f>SUMPRODUCT((O36:U36&gt;0)*O36:U36)</f>
        <v/>
      </c>
      <c r="Y36" s="2" t="inlineStr">
        <is>
          <t>否</t>
        </is>
      </c>
      <c r="Z36" s="2" t="inlineStr"/>
      <c r="AA36" s="4" t="inlineStr"/>
      <c r="AB36" s="4" t="inlineStr"/>
      <c r="AC36" s="3" t="inlineStr"/>
      <c r="AD36" s="3" t="inlineStr"/>
      <c r="AE36" s="3" t="inlineStr">
        <is>
          <t>{"defense":26,"force":12,"hp":620,"intellect":32,"troop_capacity":20}</t>
        </is>
      </c>
      <c r="AF36" s="3" t="inlineStr">
        <is>
          <t>data/item_templates.yaml:L3320</t>
        </is>
      </c>
    </row>
    <row r="37">
      <c r="A37" s="2" t="n">
        <v>36</v>
      </c>
      <c r="B37" s="2" t="inlineStr">
        <is>
          <t>equip_diwangkui</t>
        </is>
      </c>
      <c r="C37" s="2" t="inlineStr">
        <is>
          <t>帝王盔</t>
        </is>
      </c>
      <c r="D37" s="2" t="inlineStr">
        <is>
          <t>helmet</t>
        </is>
      </c>
      <c r="E37" s="2" t="inlineStr">
        <is>
          <t>头盔</t>
        </is>
      </c>
      <c r="F37" s="2" t="inlineStr">
        <is>
          <t>equip_helmet</t>
        </is>
      </c>
      <c r="G37" s="2" t="inlineStr">
        <is>
          <t>orange</t>
        </is>
      </c>
      <c r="H37" s="2" t="inlineStr">
        <is>
          <t>传说/橙</t>
        </is>
      </c>
      <c r="I37" s="2" t="inlineStr"/>
      <c r="J37" s="3" t="inlineStr"/>
      <c r="K37" s="3" t="inlineStr">
        <is>
          <t>历代帝王御用的铠甲头盔，象征至高无上的权威。</t>
        </is>
      </c>
      <c r="L37" s="4" t="n">
        <v>48000</v>
      </c>
      <c r="M37" s="4" t="n">
        <v>200</v>
      </c>
      <c r="N37" s="2" t="inlineStr">
        <is>
          <t>是</t>
        </is>
      </c>
      <c r="O37" s="4" t="n">
        <v>503</v>
      </c>
      <c r="P37" s="4" t="n">
        <v>29</v>
      </c>
      <c r="Q37" s="4" t="n">
        <v>29</v>
      </c>
      <c r="R37" s="4" t="n">
        <v>29</v>
      </c>
      <c r="S37" s="4" t="n">
        <v>0</v>
      </c>
      <c r="T37" s="4" t="n">
        <v>0</v>
      </c>
      <c r="U37" s="4" t="n">
        <v>0</v>
      </c>
      <c r="V37" s="5">
        <f>SUM(O37:U37)</f>
        <v/>
      </c>
      <c r="W37" s="6">
        <f>O37*'强度系数说明'!$B$7+P37*'强度系数说明'!$B$8+Q37*'强度系数说明'!$B$9+R37*'强度系数说明'!$B$10+S37*'强度系数说明'!$B$11+T37*'强度系数说明'!$B$12+U37*'强度系数说明'!$B$13</f>
        <v/>
      </c>
      <c r="X37" s="7">
        <f>SUMPRODUCT((O37:U37&gt;0)*O37:U37)</f>
        <v/>
      </c>
      <c r="Y37" s="2" t="inlineStr">
        <is>
          <t>否</t>
        </is>
      </c>
      <c r="Z37" s="2" t="inlineStr"/>
      <c r="AA37" s="4" t="inlineStr"/>
      <c r="AB37" s="4" t="inlineStr"/>
      <c r="AC37" s="3" t="inlineStr"/>
      <c r="AD37" s="3" t="inlineStr"/>
      <c r="AE37" s="3" t="inlineStr">
        <is>
          <t>{"defense":29,"force":29,"hp":503,"intellect":29}</t>
        </is>
      </c>
      <c r="AF37" s="3" t="inlineStr">
        <is>
          <t>data/item_templates.yaml:L3336</t>
        </is>
      </c>
    </row>
    <row r="38">
      <c r="A38" s="2" t="n">
        <v>37</v>
      </c>
      <c r="B38" s="2" t="inlineStr">
        <is>
          <t>equip_taixudiguan</t>
        </is>
      </c>
      <c r="C38" s="2" t="inlineStr">
        <is>
          <t>太虚帝冠</t>
        </is>
      </c>
      <c r="D38" s="2" t="inlineStr">
        <is>
          <t>helmet</t>
        </is>
      </c>
      <c r="E38" s="2" t="inlineStr">
        <is>
          <t>头盔</t>
        </is>
      </c>
      <c r="F38" s="2" t="inlineStr">
        <is>
          <t>equip_helmet</t>
        </is>
      </c>
      <c r="G38" s="2" t="inlineStr">
        <is>
          <t>orange</t>
        </is>
      </c>
      <c r="H38" s="2" t="inlineStr">
        <is>
          <t>传说/橙</t>
        </is>
      </c>
      <c r="I38" s="2" t="inlineStr"/>
      <c r="J38" s="3" t="inlineStr"/>
      <c r="K38" s="3" t="inlineStr">
        <is>
          <t>传说为太虚剑宗创派祖师所佩，内藏太虚真意。</t>
        </is>
      </c>
      <c r="L38" s="4" t="n">
        <v>55000</v>
      </c>
      <c r="M38" s="4" t="n">
        <v>200</v>
      </c>
      <c r="N38" s="2" t="inlineStr">
        <is>
          <t>是</t>
        </is>
      </c>
      <c r="O38" s="4" t="n">
        <v>560</v>
      </c>
      <c r="P38" s="4" t="n">
        <v>30</v>
      </c>
      <c r="Q38" s="4" t="n">
        <v>0</v>
      </c>
      <c r="R38" s="4" t="n">
        <v>34</v>
      </c>
      <c r="S38" s="4" t="n">
        <v>0</v>
      </c>
      <c r="T38" s="4" t="n">
        <v>14</v>
      </c>
      <c r="U38" s="4" t="n">
        <v>0</v>
      </c>
      <c r="V38" s="5">
        <f>SUM(O38:U38)</f>
        <v/>
      </c>
      <c r="W38" s="6">
        <f>O38*'强度系数说明'!$B$7+P38*'强度系数说明'!$B$8+Q38*'强度系数说明'!$B$9+R38*'强度系数说明'!$B$10+S38*'强度系数说明'!$B$11+T38*'强度系数说明'!$B$12+U38*'强度系数说明'!$B$13</f>
        <v/>
      </c>
      <c r="X38" s="7">
        <f>SUMPRODUCT((O38:U38&gt;0)*O38:U38)</f>
        <v/>
      </c>
      <c r="Y38" s="2" t="inlineStr">
        <is>
          <t>否</t>
        </is>
      </c>
      <c r="Z38" s="2" t="inlineStr"/>
      <c r="AA38" s="4" t="inlineStr"/>
      <c r="AB38" s="4" t="inlineStr"/>
      <c r="AC38" s="3" t="inlineStr"/>
      <c r="AD38" s="3" t="inlineStr"/>
      <c r="AE38" s="3" t="inlineStr">
        <is>
          <t>{"defense":30,"hp":560,"intellect":34,"luck":14}</t>
        </is>
      </c>
      <c r="AF38" s="3" t="inlineStr">
        <is>
          <t>data/item_templates.yaml:L3351</t>
        </is>
      </c>
    </row>
    <row r="39">
      <c r="A39" s="2" t="n">
        <v>38</v>
      </c>
      <c r="B39" s="2" t="inlineStr">
        <is>
          <t>equip_bupao</t>
        </is>
      </c>
      <c r="C39" s="2" t="inlineStr">
        <is>
          <t>布袍</t>
        </is>
      </c>
      <c r="D39" s="2" t="inlineStr">
        <is>
          <t>armor</t>
        </is>
      </c>
      <c r="E39" s="2" t="inlineStr">
        <is>
          <t>护甲</t>
        </is>
      </c>
      <c r="F39" s="2" t="inlineStr">
        <is>
          <t>equip_armor</t>
        </is>
      </c>
      <c r="G39" s="2" t="inlineStr">
        <is>
          <t>black</t>
        </is>
      </c>
      <c r="H39" s="2" t="inlineStr">
        <is>
          <t>普通/白</t>
        </is>
      </c>
      <c r="I39" s="2" t="inlineStr"/>
      <c r="J39" s="3" t="inlineStr"/>
      <c r="K39" s="3" t="inlineStr">
        <is>
          <t>普通老百姓穿的衣服，所谓布衣。</t>
        </is>
      </c>
      <c r="L39" s="4" t="n">
        <v>100</v>
      </c>
      <c r="M39" s="4" t="n">
        <v>50</v>
      </c>
      <c r="N39" s="2" t="inlineStr">
        <is>
          <t>是</t>
        </is>
      </c>
      <c r="O39" s="4" t="n">
        <v>100</v>
      </c>
      <c r="P39" s="4" t="n">
        <v>8</v>
      </c>
      <c r="Q39" s="4" t="n">
        <v>0</v>
      </c>
      <c r="R39" s="4" t="n">
        <v>10</v>
      </c>
      <c r="S39" s="4" t="n">
        <v>0</v>
      </c>
      <c r="T39" s="4" t="n">
        <v>0</v>
      </c>
      <c r="U39" s="4" t="n">
        <v>0</v>
      </c>
      <c r="V39" s="5">
        <f>SUM(O39:U39)</f>
        <v/>
      </c>
      <c r="W39" s="6">
        <f>O39*'强度系数说明'!$B$7+P39*'强度系数说明'!$B$8+Q39*'强度系数说明'!$B$9+R39*'强度系数说明'!$B$10+S39*'强度系数说明'!$B$11+T39*'强度系数说明'!$B$12+U39*'强度系数说明'!$B$13</f>
        <v/>
      </c>
      <c r="X39" s="7">
        <f>SUMPRODUCT((O39:U39&gt;0)*O39:U39)</f>
        <v/>
      </c>
      <c r="Y39" s="2" t="inlineStr">
        <is>
          <t>是</t>
        </is>
      </c>
      <c r="Z39" s="2" t="inlineStr">
        <is>
          <t>护甲</t>
        </is>
      </c>
      <c r="AA39" s="4" t="n">
        <v>1</v>
      </c>
      <c r="AB39" s="4" t="n">
        <v>120</v>
      </c>
      <c r="AC39" s="3" t="inlineStr">
        <is>
          <t>{"tong":5}</t>
        </is>
      </c>
      <c r="AD39" s="3" t="inlineStr"/>
      <c r="AE39" s="3" t="inlineStr">
        <is>
          <t>{"defense":8,"hp":100,"intellect":10}</t>
        </is>
      </c>
      <c r="AF39" s="3" t="inlineStr">
        <is>
          <t>data/item_templates.yaml:L3370; data/forge_equipment.yaml:L33</t>
        </is>
      </c>
    </row>
    <row r="40">
      <c r="A40" s="2" t="n">
        <v>39</v>
      </c>
      <c r="B40" s="2" t="inlineStr">
        <is>
          <t>equip_shengpijia</t>
        </is>
      </c>
      <c r="C40" s="2" t="inlineStr">
        <is>
          <t>生皮甲</t>
        </is>
      </c>
      <c r="D40" s="2" t="inlineStr">
        <is>
          <t>armor</t>
        </is>
      </c>
      <c r="E40" s="2" t="inlineStr">
        <is>
          <t>护甲</t>
        </is>
      </c>
      <c r="F40" s="2" t="inlineStr">
        <is>
          <t>equip_armor</t>
        </is>
      </c>
      <c r="G40" s="2" t="inlineStr">
        <is>
          <t>black</t>
        </is>
      </c>
      <c r="H40" s="2" t="inlineStr">
        <is>
          <t>普通/白</t>
        </is>
      </c>
      <c r="I40" s="2" t="inlineStr"/>
      <c r="J40" s="3" t="inlineStr"/>
      <c r="K40" s="3" t="inlineStr">
        <is>
          <t>没经过硝制的动物皮做成的护甲，防御力很弱。</t>
        </is>
      </c>
      <c r="L40" s="4" t="n">
        <v>300</v>
      </c>
      <c r="M40" s="4" t="n">
        <v>50</v>
      </c>
      <c r="N40" s="2" t="inlineStr">
        <is>
          <t>是</t>
        </is>
      </c>
      <c r="O40" s="4" t="n">
        <v>200</v>
      </c>
      <c r="P40" s="4" t="n">
        <v>15</v>
      </c>
      <c r="Q40" s="4" t="n">
        <v>5</v>
      </c>
      <c r="R40" s="4" t="n">
        <v>0</v>
      </c>
      <c r="S40" s="4" t="n">
        <v>0</v>
      </c>
      <c r="T40" s="4" t="n">
        <v>0</v>
      </c>
      <c r="U40" s="4" t="n">
        <v>0</v>
      </c>
      <c r="V40" s="5">
        <f>SUM(O40:U40)</f>
        <v/>
      </c>
      <c r="W40" s="6">
        <f>O40*'强度系数说明'!$B$7+P40*'强度系数说明'!$B$8+Q40*'强度系数说明'!$B$9+R40*'强度系数说明'!$B$10+S40*'强度系数说明'!$B$11+T40*'强度系数说明'!$B$12+U40*'强度系数说明'!$B$13</f>
        <v/>
      </c>
      <c r="X40" s="7">
        <f>SUMPRODUCT((O40:U40&gt;0)*O40:U40)</f>
        <v/>
      </c>
      <c r="Y40" s="2" t="inlineStr">
        <is>
          <t>是</t>
        </is>
      </c>
      <c r="Z40" s="2" t="inlineStr">
        <is>
          <t>护甲</t>
        </is>
      </c>
      <c r="AA40" s="4" t="n">
        <v>3</v>
      </c>
      <c r="AB40" s="4" t="n">
        <v>180</v>
      </c>
      <c r="AC40" s="3" t="inlineStr">
        <is>
          <t>{"tong":10,"xi":5}</t>
        </is>
      </c>
      <c r="AD40" s="3" t="inlineStr"/>
      <c r="AE40" s="3" t="inlineStr">
        <is>
          <t>{"defense":15,"force":5,"hp":200}</t>
        </is>
      </c>
      <c r="AF40" s="3" t="inlineStr">
        <is>
          <t>data/item_templates.yaml:L3384; data/forge_equipment.yaml:L39</t>
        </is>
      </c>
    </row>
    <row r="41">
      <c r="A41" s="2" t="n">
        <v>40</v>
      </c>
      <c r="B41" s="2" t="inlineStr">
        <is>
          <t>equip_housipao</t>
        </is>
      </c>
      <c r="C41" s="2" t="inlineStr">
        <is>
          <t>厚丝袍</t>
        </is>
      </c>
      <c r="D41" s="2" t="inlineStr">
        <is>
          <t>armor</t>
        </is>
      </c>
      <c r="E41" s="2" t="inlineStr">
        <is>
          <t>护甲</t>
        </is>
      </c>
      <c r="F41" s="2" t="inlineStr">
        <is>
          <t>equip_armor</t>
        </is>
      </c>
      <c r="G41" s="2" t="inlineStr">
        <is>
          <t>green</t>
        </is>
      </c>
      <c r="H41" s="2" t="inlineStr">
        <is>
          <t>优良/绿</t>
        </is>
      </c>
      <c r="I41" s="2" t="inlineStr"/>
      <c r="J41" s="3" t="inlineStr"/>
      <c r="K41" s="3" t="inlineStr">
        <is>
          <t>用油浸泡过的粗丝织成，又软又轻，但却能抵挡普通刀剑。</t>
        </is>
      </c>
      <c r="L41" s="4" t="n">
        <v>800</v>
      </c>
      <c r="M41" s="4" t="n">
        <v>75</v>
      </c>
      <c r="N41" s="2" t="inlineStr">
        <is>
          <t>是</t>
        </is>
      </c>
      <c r="O41" s="4" t="n">
        <v>100</v>
      </c>
      <c r="P41" s="4" t="n">
        <v>15</v>
      </c>
      <c r="Q41" s="4" t="n">
        <v>0</v>
      </c>
      <c r="R41" s="4" t="n">
        <v>5</v>
      </c>
      <c r="S41" s="4" t="n">
        <v>8</v>
      </c>
      <c r="T41" s="4" t="n">
        <v>0</v>
      </c>
      <c r="U41" s="4" t="n">
        <v>0</v>
      </c>
      <c r="V41" s="5">
        <f>SUM(O41:U41)</f>
        <v/>
      </c>
      <c r="W41" s="6">
        <f>O41*'强度系数说明'!$B$7+P41*'强度系数说明'!$B$8+Q41*'强度系数说明'!$B$9+R41*'强度系数说明'!$B$10+S41*'强度系数说明'!$B$11+T41*'强度系数说明'!$B$12+U41*'强度系数说明'!$B$13</f>
        <v/>
      </c>
      <c r="X41" s="7">
        <f>SUMPRODUCT((O41:U41&gt;0)*O41:U41)</f>
        <v/>
      </c>
      <c r="Y41" s="2" t="inlineStr">
        <is>
          <t>是</t>
        </is>
      </c>
      <c r="Z41" s="2" t="inlineStr">
        <is>
          <t>护甲</t>
        </is>
      </c>
      <c r="AA41" s="4" t="n">
        <v>5</v>
      </c>
      <c r="AB41" s="4" t="n">
        <v>240</v>
      </c>
      <c r="AC41" s="3" t="inlineStr">
        <is>
          <t>{"tie":10}</t>
        </is>
      </c>
      <c r="AD41" s="3" t="inlineStr"/>
      <c r="AE41" s="3" t="inlineStr">
        <is>
          <t>{"agility":8,"defense":15,"hp":100,"intellect":5}</t>
        </is>
      </c>
      <c r="AF41" s="3" t="inlineStr">
        <is>
          <t>data/item_templates.yaml:L3398; data/forge_equipment.yaml:L46</t>
        </is>
      </c>
    </row>
    <row r="42">
      <c r="A42" s="2" t="n">
        <v>41</v>
      </c>
      <c r="B42" s="2" t="inlineStr">
        <is>
          <t>equip_shapijia</t>
        </is>
      </c>
      <c r="C42" s="2" t="inlineStr">
        <is>
          <t>鲨皮甲</t>
        </is>
      </c>
      <c r="D42" s="2" t="inlineStr">
        <is>
          <t>armor</t>
        </is>
      </c>
      <c r="E42" s="2" t="inlineStr">
        <is>
          <t>护甲</t>
        </is>
      </c>
      <c r="F42" s="2" t="inlineStr">
        <is>
          <t>equip_armor</t>
        </is>
      </c>
      <c r="G42" s="2" t="inlineStr">
        <is>
          <t>green</t>
        </is>
      </c>
      <c r="H42" s="2" t="inlineStr">
        <is>
          <t>优良/绿</t>
        </is>
      </c>
      <c r="I42" s="2" t="inlineStr"/>
      <c r="J42" s="3" t="inlineStr"/>
      <c r="K42" s="3" t="inlineStr">
        <is>
          <t>鲨鱼皮做成的铠甲，是轻便铠甲中最坚固的。</t>
        </is>
      </c>
      <c r="L42" s="4" t="n">
        <v>1500</v>
      </c>
      <c r="M42" s="4" t="n">
        <v>75</v>
      </c>
      <c r="N42" s="2" t="inlineStr">
        <is>
          <t>是</t>
        </is>
      </c>
      <c r="O42" s="4" t="n">
        <v>250</v>
      </c>
      <c r="P42" s="4" t="n">
        <v>18</v>
      </c>
      <c r="Q42" s="4" t="n">
        <v>5</v>
      </c>
      <c r="R42" s="4" t="n">
        <v>0</v>
      </c>
      <c r="S42" s="4" t="n">
        <v>5</v>
      </c>
      <c r="T42" s="4" t="n">
        <v>0</v>
      </c>
      <c r="U42" s="4" t="n">
        <v>0</v>
      </c>
      <c r="V42" s="5">
        <f>SUM(O42:U42)</f>
        <v/>
      </c>
      <c r="W42" s="6">
        <f>O42*'强度系数说明'!$B$7+P42*'强度系数说明'!$B$8+Q42*'强度系数说明'!$B$9+R42*'强度系数说明'!$B$10+S42*'强度系数说明'!$B$11+T42*'强度系数说明'!$B$12+U42*'强度系数说明'!$B$13</f>
        <v/>
      </c>
      <c r="X42" s="7">
        <f>SUMPRODUCT((O42:U42&gt;0)*O42:U42)</f>
        <v/>
      </c>
      <c r="Y42" s="2" t="inlineStr">
        <is>
          <t>是</t>
        </is>
      </c>
      <c r="Z42" s="2" t="inlineStr">
        <is>
          <t>护甲</t>
        </is>
      </c>
      <c r="AA42" s="4" t="n">
        <v>7</v>
      </c>
      <c r="AB42" s="4" t="n">
        <v>300</v>
      </c>
      <c r="AC42" s="3" t="inlineStr">
        <is>
          <t>{"tie":20}</t>
        </is>
      </c>
      <c r="AD42" s="3" t="inlineStr"/>
      <c r="AE42" s="3" t="inlineStr">
        <is>
          <t>{"agility":5,"defense":18,"force":5,"hp":250}</t>
        </is>
      </c>
      <c r="AF42" s="3" t="inlineStr">
        <is>
          <t>data/item_templates.yaml:L3413; data/forge_equipment.yaml:L52</t>
        </is>
      </c>
    </row>
    <row r="43">
      <c r="A43" s="2" t="n">
        <v>42</v>
      </c>
      <c r="B43" s="2" t="inlineStr">
        <is>
          <t>equip_cubujia</t>
        </is>
      </c>
      <c r="C43" s="2" t="inlineStr">
        <is>
          <t>粗布甲</t>
        </is>
      </c>
      <c r="D43" s="2" t="inlineStr">
        <is>
          <t>armor</t>
        </is>
      </c>
      <c r="E43" s="2" t="inlineStr">
        <is>
          <t>护甲</t>
        </is>
      </c>
      <c r="F43" s="2" t="inlineStr">
        <is>
          <t>equip_armor</t>
        </is>
      </c>
      <c r="G43" s="2" t="inlineStr">
        <is>
          <t>black</t>
        </is>
      </c>
      <c r="H43" s="2" t="inlineStr">
        <is>
          <t>普通/白</t>
        </is>
      </c>
      <c r="I43" s="2" t="inlineStr"/>
      <c r="J43" s="3" t="inlineStr"/>
      <c r="K43" s="3" t="inlineStr">
        <is>
          <t>多层粗布压缝而成，出自军中后勤的批量制作。</t>
        </is>
      </c>
      <c r="L43" s="4" t="n">
        <v>200</v>
      </c>
      <c r="M43" s="4" t="n">
        <v>50</v>
      </c>
      <c r="N43" s="2" t="inlineStr">
        <is>
          <t>是</t>
        </is>
      </c>
      <c r="O43" s="4" t="n">
        <v>150</v>
      </c>
      <c r="P43" s="4" t="n">
        <v>10</v>
      </c>
      <c r="Q43" s="4" t="n">
        <v>5</v>
      </c>
      <c r="R43" s="4" t="n">
        <v>0</v>
      </c>
      <c r="S43" s="4" t="n">
        <v>5</v>
      </c>
      <c r="T43" s="4" t="n">
        <v>0</v>
      </c>
      <c r="U43" s="4" t="n">
        <v>0</v>
      </c>
      <c r="V43" s="5">
        <f>SUM(O43:U43)</f>
        <v/>
      </c>
      <c r="W43" s="6">
        <f>O43*'强度系数说明'!$B$7+P43*'强度系数说明'!$B$8+Q43*'强度系数说明'!$B$9+R43*'强度系数说明'!$B$10+S43*'强度系数说明'!$B$11+T43*'强度系数说明'!$B$12+U43*'强度系数说明'!$B$13</f>
        <v/>
      </c>
      <c r="X43" s="7">
        <f>SUMPRODUCT((O43:U43&gt;0)*O43:U43)</f>
        <v/>
      </c>
      <c r="Y43" s="2" t="inlineStr">
        <is>
          <t>否</t>
        </is>
      </c>
      <c r="Z43" s="2" t="inlineStr"/>
      <c r="AA43" s="4" t="inlineStr"/>
      <c r="AB43" s="4" t="inlineStr"/>
      <c r="AC43" s="3" t="inlineStr"/>
      <c r="AD43" s="3" t="inlineStr"/>
      <c r="AE43" s="3" t="inlineStr">
        <is>
          <t>{"agility":5,"defense":10,"force":5,"hp":150}</t>
        </is>
      </c>
      <c r="AF43" s="3" t="inlineStr">
        <is>
          <t>data/item_templates.yaml:L3428</t>
        </is>
      </c>
    </row>
    <row r="44">
      <c r="A44" s="2" t="n">
        <v>43</v>
      </c>
      <c r="B44" s="2" t="inlineStr">
        <is>
          <t>equip_suozijia</t>
        </is>
      </c>
      <c r="C44" s="2" t="inlineStr">
        <is>
          <t>锁子甲</t>
        </is>
      </c>
      <c r="D44" s="2" t="inlineStr">
        <is>
          <t>armor</t>
        </is>
      </c>
      <c r="E44" s="2" t="inlineStr">
        <is>
          <t>护甲</t>
        </is>
      </c>
      <c r="F44" s="2" t="inlineStr">
        <is>
          <t>equip_armor</t>
        </is>
      </c>
      <c r="G44" s="2" t="inlineStr">
        <is>
          <t>green</t>
        </is>
      </c>
      <c r="H44" s="2" t="inlineStr">
        <is>
          <t>优良/绿</t>
        </is>
      </c>
      <c r="I44" s="2" t="inlineStr"/>
      <c r="J44" s="3" t="inlineStr"/>
      <c r="K44" s="3" t="inlineStr">
        <is>
          <t>西域工匠的杰作，环环相扣，传入中原已逾百年。</t>
        </is>
      </c>
      <c r="L44" s="4" t="n">
        <v>2000</v>
      </c>
      <c r="M44" s="4" t="n">
        <v>75</v>
      </c>
      <c r="N44" s="2" t="inlineStr">
        <is>
          <t>是</t>
        </is>
      </c>
      <c r="O44" s="4" t="n">
        <v>500</v>
      </c>
      <c r="P44" s="4" t="n">
        <v>25</v>
      </c>
      <c r="Q44" s="4" t="n">
        <v>5</v>
      </c>
      <c r="R44" s="4" t="n">
        <v>0</v>
      </c>
      <c r="S44" s="4" t="n">
        <v>0</v>
      </c>
      <c r="T44" s="4" t="n">
        <v>0</v>
      </c>
      <c r="U44" s="4" t="n">
        <v>0</v>
      </c>
      <c r="V44" s="5">
        <f>SUM(O44:U44)</f>
        <v/>
      </c>
      <c r="W44" s="6">
        <f>O44*'强度系数说明'!$B$7+P44*'强度系数说明'!$B$8+Q44*'强度系数说明'!$B$9+R44*'强度系数说明'!$B$10+S44*'强度系数说明'!$B$11+T44*'强度系数说明'!$B$12+U44*'强度系数说明'!$B$13</f>
        <v/>
      </c>
      <c r="X44" s="7">
        <f>SUMPRODUCT((O44:U44&gt;0)*O44:U44)</f>
        <v/>
      </c>
      <c r="Y44" s="2" t="inlineStr">
        <is>
          <t>否</t>
        </is>
      </c>
      <c r="Z44" s="2" t="inlineStr"/>
      <c r="AA44" s="4" t="inlineStr"/>
      <c r="AB44" s="4" t="inlineStr"/>
      <c r="AC44" s="3" t="inlineStr"/>
      <c r="AD44" s="3" t="inlineStr"/>
      <c r="AE44" s="3" t="inlineStr">
        <is>
          <t>{"defense":25,"force":5,"hp":500}</t>
        </is>
      </c>
      <c r="AF44" s="3" t="inlineStr">
        <is>
          <t>data/item_templates.yaml:L3445</t>
        </is>
      </c>
    </row>
    <row r="45">
      <c r="A45" s="2" t="n">
        <v>44</v>
      </c>
      <c r="B45" s="2" t="inlineStr">
        <is>
          <t>equip_xuantiejia</t>
        </is>
      </c>
      <c r="C45" s="2" t="inlineStr">
        <is>
          <t>玄铁甲</t>
        </is>
      </c>
      <c r="D45" s="2" t="inlineStr">
        <is>
          <t>armor</t>
        </is>
      </c>
      <c r="E45" s="2" t="inlineStr">
        <is>
          <t>护甲</t>
        </is>
      </c>
      <c r="F45" s="2" t="inlineStr">
        <is>
          <t>equip_armor</t>
        </is>
      </c>
      <c r="G45" s="2" t="inlineStr">
        <is>
          <t>green</t>
        </is>
      </c>
      <c r="H45" s="2" t="inlineStr">
        <is>
          <t>优良/绿</t>
        </is>
      </c>
      <c r="I45" s="2" t="inlineStr"/>
      <c r="J45" s="3" t="inlineStr"/>
      <c r="K45" s="3" t="inlineStr">
        <is>
          <t>以稀有玄铁锻造的重甲，据传出自"铁胆神侯"之手。</t>
        </is>
      </c>
      <c r="L45" s="4" t="n">
        <v>2500</v>
      </c>
      <c r="M45" s="4" t="n">
        <v>75</v>
      </c>
      <c r="N45" s="2" t="inlineStr">
        <is>
          <t>是</t>
        </is>
      </c>
      <c r="O45" s="4" t="n">
        <v>800</v>
      </c>
      <c r="P45" s="4" t="n">
        <v>30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5">
        <f>SUM(O45:U45)</f>
        <v/>
      </c>
      <c r="W45" s="6">
        <f>O45*'强度系数说明'!$B$7+P45*'强度系数说明'!$B$8+Q45*'强度系数说明'!$B$9+R45*'强度系数说明'!$B$10+S45*'强度系数说明'!$B$11+T45*'强度系数说明'!$B$12+U45*'强度系数说明'!$B$13</f>
        <v/>
      </c>
      <c r="X45" s="7">
        <f>SUMPRODUCT((O45:U45&gt;0)*O45:U45)</f>
        <v/>
      </c>
      <c r="Y45" s="2" t="inlineStr">
        <is>
          <t>否</t>
        </is>
      </c>
      <c r="Z45" s="2" t="inlineStr"/>
      <c r="AA45" s="4" t="inlineStr"/>
      <c r="AB45" s="4" t="inlineStr"/>
      <c r="AC45" s="3" t="inlineStr"/>
      <c r="AD45" s="3" t="inlineStr"/>
      <c r="AE45" s="3" t="inlineStr">
        <is>
          <t>{"defense":30,"hp":800}</t>
        </is>
      </c>
      <c r="AF45" s="3" t="inlineStr">
        <is>
          <t>data/item_templates.yaml:L3459</t>
        </is>
      </c>
    </row>
    <row r="46">
      <c r="A46" s="2" t="n">
        <v>45</v>
      </c>
      <c r="B46" s="2" t="inlineStr">
        <is>
          <t>equip_shanwenjia</t>
        </is>
      </c>
      <c r="C46" s="2" t="inlineStr">
        <is>
          <t>山纹甲</t>
        </is>
      </c>
      <c r="D46" s="2" t="inlineStr">
        <is>
          <t>armor</t>
        </is>
      </c>
      <c r="E46" s="2" t="inlineStr">
        <is>
          <t>护甲</t>
        </is>
      </c>
      <c r="F46" s="2" t="inlineStr">
        <is>
          <t>equip_armor</t>
        </is>
      </c>
      <c r="G46" s="2" t="inlineStr">
        <is>
          <t>green</t>
        </is>
      </c>
      <c r="H46" s="2" t="inlineStr">
        <is>
          <t>优良/绿</t>
        </is>
      </c>
      <c r="I46" s="2" t="inlineStr"/>
      <c r="J46" s="3" t="inlineStr"/>
      <c r="K46" s="3" t="inlineStr">
        <is>
          <t>甲面刻有五岳山纹，相传是五岳派镇派之物。</t>
        </is>
      </c>
      <c r="L46" s="4" t="n">
        <v>2800</v>
      </c>
      <c r="M46" s="4" t="n">
        <v>75</v>
      </c>
      <c r="N46" s="2" t="inlineStr">
        <is>
          <t>是</t>
        </is>
      </c>
      <c r="O46" s="4" t="n">
        <v>500</v>
      </c>
      <c r="P46" s="4" t="n">
        <v>20</v>
      </c>
      <c r="Q46" s="4" t="n">
        <v>10</v>
      </c>
      <c r="R46" s="4" t="n">
        <v>0</v>
      </c>
      <c r="S46" s="4" t="n">
        <v>0</v>
      </c>
      <c r="T46" s="4" t="n">
        <v>0</v>
      </c>
      <c r="U46" s="4" t="n">
        <v>0</v>
      </c>
      <c r="V46" s="5">
        <f>SUM(O46:U46)</f>
        <v/>
      </c>
      <c r="W46" s="6">
        <f>O46*'强度系数说明'!$B$7+P46*'强度系数说明'!$B$8+Q46*'强度系数说明'!$B$9+R46*'强度系数说明'!$B$10+S46*'强度系数说明'!$B$11+T46*'强度系数说明'!$B$12+U46*'强度系数说明'!$B$13</f>
        <v/>
      </c>
      <c r="X46" s="7">
        <f>SUMPRODUCT((O46:U46&gt;0)*O46:U46)</f>
        <v/>
      </c>
      <c r="Y46" s="2" t="inlineStr">
        <is>
          <t>否</t>
        </is>
      </c>
      <c r="Z46" s="2" t="inlineStr"/>
      <c r="AA46" s="4" t="inlineStr"/>
      <c r="AB46" s="4" t="inlineStr"/>
      <c r="AC46" s="3" t="inlineStr"/>
      <c r="AD46" s="3" t="inlineStr"/>
      <c r="AE46" s="3" t="inlineStr">
        <is>
          <t>{"defense":20,"force":10,"hp":500}</t>
        </is>
      </c>
      <c r="AF46" s="3" t="inlineStr">
        <is>
          <t>data/item_templates.yaml:L3472</t>
        </is>
      </c>
    </row>
    <row r="47">
      <c r="A47" s="2" t="n">
        <v>46</v>
      </c>
      <c r="B47" s="2" t="inlineStr">
        <is>
          <t>equip_qingzhujia</t>
        </is>
      </c>
      <c r="C47" s="2" t="inlineStr">
        <is>
          <t>青竹甲</t>
        </is>
      </c>
      <c r="D47" s="2" t="inlineStr">
        <is>
          <t>armor</t>
        </is>
      </c>
      <c r="E47" s="2" t="inlineStr">
        <is>
          <t>护甲</t>
        </is>
      </c>
      <c r="F47" s="2" t="inlineStr">
        <is>
          <t>equip_armor</t>
        </is>
      </c>
      <c r="G47" s="2" t="inlineStr">
        <is>
          <t>green</t>
        </is>
      </c>
      <c r="H47" s="2" t="inlineStr">
        <is>
          <t>优良/绿</t>
        </is>
      </c>
      <c r="I47" s="2" t="inlineStr"/>
      <c r="J47" s="3" t="inlineStr"/>
      <c r="K47" s="3" t="inlineStr">
        <is>
          <t>以蜀中翠竹片编织而成，是巴蜀匠人的独门手艺。</t>
        </is>
      </c>
      <c r="L47" s="4" t="n">
        <v>2200</v>
      </c>
      <c r="M47" s="4" t="n">
        <v>75</v>
      </c>
      <c r="N47" s="2" t="inlineStr">
        <is>
          <t>是</t>
        </is>
      </c>
      <c r="O47" s="4" t="n">
        <v>200</v>
      </c>
      <c r="P47" s="4" t="n">
        <v>20</v>
      </c>
      <c r="Q47" s="4" t="n">
        <v>5</v>
      </c>
      <c r="R47" s="4" t="n">
        <v>0</v>
      </c>
      <c r="S47" s="4" t="n">
        <v>12</v>
      </c>
      <c r="T47" s="4" t="n">
        <v>0</v>
      </c>
      <c r="U47" s="4" t="n">
        <v>0</v>
      </c>
      <c r="V47" s="5">
        <f>SUM(O47:U47)</f>
        <v/>
      </c>
      <c r="W47" s="6">
        <f>O47*'强度系数说明'!$B$7+P47*'强度系数说明'!$B$8+Q47*'强度系数说明'!$B$9+R47*'强度系数说明'!$B$10+S47*'强度系数说明'!$B$11+T47*'强度系数说明'!$B$12+U47*'强度系数说明'!$B$13</f>
        <v/>
      </c>
      <c r="X47" s="7">
        <f>SUMPRODUCT((O47:U47&gt;0)*O47:U47)</f>
        <v/>
      </c>
      <c r="Y47" s="2" t="inlineStr">
        <is>
          <t>否</t>
        </is>
      </c>
      <c r="Z47" s="2" t="inlineStr"/>
      <c r="AA47" s="4" t="inlineStr"/>
      <c r="AB47" s="4" t="inlineStr"/>
      <c r="AC47" s="3" t="inlineStr"/>
      <c r="AD47" s="3" t="inlineStr"/>
      <c r="AE47" s="3" t="inlineStr">
        <is>
          <t>{"agility":12,"defense":20,"force":5,"hp":200}</t>
        </is>
      </c>
      <c r="AF47" s="3" t="inlineStr">
        <is>
          <t>data/item_templates.yaml:L3486</t>
        </is>
      </c>
    </row>
    <row r="48">
      <c r="A48" s="2" t="n">
        <v>47</v>
      </c>
      <c r="B48" s="2" t="inlineStr">
        <is>
          <t>equip_tiexianjia</t>
        </is>
      </c>
      <c r="C48" s="2" t="inlineStr">
        <is>
          <t>铁线甲</t>
        </is>
      </c>
      <c r="D48" s="2" t="inlineStr">
        <is>
          <t>armor</t>
        </is>
      </c>
      <c r="E48" s="2" t="inlineStr">
        <is>
          <t>护甲</t>
        </is>
      </c>
      <c r="F48" s="2" t="inlineStr">
        <is>
          <t>equip_armor</t>
        </is>
      </c>
      <c r="G48" s="2" t="inlineStr">
        <is>
          <t>green</t>
        </is>
      </c>
      <c r="H48" s="2" t="inlineStr">
        <is>
          <t>优良/绿</t>
        </is>
      </c>
      <c r="I48" s="2" t="inlineStr"/>
      <c r="J48" s="3" t="inlineStr"/>
      <c r="K48" s="3" t="inlineStr">
        <is>
          <t>以铁线缠织加固的战甲，源自北方军中的改良工艺。</t>
        </is>
      </c>
      <c r="L48" s="4" t="n">
        <v>3000</v>
      </c>
      <c r="M48" s="4" t="n">
        <v>75</v>
      </c>
      <c r="N48" s="2" t="inlineStr">
        <is>
          <t>是</t>
        </is>
      </c>
      <c r="O48" s="4" t="n">
        <v>800</v>
      </c>
      <c r="P48" s="4" t="n">
        <v>15</v>
      </c>
      <c r="Q48" s="4" t="n">
        <v>15</v>
      </c>
      <c r="R48" s="4" t="n">
        <v>0</v>
      </c>
      <c r="S48" s="4" t="n">
        <v>0</v>
      </c>
      <c r="T48" s="4" t="n">
        <v>0</v>
      </c>
      <c r="U48" s="4" t="n">
        <v>0</v>
      </c>
      <c r="V48" s="5">
        <f>SUM(O48:U48)</f>
        <v/>
      </c>
      <c r="W48" s="6">
        <f>O48*'强度系数说明'!$B$7+P48*'强度系数说明'!$B$8+Q48*'强度系数说明'!$B$9+R48*'强度系数说明'!$B$10+S48*'强度系数说明'!$B$11+T48*'强度系数说明'!$B$12+U48*'强度系数说明'!$B$13</f>
        <v/>
      </c>
      <c r="X48" s="7">
        <f>SUMPRODUCT((O48:U48&gt;0)*O48:U48)</f>
        <v/>
      </c>
      <c r="Y48" s="2" t="inlineStr">
        <is>
          <t>否</t>
        </is>
      </c>
      <c r="Z48" s="2" t="inlineStr"/>
      <c r="AA48" s="4" t="inlineStr"/>
      <c r="AB48" s="4" t="inlineStr"/>
      <c r="AC48" s="3" t="inlineStr"/>
      <c r="AD48" s="3" t="inlineStr"/>
      <c r="AE48" s="3" t="inlineStr">
        <is>
          <t>{"defense":15,"force":15,"hp":800}</t>
        </is>
      </c>
      <c r="AF48" s="3" t="inlineStr">
        <is>
          <t>data/item_templates.yaml:L3501</t>
        </is>
      </c>
    </row>
    <row r="49">
      <c r="A49" s="2" t="n">
        <v>48</v>
      </c>
      <c r="B49" s="2" t="inlineStr">
        <is>
          <t>equip_nichangyuyi</t>
        </is>
      </c>
      <c r="C49" s="2" t="inlineStr">
        <is>
          <t>霓裳羽衣</t>
        </is>
      </c>
      <c r="D49" s="2" t="inlineStr">
        <is>
          <t>armor</t>
        </is>
      </c>
      <c r="E49" s="2" t="inlineStr">
        <is>
          <t>护甲</t>
        </is>
      </c>
      <c r="F49" s="2" t="inlineStr">
        <is>
          <t>equip_armor</t>
        </is>
      </c>
      <c r="G49" s="2" t="inlineStr">
        <is>
          <t>green</t>
        </is>
      </c>
      <c r="H49" s="2" t="inlineStr">
        <is>
          <t>优良/绿</t>
        </is>
      </c>
      <c r="I49" s="2" t="inlineStr">
        <is>
          <t>nichang_set</t>
        </is>
      </c>
      <c r="J49" s="3" t="inlineStr">
        <is>
          <t>霓裳</t>
        </is>
      </c>
      <c r="K49" s="3" t="inlineStr">
        <is>
          <t>以流霞丝与细甲片缀成的羽衣，轻灵不失护身之力，文武门客都能穿出从容气度。</t>
        </is>
      </c>
      <c r="L49" s="4" t="n">
        <v>2800</v>
      </c>
      <c r="M49" s="4" t="n">
        <v>75</v>
      </c>
      <c r="N49" s="2" t="inlineStr">
        <is>
          <t>是</t>
        </is>
      </c>
      <c r="O49" s="4" t="n">
        <v>50</v>
      </c>
      <c r="P49" s="4" t="n">
        <v>15</v>
      </c>
      <c r="Q49" s="4" t="n">
        <v>0</v>
      </c>
      <c r="R49" s="4" t="n">
        <v>15</v>
      </c>
      <c r="S49" s="4" t="n">
        <v>0</v>
      </c>
      <c r="T49" s="4" t="n">
        <v>8</v>
      </c>
      <c r="U49" s="4" t="n">
        <v>0</v>
      </c>
      <c r="V49" s="5">
        <f>SUM(O49:U49)</f>
        <v/>
      </c>
      <c r="W49" s="6">
        <f>O49*'强度系数说明'!$B$7+P49*'强度系数说明'!$B$8+Q49*'强度系数说明'!$B$9+R49*'强度系数说明'!$B$10+S49*'强度系数说明'!$B$11+T49*'强度系数说明'!$B$12+U49*'强度系数说明'!$B$13</f>
        <v/>
      </c>
      <c r="X49" s="7">
        <f>SUMPRODUCT((O49:U49&gt;0)*O49:U49)</f>
        <v/>
      </c>
      <c r="Y49" s="2" t="inlineStr">
        <is>
          <t>否</t>
        </is>
      </c>
      <c r="Z49" s="2" t="inlineStr"/>
      <c r="AA49" s="4" t="inlineStr"/>
      <c r="AB49" s="4" t="inlineStr"/>
      <c r="AC49" s="3" t="inlineStr"/>
      <c r="AD49" s="3" t="inlineStr">
        <is>
          <t>{"bonus":{"agility":10,"hp":150,"intellect":20,"luck":15},"pieces":3}</t>
        </is>
      </c>
      <c r="AE49" s="3" t="inlineStr">
        <is>
          <t>{"defense":15,"hp":50,"intellect":15,"luck":8,"set_bonus":{"bonus":{"agility":10,"hp":150,"intellect":20,"luck":15},"pieces":3},"set_description":"霓裳","set_key":"nichang_set"}</t>
        </is>
      </c>
      <c r="AF49" s="3" t="inlineStr">
        <is>
          <t>data/item_templates.yaml:L3515</t>
        </is>
      </c>
    </row>
    <row r="50">
      <c r="A50" s="2" t="n">
        <v>49</v>
      </c>
      <c r="B50" s="2" t="inlineStr">
        <is>
          <t>equip_xiaoweikaijia</t>
        </is>
      </c>
      <c r="C50" s="2" t="inlineStr">
        <is>
          <t>校尉铠甲</t>
        </is>
      </c>
      <c r="D50" s="2" t="inlineStr">
        <is>
          <t>armor</t>
        </is>
      </c>
      <c r="E50" s="2" t="inlineStr">
        <is>
          <t>护甲</t>
        </is>
      </c>
      <c r="F50" s="2" t="inlineStr">
        <is>
          <t>equip_armor</t>
        </is>
      </c>
      <c r="G50" s="2" t="inlineStr">
        <is>
          <t>blue</t>
        </is>
      </c>
      <c r="H50" s="2" t="inlineStr">
        <is>
          <t>稀有/蓝</t>
        </is>
      </c>
      <c r="I50" s="2" t="inlineStr">
        <is>
          <t>xiaowei_set</t>
        </is>
      </c>
      <c r="J50" s="3" t="inlineStr">
        <is>
          <t>校尉套装</t>
        </is>
      </c>
      <c r="K50" s="3" t="inlineStr">
        <is>
          <t>军中校尉的制式铠甲，胸口铸有军阶徽记。</t>
        </is>
      </c>
      <c r="L50" s="4" t="n">
        <v>6000</v>
      </c>
      <c r="M50" s="4" t="n">
        <v>100</v>
      </c>
      <c r="N50" s="2" t="inlineStr">
        <is>
          <t>是</t>
        </is>
      </c>
      <c r="O50" s="4" t="n">
        <v>440</v>
      </c>
      <c r="P50" s="4" t="n">
        <v>25</v>
      </c>
      <c r="Q50" s="4" t="n">
        <v>10</v>
      </c>
      <c r="R50" s="4" t="n">
        <v>0</v>
      </c>
      <c r="S50" s="4" t="n">
        <v>0</v>
      </c>
      <c r="T50" s="4" t="n">
        <v>0</v>
      </c>
      <c r="U50" s="4" t="n">
        <v>30</v>
      </c>
      <c r="V50" s="5">
        <f>SUM(O50:U50)</f>
        <v/>
      </c>
      <c r="W50" s="6">
        <f>O50*'强度系数说明'!$B$7+P50*'强度系数说明'!$B$8+Q50*'强度系数说明'!$B$9+R50*'强度系数说明'!$B$10+S50*'强度系数说明'!$B$11+T50*'强度系数说明'!$B$12+U50*'强度系数说明'!$B$13</f>
        <v/>
      </c>
      <c r="X50" s="7">
        <f>SUMPRODUCT((O50:U50&gt;0)*O50:U50)</f>
        <v/>
      </c>
      <c r="Y50" s="2" t="inlineStr">
        <is>
          <t>否</t>
        </is>
      </c>
      <c r="Z50" s="2" t="inlineStr"/>
      <c r="AA50" s="4" t="inlineStr"/>
      <c r="AB50" s="4" t="inlineStr"/>
      <c r="AC50" s="3" t="inlineStr"/>
      <c r="AD50" s="3" t="inlineStr">
        <is>
          <t>{"bonus":{"defense":15,"force":40,"hp":360,"troop_capacity":100},"pieces":4}</t>
        </is>
      </c>
      <c r="AE50" s="3" t="inlineStr">
        <is>
          <t>{"defense":25,"force":10,"hp":440,"set_bonus":{"bonus":{"defense":15,"force":40,"hp":360,"troop_capacity":100},"pieces":4},"set_description":"校尉套装","set_key":"xiaowei_set","troop_capacity":30}</t>
        </is>
      </c>
      <c r="AF50" s="3" t="inlineStr">
        <is>
          <t>data/item_templates.yaml:L3538</t>
        </is>
      </c>
    </row>
    <row r="51">
      <c r="A51" s="2" t="n">
        <v>50</v>
      </c>
      <c r="B51" s="2" t="inlineStr">
        <is>
          <t>equip_jiaodoushixiongjia</t>
        </is>
      </c>
      <c r="C51" s="2" t="inlineStr">
        <is>
          <t>角斗士胸甲</t>
        </is>
      </c>
      <c r="D51" s="2" t="inlineStr">
        <is>
          <t>armor</t>
        </is>
      </c>
      <c r="E51" s="2" t="inlineStr">
        <is>
          <t>护甲</t>
        </is>
      </c>
      <c r="F51" s="2" t="inlineStr">
        <is>
          <t>equip_armor</t>
        </is>
      </c>
      <c r="G51" s="2" t="inlineStr">
        <is>
          <t>blue</t>
        </is>
      </c>
      <c r="H51" s="2" t="inlineStr">
        <is>
          <t>稀有/蓝</t>
        </is>
      </c>
      <c r="I51" s="2" t="inlineStr">
        <is>
          <t>jiaodoushi_set</t>
        </is>
      </c>
      <c r="J51" s="3" t="inlineStr">
        <is>
          <t>角斗士套装</t>
        </is>
      </c>
      <c r="K51" s="3" t="inlineStr">
        <is>
          <t>胸甲以整片锻钢打造，常见于斗技场前排猛士，抗冲击能力出众。</t>
        </is>
      </c>
      <c r="L51" s="4" t="n">
        <v>7600</v>
      </c>
      <c r="M51" s="4" t="n">
        <v>100</v>
      </c>
      <c r="N51" s="2" t="inlineStr">
        <is>
          <t>是</t>
        </is>
      </c>
      <c r="O51" s="4" t="n">
        <v>450</v>
      </c>
      <c r="P51" s="4" t="n">
        <v>35</v>
      </c>
      <c r="Q51" s="4" t="n">
        <v>20</v>
      </c>
      <c r="R51" s="4" t="n">
        <v>0</v>
      </c>
      <c r="S51" s="4" t="n">
        <v>0</v>
      </c>
      <c r="T51" s="4" t="n">
        <v>0</v>
      </c>
      <c r="U51" s="4" t="n">
        <v>0</v>
      </c>
      <c r="V51" s="5">
        <f>SUM(O51:U51)</f>
        <v/>
      </c>
      <c r="W51" s="6">
        <f>O51*'强度系数说明'!$B$7+P51*'强度系数说明'!$B$8+Q51*'强度系数说明'!$B$9+R51*'强度系数说明'!$B$10+S51*'强度系数说明'!$B$11+T51*'强度系数说明'!$B$12+U51*'强度系数说明'!$B$13</f>
        <v/>
      </c>
      <c r="X51" s="7">
        <f>SUMPRODUCT((O51:U51&gt;0)*O51:U51)</f>
        <v/>
      </c>
      <c r="Y51" s="2" t="inlineStr">
        <is>
          <t>否</t>
        </is>
      </c>
      <c r="Z51" s="2" t="inlineStr"/>
      <c r="AA51" s="4" t="inlineStr"/>
      <c r="AB51" s="4" t="inlineStr"/>
      <c r="AC51" s="3" t="inlineStr"/>
      <c r="AD51" s="3" t="inlineStr">
        <is>
          <t>{"bonus":{"agility":15,"defense":10,"force":30,"hp":280},"pieces":4}</t>
        </is>
      </c>
      <c r="AE51" s="3" t="inlineStr">
        <is>
          <t>{"defense":35,"force":20,"hp":450,"set_bonus":{"bonus":{"agility":15,"defense":10,"force":30,"hp":280},"pieces":4},"set_description":"角斗士套装","set_key":"jiaodoushi_set"}</t>
        </is>
      </c>
      <c r="AF51" s="3" t="inlineStr">
        <is>
          <t>data/item_templates.yaml:L3561</t>
        </is>
      </c>
    </row>
    <row r="52">
      <c r="A52" s="2" t="n">
        <v>51</v>
      </c>
      <c r="B52" s="2" t="inlineStr">
        <is>
          <t>equip_qinglongjia</t>
        </is>
      </c>
      <c r="C52" s="2" t="inlineStr">
        <is>
          <t>青龙甲</t>
        </is>
      </c>
      <c r="D52" s="2" t="inlineStr">
        <is>
          <t>armor</t>
        </is>
      </c>
      <c r="E52" s="2" t="inlineStr">
        <is>
          <t>护甲</t>
        </is>
      </c>
      <c r="F52" s="2" t="inlineStr">
        <is>
          <t>equip_armor</t>
        </is>
      </c>
      <c r="G52" s="2" t="inlineStr">
        <is>
          <t>blue</t>
        </is>
      </c>
      <c r="H52" s="2" t="inlineStr">
        <is>
          <t>稀有/蓝</t>
        </is>
      </c>
      <c r="I52" s="2" t="inlineStr">
        <is>
          <t>sixiang_set</t>
        </is>
      </c>
      <c r="J52" s="3" t="inlineStr">
        <is>
          <t>四象套装</t>
        </is>
      </c>
      <c r="K52" s="3" t="inlineStr">
        <is>
          <t>甲身绘有青龙图腾，相传曾是青龙堂护法所穿。</t>
        </is>
      </c>
      <c r="L52" s="4" t="n">
        <v>6500</v>
      </c>
      <c r="M52" s="4" t="n">
        <v>100</v>
      </c>
      <c r="N52" s="2" t="inlineStr">
        <is>
          <t>是</t>
        </is>
      </c>
      <c r="O52" s="4" t="n">
        <v>350</v>
      </c>
      <c r="P52" s="4" t="n">
        <v>24</v>
      </c>
      <c r="Q52" s="4" t="n">
        <v>15</v>
      </c>
      <c r="R52" s="4" t="n">
        <v>18</v>
      </c>
      <c r="S52" s="4" t="n">
        <v>0</v>
      </c>
      <c r="T52" s="4" t="n">
        <v>0</v>
      </c>
      <c r="U52" s="4" t="n">
        <v>0</v>
      </c>
      <c r="V52" s="5">
        <f>SUM(O52:U52)</f>
        <v/>
      </c>
      <c r="W52" s="6">
        <f>O52*'强度系数说明'!$B$7+P52*'强度系数说明'!$B$8+Q52*'强度系数说明'!$B$9+R52*'强度系数说明'!$B$10+S52*'强度系数说明'!$B$11+T52*'强度系数说明'!$B$12+U52*'强度系数说明'!$B$13</f>
        <v/>
      </c>
      <c r="X52" s="7">
        <f>SUMPRODUCT((O52:U52&gt;0)*O52:U52)</f>
        <v/>
      </c>
      <c r="Y52" s="2" t="inlineStr">
        <is>
          <t>否</t>
        </is>
      </c>
      <c r="Z52" s="2" t="inlineStr"/>
      <c r="AA52" s="4" t="inlineStr"/>
      <c r="AB52" s="4" t="inlineStr"/>
      <c r="AC52" s="3" t="inlineStr"/>
      <c r="AD52" s="3" t="inlineStr">
        <is>
          <t>{"bonus":{"agility":20,"force":35,"hp":360,"intellect":35},"pieces":4}</t>
        </is>
      </c>
      <c r="AE52" s="3" t="inlineStr">
        <is>
          <t>{"defense":24,"force":15,"hp":350,"intellect":18,"set_bonus":{"bonus":{"agility":20,"force":35,"hp":360,"intellect":35},"pieces":4},"set_description":"四象套装","set_key":"sixiang_set"}</t>
        </is>
      </c>
      <c r="AF52" s="3" t="inlineStr">
        <is>
          <t>data/item_templates.yaml:L3583</t>
        </is>
      </c>
    </row>
    <row r="53">
      <c r="A53" s="2" t="n">
        <v>52</v>
      </c>
      <c r="B53" s="2" t="inlineStr">
        <is>
          <t>equip_wujinjia</t>
        </is>
      </c>
      <c r="C53" s="2" t="inlineStr">
        <is>
          <t>乌金甲</t>
        </is>
      </c>
      <c r="D53" s="2" t="inlineStr">
        <is>
          <t>armor</t>
        </is>
      </c>
      <c r="E53" s="2" t="inlineStr">
        <is>
          <t>护甲</t>
        </is>
      </c>
      <c r="F53" s="2" t="inlineStr">
        <is>
          <t>equip_armor</t>
        </is>
      </c>
      <c r="G53" s="2" t="inlineStr">
        <is>
          <t>blue</t>
        </is>
      </c>
      <c r="H53" s="2" t="inlineStr">
        <is>
          <t>稀有/蓝</t>
        </is>
      </c>
      <c r="I53" s="2" t="inlineStr"/>
      <c r="J53" s="3" t="inlineStr"/>
      <c r="K53" s="3" t="inlineStr">
        <is>
          <t>以乌金铸就的战甲，出自西域某个神秘的铸甲世家。</t>
        </is>
      </c>
      <c r="L53" s="4" t="n">
        <v>7000</v>
      </c>
      <c r="M53" s="4" t="n">
        <v>100</v>
      </c>
      <c r="N53" s="2" t="inlineStr">
        <is>
          <t>是</t>
        </is>
      </c>
      <c r="O53" s="4" t="n">
        <v>400</v>
      </c>
      <c r="P53" s="4" t="n">
        <v>25</v>
      </c>
      <c r="Q53" s="4" t="n">
        <v>20</v>
      </c>
      <c r="R53" s="4" t="n">
        <v>0</v>
      </c>
      <c r="S53" s="4" t="n">
        <v>0</v>
      </c>
      <c r="T53" s="4" t="n">
        <v>0</v>
      </c>
      <c r="U53" s="4" t="n">
        <v>0</v>
      </c>
      <c r="V53" s="5">
        <f>SUM(O53:U53)</f>
        <v/>
      </c>
      <c r="W53" s="6">
        <f>O53*'强度系数说明'!$B$7+P53*'强度系数说明'!$B$8+Q53*'强度系数说明'!$B$9+R53*'强度系数说明'!$B$10+S53*'强度系数说明'!$B$11+T53*'强度系数说明'!$B$12+U53*'强度系数说明'!$B$13</f>
        <v/>
      </c>
      <c r="X53" s="7">
        <f>SUMPRODUCT((O53:U53&gt;0)*O53:U53)</f>
        <v/>
      </c>
      <c r="Y53" s="2" t="inlineStr">
        <is>
          <t>否</t>
        </is>
      </c>
      <c r="Z53" s="2" t="inlineStr"/>
      <c r="AA53" s="4" t="inlineStr"/>
      <c r="AB53" s="4" t="inlineStr"/>
      <c r="AC53" s="3" t="inlineStr"/>
      <c r="AD53" s="3" t="inlineStr"/>
      <c r="AE53" s="3" t="inlineStr">
        <is>
          <t>{"defense":25,"force":20,"hp":400}</t>
        </is>
      </c>
      <c r="AF53" s="3" t="inlineStr">
        <is>
          <t>data/item_templates.yaml:L3606</t>
        </is>
      </c>
    </row>
    <row r="54">
      <c r="A54" s="2" t="n">
        <v>53</v>
      </c>
      <c r="B54" s="2" t="inlineStr">
        <is>
          <t>equip_linwenzhanjia</t>
        </is>
      </c>
      <c r="C54" s="2" t="inlineStr">
        <is>
          <t>鳞纹战甲</t>
        </is>
      </c>
      <c r="D54" s="2" t="inlineStr">
        <is>
          <t>armor</t>
        </is>
      </c>
      <c r="E54" s="2" t="inlineStr">
        <is>
          <t>护甲</t>
        </is>
      </c>
      <c r="F54" s="2" t="inlineStr">
        <is>
          <t>equip_armor</t>
        </is>
      </c>
      <c r="G54" s="2" t="inlineStr">
        <is>
          <t>blue</t>
        </is>
      </c>
      <c r="H54" s="2" t="inlineStr">
        <is>
          <t>稀有/蓝</t>
        </is>
      </c>
      <c r="I54" s="2" t="inlineStr"/>
      <c r="J54" s="3" t="inlineStr"/>
      <c r="K54" s="3" t="inlineStr">
        <is>
          <t>仿龙鳞锻造的战甲，据传灵感来自某位铸甲师的梦境。</t>
        </is>
      </c>
      <c r="L54" s="4" t="n">
        <v>7500</v>
      </c>
      <c r="M54" s="4" t="n">
        <v>100</v>
      </c>
      <c r="N54" s="2" t="inlineStr">
        <is>
          <t>是</t>
        </is>
      </c>
      <c r="O54" s="4" t="n">
        <v>500</v>
      </c>
      <c r="P54" s="4" t="n">
        <v>30</v>
      </c>
      <c r="Q54" s="4" t="n">
        <v>15</v>
      </c>
      <c r="R54" s="4" t="n">
        <v>0</v>
      </c>
      <c r="S54" s="4" t="n">
        <v>0</v>
      </c>
      <c r="T54" s="4" t="n">
        <v>0</v>
      </c>
      <c r="U54" s="4" t="n">
        <v>0</v>
      </c>
      <c r="V54" s="5">
        <f>SUM(O54:U54)</f>
        <v/>
      </c>
      <c r="W54" s="6">
        <f>O54*'强度系数说明'!$B$7+P54*'强度系数说明'!$B$8+Q54*'强度系数说明'!$B$9+R54*'强度系数说明'!$B$10+S54*'强度系数说明'!$B$11+T54*'强度系数说明'!$B$12+U54*'强度系数说明'!$B$13</f>
        <v/>
      </c>
      <c r="X54" s="7">
        <f>SUMPRODUCT((O54:U54&gt;0)*O54:U54)</f>
        <v/>
      </c>
      <c r="Y54" s="2" t="inlineStr">
        <is>
          <t>否</t>
        </is>
      </c>
      <c r="Z54" s="2" t="inlineStr"/>
      <c r="AA54" s="4" t="inlineStr"/>
      <c r="AB54" s="4" t="inlineStr"/>
      <c r="AC54" s="3" t="inlineStr"/>
      <c r="AD54" s="3" t="inlineStr"/>
      <c r="AE54" s="3" t="inlineStr">
        <is>
          <t>{"defense":30,"force":15,"hp":500}</t>
        </is>
      </c>
      <c r="AF54" s="3" t="inlineStr">
        <is>
          <t>data/item_templates.yaml:L3620</t>
        </is>
      </c>
    </row>
    <row r="55">
      <c r="A55" s="2" t="n">
        <v>54</v>
      </c>
      <c r="B55" s="2" t="inlineStr">
        <is>
          <t>equip_yunwenfayi</t>
        </is>
      </c>
      <c r="C55" s="2" t="inlineStr">
        <is>
          <t>云纹法衣</t>
        </is>
      </c>
      <c r="D55" s="2" t="inlineStr">
        <is>
          <t>armor</t>
        </is>
      </c>
      <c r="E55" s="2" t="inlineStr">
        <is>
          <t>护甲</t>
        </is>
      </c>
      <c r="F55" s="2" t="inlineStr">
        <is>
          <t>equip_armor</t>
        </is>
      </c>
      <c r="G55" s="2" t="inlineStr">
        <is>
          <t>blue</t>
        </is>
      </c>
      <c r="H55" s="2" t="inlineStr">
        <is>
          <t>稀有/蓝</t>
        </is>
      </c>
      <c r="I55" s="2" t="inlineStr"/>
      <c r="J55" s="3" t="inlineStr"/>
      <c r="K55" s="3" t="inlineStr">
        <is>
          <t>道门高功法师的礼服，袍面云纹暗合天地之道。</t>
        </is>
      </c>
      <c r="L55" s="4" t="n">
        <v>6200</v>
      </c>
      <c r="M55" s="4" t="n">
        <v>100</v>
      </c>
      <c r="N55" s="2" t="inlineStr">
        <is>
          <t>是</t>
        </is>
      </c>
      <c r="O55" s="4" t="n">
        <v>350</v>
      </c>
      <c r="P55" s="4" t="n">
        <v>10</v>
      </c>
      <c r="Q55" s="4" t="n">
        <v>0</v>
      </c>
      <c r="R55" s="4" t="n">
        <v>30</v>
      </c>
      <c r="S55" s="4" t="n">
        <v>0</v>
      </c>
      <c r="T55" s="4" t="n">
        <v>10</v>
      </c>
      <c r="U55" s="4" t="n">
        <v>0</v>
      </c>
      <c r="V55" s="5">
        <f>SUM(O55:U55)</f>
        <v/>
      </c>
      <c r="W55" s="6">
        <f>O55*'强度系数说明'!$B$7+P55*'强度系数说明'!$B$8+Q55*'强度系数说明'!$B$9+R55*'强度系数说明'!$B$10+S55*'强度系数说明'!$B$11+T55*'强度系数说明'!$B$12+U55*'强度系数说明'!$B$13</f>
        <v/>
      </c>
      <c r="X55" s="7">
        <f>SUMPRODUCT((O55:U55&gt;0)*O55:U55)</f>
        <v/>
      </c>
      <c r="Y55" s="2" t="inlineStr">
        <is>
          <t>否</t>
        </is>
      </c>
      <c r="Z55" s="2" t="inlineStr"/>
      <c r="AA55" s="4" t="inlineStr"/>
      <c r="AB55" s="4" t="inlineStr"/>
      <c r="AC55" s="3" t="inlineStr"/>
      <c r="AD55" s="3" t="inlineStr"/>
      <c r="AE55" s="3" t="inlineStr">
        <is>
          <t>{"defense":10,"hp":350,"intellect":30,"luck":10}</t>
        </is>
      </c>
      <c r="AF55" s="3" t="inlineStr">
        <is>
          <t>data/item_templates.yaml:L3634</t>
        </is>
      </c>
    </row>
    <row r="56">
      <c r="A56" s="2" t="n">
        <v>55</v>
      </c>
      <c r="B56" s="2" t="inlineStr">
        <is>
          <t>equip_xuanjiazhanbao</t>
        </is>
      </c>
      <c r="C56" s="2" t="inlineStr">
        <is>
          <t>玄甲战袍</t>
        </is>
      </c>
      <c r="D56" s="2" t="inlineStr">
        <is>
          <t>armor</t>
        </is>
      </c>
      <c r="E56" s="2" t="inlineStr">
        <is>
          <t>护甲</t>
        </is>
      </c>
      <c r="F56" s="2" t="inlineStr">
        <is>
          <t>equip_armor</t>
        </is>
      </c>
      <c r="G56" s="2" t="inlineStr">
        <is>
          <t>blue</t>
        </is>
      </c>
      <c r="H56" s="2" t="inlineStr">
        <is>
          <t>稀有/蓝</t>
        </is>
      </c>
      <c r="I56" s="2" t="inlineStr"/>
      <c r="J56" s="3" t="inlineStr"/>
      <c r="K56" s="3" t="inlineStr">
        <is>
          <t>外观如袍内藏甲片，是江湖刺客常用的隐蔽战衣。</t>
        </is>
      </c>
      <c r="L56" s="4" t="n">
        <v>8000</v>
      </c>
      <c r="M56" s="4" t="n">
        <v>100</v>
      </c>
      <c r="N56" s="2" t="inlineStr">
        <is>
          <t>是</t>
        </is>
      </c>
      <c r="O56" s="4" t="n">
        <v>550</v>
      </c>
      <c r="P56" s="4" t="n">
        <v>30</v>
      </c>
      <c r="Q56" s="4" t="n">
        <v>0</v>
      </c>
      <c r="R56" s="4" t="n">
        <v>20</v>
      </c>
      <c r="S56" s="4" t="n">
        <v>0</v>
      </c>
      <c r="T56" s="4" t="n">
        <v>0</v>
      </c>
      <c r="U56" s="4" t="n">
        <v>0</v>
      </c>
      <c r="V56" s="5">
        <f>SUM(O56:U56)</f>
        <v/>
      </c>
      <c r="W56" s="6">
        <f>O56*'强度系数说明'!$B$7+P56*'强度系数说明'!$B$8+Q56*'强度系数说明'!$B$9+R56*'强度系数说明'!$B$10+S56*'强度系数说明'!$B$11+T56*'强度系数说明'!$B$12+U56*'强度系数说明'!$B$13</f>
        <v/>
      </c>
      <c r="X56" s="7">
        <f>SUMPRODUCT((O56:U56&gt;0)*O56:U56)</f>
        <v/>
      </c>
      <c r="Y56" s="2" t="inlineStr">
        <is>
          <t>否</t>
        </is>
      </c>
      <c r="Z56" s="2" t="inlineStr"/>
      <c r="AA56" s="4" t="inlineStr"/>
      <c r="AB56" s="4" t="inlineStr"/>
      <c r="AC56" s="3" t="inlineStr"/>
      <c r="AD56" s="3" t="inlineStr"/>
      <c r="AE56" s="3" t="inlineStr">
        <is>
          <t>{"defense":30,"hp":550,"intellect":20}</t>
        </is>
      </c>
      <c r="AF56" s="3" t="inlineStr">
        <is>
          <t>data/item_templates.yaml:L3649</t>
        </is>
      </c>
    </row>
    <row r="57">
      <c r="A57" s="2" t="n">
        <v>56</v>
      </c>
      <c r="B57" s="2" t="inlineStr">
        <is>
          <t>equip_huxianpao</t>
        </is>
      </c>
      <c r="C57" s="2" t="inlineStr">
        <is>
          <t>狐仙袍</t>
        </is>
      </c>
      <c r="D57" s="2" t="inlineStr">
        <is>
          <t>armor</t>
        </is>
      </c>
      <c r="E57" s="2" t="inlineStr">
        <is>
          <t>护甲</t>
        </is>
      </c>
      <c r="F57" s="2" t="inlineStr">
        <is>
          <t>equip_armor</t>
        </is>
      </c>
      <c r="G57" s="2" t="inlineStr">
        <is>
          <t>purple</t>
        </is>
      </c>
      <c r="H57" s="2" t="inlineStr">
        <is>
          <t>史诗/紫</t>
        </is>
      </c>
      <c r="I57" s="2" t="inlineStr">
        <is>
          <t>huxian_set</t>
        </is>
      </c>
      <c r="J57" s="3" t="inlineStr">
        <is>
          <t>狐仙套装</t>
        </is>
      </c>
      <c r="K57" s="3" t="inlineStr">
        <is>
          <t>相传为涂山狐族遗物，袍上隐有狐狸图纹。</t>
        </is>
      </c>
      <c r="L57" s="4" t="n">
        <v>15000</v>
      </c>
      <c r="M57" s="4" t="n">
        <v>150</v>
      </c>
      <c r="N57" s="2" t="inlineStr">
        <is>
          <t>是</t>
        </is>
      </c>
      <c r="O57" s="4" t="n">
        <v>535</v>
      </c>
      <c r="P57" s="4" t="n">
        <v>25</v>
      </c>
      <c r="Q57" s="4" t="n">
        <v>3</v>
      </c>
      <c r="R57" s="4" t="n">
        <v>34</v>
      </c>
      <c r="S57" s="4" t="n">
        <v>0</v>
      </c>
      <c r="T57" s="4" t="n">
        <v>0</v>
      </c>
      <c r="U57" s="4" t="n">
        <v>0</v>
      </c>
      <c r="V57" s="5">
        <f>SUM(O57:U57)</f>
        <v/>
      </c>
      <c r="W57" s="6">
        <f>O57*'强度系数说明'!$B$7+P57*'强度系数说明'!$B$8+Q57*'强度系数说明'!$B$9+R57*'强度系数说明'!$B$10+S57*'强度系数说明'!$B$11+T57*'强度系数说明'!$B$12+U57*'强度系数说明'!$B$13</f>
        <v/>
      </c>
      <c r="X57" s="7">
        <f>SUMPRODUCT((O57:U57&gt;0)*O57:U57)</f>
        <v/>
      </c>
      <c r="Y57" s="2" t="inlineStr">
        <is>
          <t>否</t>
        </is>
      </c>
      <c r="Z57" s="2" t="inlineStr"/>
      <c r="AA57" s="4" t="inlineStr"/>
      <c r="AB57" s="4" t="inlineStr"/>
      <c r="AC57" s="3" t="inlineStr"/>
      <c r="AD57" s="3" t="inlineStr">
        <is>
          <t>{"bonus":{"hp":280,"intellect":64,"luck":18},"pieces":3}</t>
        </is>
      </c>
      <c r="AE57" s="3" t="inlineStr">
        <is>
          <t>{"defense":25,"force":3,"hp":535,"intellect":34,"set_bonus":{"bonus":{"hp":280,"intellect":64,"luck":18},"pieces":3},"set_description":"狐仙套装","set_key":"huxian_set"}</t>
        </is>
      </c>
      <c r="AF57" s="3" t="inlineStr">
        <is>
          <t>data/item_templates.yaml:L3665</t>
        </is>
      </c>
    </row>
    <row r="58">
      <c r="A58" s="2" t="n">
        <v>57</v>
      </c>
      <c r="B58" s="2" t="inlineStr">
        <is>
          <t>equip_qilinjia</t>
        </is>
      </c>
      <c r="C58" s="2" t="inlineStr">
        <is>
          <t>麒麟甲</t>
        </is>
      </c>
      <c r="D58" s="2" t="inlineStr">
        <is>
          <t>armor</t>
        </is>
      </c>
      <c r="E58" s="2" t="inlineStr">
        <is>
          <t>护甲</t>
        </is>
      </c>
      <c r="F58" s="2" t="inlineStr">
        <is>
          <t>equip_armor</t>
        </is>
      </c>
      <c r="G58" s="2" t="inlineStr">
        <is>
          <t>purple</t>
        </is>
      </c>
      <c r="H58" s="2" t="inlineStr">
        <is>
          <t>史诗/紫</t>
        </is>
      </c>
      <c r="I58" s="2" t="inlineStr">
        <is>
          <t>qilin_set</t>
        </is>
      </c>
      <c r="J58" s="3" t="inlineStr">
        <is>
          <t>麒麟套装</t>
        </is>
      </c>
      <c r="K58" s="3" t="inlineStr">
        <is>
          <t>仿麒麟鳞甲锻造，相传曾是某位麒麟卫统领的战甲。</t>
        </is>
      </c>
      <c r="L58" s="4" t="n">
        <v>18000</v>
      </c>
      <c r="M58" s="4" t="n">
        <v>150</v>
      </c>
      <c r="N58" s="2" t="inlineStr">
        <is>
          <t>是</t>
        </is>
      </c>
      <c r="O58" s="4" t="n">
        <v>575</v>
      </c>
      <c r="P58" s="4" t="n">
        <v>35</v>
      </c>
      <c r="Q58" s="4" t="n">
        <v>25</v>
      </c>
      <c r="R58" s="4" t="n">
        <v>4</v>
      </c>
      <c r="S58" s="4" t="n">
        <v>0</v>
      </c>
      <c r="T58" s="4" t="n">
        <v>0</v>
      </c>
      <c r="U58" s="4" t="n">
        <v>0</v>
      </c>
      <c r="V58" s="5">
        <f>SUM(O58:U58)</f>
        <v/>
      </c>
      <c r="W58" s="6">
        <f>O58*'强度系数说明'!$B$7+P58*'强度系数说明'!$B$8+Q58*'强度系数说明'!$B$9+R58*'强度系数说明'!$B$10+S58*'强度系数说明'!$B$11+T58*'强度系数说明'!$B$12+U58*'强度系数说明'!$B$13</f>
        <v/>
      </c>
      <c r="X58" s="7">
        <f>SUMPRODUCT((O58:U58&gt;0)*O58:U58)</f>
        <v/>
      </c>
      <c r="Y58" s="2" t="inlineStr">
        <is>
          <t>否</t>
        </is>
      </c>
      <c r="Z58" s="2" t="inlineStr"/>
      <c r="AA58" s="4" t="inlineStr"/>
      <c r="AB58" s="4" t="inlineStr"/>
      <c r="AC58" s="3" t="inlineStr"/>
      <c r="AD58" s="3" t="inlineStr">
        <is>
          <t>{"bonus":{"agility":18,"force":38,"hp":420,"luck":30},"pieces":4}</t>
        </is>
      </c>
      <c r="AE58" s="3" t="inlineStr">
        <is>
          <t>{"defense":35,"force":25,"hp":575,"intellect":4,"set_bonus":{"bonus":{"agility":18,"force":38,"hp":420,"luck":30},"pieces":4},"set_description":"麒麟套装","set_key":"qilin_set"}</t>
        </is>
      </c>
      <c r="AF58" s="3" t="inlineStr">
        <is>
          <t>data/item_templates.yaml:L3687</t>
        </is>
      </c>
    </row>
    <row r="59">
      <c r="A59" s="2" t="n">
        <v>58</v>
      </c>
      <c r="B59" s="2" t="inlineStr">
        <is>
          <t>equip_xuanwujia</t>
        </is>
      </c>
      <c r="C59" s="2" t="inlineStr">
        <is>
          <t>玄武甲</t>
        </is>
      </c>
      <c r="D59" s="2" t="inlineStr">
        <is>
          <t>armor</t>
        </is>
      </c>
      <c r="E59" s="2" t="inlineStr">
        <is>
          <t>护甲</t>
        </is>
      </c>
      <c r="F59" s="2" t="inlineStr">
        <is>
          <t>equip_armor</t>
        </is>
      </c>
      <c r="G59" s="2" t="inlineStr">
        <is>
          <t>purple</t>
        </is>
      </c>
      <c r="H59" s="2" t="inlineStr">
        <is>
          <t>史诗/紫</t>
        </is>
      </c>
      <c r="I59" s="2" t="inlineStr">
        <is>
          <t>xuanwu_set</t>
        </is>
      </c>
      <c r="J59" s="3" t="inlineStr">
        <is>
          <t>玄武套装</t>
        </is>
      </c>
      <c r="K59" s="3" t="inlineStr">
        <is>
          <t>以玄武为形铸造，龟纹蛇鳞交织，出自玄武山庄。</t>
        </is>
      </c>
      <c r="L59" s="4" t="n">
        <v>20000</v>
      </c>
      <c r="M59" s="4" t="n">
        <v>150</v>
      </c>
      <c r="N59" s="2" t="inlineStr">
        <is>
          <t>是</t>
        </is>
      </c>
      <c r="O59" s="4" t="n">
        <v>676</v>
      </c>
      <c r="P59" s="4" t="n">
        <v>48</v>
      </c>
      <c r="Q59" s="4" t="n">
        <v>7</v>
      </c>
      <c r="R59" s="4" t="n">
        <v>7</v>
      </c>
      <c r="S59" s="4" t="n">
        <v>0</v>
      </c>
      <c r="T59" s="4" t="n">
        <v>0</v>
      </c>
      <c r="U59" s="4" t="n">
        <v>0</v>
      </c>
      <c r="V59" s="5">
        <f>SUM(O59:U59)</f>
        <v/>
      </c>
      <c r="W59" s="6">
        <f>O59*'强度系数说明'!$B$7+P59*'强度系数说明'!$B$8+Q59*'强度系数说明'!$B$9+R59*'强度系数说明'!$B$10+S59*'强度系数说明'!$B$11+T59*'强度系数说明'!$B$12+U59*'强度系数说明'!$B$13</f>
        <v/>
      </c>
      <c r="X59" s="7">
        <f>SUMPRODUCT((O59:U59&gt;0)*O59:U59)</f>
        <v/>
      </c>
      <c r="Y59" s="2" t="inlineStr">
        <is>
          <t>否</t>
        </is>
      </c>
      <c r="Z59" s="2" t="inlineStr"/>
      <c r="AA59" s="4" t="inlineStr"/>
      <c r="AB59" s="4" t="inlineStr"/>
      <c r="AC59" s="3" t="inlineStr"/>
      <c r="AD59" s="3" t="inlineStr">
        <is>
          <t>{"bonus":{"defense":70,"force":20,"hp":260},"pieces":4}</t>
        </is>
      </c>
      <c r="AE59" s="3" t="inlineStr">
        <is>
          <t>{"defense":48,"force":7,"hp":676,"intellect":7,"set_bonus":{"bonus":{"defense":70,"force":20,"hp":260},"pieces":4},"set_description":"玄武套装","set_key":"xuanwu_set"}</t>
        </is>
      </c>
      <c r="AF59" s="3" t="inlineStr">
        <is>
          <t>data/item_templates.yaml:L3710</t>
        </is>
      </c>
    </row>
    <row r="60">
      <c r="A60" s="2" t="n">
        <v>59</v>
      </c>
      <c r="B60" s="2" t="inlineStr">
        <is>
          <t>equip_tiancanbaoyi</t>
        </is>
      </c>
      <c r="C60" s="2" t="inlineStr">
        <is>
          <t>天蚕宝衣</t>
        </is>
      </c>
      <c r="D60" s="2" t="inlineStr">
        <is>
          <t>armor</t>
        </is>
      </c>
      <c r="E60" s="2" t="inlineStr">
        <is>
          <t>护甲</t>
        </is>
      </c>
      <c r="F60" s="2" t="inlineStr">
        <is>
          <t>equip_armor</t>
        </is>
      </c>
      <c r="G60" s="2" t="inlineStr">
        <is>
          <t>purple</t>
        </is>
      </c>
      <c r="H60" s="2" t="inlineStr">
        <is>
          <t>史诗/紫</t>
        </is>
      </c>
      <c r="I60" s="2" t="inlineStr"/>
      <c r="J60" s="3" t="inlineStr"/>
      <c r="K60" s="3" t="inlineStr">
        <is>
          <t>以雪域天蚕丝织就，轻若无物却刀枪不入。</t>
        </is>
      </c>
      <c r="L60" s="4" t="n">
        <v>16000</v>
      </c>
      <c r="M60" s="4" t="n">
        <v>150</v>
      </c>
      <c r="N60" s="2" t="inlineStr">
        <is>
          <t>是</t>
        </is>
      </c>
      <c r="O60" s="4" t="n">
        <v>560</v>
      </c>
      <c r="P60" s="4" t="n">
        <v>30</v>
      </c>
      <c r="Q60" s="4" t="n">
        <v>6</v>
      </c>
      <c r="R60" s="4" t="n">
        <v>0</v>
      </c>
      <c r="S60" s="4" t="n">
        <v>34</v>
      </c>
      <c r="T60" s="4" t="n">
        <v>0</v>
      </c>
      <c r="U60" s="4" t="n">
        <v>0</v>
      </c>
      <c r="V60" s="5">
        <f>SUM(O60:U60)</f>
        <v/>
      </c>
      <c r="W60" s="6">
        <f>O60*'强度系数说明'!$B$7+P60*'强度系数说明'!$B$8+Q60*'强度系数说明'!$B$9+R60*'强度系数说明'!$B$10+S60*'强度系数说明'!$B$11+T60*'强度系数说明'!$B$12+U60*'强度系数说明'!$B$13</f>
        <v/>
      </c>
      <c r="X60" s="7">
        <f>SUMPRODUCT((O60:U60&gt;0)*O60:U60)</f>
        <v/>
      </c>
      <c r="Y60" s="2" t="inlineStr">
        <is>
          <t>否</t>
        </is>
      </c>
      <c r="Z60" s="2" t="inlineStr"/>
      <c r="AA60" s="4" t="inlineStr"/>
      <c r="AB60" s="4" t="inlineStr"/>
      <c r="AC60" s="3" t="inlineStr"/>
      <c r="AD60" s="3" t="inlineStr"/>
      <c r="AE60" s="3" t="inlineStr">
        <is>
          <t>{"agility":34,"defense":30,"force":6,"hp":560}</t>
        </is>
      </c>
      <c r="AF60" s="3" t="inlineStr">
        <is>
          <t>data/item_templates.yaml:L3732</t>
        </is>
      </c>
    </row>
    <row r="61">
      <c r="A61" s="2" t="n">
        <v>60</v>
      </c>
      <c r="B61" s="2" t="inlineStr">
        <is>
          <t>equip_pojunzhanjia</t>
        </is>
      </c>
      <c r="C61" s="2" t="inlineStr">
        <is>
          <t>破军战甲</t>
        </is>
      </c>
      <c r="D61" s="2" t="inlineStr">
        <is>
          <t>armor</t>
        </is>
      </c>
      <c r="E61" s="2" t="inlineStr">
        <is>
          <t>护甲</t>
        </is>
      </c>
      <c r="F61" s="2" t="inlineStr">
        <is>
          <t>equip_armor</t>
        </is>
      </c>
      <c r="G61" s="2" t="inlineStr">
        <is>
          <t>purple</t>
        </is>
      </c>
      <c r="H61" s="2" t="inlineStr">
        <is>
          <t>史诗/紫</t>
        </is>
      </c>
      <c r="I61" s="2" t="inlineStr"/>
      <c r="J61" s="3" t="inlineStr"/>
      <c r="K61" s="3" t="inlineStr">
        <is>
          <t>破军星君法相所铸，据传曾助某位将军连破七城。</t>
        </is>
      </c>
      <c r="L61" s="4" t="n">
        <v>19000</v>
      </c>
      <c r="M61" s="4" t="n">
        <v>150</v>
      </c>
      <c r="N61" s="2" t="inlineStr">
        <is>
          <t>是</t>
        </is>
      </c>
      <c r="O61" s="4" t="n">
        <v>630</v>
      </c>
      <c r="P61" s="4" t="n">
        <v>29</v>
      </c>
      <c r="Q61" s="4" t="n">
        <v>31</v>
      </c>
      <c r="R61" s="4" t="n">
        <v>0</v>
      </c>
      <c r="S61" s="4" t="n">
        <v>0</v>
      </c>
      <c r="T61" s="4" t="n">
        <v>0</v>
      </c>
      <c r="U61" s="4" t="n">
        <v>0</v>
      </c>
      <c r="V61" s="5">
        <f>SUM(O61:U61)</f>
        <v/>
      </c>
      <c r="W61" s="6">
        <f>O61*'强度系数说明'!$B$7+P61*'强度系数说明'!$B$8+Q61*'强度系数说明'!$B$9+R61*'强度系数说明'!$B$10+S61*'强度系数说明'!$B$11+T61*'强度系数说明'!$B$12+U61*'强度系数说明'!$B$13</f>
        <v/>
      </c>
      <c r="X61" s="7">
        <f>SUMPRODUCT((O61:U61&gt;0)*O61:U61)</f>
        <v/>
      </c>
      <c r="Y61" s="2" t="inlineStr">
        <is>
          <t>否</t>
        </is>
      </c>
      <c r="Z61" s="2" t="inlineStr"/>
      <c r="AA61" s="4" t="inlineStr"/>
      <c r="AB61" s="4" t="inlineStr"/>
      <c r="AC61" s="3" t="inlineStr"/>
      <c r="AD61" s="3" t="inlineStr"/>
      <c r="AE61" s="3" t="inlineStr">
        <is>
          <t>{"defense":29,"force":31,"hp":630}</t>
        </is>
      </c>
      <c r="AF61" s="3" t="inlineStr">
        <is>
          <t>data/item_templates.yaml:L3747</t>
        </is>
      </c>
    </row>
    <row r="62">
      <c r="A62" s="2" t="n">
        <v>61</v>
      </c>
      <c r="B62" s="2" t="inlineStr">
        <is>
          <t>equip_tianjidaopao</t>
        </is>
      </c>
      <c r="C62" s="2" t="inlineStr">
        <is>
          <t>天机道袍</t>
        </is>
      </c>
      <c r="D62" s="2" t="inlineStr">
        <is>
          <t>armor</t>
        </is>
      </c>
      <c r="E62" s="2" t="inlineStr">
        <is>
          <t>护甲</t>
        </is>
      </c>
      <c r="F62" s="2" t="inlineStr">
        <is>
          <t>equip_armor</t>
        </is>
      </c>
      <c r="G62" s="2" t="inlineStr">
        <is>
          <t>purple</t>
        </is>
      </c>
      <c r="H62" s="2" t="inlineStr">
        <is>
          <t>史诗/紫</t>
        </is>
      </c>
      <c r="I62" s="2" t="inlineStr"/>
      <c r="J62" s="3" t="inlineStr"/>
      <c r="K62" s="3" t="inlineStr">
        <is>
          <t>天机门祖师的旧物，袍内暗藏机关纹路。</t>
        </is>
      </c>
      <c r="L62" s="4" t="n">
        <v>17000</v>
      </c>
      <c r="M62" s="4" t="n">
        <v>150</v>
      </c>
      <c r="N62" s="2" t="inlineStr">
        <is>
          <t>是</t>
        </is>
      </c>
      <c r="O62" s="4" t="n">
        <v>376</v>
      </c>
      <c r="P62" s="4" t="n">
        <v>19</v>
      </c>
      <c r="Q62" s="4" t="n">
        <v>0</v>
      </c>
      <c r="R62" s="4" t="n">
        <v>35</v>
      </c>
      <c r="S62" s="4" t="n">
        <v>0</v>
      </c>
      <c r="T62" s="4" t="n">
        <v>17</v>
      </c>
      <c r="U62" s="4" t="n">
        <v>0</v>
      </c>
      <c r="V62" s="5">
        <f>SUM(O62:U62)</f>
        <v/>
      </c>
      <c r="W62" s="6">
        <f>O62*'强度系数说明'!$B$7+P62*'强度系数说明'!$B$8+Q62*'强度系数说明'!$B$9+R62*'强度系数说明'!$B$10+S62*'强度系数说明'!$B$11+T62*'强度系数说明'!$B$12+U62*'强度系数说明'!$B$13</f>
        <v/>
      </c>
      <c r="X62" s="7">
        <f>SUMPRODUCT((O62:U62&gt;0)*O62:U62)</f>
        <v/>
      </c>
      <c r="Y62" s="2" t="inlineStr">
        <is>
          <t>否</t>
        </is>
      </c>
      <c r="Z62" s="2" t="inlineStr"/>
      <c r="AA62" s="4" t="inlineStr"/>
      <c r="AB62" s="4" t="inlineStr"/>
      <c r="AC62" s="3" t="inlineStr"/>
      <c r="AD62" s="3" t="inlineStr"/>
      <c r="AE62" s="3" t="inlineStr">
        <is>
          <t>{"defense":19,"hp":376,"intellect":35,"luck":17}</t>
        </is>
      </c>
      <c r="AF62" s="3" t="inlineStr">
        <is>
          <t>data/item_templates.yaml:L3761</t>
        </is>
      </c>
    </row>
    <row r="63">
      <c r="A63" s="2" t="n">
        <v>62</v>
      </c>
      <c r="B63" s="2" t="inlineStr">
        <is>
          <t>equip_longlinzhanjia</t>
        </is>
      </c>
      <c r="C63" s="2" t="inlineStr">
        <is>
          <t>龙鳞战甲</t>
        </is>
      </c>
      <c r="D63" s="2" t="inlineStr">
        <is>
          <t>armor</t>
        </is>
      </c>
      <c r="E63" s="2" t="inlineStr">
        <is>
          <t>护甲</t>
        </is>
      </c>
      <c r="F63" s="2" t="inlineStr">
        <is>
          <t>equip_armor</t>
        </is>
      </c>
      <c r="G63" s="2" t="inlineStr">
        <is>
          <t>orange</t>
        </is>
      </c>
      <c r="H63" s="2" t="inlineStr">
        <is>
          <t>传说/橙</t>
        </is>
      </c>
      <c r="I63" s="2" t="inlineStr"/>
      <c r="J63" s="3" t="inlineStr"/>
      <c r="K63" s="3" t="inlineStr">
        <is>
          <t>以真龙脱落之鳞锻造，极为稀有，世间仅存数件。</t>
        </is>
      </c>
      <c r="L63" s="4" t="n">
        <v>60000</v>
      </c>
      <c r="M63" s="4" t="n">
        <v>200</v>
      </c>
      <c r="N63" s="2" t="inlineStr">
        <is>
          <t>是</t>
        </is>
      </c>
      <c r="O63" s="4" t="n">
        <v>720</v>
      </c>
      <c r="P63" s="4" t="n">
        <v>38</v>
      </c>
      <c r="Q63" s="4" t="n">
        <v>39</v>
      </c>
      <c r="R63" s="4" t="n">
        <v>3</v>
      </c>
      <c r="S63" s="4" t="n">
        <v>0</v>
      </c>
      <c r="T63" s="4" t="n">
        <v>0</v>
      </c>
      <c r="U63" s="4" t="n">
        <v>0</v>
      </c>
      <c r="V63" s="5">
        <f>SUM(O63:U63)</f>
        <v/>
      </c>
      <c r="W63" s="6">
        <f>O63*'强度系数说明'!$B$7+P63*'强度系数说明'!$B$8+Q63*'强度系数说明'!$B$9+R63*'强度系数说明'!$B$10+S63*'强度系数说明'!$B$11+T63*'强度系数说明'!$B$12+U63*'强度系数说明'!$B$13</f>
        <v/>
      </c>
      <c r="X63" s="7">
        <f>SUMPRODUCT((O63:U63&gt;0)*O63:U63)</f>
        <v/>
      </c>
      <c r="Y63" s="2" t="inlineStr">
        <is>
          <t>否</t>
        </is>
      </c>
      <c r="Z63" s="2" t="inlineStr"/>
      <c r="AA63" s="4" t="inlineStr"/>
      <c r="AB63" s="4" t="inlineStr"/>
      <c r="AC63" s="3" t="inlineStr"/>
      <c r="AD63" s="3" t="inlineStr"/>
      <c r="AE63" s="3" t="inlineStr">
        <is>
          <t>{"defense":38,"force":39,"hp":720,"intellect":3}</t>
        </is>
      </c>
      <c r="AF63" s="3" t="inlineStr">
        <is>
          <t>data/item_templates.yaml:L3778</t>
        </is>
      </c>
    </row>
    <row r="64">
      <c r="A64" s="2" t="n">
        <v>63</v>
      </c>
      <c r="B64" s="2" t="inlineStr">
        <is>
          <t>equip_jinsirujia</t>
        </is>
      </c>
      <c r="C64" s="2" t="inlineStr">
        <is>
          <t>金丝软甲</t>
        </is>
      </c>
      <c r="D64" s="2" t="inlineStr">
        <is>
          <t>armor</t>
        </is>
      </c>
      <c r="E64" s="2" t="inlineStr">
        <is>
          <t>护甲</t>
        </is>
      </c>
      <c r="F64" s="2" t="inlineStr">
        <is>
          <t>equip_armor</t>
        </is>
      </c>
      <c r="G64" s="2" t="inlineStr">
        <is>
          <t>orange</t>
        </is>
      </c>
      <c r="H64" s="2" t="inlineStr">
        <is>
          <t>传说/橙</t>
        </is>
      </c>
      <c r="I64" s="2" t="inlineStr"/>
      <c r="J64" s="3" t="inlineStr"/>
      <c r="K64" s="3" t="inlineStr">
        <is>
          <t>以金丝编织的软甲，相传出自波斯国的神秘工坊。</t>
        </is>
      </c>
      <c r="L64" s="4" t="n">
        <v>55000</v>
      </c>
      <c r="M64" s="4" t="n">
        <v>200</v>
      </c>
      <c r="N64" s="2" t="inlineStr">
        <is>
          <t>是</t>
        </is>
      </c>
      <c r="O64" s="4" t="n">
        <v>640</v>
      </c>
      <c r="P64" s="4" t="n">
        <v>32</v>
      </c>
      <c r="Q64" s="4" t="n">
        <v>0</v>
      </c>
      <c r="R64" s="4" t="n">
        <v>0</v>
      </c>
      <c r="S64" s="4" t="n">
        <v>28</v>
      </c>
      <c r="T64" s="4" t="n">
        <v>18</v>
      </c>
      <c r="U64" s="4" t="n">
        <v>0</v>
      </c>
      <c r="V64" s="5">
        <f>SUM(O64:U64)</f>
        <v/>
      </c>
      <c r="W64" s="6">
        <f>O64*'强度系数说明'!$B$7+P64*'强度系数说明'!$B$8+Q64*'强度系数说明'!$B$9+R64*'强度系数说明'!$B$10+S64*'强度系数说明'!$B$11+T64*'强度系数说明'!$B$12+U64*'强度系数说明'!$B$13</f>
        <v/>
      </c>
      <c r="X64" s="7">
        <f>SUMPRODUCT((O64:U64&gt;0)*O64:U64)</f>
        <v/>
      </c>
      <c r="Y64" s="2" t="inlineStr">
        <is>
          <t>否</t>
        </is>
      </c>
      <c r="Z64" s="2" t="inlineStr"/>
      <c r="AA64" s="4" t="inlineStr"/>
      <c r="AB64" s="4" t="inlineStr"/>
      <c r="AC64" s="3" t="inlineStr"/>
      <c r="AD64" s="3" t="inlineStr"/>
      <c r="AE64" s="3" t="inlineStr">
        <is>
          <t>{"agility":28,"defense":32,"hp":640,"luck":18}</t>
        </is>
      </c>
      <c r="AF64" s="3" t="inlineStr">
        <is>
          <t>data/item_templates.yaml:L3793</t>
        </is>
      </c>
    </row>
    <row r="65">
      <c r="A65" s="2" t="n">
        <v>64</v>
      </c>
      <c r="B65" s="2" t="inlineStr">
        <is>
          <t>equip_hundunlongpao</t>
        </is>
      </c>
      <c r="C65" s="2" t="inlineStr">
        <is>
          <t>混沌龙袍</t>
        </is>
      </c>
      <c r="D65" s="2" t="inlineStr">
        <is>
          <t>armor</t>
        </is>
      </c>
      <c r="E65" s="2" t="inlineStr">
        <is>
          <t>护甲</t>
        </is>
      </c>
      <c r="F65" s="2" t="inlineStr">
        <is>
          <t>equip_armor</t>
        </is>
      </c>
      <c r="G65" s="2" t="inlineStr">
        <is>
          <t>orange</t>
        </is>
      </c>
      <c r="H65" s="2" t="inlineStr">
        <is>
          <t>传说/橙</t>
        </is>
      </c>
      <c r="I65" s="2" t="inlineStr"/>
      <c r="J65" s="3" t="inlineStr"/>
      <c r="K65" s="3" t="inlineStr">
        <is>
          <t>以混沌之气淬炼的龙袍，来历成谜，据说出自上古。</t>
        </is>
      </c>
      <c r="L65" s="4" t="n">
        <v>65000</v>
      </c>
      <c r="M65" s="4" t="n">
        <v>200</v>
      </c>
      <c r="N65" s="2" t="inlineStr">
        <is>
          <t>是</t>
        </is>
      </c>
      <c r="O65" s="4" t="n">
        <v>540</v>
      </c>
      <c r="P65" s="4" t="n">
        <v>23</v>
      </c>
      <c r="Q65" s="4" t="n">
        <v>0</v>
      </c>
      <c r="R65" s="4" t="n">
        <v>40</v>
      </c>
      <c r="S65" s="4" t="n">
        <v>0</v>
      </c>
      <c r="T65" s="4" t="n">
        <v>15</v>
      </c>
      <c r="U65" s="4" t="n">
        <v>0</v>
      </c>
      <c r="V65" s="5">
        <f>SUM(O65:U65)</f>
        <v/>
      </c>
      <c r="W65" s="6">
        <f>O65*'强度系数说明'!$B$7+P65*'强度系数说明'!$B$8+Q65*'强度系数说明'!$B$9+R65*'强度系数说明'!$B$10+S65*'强度系数说明'!$B$11+T65*'强度系数说明'!$B$12+U65*'强度系数说明'!$B$13</f>
        <v/>
      </c>
      <c r="X65" s="7">
        <f>SUMPRODUCT((O65:U65&gt;0)*O65:U65)</f>
        <v/>
      </c>
      <c r="Y65" s="2" t="inlineStr">
        <is>
          <t>否</t>
        </is>
      </c>
      <c r="Z65" s="2" t="inlineStr"/>
      <c r="AA65" s="4" t="inlineStr"/>
      <c r="AB65" s="4" t="inlineStr"/>
      <c r="AC65" s="3" t="inlineStr"/>
      <c r="AD65" s="3" t="inlineStr"/>
      <c r="AE65" s="3" t="inlineStr">
        <is>
          <t>{"defense":23,"hp":540,"intellect":40,"luck":15}</t>
        </is>
      </c>
      <c r="AF65" s="3" t="inlineStr">
        <is>
          <t>data/item_templates.yaml:L3808</t>
        </is>
      </c>
    </row>
    <row r="66">
      <c r="A66" s="2" t="n">
        <v>65</v>
      </c>
      <c r="B66" s="2" t="inlineStr">
        <is>
          <t>equip_ruanweijia</t>
        </is>
      </c>
      <c r="C66" s="2" t="inlineStr">
        <is>
          <t>软猬甲</t>
        </is>
      </c>
      <c r="D66" s="2" t="inlineStr">
        <is>
          <t>armor</t>
        </is>
      </c>
      <c r="E66" s="2" t="inlineStr">
        <is>
          <t>护甲</t>
        </is>
      </c>
      <c r="F66" s="2" t="inlineStr">
        <is>
          <t>equip_armor</t>
        </is>
      </c>
      <c r="G66" s="2" t="inlineStr">
        <is>
          <t>orange</t>
        </is>
      </c>
      <c r="H66" s="2" t="inlineStr">
        <is>
          <t>传说/橙</t>
        </is>
      </c>
      <c r="I66" s="2" t="inlineStr"/>
      <c r="J66" s="3" t="inlineStr"/>
      <c r="K66" s="3" t="inlineStr">
        <is>
          <t>以千年老刺猬皮制成，来自五毒教的邪门手艺。</t>
        </is>
      </c>
      <c r="L66" s="4" t="n">
        <v>58000</v>
      </c>
      <c r="M66" s="4" t="n">
        <v>200</v>
      </c>
      <c r="N66" s="2" t="inlineStr">
        <is>
          <t>是</t>
        </is>
      </c>
      <c r="O66" s="4" t="n">
        <v>665</v>
      </c>
      <c r="P66" s="4" t="n">
        <v>46</v>
      </c>
      <c r="Q66" s="4" t="n">
        <v>8</v>
      </c>
      <c r="R66" s="4" t="n">
        <v>0</v>
      </c>
      <c r="S66" s="4" t="n">
        <v>28</v>
      </c>
      <c r="T66" s="4" t="n">
        <v>0</v>
      </c>
      <c r="U66" s="4" t="n">
        <v>0</v>
      </c>
      <c r="V66" s="5">
        <f>SUM(O66:U66)</f>
        <v/>
      </c>
      <c r="W66" s="6">
        <f>O66*'强度系数说明'!$B$7+P66*'强度系数说明'!$B$8+Q66*'强度系数说明'!$B$9+R66*'强度系数说明'!$B$10+S66*'强度系数说明'!$B$11+T66*'强度系数说明'!$B$12+U66*'强度系数说明'!$B$13</f>
        <v/>
      </c>
      <c r="X66" s="7">
        <f>SUMPRODUCT((O66:U66&gt;0)*O66:U66)</f>
        <v/>
      </c>
      <c r="Y66" s="2" t="inlineStr">
        <is>
          <t>否</t>
        </is>
      </c>
      <c r="Z66" s="2" t="inlineStr"/>
      <c r="AA66" s="4" t="inlineStr"/>
      <c r="AB66" s="4" t="inlineStr"/>
      <c r="AC66" s="3" t="inlineStr"/>
      <c r="AD66" s="3" t="inlineStr"/>
      <c r="AE66" s="3" t="inlineStr">
        <is>
          <t>{"agility":28,"defense":46,"force":8,"hp":665}</t>
        </is>
      </c>
      <c r="AF66" s="3" t="inlineStr">
        <is>
          <t>data/item_templates.yaml:L3823</t>
        </is>
      </c>
    </row>
    <row r="67">
      <c r="A67" s="2" t="n">
        <v>66</v>
      </c>
      <c r="B67" s="2" t="inlineStr">
        <is>
          <t>equip_buxie</t>
        </is>
      </c>
      <c r="C67" s="2" t="inlineStr">
        <is>
          <t>布鞋</t>
        </is>
      </c>
      <c r="D67" s="2" t="inlineStr">
        <is>
          <t>shoes</t>
        </is>
      </c>
      <c r="E67" s="2" t="inlineStr">
        <is>
          <t>鞋履</t>
        </is>
      </c>
      <c r="F67" s="2" t="inlineStr">
        <is>
          <t>equip_shoes</t>
        </is>
      </c>
      <c r="G67" s="2" t="inlineStr">
        <is>
          <t>black</t>
        </is>
      </c>
      <c r="H67" s="2" t="inlineStr">
        <is>
          <t>普通/白</t>
        </is>
      </c>
      <c r="I67" s="2" t="inlineStr"/>
      <c r="J67" s="3" t="inlineStr"/>
      <c r="K67" s="3" t="inlineStr">
        <is>
          <t>手工缝制的布鞋，价格和质量一样低劣。</t>
        </is>
      </c>
      <c r="L67" s="4" t="n">
        <v>100</v>
      </c>
      <c r="M67" s="4" t="n">
        <v>50</v>
      </c>
      <c r="N67" s="2" t="inlineStr">
        <is>
          <t>是</t>
        </is>
      </c>
      <c r="O67" s="4" t="n">
        <v>100</v>
      </c>
      <c r="P67" s="4" t="n">
        <v>5</v>
      </c>
      <c r="Q67" s="4" t="n">
        <v>0</v>
      </c>
      <c r="R67" s="4" t="n">
        <v>5</v>
      </c>
      <c r="S67" s="4" t="n">
        <v>8</v>
      </c>
      <c r="T67" s="4" t="n">
        <v>0</v>
      </c>
      <c r="U67" s="4" t="n">
        <v>0</v>
      </c>
      <c r="V67" s="5">
        <f>SUM(O67:U67)</f>
        <v/>
      </c>
      <c r="W67" s="6">
        <f>O67*'强度系数说明'!$B$7+P67*'强度系数说明'!$B$8+Q67*'强度系数说明'!$B$9+R67*'强度系数说明'!$B$10+S67*'强度系数说明'!$B$11+T67*'强度系数说明'!$B$12+U67*'强度系数说明'!$B$13</f>
        <v/>
      </c>
      <c r="X67" s="7">
        <f>SUMPRODUCT((O67:U67&gt;0)*O67:U67)</f>
        <v/>
      </c>
      <c r="Y67" s="2" t="inlineStr">
        <is>
          <t>是</t>
        </is>
      </c>
      <c r="Z67" s="2" t="inlineStr">
        <is>
          <t>鞋履</t>
        </is>
      </c>
      <c r="AA67" s="4" t="n">
        <v>1</v>
      </c>
      <c r="AB67" s="4" t="n">
        <v>120</v>
      </c>
      <c r="AC67" s="3" t="inlineStr">
        <is>
          <t>{"tong":5}</t>
        </is>
      </c>
      <c r="AD67" s="3" t="inlineStr"/>
      <c r="AE67" s="3" t="inlineStr">
        <is>
          <t>{"agility":8,"defense":5,"hp":100,"intellect":5}</t>
        </is>
      </c>
      <c r="AF67" s="3" t="inlineStr">
        <is>
          <t>data/item_templates.yaml:L3842; data/forge_equipment.yaml:L58</t>
        </is>
      </c>
    </row>
    <row r="68">
      <c r="A68" s="2" t="n">
        <v>67</v>
      </c>
      <c r="B68" s="2" t="inlineStr">
        <is>
          <t>equip_yangpixue</t>
        </is>
      </c>
      <c r="C68" s="2" t="inlineStr">
        <is>
          <t>羊皮靴</t>
        </is>
      </c>
      <c r="D68" s="2" t="inlineStr">
        <is>
          <t>shoes</t>
        </is>
      </c>
      <c r="E68" s="2" t="inlineStr">
        <is>
          <t>鞋履</t>
        </is>
      </c>
      <c r="F68" s="2" t="inlineStr">
        <is>
          <t>equip_shoes</t>
        </is>
      </c>
      <c r="G68" s="2" t="inlineStr">
        <is>
          <t>black</t>
        </is>
      </c>
      <c r="H68" s="2" t="inlineStr">
        <is>
          <t>普通/白</t>
        </is>
      </c>
      <c r="I68" s="2" t="inlineStr"/>
      <c r="J68" s="3" t="inlineStr"/>
      <c r="K68" s="3" t="inlineStr">
        <is>
          <t>羔皮做的短靴，看来相当结实。</t>
        </is>
      </c>
      <c r="L68" s="4" t="n">
        <v>300</v>
      </c>
      <c r="M68" s="4" t="n">
        <v>50</v>
      </c>
      <c r="N68" s="2" t="inlineStr">
        <is>
          <t>是</t>
        </is>
      </c>
      <c r="O68" s="4" t="n">
        <v>150</v>
      </c>
      <c r="P68" s="4" t="n">
        <v>3</v>
      </c>
      <c r="Q68" s="4" t="n">
        <v>5</v>
      </c>
      <c r="R68" s="4" t="n">
        <v>0</v>
      </c>
      <c r="S68" s="4" t="n">
        <v>10</v>
      </c>
      <c r="T68" s="4" t="n">
        <v>0</v>
      </c>
      <c r="U68" s="4" t="n">
        <v>0</v>
      </c>
      <c r="V68" s="5">
        <f>SUM(O68:U68)</f>
        <v/>
      </c>
      <c r="W68" s="6">
        <f>O68*'强度系数说明'!$B$7+P68*'强度系数说明'!$B$8+Q68*'强度系数说明'!$B$9+R68*'强度系数说明'!$B$10+S68*'强度系数说明'!$B$11+T68*'强度系数说明'!$B$12+U68*'强度系数说明'!$B$13</f>
        <v/>
      </c>
      <c r="X68" s="7">
        <f>SUMPRODUCT((O68:U68&gt;0)*O68:U68)</f>
        <v/>
      </c>
      <c r="Y68" s="2" t="inlineStr">
        <is>
          <t>是</t>
        </is>
      </c>
      <c r="Z68" s="2" t="inlineStr">
        <is>
          <t>鞋履</t>
        </is>
      </c>
      <c r="AA68" s="4" t="n">
        <v>3</v>
      </c>
      <c r="AB68" s="4" t="n">
        <v>180</v>
      </c>
      <c r="AC68" s="3" t="inlineStr">
        <is>
          <t>{"tong":10,"xi":5}</t>
        </is>
      </c>
      <c r="AD68" s="3" t="inlineStr"/>
      <c r="AE68" s="3" t="inlineStr">
        <is>
          <t>{"agility":10,"defense":3,"force":5,"hp":150}</t>
        </is>
      </c>
      <c r="AF68" s="3" t="inlineStr">
        <is>
          <t>data/item_templates.yaml:L3857; data/forge_equipment.yaml:L64</t>
        </is>
      </c>
    </row>
    <row r="69">
      <c r="A69" s="2" t="n">
        <v>68</v>
      </c>
      <c r="B69" s="2" t="inlineStr">
        <is>
          <t>equip_gangpianxue</t>
        </is>
      </c>
      <c r="C69" s="2" t="inlineStr">
        <is>
          <t>钢片靴</t>
        </is>
      </c>
      <c r="D69" s="2" t="inlineStr">
        <is>
          <t>shoes</t>
        </is>
      </c>
      <c r="E69" s="2" t="inlineStr">
        <is>
          <t>鞋履</t>
        </is>
      </c>
      <c r="F69" s="2" t="inlineStr">
        <is>
          <t>equip_shoes</t>
        </is>
      </c>
      <c r="G69" s="2" t="inlineStr">
        <is>
          <t>green</t>
        </is>
      </c>
      <c r="H69" s="2" t="inlineStr">
        <is>
          <t>优良/绿</t>
        </is>
      </c>
      <c r="I69" s="2" t="inlineStr"/>
      <c r="J69" s="3" t="inlineStr"/>
      <c r="K69" s="3" t="inlineStr">
        <is>
          <t>缀有薄钢片的短靴，虽然笨重些，却牢固了不少。</t>
        </is>
      </c>
      <c r="L69" s="4" t="n">
        <v>800</v>
      </c>
      <c r="M69" s="4" t="n">
        <v>75</v>
      </c>
      <c r="N69" s="2" t="inlineStr">
        <is>
          <t>是</t>
        </is>
      </c>
      <c r="O69" s="4" t="n">
        <v>300</v>
      </c>
      <c r="P69" s="4" t="n">
        <v>10</v>
      </c>
      <c r="Q69" s="4" t="n">
        <v>5</v>
      </c>
      <c r="R69" s="4" t="n">
        <v>0</v>
      </c>
      <c r="S69" s="4" t="n">
        <v>13</v>
      </c>
      <c r="T69" s="4" t="n">
        <v>0</v>
      </c>
      <c r="U69" s="4" t="n">
        <v>0</v>
      </c>
      <c r="V69" s="5">
        <f>SUM(O69:U69)</f>
        <v/>
      </c>
      <c r="W69" s="6">
        <f>O69*'强度系数说明'!$B$7+P69*'强度系数说明'!$B$8+Q69*'强度系数说明'!$B$9+R69*'强度系数说明'!$B$10+S69*'强度系数说明'!$B$11+T69*'强度系数说明'!$B$12+U69*'强度系数说明'!$B$13</f>
        <v/>
      </c>
      <c r="X69" s="7">
        <f>SUMPRODUCT((O69:U69&gt;0)*O69:U69)</f>
        <v/>
      </c>
      <c r="Y69" s="2" t="inlineStr">
        <is>
          <t>是</t>
        </is>
      </c>
      <c r="Z69" s="2" t="inlineStr">
        <is>
          <t>鞋履</t>
        </is>
      </c>
      <c r="AA69" s="4" t="n">
        <v>5</v>
      </c>
      <c r="AB69" s="4" t="n">
        <v>240</v>
      </c>
      <c r="AC69" s="3" t="inlineStr">
        <is>
          <t>{"tie":10}</t>
        </is>
      </c>
      <c r="AD69" s="3" t="inlineStr"/>
      <c r="AE69" s="3" t="inlineStr">
        <is>
          <t>{"agility":13,"defense":10,"force":5,"hp":300}</t>
        </is>
      </c>
      <c r="AF69" s="3" t="inlineStr">
        <is>
          <t>data/item_templates.yaml:L3872; data/forge_equipment.yaml:L71</t>
        </is>
      </c>
    </row>
    <row r="70">
      <c r="A70" s="2" t="n">
        <v>69</v>
      </c>
      <c r="B70" s="2" t="inlineStr">
        <is>
          <t>equip_yanyuxue</t>
        </is>
      </c>
      <c r="C70" s="2" t="inlineStr">
        <is>
          <t>燕羽靴</t>
        </is>
      </c>
      <c r="D70" s="2" t="inlineStr">
        <is>
          <t>shoes</t>
        </is>
      </c>
      <c r="E70" s="2" t="inlineStr">
        <is>
          <t>鞋履</t>
        </is>
      </c>
      <c r="F70" s="2" t="inlineStr">
        <is>
          <t>equip_shoes</t>
        </is>
      </c>
      <c r="G70" s="2" t="inlineStr">
        <is>
          <t>green</t>
        </is>
      </c>
      <c r="H70" s="2" t="inlineStr">
        <is>
          <t>优良/绿</t>
        </is>
      </c>
      <c r="I70" s="2" t="inlineStr"/>
      <c r="J70" s="3" t="inlineStr"/>
      <c r="K70" s="3" t="inlineStr">
        <is>
          <t>非常轻快的薄底靴，有燕子样轻灵的感觉。</t>
        </is>
      </c>
      <c r="L70" s="4" t="n">
        <v>1500</v>
      </c>
      <c r="M70" s="4" t="n">
        <v>75</v>
      </c>
      <c r="N70" s="2" t="inlineStr">
        <is>
          <t>是</t>
        </is>
      </c>
      <c r="O70" s="4" t="n">
        <v>200</v>
      </c>
      <c r="P70" s="4" t="n">
        <v>10</v>
      </c>
      <c r="Q70" s="4" t="n">
        <v>5</v>
      </c>
      <c r="R70" s="4" t="n">
        <v>0</v>
      </c>
      <c r="S70" s="4" t="n">
        <v>18</v>
      </c>
      <c r="T70" s="4" t="n">
        <v>0</v>
      </c>
      <c r="U70" s="4" t="n">
        <v>0</v>
      </c>
      <c r="V70" s="5">
        <f>SUM(O70:U70)</f>
        <v/>
      </c>
      <c r="W70" s="6">
        <f>O70*'强度系数说明'!$B$7+P70*'强度系数说明'!$B$8+Q70*'强度系数说明'!$B$9+R70*'强度系数说明'!$B$10+S70*'强度系数说明'!$B$11+T70*'强度系数说明'!$B$12+U70*'强度系数说明'!$B$13</f>
        <v/>
      </c>
      <c r="X70" s="7">
        <f>SUMPRODUCT((O70:U70&gt;0)*O70:U70)</f>
        <v/>
      </c>
      <c r="Y70" s="2" t="inlineStr">
        <is>
          <t>是</t>
        </is>
      </c>
      <c r="Z70" s="2" t="inlineStr">
        <is>
          <t>鞋履</t>
        </is>
      </c>
      <c r="AA70" s="4" t="n">
        <v>7</v>
      </c>
      <c r="AB70" s="4" t="n">
        <v>300</v>
      </c>
      <c r="AC70" s="3" t="inlineStr">
        <is>
          <t>{"tie":20}</t>
        </is>
      </c>
      <c r="AD70" s="3" t="inlineStr"/>
      <c r="AE70" s="3" t="inlineStr">
        <is>
          <t>{"agility":18,"defense":10,"force":5,"hp":200}</t>
        </is>
      </c>
      <c r="AF70" s="3" t="inlineStr">
        <is>
          <t>data/item_templates.yaml:L3887; data/forge_equipment.yaml:L77</t>
        </is>
      </c>
    </row>
    <row r="71">
      <c r="A71" s="2" t="n">
        <v>70</v>
      </c>
      <c r="B71" s="2" t="inlineStr">
        <is>
          <t>equip_mabuxue</t>
        </is>
      </c>
      <c r="C71" s="2" t="inlineStr">
        <is>
          <t>麻布靴</t>
        </is>
      </c>
      <c r="D71" s="2" t="inlineStr">
        <is>
          <t>shoes</t>
        </is>
      </c>
      <c r="E71" s="2" t="inlineStr">
        <is>
          <t>鞋履</t>
        </is>
      </c>
      <c r="F71" s="2" t="inlineStr">
        <is>
          <t>equip_shoes</t>
        </is>
      </c>
      <c r="G71" s="2" t="inlineStr">
        <is>
          <t>black</t>
        </is>
      </c>
      <c r="H71" s="2" t="inlineStr">
        <is>
          <t>普通/白</t>
        </is>
      </c>
      <c r="I71" s="2" t="inlineStr"/>
      <c r="J71" s="3" t="inlineStr"/>
      <c r="K71" s="3" t="inlineStr">
        <is>
          <t>军中士卒的标配鞋履，耐穿且易于大量制作。</t>
        </is>
      </c>
      <c r="L71" s="4" t="n">
        <v>200</v>
      </c>
      <c r="M71" s="4" t="n">
        <v>50</v>
      </c>
      <c r="N71" s="2" t="inlineStr">
        <is>
          <t>是</t>
        </is>
      </c>
      <c r="O71" s="4" t="n">
        <v>150</v>
      </c>
      <c r="P71" s="4" t="n">
        <v>8</v>
      </c>
      <c r="Q71" s="4" t="n">
        <v>0</v>
      </c>
      <c r="R71" s="4" t="n">
        <v>5</v>
      </c>
      <c r="S71" s="4" t="n">
        <v>6</v>
      </c>
      <c r="T71" s="4" t="n">
        <v>0</v>
      </c>
      <c r="U71" s="4" t="n">
        <v>0</v>
      </c>
      <c r="V71" s="5">
        <f>SUM(O71:U71)</f>
        <v/>
      </c>
      <c r="W71" s="6">
        <f>O71*'强度系数说明'!$B$7+P71*'强度系数说明'!$B$8+Q71*'强度系数说明'!$B$9+R71*'强度系数说明'!$B$10+S71*'强度系数说明'!$B$11+T71*'强度系数说明'!$B$12+U71*'强度系数说明'!$B$13</f>
        <v/>
      </c>
      <c r="X71" s="7">
        <f>SUMPRODUCT((O71:U71&gt;0)*O71:U71)</f>
        <v/>
      </c>
      <c r="Y71" s="2" t="inlineStr">
        <is>
          <t>否</t>
        </is>
      </c>
      <c r="Z71" s="2" t="inlineStr"/>
      <c r="AA71" s="4" t="inlineStr"/>
      <c r="AB71" s="4" t="inlineStr"/>
      <c r="AC71" s="3" t="inlineStr"/>
      <c r="AD71" s="3" t="inlineStr"/>
      <c r="AE71" s="3" t="inlineStr">
        <is>
          <t>{"agility":6,"defense":8,"hp":150,"intellect":5}</t>
        </is>
      </c>
      <c r="AF71" s="3" t="inlineStr">
        <is>
          <t>data/item_templates.yaml:L3902</t>
        </is>
      </c>
    </row>
    <row r="72">
      <c r="A72" s="2" t="n">
        <v>71</v>
      </c>
      <c r="B72" s="2" t="inlineStr">
        <is>
          <t>equip_hupixue</t>
        </is>
      </c>
      <c r="C72" s="2" t="inlineStr">
        <is>
          <t>虎皮靴</t>
        </is>
      </c>
      <c r="D72" s="2" t="inlineStr">
        <is>
          <t>shoes</t>
        </is>
      </c>
      <c r="E72" s="2" t="inlineStr">
        <is>
          <t>鞋履</t>
        </is>
      </c>
      <c r="F72" s="2" t="inlineStr">
        <is>
          <t>equip_shoes</t>
        </is>
      </c>
      <c r="G72" s="2" t="inlineStr">
        <is>
          <t>green</t>
        </is>
      </c>
      <c r="H72" s="2" t="inlineStr">
        <is>
          <t>优良/绿</t>
        </is>
      </c>
      <c r="I72" s="2" t="inlineStr"/>
      <c r="J72" s="3" t="inlineStr"/>
      <c r="K72" s="3" t="inlineStr">
        <is>
          <t>以猛虎皮革制成，相传是某位打虎英雄的战利品。</t>
        </is>
      </c>
      <c r="L72" s="4" t="n">
        <v>2000</v>
      </c>
      <c r="M72" s="4" t="n">
        <v>75</v>
      </c>
      <c r="N72" s="2" t="inlineStr">
        <is>
          <t>是</t>
        </is>
      </c>
      <c r="O72" s="4" t="n">
        <v>300</v>
      </c>
      <c r="P72" s="4" t="n">
        <v>5</v>
      </c>
      <c r="Q72" s="4" t="n">
        <v>10</v>
      </c>
      <c r="R72" s="4" t="n">
        <v>0</v>
      </c>
      <c r="S72" s="4" t="n">
        <v>15</v>
      </c>
      <c r="T72" s="4" t="n">
        <v>0</v>
      </c>
      <c r="U72" s="4" t="n">
        <v>0</v>
      </c>
      <c r="V72" s="5">
        <f>SUM(O72:U72)</f>
        <v/>
      </c>
      <c r="W72" s="6">
        <f>O72*'强度系数说明'!$B$7+P72*'强度系数说明'!$B$8+Q72*'强度系数说明'!$B$9+R72*'强度系数说明'!$B$10+S72*'强度系数说明'!$B$11+T72*'强度系数说明'!$B$12+U72*'强度系数说明'!$B$13</f>
        <v/>
      </c>
      <c r="X72" s="7">
        <f>SUMPRODUCT((O72:U72&gt;0)*O72:U72)</f>
        <v/>
      </c>
      <c r="Y72" s="2" t="inlineStr">
        <is>
          <t>否</t>
        </is>
      </c>
      <c r="Z72" s="2" t="inlineStr"/>
      <c r="AA72" s="4" t="inlineStr"/>
      <c r="AB72" s="4" t="inlineStr"/>
      <c r="AC72" s="3" t="inlineStr"/>
      <c r="AD72" s="3" t="inlineStr"/>
      <c r="AE72" s="3" t="inlineStr">
        <is>
          <t>{"agility":15,"defense":5,"force":10,"hp":300}</t>
        </is>
      </c>
      <c r="AF72" s="3" t="inlineStr">
        <is>
          <t>data/item_templates.yaml:L3919</t>
        </is>
      </c>
    </row>
    <row r="73">
      <c r="A73" s="2" t="n">
        <v>72</v>
      </c>
      <c r="B73" s="2" t="inlineStr">
        <is>
          <t>equip_tayunxue</t>
        </is>
      </c>
      <c r="C73" s="2" t="inlineStr">
        <is>
          <t>踏云靴</t>
        </is>
      </c>
      <c r="D73" s="2" t="inlineStr">
        <is>
          <t>shoes</t>
        </is>
      </c>
      <c r="E73" s="2" t="inlineStr">
        <is>
          <t>鞋履</t>
        </is>
      </c>
      <c r="F73" s="2" t="inlineStr">
        <is>
          <t>equip_shoes</t>
        </is>
      </c>
      <c r="G73" s="2" t="inlineStr">
        <is>
          <t>green</t>
        </is>
      </c>
      <c r="H73" s="2" t="inlineStr">
        <is>
          <t>优良/绿</t>
        </is>
      </c>
      <c r="I73" s="2" t="inlineStr"/>
      <c r="J73" s="3" t="inlineStr"/>
      <c r="K73" s="3" t="inlineStr">
        <is>
          <t>道门弟子修行所穿，相传踏云子祖师曾穿此靴登仙。</t>
        </is>
      </c>
      <c r="L73" s="4" t="n">
        <v>2200</v>
      </c>
      <c r="M73" s="4" t="n">
        <v>75</v>
      </c>
      <c r="N73" s="2" t="inlineStr">
        <is>
          <t>是</t>
        </is>
      </c>
      <c r="O73" s="4" t="n">
        <v>100</v>
      </c>
      <c r="P73" s="4" t="n">
        <v>5</v>
      </c>
      <c r="Q73" s="4" t="n">
        <v>5</v>
      </c>
      <c r="R73" s="4" t="n">
        <v>0</v>
      </c>
      <c r="S73" s="4" t="n">
        <v>25</v>
      </c>
      <c r="T73" s="4" t="n">
        <v>0</v>
      </c>
      <c r="U73" s="4" t="n">
        <v>0</v>
      </c>
      <c r="V73" s="5">
        <f>SUM(O73:U73)</f>
        <v/>
      </c>
      <c r="W73" s="6">
        <f>O73*'强度系数说明'!$B$7+P73*'强度系数说明'!$B$8+Q73*'强度系数说明'!$B$9+R73*'强度系数说明'!$B$10+S73*'强度系数说明'!$B$11+T73*'强度系数说明'!$B$12+U73*'强度系数说明'!$B$13</f>
        <v/>
      </c>
      <c r="X73" s="7">
        <f>SUMPRODUCT((O73:U73&gt;0)*O73:U73)</f>
        <v/>
      </c>
      <c r="Y73" s="2" t="inlineStr">
        <is>
          <t>否</t>
        </is>
      </c>
      <c r="Z73" s="2" t="inlineStr"/>
      <c r="AA73" s="4" t="inlineStr"/>
      <c r="AB73" s="4" t="inlineStr"/>
      <c r="AC73" s="3" t="inlineStr"/>
      <c r="AD73" s="3" t="inlineStr"/>
      <c r="AE73" s="3" t="inlineStr">
        <is>
          <t>{"agility":25,"defense":5,"force":5,"hp":100}</t>
        </is>
      </c>
      <c r="AF73" s="3" t="inlineStr">
        <is>
          <t>data/item_templates.yaml:L3934</t>
        </is>
      </c>
    </row>
    <row r="74">
      <c r="A74" s="2" t="n">
        <v>73</v>
      </c>
      <c r="B74" s="2" t="inlineStr">
        <is>
          <t>equip_jifengxue</t>
        </is>
      </c>
      <c r="C74" s="2" t="inlineStr">
        <is>
          <t>疾风靴</t>
        </is>
      </c>
      <c r="D74" s="2" t="inlineStr">
        <is>
          <t>shoes</t>
        </is>
      </c>
      <c r="E74" s="2" t="inlineStr">
        <is>
          <t>鞋履</t>
        </is>
      </c>
      <c r="F74" s="2" t="inlineStr">
        <is>
          <t>equip_shoes</t>
        </is>
      </c>
      <c r="G74" s="2" t="inlineStr">
        <is>
          <t>green</t>
        </is>
      </c>
      <c r="H74" s="2" t="inlineStr">
        <is>
          <t>优良/绿</t>
        </is>
      </c>
      <c r="I74" s="2" t="inlineStr"/>
      <c r="J74" s="3" t="inlineStr"/>
      <c r="K74" s="3" t="inlineStr">
        <is>
          <t>神行太保戴宗的弟子所制，暗藏甲马神行之术。</t>
        </is>
      </c>
      <c r="L74" s="4" t="n">
        <v>2500</v>
      </c>
      <c r="M74" s="4" t="n">
        <v>75</v>
      </c>
      <c r="N74" s="2" t="inlineStr">
        <is>
          <t>是</t>
        </is>
      </c>
      <c r="O74" s="4" t="n">
        <v>240</v>
      </c>
      <c r="P74" s="4" t="n">
        <v>10</v>
      </c>
      <c r="Q74" s="4" t="n">
        <v>0</v>
      </c>
      <c r="R74" s="4" t="n">
        <v>0</v>
      </c>
      <c r="S74" s="4" t="n">
        <v>25</v>
      </c>
      <c r="T74" s="4" t="n">
        <v>0</v>
      </c>
      <c r="U74" s="4" t="n">
        <v>0</v>
      </c>
      <c r="V74" s="5">
        <f>SUM(O74:U74)</f>
        <v/>
      </c>
      <c r="W74" s="6">
        <f>O74*'强度系数说明'!$B$7+P74*'强度系数说明'!$B$8+Q74*'强度系数说明'!$B$9+R74*'强度系数说明'!$B$10+S74*'强度系数说明'!$B$11+T74*'强度系数说明'!$B$12+U74*'强度系数说明'!$B$13</f>
        <v/>
      </c>
      <c r="X74" s="7">
        <f>SUMPRODUCT((O74:U74&gt;0)*O74:U74)</f>
        <v/>
      </c>
      <c r="Y74" s="2" t="inlineStr">
        <is>
          <t>否</t>
        </is>
      </c>
      <c r="Z74" s="2" t="inlineStr"/>
      <c r="AA74" s="4" t="inlineStr"/>
      <c r="AB74" s="4" t="inlineStr"/>
      <c r="AC74" s="3" t="inlineStr"/>
      <c r="AD74" s="3" t="inlineStr"/>
      <c r="AE74" s="3" t="inlineStr">
        <is>
          <t>{"agility":25,"defense":10,"hp":240}</t>
        </is>
      </c>
      <c r="AF74" s="3" t="inlineStr">
        <is>
          <t>data/item_templates.yaml:L3949</t>
        </is>
      </c>
    </row>
    <row r="75">
      <c r="A75" s="2" t="n">
        <v>74</v>
      </c>
      <c r="B75" s="2" t="inlineStr">
        <is>
          <t>equip_youxiaxue</t>
        </is>
      </c>
      <c r="C75" s="2" t="inlineStr">
        <is>
          <t>游侠靴</t>
        </is>
      </c>
      <c r="D75" s="2" t="inlineStr">
        <is>
          <t>shoes</t>
        </is>
      </c>
      <c r="E75" s="2" t="inlineStr">
        <is>
          <t>鞋履</t>
        </is>
      </c>
      <c r="F75" s="2" t="inlineStr">
        <is>
          <t>equip_shoes</t>
        </is>
      </c>
      <c r="G75" s="2" t="inlineStr">
        <is>
          <t>green</t>
        </is>
      </c>
      <c r="H75" s="2" t="inlineStr">
        <is>
          <t>优良/绿</t>
        </is>
      </c>
      <c r="I75" s="2" t="inlineStr"/>
      <c r="J75" s="3" t="inlineStr"/>
      <c r="K75" s="3" t="inlineStr">
        <is>
          <t>江湖侠客们偏爱的款式，在各地驿站都能见到。</t>
        </is>
      </c>
      <c r="L75" s="4" t="n">
        <v>2300</v>
      </c>
      <c r="M75" s="4" t="n">
        <v>75</v>
      </c>
      <c r="N75" s="2" t="inlineStr">
        <is>
          <t>是</t>
        </is>
      </c>
      <c r="O75" s="4" t="n">
        <v>200</v>
      </c>
      <c r="P75" s="4" t="n">
        <v>5</v>
      </c>
      <c r="Q75" s="4" t="n">
        <v>10</v>
      </c>
      <c r="R75" s="4" t="n">
        <v>0</v>
      </c>
      <c r="S75" s="4" t="n">
        <v>20</v>
      </c>
      <c r="T75" s="4" t="n">
        <v>0</v>
      </c>
      <c r="U75" s="4" t="n">
        <v>0</v>
      </c>
      <c r="V75" s="5">
        <f>SUM(O75:U75)</f>
        <v/>
      </c>
      <c r="W75" s="6">
        <f>O75*'强度系数说明'!$B$7+P75*'强度系数说明'!$B$8+Q75*'强度系数说明'!$B$9+R75*'强度系数说明'!$B$10+S75*'强度系数说明'!$B$11+T75*'强度系数说明'!$B$12+U75*'强度系数说明'!$B$13</f>
        <v/>
      </c>
      <c r="X75" s="7">
        <f>SUMPRODUCT((O75:U75&gt;0)*O75:U75)</f>
        <v/>
      </c>
      <c r="Y75" s="2" t="inlineStr">
        <is>
          <t>否</t>
        </is>
      </c>
      <c r="Z75" s="2" t="inlineStr"/>
      <c r="AA75" s="4" t="inlineStr"/>
      <c r="AB75" s="4" t="inlineStr"/>
      <c r="AC75" s="3" t="inlineStr"/>
      <c r="AD75" s="3" t="inlineStr"/>
      <c r="AE75" s="3" t="inlineStr">
        <is>
          <t>{"agility":20,"defense":5,"force":10,"hp":200}</t>
        </is>
      </c>
      <c r="AF75" s="3" t="inlineStr">
        <is>
          <t>data/item_templates.yaml:L3963</t>
        </is>
      </c>
    </row>
    <row r="76">
      <c r="A76" s="2" t="n">
        <v>75</v>
      </c>
      <c r="B76" s="2" t="inlineStr">
        <is>
          <t>equip_zhuyelu</t>
        </is>
      </c>
      <c r="C76" s="2" t="inlineStr">
        <is>
          <t>竹叶履</t>
        </is>
      </c>
      <c r="D76" s="2" t="inlineStr">
        <is>
          <t>shoes</t>
        </is>
      </c>
      <c r="E76" s="2" t="inlineStr">
        <is>
          <t>鞋履</t>
        </is>
      </c>
      <c r="F76" s="2" t="inlineStr">
        <is>
          <t>equip_shoes</t>
        </is>
      </c>
      <c r="G76" s="2" t="inlineStr">
        <is>
          <t>green</t>
        </is>
      </c>
      <c r="H76" s="2" t="inlineStr">
        <is>
          <t>优良/绿</t>
        </is>
      </c>
      <c r="I76" s="2" t="inlineStr"/>
      <c r="J76" s="3" t="inlineStr"/>
      <c r="K76" s="3" t="inlineStr">
        <is>
          <t>以翠竹叶片装饰的轻履，是竹林隐士的标志之物。</t>
        </is>
      </c>
      <c r="L76" s="4" t="n">
        <v>2100</v>
      </c>
      <c r="M76" s="4" t="n">
        <v>75</v>
      </c>
      <c r="N76" s="2" t="inlineStr">
        <is>
          <t>是</t>
        </is>
      </c>
      <c r="O76" s="4" t="n">
        <v>100</v>
      </c>
      <c r="P76" s="4" t="n">
        <v>5</v>
      </c>
      <c r="Q76" s="4" t="n">
        <v>0</v>
      </c>
      <c r="R76" s="4" t="n">
        <v>0</v>
      </c>
      <c r="S76" s="4" t="n">
        <v>20</v>
      </c>
      <c r="T76" s="4" t="n">
        <v>8</v>
      </c>
      <c r="U76" s="4" t="n">
        <v>0</v>
      </c>
      <c r="V76" s="5">
        <f>SUM(O76:U76)</f>
        <v/>
      </c>
      <c r="W76" s="6">
        <f>O76*'强度系数说明'!$B$7+P76*'强度系数说明'!$B$8+Q76*'强度系数说明'!$B$9+R76*'强度系数说明'!$B$10+S76*'强度系数说明'!$B$11+T76*'强度系数说明'!$B$12+U76*'强度系数说明'!$B$13</f>
        <v/>
      </c>
      <c r="X76" s="7">
        <f>SUMPRODUCT((O76:U76&gt;0)*O76:U76)</f>
        <v/>
      </c>
      <c r="Y76" s="2" t="inlineStr">
        <is>
          <t>否</t>
        </is>
      </c>
      <c r="Z76" s="2" t="inlineStr"/>
      <c r="AA76" s="4" t="inlineStr"/>
      <c r="AB76" s="4" t="inlineStr"/>
      <c r="AC76" s="3" t="inlineStr"/>
      <c r="AD76" s="3" t="inlineStr"/>
      <c r="AE76" s="3" t="inlineStr">
        <is>
          <t>{"agility":20,"defense":5,"hp":100,"luck":8}</t>
        </is>
      </c>
      <c r="AF76" s="3" t="inlineStr">
        <is>
          <t>data/item_templates.yaml:L3978</t>
        </is>
      </c>
    </row>
    <row r="77">
      <c r="A77" s="2" t="n">
        <v>76</v>
      </c>
      <c r="B77" s="2" t="inlineStr">
        <is>
          <t>equip_nichangwuxie</t>
        </is>
      </c>
      <c r="C77" s="2" t="inlineStr">
        <is>
          <t>霓裳舞鞋</t>
        </is>
      </c>
      <c r="D77" s="2" t="inlineStr">
        <is>
          <t>shoes</t>
        </is>
      </c>
      <c r="E77" s="2" t="inlineStr">
        <is>
          <t>鞋履</t>
        </is>
      </c>
      <c r="F77" s="2" t="inlineStr">
        <is>
          <t>equip_shoes</t>
        </is>
      </c>
      <c r="G77" s="2" t="inlineStr">
        <is>
          <t>green</t>
        </is>
      </c>
      <c r="H77" s="2" t="inlineStr">
        <is>
          <t>优良/绿</t>
        </is>
      </c>
      <c r="I77" s="2" t="inlineStr">
        <is>
          <t>nichang_set</t>
        </is>
      </c>
      <c r="J77" s="3" t="inlineStr">
        <is>
          <t>霓裳</t>
        </is>
      </c>
      <c r="K77" s="3" t="inlineStr">
        <is>
          <t>鞋底柔韧而稳，鞋面缀有彩羽流纹，既便于腾挪闪转，也能稳住长途奔袭时的气息。</t>
        </is>
      </c>
      <c r="L77" s="4" t="n">
        <v>2400</v>
      </c>
      <c r="M77" s="4" t="n">
        <v>75</v>
      </c>
      <c r="N77" s="2" t="inlineStr">
        <is>
          <t>是</t>
        </is>
      </c>
      <c r="O77" s="4" t="n">
        <v>150</v>
      </c>
      <c r="P77" s="4" t="n">
        <v>5</v>
      </c>
      <c r="Q77" s="4" t="n">
        <v>0</v>
      </c>
      <c r="R77" s="4" t="n">
        <v>10</v>
      </c>
      <c r="S77" s="4" t="n">
        <v>20</v>
      </c>
      <c r="T77" s="4" t="n">
        <v>0</v>
      </c>
      <c r="U77" s="4" t="n">
        <v>0</v>
      </c>
      <c r="V77" s="5">
        <f>SUM(O77:U77)</f>
        <v/>
      </c>
      <c r="W77" s="6">
        <f>O77*'强度系数说明'!$B$7+P77*'强度系数说明'!$B$8+Q77*'强度系数说明'!$B$9+R77*'强度系数说明'!$B$10+S77*'强度系数说明'!$B$11+T77*'强度系数说明'!$B$12+U77*'强度系数说明'!$B$13</f>
        <v/>
      </c>
      <c r="X77" s="7">
        <f>SUMPRODUCT((O77:U77&gt;0)*O77:U77)</f>
        <v/>
      </c>
      <c r="Y77" s="2" t="inlineStr">
        <is>
          <t>否</t>
        </is>
      </c>
      <c r="Z77" s="2" t="inlineStr"/>
      <c r="AA77" s="4" t="inlineStr"/>
      <c r="AB77" s="4" t="inlineStr"/>
      <c r="AC77" s="3" t="inlineStr"/>
      <c r="AD77" s="3" t="inlineStr">
        <is>
          <t>{"bonus":{"agility":10,"hp":150,"intellect":20,"luck":15},"pieces":3}</t>
        </is>
      </c>
      <c r="AE77" s="3" t="inlineStr">
        <is>
          <t>{"agility":20,"defense":5,"hp":150,"intellect":10,"set_bonus":{"bonus":{"agility":10,"hp":150,"intellect":20,"luck":15},"pieces":3},"set_description":"霓裳","set_key":"nichang_set"}</t>
        </is>
      </c>
      <c r="AF77" s="3" t="inlineStr">
        <is>
          <t>data/item_templates.yaml:L3993</t>
        </is>
      </c>
    </row>
    <row r="78">
      <c r="A78" s="2" t="n">
        <v>77</v>
      </c>
      <c r="B78" s="2" t="inlineStr">
        <is>
          <t>equip_xiaoweichangxue</t>
        </is>
      </c>
      <c r="C78" s="2" t="inlineStr">
        <is>
          <t>校尉长靴</t>
        </is>
      </c>
      <c r="D78" s="2" t="inlineStr">
        <is>
          <t>shoes</t>
        </is>
      </c>
      <c r="E78" s="2" t="inlineStr">
        <is>
          <t>鞋履</t>
        </is>
      </c>
      <c r="F78" s="2" t="inlineStr">
        <is>
          <t>equip_shoes</t>
        </is>
      </c>
      <c r="G78" s="2" t="inlineStr">
        <is>
          <t>blue</t>
        </is>
      </c>
      <c r="H78" s="2" t="inlineStr">
        <is>
          <t>稀有/蓝</t>
        </is>
      </c>
      <c r="I78" s="2" t="inlineStr">
        <is>
          <t>xiaowei_set</t>
        </is>
      </c>
      <c r="J78" s="3" t="inlineStr">
        <is>
          <t>校尉套装</t>
        </is>
      </c>
      <c r="K78" s="3" t="inlineStr">
        <is>
          <t>军中校尉的制式长靴，靴筒刻有军阶标识。</t>
        </is>
      </c>
      <c r="L78" s="4" t="n">
        <v>5000</v>
      </c>
      <c r="M78" s="4" t="n">
        <v>100</v>
      </c>
      <c r="N78" s="2" t="inlineStr">
        <is>
          <t>是</t>
        </is>
      </c>
      <c r="O78" s="4" t="n">
        <v>250</v>
      </c>
      <c r="P78" s="4" t="n">
        <v>20</v>
      </c>
      <c r="Q78" s="4" t="n">
        <v>5</v>
      </c>
      <c r="R78" s="4" t="n">
        <v>0</v>
      </c>
      <c r="S78" s="4" t="n">
        <v>20</v>
      </c>
      <c r="T78" s="4" t="n">
        <v>0</v>
      </c>
      <c r="U78" s="4" t="n">
        <v>20</v>
      </c>
      <c r="V78" s="5">
        <f>SUM(O78:U78)</f>
        <v/>
      </c>
      <c r="W78" s="6">
        <f>O78*'强度系数说明'!$B$7+P78*'强度系数说明'!$B$8+Q78*'强度系数说明'!$B$9+R78*'强度系数说明'!$B$10+S78*'强度系数说明'!$B$11+T78*'强度系数说明'!$B$12+U78*'强度系数说明'!$B$13</f>
        <v/>
      </c>
      <c r="X78" s="7">
        <f>SUMPRODUCT((O78:U78&gt;0)*O78:U78)</f>
        <v/>
      </c>
      <c r="Y78" s="2" t="inlineStr">
        <is>
          <t>否</t>
        </is>
      </c>
      <c r="Z78" s="2" t="inlineStr"/>
      <c r="AA78" s="4" t="inlineStr"/>
      <c r="AB78" s="4" t="inlineStr"/>
      <c r="AC78" s="3" t="inlineStr"/>
      <c r="AD78" s="3" t="inlineStr">
        <is>
          <t>{"bonus":{"defense":15,"force":40,"hp":360,"troop_capacity":100},"pieces":4}</t>
        </is>
      </c>
      <c r="AE78" s="3" t="inlineStr">
        <is>
          <t>{"agility":20,"defense":20,"force":5,"hp":250,"set_bonus":{"bonus":{"defense":15,"force":40,"hp":360,"troop_capacity":100},"pieces":4},"set_description":"校尉套装","set_key":"xiaowei_set","troop_capacity":20}</t>
        </is>
      </c>
      <c r="AF78" s="3" t="inlineStr">
        <is>
          <t>data/item_templates.yaml:L4016</t>
        </is>
      </c>
    </row>
    <row r="79">
      <c r="A79" s="2" t="n">
        <v>78</v>
      </c>
      <c r="B79" s="2" t="inlineStr">
        <is>
          <t>equip_jiaodoushizhixue</t>
        </is>
      </c>
      <c r="C79" s="2" t="inlineStr">
        <is>
          <t>角斗士之靴</t>
        </is>
      </c>
      <c r="D79" s="2" t="inlineStr">
        <is>
          <t>shoes</t>
        </is>
      </c>
      <c r="E79" s="2" t="inlineStr">
        <is>
          <t>鞋履</t>
        </is>
      </c>
      <c r="F79" s="2" t="inlineStr">
        <is>
          <t>equip_shoes</t>
        </is>
      </c>
      <c r="G79" s="2" t="inlineStr">
        <is>
          <t>blue</t>
        </is>
      </c>
      <c r="H79" s="2" t="inlineStr">
        <is>
          <t>稀有/蓝</t>
        </is>
      </c>
      <c r="I79" s="2" t="inlineStr">
        <is>
          <t>jiaodoushi_set</t>
        </is>
      </c>
      <c r="J79" s="3" t="inlineStr">
        <is>
          <t>角斗士套装</t>
        </is>
      </c>
      <c r="K79" s="3" t="inlineStr">
        <is>
          <t>靴底嵌有防滑钢钉，专为近身缠斗设计，步法稳定且爆发力更强。</t>
        </is>
      </c>
      <c r="L79" s="4" t="n">
        <v>6000</v>
      </c>
      <c r="M79" s="4" t="n">
        <v>100</v>
      </c>
      <c r="N79" s="2" t="inlineStr">
        <is>
          <t>是</t>
        </is>
      </c>
      <c r="O79" s="4" t="n">
        <v>250</v>
      </c>
      <c r="P79" s="4" t="n">
        <v>16</v>
      </c>
      <c r="Q79" s="4" t="n">
        <v>13</v>
      </c>
      <c r="R79" s="4" t="n">
        <v>0</v>
      </c>
      <c r="S79" s="4" t="n">
        <v>24</v>
      </c>
      <c r="T79" s="4" t="n">
        <v>0</v>
      </c>
      <c r="U79" s="4" t="n">
        <v>0</v>
      </c>
      <c r="V79" s="5">
        <f>SUM(O79:U79)</f>
        <v/>
      </c>
      <c r="W79" s="6">
        <f>O79*'强度系数说明'!$B$7+P79*'强度系数说明'!$B$8+Q79*'强度系数说明'!$B$9+R79*'强度系数说明'!$B$10+S79*'强度系数说明'!$B$11+T79*'强度系数说明'!$B$12+U79*'强度系数说明'!$B$13</f>
        <v/>
      </c>
      <c r="X79" s="7">
        <f>SUMPRODUCT((O79:U79&gt;0)*O79:U79)</f>
        <v/>
      </c>
      <c r="Y79" s="2" t="inlineStr">
        <is>
          <t>否</t>
        </is>
      </c>
      <c r="Z79" s="2" t="inlineStr"/>
      <c r="AA79" s="4" t="inlineStr"/>
      <c r="AB79" s="4" t="inlineStr"/>
      <c r="AC79" s="3" t="inlineStr"/>
      <c r="AD79" s="3" t="inlineStr">
        <is>
          <t>{"bonus":{"agility":15,"defense":10,"force":30,"hp":280},"pieces":4}</t>
        </is>
      </c>
      <c r="AE79" s="3" t="inlineStr">
        <is>
          <t>{"agility":24,"defense":16,"force":13,"hp":250,"set_bonus":{"bonus":{"agility":15,"defense":10,"force":30,"hp":280},"pieces":4},"set_description":"角斗士套装","set_key":"jiaodoushi_set"}</t>
        </is>
      </c>
      <c r="AF79" s="3" t="inlineStr">
        <is>
          <t>data/item_templates.yaml:L4040</t>
        </is>
      </c>
    </row>
    <row r="80">
      <c r="A80" s="2" t="n">
        <v>79</v>
      </c>
      <c r="B80" s="2" t="inlineStr">
        <is>
          <t>equip_qinglongxue</t>
        </is>
      </c>
      <c r="C80" s="2" t="inlineStr">
        <is>
          <t>青龙靴</t>
        </is>
      </c>
      <c r="D80" s="2" t="inlineStr">
        <is>
          <t>shoes</t>
        </is>
      </c>
      <c r="E80" s="2" t="inlineStr">
        <is>
          <t>鞋履</t>
        </is>
      </c>
      <c r="F80" s="2" t="inlineStr">
        <is>
          <t>equip_shoes</t>
        </is>
      </c>
      <c r="G80" s="2" t="inlineStr">
        <is>
          <t>blue</t>
        </is>
      </c>
      <c r="H80" s="2" t="inlineStr">
        <is>
          <t>稀有/蓝</t>
        </is>
      </c>
      <c r="I80" s="2" t="inlineStr">
        <is>
          <t>sixiang_set</t>
        </is>
      </c>
      <c r="J80" s="3" t="inlineStr">
        <is>
          <t>四象套装</t>
        </is>
      </c>
      <c r="K80" s="3" t="inlineStr">
        <is>
          <t>绣有青龙纹样的战靴，相传曾是青龙门弟子所穿。</t>
        </is>
      </c>
      <c r="L80" s="4" t="n">
        <v>5500</v>
      </c>
      <c r="M80" s="4" t="n">
        <v>100</v>
      </c>
      <c r="N80" s="2" t="inlineStr">
        <is>
          <t>是</t>
        </is>
      </c>
      <c r="O80" s="4" t="n">
        <v>216</v>
      </c>
      <c r="P80" s="4" t="n">
        <v>10</v>
      </c>
      <c r="Q80" s="4" t="n">
        <v>15</v>
      </c>
      <c r="R80" s="4" t="n">
        <v>15</v>
      </c>
      <c r="S80" s="4" t="n">
        <v>20</v>
      </c>
      <c r="T80" s="4" t="n">
        <v>0</v>
      </c>
      <c r="U80" s="4" t="n">
        <v>0</v>
      </c>
      <c r="V80" s="5">
        <f>SUM(O80:U80)</f>
        <v/>
      </c>
      <c r="W80" s="6">
        <f>O80*'强度系数说明'!$B$7+P80*'强度系数说明'!$B$8+Q80*'强度系数说明'!$B$9+R80*'强度系数说明'!$B$10+S80*'强度系数说明'!$B$11+T80*'强度系数说明'!$B$12+U80*'强度系数说明'!$B$13</f>
        <v/>
      </c>
      <c r="X80" s="7">
        <f>SUMPRODUCT((O80:U80&gt;0)*O80:U80)</f>
        <v/>
      </c>
      <c r="Y80" s="2" t="inlineStr">
        <is>
          <t>否</t>
        </is>
      </c>
      <c r="Z80" s="2" t="inlineStr"/>
      <c r="AA80" s="4" t="inlineStr"/>
      <c r="AB80" s="4" t="inlineStr"/>
      <c r="AC80" s="3" t="inlineStr"/>
      <c r="AD80" s="3" t="inlineStr">
        <is>
          <t>{"bonus":{"agility":20,"force":35,"hp":360,"intellect":35},"pieces":4}</t>
        </is>
      </c>
      <c r="AE80" s="3" t="inlineStr">
        <is>
          <t>{"agility":20,"defense":10,"force":15,"hp":216,"intellect":15,"set_bonus":{"bonus":{"agility":20,"force":35,"hp":360,"intellect":35},"pieces":4},"set_description":"四象套装","set_key":"sixiang_set"}</t>
        </is>
      </c>
      <c r="AF80" s="3" t="inlineStr">
        <is>
          <t>data/item_templates.yaml:L4063</t>
        </is>
      </c>
    </row>
    <row r="81">
      <c r="A81" s="2" t="n">
        <v>80</v>
      </c>
      <c r="B81" s="2" t="inlineStr">
        <is>
          <t>equip_lingboxie</t>
        </is>
      </c>
      <c r="C81" s="2" t="inlineStr">
        <is>
          <t>凌波鞋</t>
        </is>
      </c>
      <c r="D81" s="2" t="inlineStr">
        <is>
          <t>shoes</t>
        </is>
      </c>
      <c r="E81" s="2" t="inlineStr">
        <is>
          <t>鞋履</t>
        </is>
      </c>
      <c r="F81" s="2" t="inlineStr">
        <is>
          <t>equip_shoes</t>
        </is>
      </c>
      <c r="G81" s="2" t="inlineStr">
        <is>
          <t>blue</t>
        </is>
      </c>
      <c r="H81" s="2" t="inlineStr">
        <is>
          <t>稀有/蓝</t>
        </is>
      </c>
      <c r="I81" s="2" t="inlineStr"/>
      <c r="J81" s="3" t="inlineStr"/>
      <c r="K81" s="3" t="inlineStr">
        <is>
          <t>据传是凌波微步的配套之物，出自逍遥派遗藏。</t>
        </is>
      </c>
      <c r="L81" s="4" t="n">
        <v>6000</v>
      </c>
      <c r="M81" s="4" t="n">
        <v>100</v>
      </c>
      <c r="N81" s="2" t="inlineStr">
        <is>
          <t>是</t>
        </is>
      </c>
      <c r="O81" s="4" t="n">
        <v>220</v>
      </c>
      <c r="P81" s="4" t="n">
        <v>10</v>
      </c>
      <c r="Q81" s="4" t="n">
        <v>0</v>
      </c>
      <c r="R81" s="4" t="n">
        <v>0</v>
      </c>
      <c r="S81" s="4" t="n">
        <v>40</v>
      </c>
      <c r="T81" s="4" t="n">
        <v>0</v>
      </c>
      <c r="U81" s="4" t="n">
        <v>0</v>
      </c>
      <c r="V81" s="5">
        <f>SUM(O81:U81)</f>
        <v/>
      </c>
      <c r="W81" s="6">
        <f>O81*'强度系数说明'!$B$7+P81*'强度系数说明'!$B$8+Q81*'强度系数说明'!$B$9+R81*'强度系数说明'!$B$10+S81*'强度系数说明'!$B$11+T81*'强度系数说明'!$B$12+U81*'强度系数说明'!$B$13</f>
        <v/>
      </c>
      <c r="X81" s="7">
        <f>SUMPRODUCT((O81:U81&gt;0)*O81:U81)</f>
        <v/>
      </c>
      <c r="Y81" s="2" t="inlineStr">
        <is>
          <t>否</t>
        </is>
      </c>
      <c r="Z81" s="2" t="inlineStr"/>
      <c r="AA81" s="4" t="inlineStr"/>
      <c r="AB81" s="4" t="inlineStr"/>
      <c r="AC81" s="3" t="inlineStr"/>
      <c r="AD81" s="3" t="inlineStr"/>
      <c r="AE81" s="3" t="inlineStr">
        <is>
          <t>{"agility":40,"defense":10,"hp":220}</t>
        </is>
      </c>
      <c r="AF81" s="3" t="inlineStr">
        <is>
          <t>data/item_templates.yaml:L4087</t>
        </is>
      </c>
    </row>
    <row r="82">
      <c r="A82" s="2" t="n">
        <v>81</v>
      </c>
      <c r="B82" s="2" t="inlineStr">
        <is>
          <t>equip_zhuifengxue</t>
        </is>
      </c>
      <c r="C82" s="2" t="inlineStr">
        <is>
          <t>追风靴</t>
        </is>
      </c>
      <c r="D82" s="2" t="inlineStr">
        <is>
          <t>shoes</t>
        </is>
      </c>
      <c r="E82" s="2" t="inlineStr">
        <is>
          <t>鞋履</t>
        </is>
      </c>
      <c r="F82" s="2" t="inlineStr">
        <is>
          <t>equip_shoes</t>
        </is>
      </c>
      <c r="G82" s="2" t="inlineStr">
        <is>
          <t>blue</t>
        </is>
      </c>
      <c r="H82" s="2" t="inlineStr">
        <is>
          <t>稀有/蓝</t>
        </is>
      </c>
      <c r="I82" s="2" t="inlineStr"/>
      <c r="J82" s="3" t="inlineStr"/>
      <c r="K82" s="3" t="inlineStr">
        <is>
          <t>相传某位追风少年穿此靴日行千里，名动江湖。</t>
        </is>
      </c>
      <c r="L82" s="4" t="n">
        <v>5200</v>
      </c>
      <c r="M82" s="4" t="n">
        <v>100</v>
      </c>
      <c r="N82" s="2" t="inlineStr">
        <is>
          <t>是</t>
        </is>
      </c>
      <c r="O82" s="4" t="n">
        <v>180</v>
      </c>
      <c r="P82" s="4" t="n">
        <v>8</v>
      </c>
      <c r="Q82" s="4" t="n">
        <v>0</v>
      </c>
      <c r="R82" s="4" t="n">
        <v>0</v>
      </c>
      <c r="S82" s="4" t="n">
        <v>42</v>
      </c>
      <c r="T82" s="4" t="n">
        <v>0</v>
      </c>
      <c r="U82" s="4" t="n">
        <v>0</v>
      </c>
      <c r="V82" s="5">
        <f>SUM(O82:U82)</f>
        <v/>
      </c>
      <c r="W82" s="6">
        <f>O82*'强度系数说明'!$B$7+P82*'强度系数说明'!$B$8+Q82*'强度系数说明'!$B$9+R82*'强度系数说明'!$B$10+S82*'强度系数说明'!$B$11+T82*'强度系数说明'!$B$12+U82*'强度系数说明'!$B$13</f>
        <v/>
      </c>
      <c r="X82" s="7">
        <f>SUMPRODUCT((O82:U82&gt;0)*O82:U82)</f>
        <v/>
      </c>
      <c r="Y82" s="2" t="inlineStr">
        <is>
          <t>否</t>
        </is>
      </c>
      <c r="Z82" s="2" t="inlineStr"/>
      <c r="AA82" s="4" t="inlineStr"/>
      <c r="AB82" s="4" t="inlineStr"/>
      <c r="AC82" s="3" t="inlineStr"/>
      <c r="AD82" s="3" t="inlineStr"/>
      <c r="AE82" s="3" t="inlineStr">
        <is>
          <t>{"agility":42,"defense":8,"hp":180}</t>
        </is>
      </c>
      <c r="AF82" s="3" t="inlineStr">
        <is>
          <t>data/item_templates.yaml:L4101</t>
        </is>
      </c>
    </row>
    <row r="83">
      <c r="A83" s="2" t="n">
        <v>82</v>
      </c>
      <c r="B83" s="2" t="inlineStr">
        <is>
          <t>equip_pojunxue</t>
        </is>
      </c>
      <c r="C83" s="2" t="inlineStr">
        <is>
          <t>破军靴</t>
        </is>
      </c>
      <c r="D83" s="2" t="inlineStr">
        <is>
          <t>shoes</t>
        </is>
      </c>
      <c r="E83" s="2" t="inlineStr">
        <is>
          <t>鞋履</t>
        </is>
      </c>
      <c r="F83" s="2" t="inlineStr">
        <is>
          <t>equip_shoes</t>
        </is>
      </c>
      <c r="G83" s="2" t="inlineStr">
        <is>
          <t>blue</t>
        </is>
      </c>
      <c r="H83" s="2" t="inlineStr">
        <is>
          <t>稀有/蓝</t>
        </is>
      </c>
      <c r="I83" s="2" t="inlineStr"/>
      <c r="J83" s="3" t="inlineStr"/>
      <c r="K83" s="3" t="inlineStr">
        <is>
          <t>破军星位所铸，是一套破军战甲的配套之一。</t>
        </is>
      </c>
      <c r="L83" s="4" t="n">
        <v>5800</v>
      </c>
      <c r="M83" s="4" t="n">
        <v>100</v>
      </c>
      <c r="N83" s="2" t="inlineStr">
        <is>
          <t>是</t>
        </is>
      </c>
      <c r="O83" s="4" t="n">
        <v>270</v>
      </c>
      <c r="P83" s="4" t="n">
        <v>16</v>
      </c>
      <c r="Q83" s="4" t="n">
        <v>15</v>
      </c>
      <c r="R83" s="4" t="n">
        <v>0</v>
      </c>
      <c r="S83" s="4" t="n">
        <v>20</v>
      </c>
      <c r="T83" s="4" t="n">
        <v>0</v>
      </c>
      <c r="U83" s="4" t="n">
        <v>0</v>
      </c>
      <c r="V83" s="5">
        <f>SUM(O83:U83)</f>
        <v/>
      </c>
      <c r="W83" s="6">
        <f>O83*'强度系数说明'!$B$7+P83*'强度系数说明'!$B$8+Q83*'强度系数说明'!$B$9+R83*'强度系数说明'!$B$10+S83*'强度系数说明'!$B$11+T83*'强度系数说明'!$B$12+U83*'强度系数说明'!$B$13</f>
        <v/>
      </c>
      <c r="X83" s="7">
        <f>SUMPRODUCT((O83:U83&gt;0)*O83:U83)</f>
        <v/>
      </c>
      <c r="Y83" s="2" t="inlineStr">
        <is>
          <t>否</t>
        </is>
      </c>
      <c r="Z83" s="2" t="inlineStr"/>
      <c r="AA83" s="4" t="inlineStr"/>
      <c r="AB83" s="4" t="inlineStr"/>
      <c r="AC83" s="3" t="inlineStr"/>
      <c r="AD83" s="3" t="inlineStr"/>
      <c r="AE83" s="3" t="inlineStr">
        <is>
          <t>{"agility":20,"defense":16,"force":15,"hp":270}</t>
        </is>
      </c>
      <c r="AF83" s="3" t="inlineStr">
        <is>
          <t>data/item_templates.yaml:L4115</t>
        </is>
      </c>
    </row>
    <row r="84">
      <c r="A84" s="2" t="n">
        <v>83</v>
      </c>
      <c r="B84" s="2" t="inlineStr">
        <is>
          <t>equip_yingxingxue</t>
        </is>
      </c>
      <c r="C84" s="2" t="inlineStr">
        <is>
          <t>影行靴</t>
        </is>
      </c>
      <c r="D84" s="2" t="inlineStr">
        <is>
          <t>shoes</t>
        </is>
      </c>
      <c r="E84" s="2" t="inlineStr">
        <is>
          <t>鞋履</t>
        </is>
      </c>
      <c r="F84" s="2" t="inlineStr">
        <is>
          <t>equip_shoes</t>
        </is>
      </c>
      <c r="G84" s="2" t="inlineStr">
        <is>
          <t>blue</t>
        </is>
      </c>
      <c r="H84" s="2" t="inlineStr">
        <is>
          <t>稀有/蓝</t>
        </is>
      </c>
      <c r="I84" s="2" t="inlineStr"/>
      <c r="J84" s="3" t="inlineStr"/>
      <c r="K84" s="3" t="inlineStr">
        <is>
          <t>刺客组织"影楼"的秘制战靴，穿上后行走无声。</t>
        </is>
      </c>
      <c r="L84" s="4" t="n">
        <v>5600</v>
      </c>
      <c r="M84" s="4" t="n">
        <v>100</v>
      </c>
      <c r="N84" s="2" t="inlineStr">
        <is>
          <t>是</t>
        </is>
      </c>
      <c r="O84" s="4" t="n">
        <v>200</v>
      </c>
      <c r="P84" s="4" t="n">
        <v>10</v>
      </c>
      <c r="Q84" s="4" t="n">
        <v>0</v>
      </c>
      <c r="R84" s="4" t="n">
        <v>0</v>
      </c>
      <c r="S84" s="4" t="n">
        <v>35</v>
      </c>
      <c r="T84" s="4" t="n">
        <v>0</v>
      </c>
      <c r="U84" s="4" t="n">
        <v>0</v>
      </c>
      <c r="V84" s="5">
        <f>SUM(O84:U84)</f>
        <v/>
      </c>
      <c r="W84" s="6">
        <f>O84*'强度系数说明'!$B$7+P84*'强度系数说明'!$B$8+Q84*'强度系数说明'!$B$9+R84*'强度系数说明'!$B$10+S84*'强度系数说明'!$B$11+T84*'强度系数说明'!$B$12+U84*'强度系数说明'!$B$13</f>
        <v/>
      </c>
      <c r="X84" s="7">
        <f>SUMPRODUCT((O84:U84&gt;0)*O84:U84)</f>
        <v/>
      </c>
      <c r="Y84" s="2" t="inlineStr">
        <is>
          <t>否</t>
        </is>
      </c>
      <c r="Z84" s="2" t="inlineStr"/>
      <c r="AA84" s="4" t="inlineStr"/>
      <c r="AB84" s="4" t="inlineStr"/>
      <c r="AC84" s="3" t="inlineStr"/>
      <c r="AD84" s="3" t="inlineStr"/>
      <c r="AE84" s="3" t="inlineStr">
        <is>
          <t>{"agility":35,"defense":10,"hp":200}</t>
        </is>
      </c>
      <c r="AF84" s="3" t="inlineStr">
        <is>
          <t>data/item_templates.yaml:L4130</t>
        </is>
      </c>
    </row>
    <row r="85">
      <c r="A85" s="2" t="n">
        <v>84</v>
      </c>
      <c r="B85" s="2" t="inlineStr">
        <is>
          <t>equip_jinlinxue</t>
        </is>
      </c>
      <c r="C85" s="2" t="inlineStr">
        <is>
          <t>金鳞靴</t>
        </is>
      </c>
      <c r="D85" s="2" t="inlineStr">
        <is>
          <t>shoes</t>
        </is>
      </c>
      <c r="E85" s="2" t="inlineStr">
        <is>
          <t>鞋履</t>
        </is>
      </c>
      <c r="F85" s="2" t="inlineStr">
        <is>
          <t>equip_shoes</t>
        </is>
      </c>
      <c r="G85" s="2" t="inlineStr">
        <is>
          <t>blue</t>
        </is>
      </c>
      <c r="H85" s="2" t="inlineStr">
        <is>
          <t>稀有/蓝</t>
        </is>
      </c>
      <c r="I85" s="2" t="inlineStr"/>
      <c r="J85" s="3" t="inlineStr"/>
      <c r="K85" s="3" t="inlineStr">
        <is>
          <t>以金色鳞片装饰的战靴，出自龙门镖局的镖头遗物。</t>
        </is>
      </c>
      <c r="L85" s="4" t="n">
        <v>6200</v>
      </c>
      <c r="M85" s="4" t="n">
        <v>100</v>
      </c>
      <c r="N85" s="2" t="inlineStr">
        <is>
          <t>是</t>
        </is>
      </c>
      <c r="O85" s="4" t="n">
        <v>200</v>
      </c>
      <c r="P85" s="4" t="n">
        <v>18</v>
      </c>
      <c r="Q85" s="4" t="n">
        <v>11</v>
      </c>
      <c r="R85" s="4" t="n">
        <v>0</v>
      </c>
      <c r="S85" s="4" t="n">
        <v>26</v>
      </c>
      <c r="T85" s="4" t="n">
        <v>0</v>
      </c>
      <c r="U85" s="4" t="n">
        <v>0</v>
      </c>
      <c r="V85" s="5">
        <f>SUM(O85:U85)</f>
        <v/>
      </c>
      <c r="W85" s="6">
        <f>O85*'强度系数说明'!$B$7+P85*'强度系数说明'!$B$8+Q85*'强度系数说明'!$B$9+R85*'强度系数说明'!$B$10+S85*'强度系数说明'!$B$11+T85*'强度系数说明'!$B$12+U85*'强度系数说明'!$B$13</f>
        <v/>
      </c>
      <c r="X85" s="7">
        <f>SUMPRODUCT((O85:U85&gt;0)*O85:U85)</f>
        <v/>
      </c>
      <c r="Y85" s="2" t="inlineStr">
        <is>
          <t>否</t>
        </is>
      </c>
      <c r="Z85" s="2" t="inlineStr"/>
      <c r="AA85" s="4" t="inlineStr"/>
      <c r="AB85" s="4" t="inlineStr"/>
      <c r="AC85" s="3" t="inlineStr"/>
      <c r="AD85" s="3" t="inlineStr"/>
      <c r="AE85" s="3" t="inlineStr">
        <is>
          <t>{"agility":26,"defense":18,"force":11,"hp":200}</t>
        </is>
      </c>
      <c r="AF85" s="3" t="inlineStr">
        <is>
          <t>data/item_templates.yaml:L4144</t>
        </is>
      </c>
    </row>
    <row r="86">
      <c r="A86" s="2" t="n">
        <v>85</v>
      </c>
      <c r="B86" s="2" t="inlineStr">
        <is>
          <t>equip_huxianxie</t>
        </is>
      </c>
      <c r="C86" s="2" t="inlineStr">
        <is>
          <t>狐仙鞋</t>
        </is>
      </c>
      <c r="D86" s="2" t="inlineStr">
        <is>
          <t>shoes</t>
        </is>
      </c>
      <c r="E86" s="2" t="inlineStr">
        <is>
          <t>鞋履</t>
        </is>
      </c>
      <c r="F86" s="2" t="inlineStr">
        <is>
          <t>equip_shoes</t>
        </is>
      </c>
      <c r="G86" s="2" t="inlineStr">
        <is>
          <t>purple</t>
        </is>
      </c>
      <c r="H86" s="2" t="inlineStr">
        <is>
          <t>史诗/紫</t>
        </is>
      </c>
      <c r="I86" s="2" t="inlineStr">
        <is>
          <t>huxian_set</t>
        </is>
      </c>
      <c r="J86" s="3" t="inlineStr">
        <is>
          <t>狐仙套装</t>
        </is>
      </c>
      <c r="K86" s="3" t="inlineStr">
        <is>
          <t>涂山狐族遗留人间的宝物，轻巧灵动如狐步。</t>
        </is>
      </c>
      <c r="L86" s="4" t="n">
        <v>14000</v>
      </c>
      <c r="M86" s="4" t="n">
        <v>150</v>
      </c>
      <c r="N86" s="2" t="inlineStr">
        <is>
          <t>是</t>
        </is>
      </c>
      <c r="O86" s="4" t="n">
        <v>320</v>
      </c>
      <c r="P86" s="4" t="n">
        <v>10</v>
      </c>
      <c r="Q86" s="4" t="n">
        <v>0</v>
      </c>
      <c r="R86" s="4" t="n">
        <v>24</v>
      </c>
      <c r="S86" s="4" t="n">
        <v>32</v>
      </c>
      <c r="T86" s="4" t="n">
        <v>0</v>
      </c>
      <c r="U86" s="4" t="n">
        <v>0</v>
      </c>
      <c r="V86" s="5">
        <f>SUM(O86:U86)</f>
        <v/>
      </c>
      <c r="W86" s="6">
        <f>O86*'强度系数说明'!$B$7+P86*'强度系数说明'!$B$8+Q86*'强度系数说明'!$B$9+R86*'强度系数说明'!$B$10+S86*'强度系数说明'!$B$11+T86*'强度系数说明'!$B$12+U86*'强度系数说明'!$B$13</f>
        <v/>
      </c>
      <c r="X86" s="7">
        <f>SUMPRODUCT((O86:U86&gt;0)*O86:U86)</f>
        <v/>
      </c>
      <c r="Y86" s="2" t="inlineStr">
        <is>
          <t>否</t>
        </is>
      </c>
      <c r="Z86" s="2" t="inlineStr"/>
      <c r="AA86" s="4" t="inlineStr"/>
      <c r="AB86" s="4" t="inlineStr"/>
      <c r="AC86" s="3" t="inlineStr"/>
      <c r="AD86" s="3" t="inlineStr">
        <is>
          <t>{"bonus":{"hp":280,"intellect":64,"luck":18},"pieces":3}</t>
        </is>
      </c>
      <c r="AE86" s="3" t="inlineStr">
        <is>
          <t>{"agility":32,"defense":10,"hp":320,"intellect":24,"set_bonus":{"bonus":{"hp":280,"intellect":64,"luck":18},"pieces":3},"set_description":"狐仙套装","set_key":"huxian_set"}</t>
        </is>
      </c>
      <c r="AF86" s="3" t="inlineStr">
        <is>
          <t>data/item_templates.yaml:L4161</t>
        </is>
      </c>
    </row>
    <row r="87">
      <c r="A87" s="2" t="n">
        <v>86</v>
      </c>
      <c r="B87" s="2" t="inlineStr">
        <is>
          <t>equip_qilinxue</t>
        </is>
      </c>
      <c r="C87" s="2" t="inlineStr">
        <is>
          <t>麒麟靴</t>
        </is>
      </c>
      <c r="D87" s="2" t="inlineStr">
        <is>
          <t>shoes</t>
        </is>
      </c>
      <c r="E87" s="2" t="inlineStr">
        <is>
          <t>鞋履</t>
        </is>
      </c>
      <c r="F87" s="2" t="inlineStr">
        <is>
          <t>equip_shoes</t>
        </is>
      </c>
      <c r="G87" s="2" t="inlineStr">
        <is>
          <t>purple</t>
        </is>
      </c>
      <c r="H87" s="2" t="inlineStr">
        <is>
          <t>史诗/紫</t>
        </is>
      </c>
      <c r="I87" s="2" t="inlineStr">
        <is>
          <t>qilin_set</t>
        </is>
      </c>
      <c r="J87" s="3" t="inlineStr">
        <is>
          <t>麒麟套装</t>
        </is>
      </c>
      <c r="K87" s="3" t="inlineStr">
        <is>
          <t>仿麒麟蹄形锻造，相传是麒麟卫的标志装备。</t>
        </is>
      </c>
      <c r="L87" s="4" t="n">
        <v>16000</v>
      </c>
      <c r="M87" s="4" t="n">
        <v>150</v>
      </c>
      <c r="N87" s="2" t="inlineStr">
        <is>
          <t>是</t>
        </is>
      </c>
      <c r="O87" s="4" t="n">
        <v>308</v>
      </c>
      <c r="P87" s="4" t="n">
        <v>21</v>
      </c>
      <c r="Q87" s="4" t="n">
        <v>18</v>
      </c>
      <c r="R87" s="4" t="n">
        <v>0</v>
      </c>
      <c r="S87" s="4" t="n">
        <v>30</v>
      </c>
      <c r="T87" s="4" t="n">
        <v>0</v>
      </c>
      <c r="U87" s="4" t="n">
        <v>0</v>
      </c>
      <c r="V87" s="5">
        <f>SUM(O87:U87)</f>
        <v/>
      </c>
      <c r="W87" s="6">
        <f>O87*'强度系数说明'!$B$7+P87*'强度系数说明'!$B$8+Q87*'强度系数说明'!$B$9+R87*'强度系数说明'!$B$10+S87*'强度系数说明'!$B$11+T87*'强度系数说明'!$B$12+U87*'强度系数说明'!$B$13</f>
        <v/>
      </c>
      <c r="X87" s="7">
        <f>SUMPRODUCT((O87:U87&gt;0)*O87:U87)</f>
        <v/>
      </c>
      <c r="Y87" s="2" t="inlineStr">
        <is>
          <t>否</t>
        </is>
      </c>
      <c r="Z87" s="2" t="inlineStr"/>
      <c r="AA87" s="4" t="inlineStr"/>
      <c r="AB87" s="4" t="inlineStr"/>
      <c r="AC87" s="3" t="inlineStr"/>
      <c r="AD87" s="3" t="inlineStr">
        <is>
          <t>{"bonus":{"agility":18,"force":38,"hp":420,"luck":30},"pieces":4}</t>
        </is>
      </c>
      <c r="AE87" s="3" t="inlineStr">
        <is>
          <t>{"agility":30,"defense":21,"force":18,"hp":308,"set_bonus":{"bonus":{"agility":18,"force":38,"hp":420,"luck":30},"pieces":4},"set_description":"麒麟套装","set_key":"qilin_set"}</t>
        </is>
      </c>
      <c r="AF87" s="3" t="inlineStr">
        <is>
          <t>data/item_templates.yaml:L4183</t>
        </is>
      </c>
    </row>
    <row r="88">
      <c r="A88" s="2" t="n">
        <v>87</v>
      </c>
      <c r="B88" s="2" t="inlineStr">
        <is>
          <t>equip_xuanwuxue</t>
        </is>
      </c>
      <c r="C88" s="2" t="inlineStr">
        <is>
          <t>玄武靴</t>
        </is>
      </c>
      <c r="D88" s="2" t="inlineStr">
        <is>
          <t>shoes</t>
        </is>
      </c>
      <c r="E88" s="2" t="inlineStr">
        <is>
          <t>鞋履</t>
        </is>
      </c>
      <c r="F88" s="2" t="inlineStr">
        <is>
          <t>equip_shoes</t>
        </is>
      </c>
      <c r="G88" s="2" t="inlineStr">
        <is>
          <t>purple</t>
        </is>
      </c>
      <c r="H88" s="2" t="inlineStr">
        <is>
          <t>史诗/紫</t>
        </is>
      </c>
      <c r="I88" s="2" t="inlineStr">
        <is>
          <t>xuanwu_set</t>
        </is>
      </c>
      <c r="J88" s="3" t="inlineStr">
        <is>
          <t>玄武套装</t>
        </is>
      </c>
      <c r="K88" s="3" t="inlineStr">
        <is>
          <t>玄武山庄的传承之物，靴底刻有玄武阵图。</t>
        </is>
      </c>
      <c r="L88" s="4" t="n">
        <v>17000</v>
      </c>
      <c r="M88" s="4" t="n">
        <v>150</v>
      </c>
      <c r="N88" s="2" t="inlineStr">
        <is>
          <t>是</t>
        </is>
      </c>
      <c r="O88" s="4" t="n">
        <v>362</v>
      </c>
      <c r="P88" s="4" t="n">
        <v>30</v>
      </c>
      <c r="Q88" s="4" t="n">
        <v>7</v>
      </c>
      <c r="R88" s="4" t="n">
        <v>0</v>
      </c>
      <c r="S88" s="4" t="n">
        <v>30</v>
      </c>
      <c r="T88" s="4" t="n">
        <v>0</v>
      </c>
      <c r="U88" s="4" t="n">
        <v>0</v>
      </c>
      <c r="V88" s="5">
        <f>SUM(O88:U88)</f>
        <v/>
      </c>
      <c r="W88" s="6">
        <f>O88*'强度系数说明'!$B$7+P88*'强度系数说明'!$B$8+Q88*'强度系数说明'!$B$9+R88*'强度系数说明'!$B$10+S88*'强度系数说明'!$B$11+T88*'强度系数说明'!$B$12+U88*'强度系数说明'!$B$13</f>
        <v/>
      </c>
      <c r="X88" s="7">
        <f>SUMPRODUCT((O88:U88&gt;0)*O88:U88)</f>
        <v/>
      </c>
      <c r="Y88" s="2" t="inlineStr">
        <is>
          <t>否</t>
        </is>
      </c>
      <c r="Z88" s="2" t="inlineStr"/>
      <c r="AA88" s="4" t="inlineStr"/>
      <c r="AB88" s="4" t="inlineStr"/>
      <c r="AC88" s="3" t="inlineStr"/>
      <c r="AD88" s="3" t="inlineStr">
        <is>
          <t>{"bonus":{"defense":70,"force":20,"hp":260},"pieces":4}</t>
        </is>
      </c>
      <c r="AE88" s="3" t="inlineStr">
        <is>
          <t>{"agility":30,"defense":30,"force":7,"hp":362,"set_bonus":{"bonus":{"defense":70,"force":20,"hp":260},"pieces":4},"set_description":"玄武套装","set_key":"xuanwu_set"}</t>
        </is>
      </c>
      <c r="AF88" s="3" t="inlineStr">
        <is>
          <t>data/item_templates.yaml:L4206</t>
        </is>
      </c>
    </row>
    <row r="89">
      <c r="A89" s="2" t="n">
        <v>88</v>
      </c>
      <c r="B89" s="2" t="inlineStr">
        <is>
          <t>equip_zhurixue</t>
        </is>
      </c>
      <c r="C89" s="2" t="inlineStr">
        <is>
          <t>逐日靴</t>
        </is>
      </c>
      <c r="D89" s="2" t="inlineStr">
        <is>
          <t>shoes</t>
        </is>
      </c>
      <c r="E89" s="2" t="inlineStr">
        <is>
          <t>鞋履</t>
        </is>
      </c>
      <c r="F89" s="2" t="inlineStr">
        <is>
          <t>equip_shoes</t>
        </is>
      </c>
      <c r="G89" s="2" t="inlineStr">
        <is>
          <t>purple</t>
        </is>
      </c>
      <c r="H89" s="2" t="inlineStr">
        <is>
          <t>史诗/紫</t>
        </is>
      </c>
      <c r="I89" s="2" t="inlineStr"/>
      <c r="J89" s="3" t="inlineStr"/>
      <c r="K89" s="3" t="inlineStr">
        <is>
          <t>相传夸父逐日时所穿，后来落入人间被重新锻造。</t>
        </is>
      </c>
      <c r="L89" s="4" t="n">
        <v>15000</v>
      </c>
      <c r="M89" s="4" t="n">
        <v>150</v>
      </c>
      <c r="N89" s="2" t="inlineStr">
        <is>
          <t>是</t>
        </is>
      </c>
      <c r="O89" s="4" t="n">
        <v>266</v>
      </c>
      <c r="P89" s="4" t="n">
        <v>23</v>
      </c>
      <c r="Q89" s="4" t="n">
        <v>10</v>
      </c>
      <c r="R89" s="4" t="n">
        <v>0</v>
      </c>
      <c r="S89" s="4" t="n">
        <v>45</v>
      </c>
      <c r="T89" s="4" t="n">
        <v>0</v>
      </c>
      <c r="U89" s="4" t="n">
        <v>0</v>
      </c>
      <c r="V89" s="5">
        <f>SUM(O89:U89)</f>
        <v/>
      </c>
      <c r="W89" s="6">
        <f>O89*'强度系数说明'!$B$7+P89*'强度系数说明'!$B$8+Q89*'强度系数说明'!$B$9+R89*'强度系数说明'!$B$10+S89*'强度系数说明'!$B$11+T89*'强度系数说明'!$B$12+U89*'强度系数说明'!$B$13</f>
        <v/>
      </c>
      <c r="X89" s="7">
        <f>SUMPRODUCT((O89:U89&gt;0)*O89:U89)</f>
        <v/>
      </c>
      <c r="Y89" s="2" t="inlineStr">
        <is>
          <t>否</t>
        </is>
      </c>
      <c r="Z89" s="2" t="inlineStr"/>
      <c r="AA89" s="4" t="inlineStr"/>
      <c r="AB89" s="4" t="inlineStr"/>
      <c r="AC89" s="3" t="inlineStr"/>
      <c r="AD89" s="3" t="inlineStr"/>
      <c r="AE89" s="3" t="inlineStr">
        <is>
          <t>{"agility":45,"defense":23,"force":10,"hp":266}</t>
        </is>
      </c>
      <c r="AF89" s="3" t="inlineStr">
        <is>
          <t>data/item_templates.yaml:L4228</t>
        </is>
      </c>
    </row>
    <row r="90">
      <c r="A90" s="2" t="n">
        <v>89</v>
      </c>
      <c r="B90" s="2" t="inlineStr">
        <is>
          <t>equip_tianjilu</t>
        </is>
      </c>
      <c r="C90" s="2" t="inlineStr">
        <is>
          <t>天机履</t>
        </is>
      </c>
      <c r="D90" s="2" t="inlineStr">
        <is>
          <t>shoes</t>
        </is>
      </c>
      <c r="E90" s="2" t="inlineStr">
        <is>
          <t>鞋履</t>
        </is>
      </c>
      <c r="F90" s="2" t="inlineStr">
        <is>
          <t>equip_shoes</t>
        </is>
      </c>
      <c r="G90" s="2" t="inlineStr">
        <is>
          <t>purple</t>
        </is>
      </c>
      <c r="H90" s="2" t="inlineStr">
        <is>
          <t>史诗/紫</t>
        </is>
      </c>
      <c r="I90" s="2" t="inlineStr"/>
      <c r="J90" s="3" t="inlineStr"/>
      <c r="K90" s="3" t="inlineStr">
        <is>
          <t>天机门的秘传之物，履底暗藏机关可助行。</t>
        </is>
      </c>
      <c r="L90" s="4" t="n">
        <v>15500</v>
      </c>
      <c r="M90" s="4" t="n">
        <v>150</v>
      </c>
      <c r="N90" s="2" t="inlineStr">
        <is>
          <t>是</t>
        </is>
      </c>
      <c r="O90" s="4" t="n">
        <v>283</v>
      </c>
      <c r="P90" s="4" t="n">
        <v>15</v>
      </c>
      <c r="Q90" s="4" t="n">
        <v>0</v>
      </c>
      <c r="R90" s="4" t="n">
        <v>22</v>
      </c>
      <c r="S90" s="4" t="n">
        <v>39</v>
      </c>
      <c r="T90" s="4" t="n">
        <v>0</v>
      </c>
      <c r="U90" s="4" t="n">
        <v>0</v>
      </c>
      <c r="V90" s="5">
        <f>SUM(O90:U90)</f>
        <v/>
      </c>
      <c r="W90" s="6">
        <f>O90*'强度系数说明'!$B$7+P90*'强度系数说明'!$B$8+Q90*'强度系数说明'!$B$9+R90*'强度系数说明'!$B$10+S90*'强度系数说明'!$B$11+T90*'强度系数说明'!$B$12+U90*'强度系数说明'!$B$13</f>
        <v/>
      </c>
      <c r="X90" s="7">
        <f>SUMPRODUCT((O90:U90&gt;0)*O90:U90)</f>
        <v/>
      </c>
      <c r="Y90" s="2" t="inlineStr">
        <is>
          <t>否</t>
        </is>
      </c>
      <c r="Z90" s="2" t="inlineStr"/>
      <c r="AA90" s="4" t="inlineStr"/>
      <c r="AB90" s="4" t="inlineStr"/>
      <c r="AC90" s="3" t="inlineStr"/>
      <c r="AD90" s="3" t="inlineStr"/>
      <c r="AE90" s="3" t="inlineStr">
        <is>
          <t>{"agility":39,"defense":15,"hp":283,"intellect":22}</t>
        </is>
      </c>
      <c r="AF90" s="3" t="inlineStr">
        <is>
          <t>data/item_templates.yaml:L4243</t>
        </is>
      </c>
    </row>
    <row r="91">
      <c r="A91" s="2" t="n">
        <v>90</v>
      </c>
      <c r="B91" s="2" t="inlineStr">
        <is>
          <t>equip_liekongxue</t>
        </is>
      </c>
      <c r="C91" s="2" t="inlineStr">
        <is>
          <t>裂空靴</t>
        </is>
      </c>
      <c r="D91" s="2" t="inlineStr">
        <is>
          <t>shoes</t>
        </is>
      </c>
      <c r="E91" s="2" t="inlineStr">
        <is>
          <t>鞋履</t>
        </is>
      </c>
      <c r="F91" s="2" t="inlineStr">
        <is>
          <t>equip_shoes</t>
        </is>
      </c>
      <c r="G91" s="2" t="inlineStr">
        <is>
          <t>purple</t>
        </is>
      </c>
      <c r="H91" s="2" t="inlineStr">
        <is>
          <t>史诗/紫</t>
        </is>
      </c>
      <c r="I91" s="2" t="inlineStr"/>
      <c r="J91" s="3" t="inlineStr"/>
      <c r="K91" s="3" t="inlineStr">
        <is>
          <t>据传穿上可踏破虚空，是某位飞行高手的遗物。</t>
        </is>
      </c>
      <c r="L91" s="4" t="n">
        <v>16500</v>
      </c>
      <c r="M91" s="4" t="n">
        <v>150</v>
      </c>
      <c r="N91" s="2" t="inlineStr">
        <is>
          <t>是</t>
        </is>
      </c>
      <c r="O91" s="4" t="n">
        <v>286</v>
      </c>
      <c r="P91" s="4" t="n">
        <v>16</v>
      </c>
      <c r="Q91" s="4" t="n">
        <v>16</v>
      </c>
      <c r="R91" s="4" t="n">
        <v>0</v>
      </c>
      <c r="S91" s="4" t="n">
        <v>40</v>
      </c>
      <c r="T91" s="4" t="n">
        <v>0</v>
      </c>
      <c r="U91" s="4" t="n">
        <v>0</v>
      </c>
      <c r="V91" s="5">
        <f>SUM(O91:U91)</f>
        <v/>
      </c>
      <c r="W91" s="6">
        <f>O91*'强度系数说明'!$B$7+P91*'强度系数说明'!$B$8+Q91*'强度系数说明'!$B$9+R91*'强度系数说明'!$B$10+S91*'强度系数说明'!$B$11+T91*'强度系数说明'!$B$12+U91*'强度系数说明'!$B$13</f>
        <v/>
      </c>
      <c r="X91" s="7">
        <f>SUMPRODUCT((O91:U91&gt;0)*O91:U91)</f>
        <v/>
      </c>
      <c r="Y91" s="2" t="inlineStr">
        <is>
          <t>否</t>
        </is>
      </c>
      <c r="Z91" s="2" t="inlineStr"/>
      <c r="AA91" s="4" t="inlineStr"/>
      <c r="AB91" s="4" t="inlineStr"/>
      <c r="AC91" s="3" t="inlineStr"/>
      <c r="AD91" s="3" t="inlineStr"/>
      <c r="AE91" s="3" t="inlineStr">
        <is>
          <t>{"agility":40,"defense":16,"force":16,"hp":286}</t>
        </is>
      </c>
      <c r="AF91" s="3" t="inlineStr">
        <is>
          <t>data/item_templates.yaml:L4258</t>
        </is>
      </c>
    </row>
    <row r="92">
      <c r="A92" s="2" t="n">
        <v>91</v>
      </c>
      <c r="B92" s="2" t="inlineStr">
        <is>
          <t>equip_tatianxue</t>
        </is>
      </c>
      <c r="C92" s="2" t="inlineStr">
        <is>
          <t>踏天靴</t>
        </is>
      </c>
      <c r="D92" s="2" t="inlineStr">
        <is>
          <t>shoes</t>
        </is>
      </c>
      <c r="E92" s="2" t="inlineStr">
        <is>
          <t>鞋履</t>
        </is>
      </c>
      <c r="F92" s="2" t="inlineStr">
        <is>
          <t>equip_shoes</t>
        </is>
      </c>
      <c r="G92" s="2" t="inlineStr">
        <is>
          <t>orange</t>
        </is>
      </c>
      <c r="H92" s="2" t="inlineStr">
        <is>
          <t>传说/橙</t>
        </is>
      </c>
      <c r="I92" s="2" t="inlineStr"/>
      <c r="J92" s="3" t="inlineStr"/>
      <c r="K92" s="3" t="inlineStr">
        <is>
          <t>相传可踏天而行，是凌霄宫遗落凡间的神物。</t>
        </is>
      </c>
      <c r="L92" s="4" t="n">
        <v>50000</v>
      </c>
      <c r="M92" s="4" t="n">
        <v>200</v>
      </c>
      <c r="N92" s="2" t="inlineStr">
        <is>
          <t>是</t>
        </is>
      </c>
      <c r="O92" s="4" t="n">
        <v>340</v>
      </c>
      <c r="P92" s="4" t="n">
        <v>15</v>
      </c>
      <c r="Q92" s="4" t="n">
        <v>14</v>
      </c>
      <c r="R92" s="4" t="n">
        <v>9</v>
      </c>
      <c r="S92" s="4" t="n">
        <v>44</v>
      </c>
      <c r="T92" s="4" t="n">
        <v>0</v>
      </c>
      <c r="U92" s="4" t="n">
        <v>0</v>
      </c>
      <c r="V92" s="5">
        <f>SUM(O92:U92)</f>
        <v/>
      </c>
      <c r="W92" s="6">
        <f>O92*'强度系数说明'!$B$7+P92*'强度系数说明'!$B$8+Q92*'强度系数说明'!$B$9+R92*'强度系数说明'!$B$10+S92*'强度系数说明'!$B$11+T92*'强度系数说明'!$B$12+U92*'强度系数说明'!$B$13</f>
        <v/>
      </c>
      <c r="X92" s="7">
        <f>SUMPRODUCT((O92:U92&gt;0)*O92:U92)</f>
        <v/>
      </c>
      <c r="Y92" s="2" t="inlineStr">
        <is>
          <t>否</t>
        </is>
      </c>
      <c r="Z92" s="2" t="inlineStr"/>
      <c r="AA92" s="4" t="inlineStr"/>
      <c r="AB92" s="4" t="inlineStr"/>
      <c r="AC92" s="3" t="inlineStr"/>
      <c r="AD92" s="3" t="inlineStr"/>
      <c r="AE92" s="3" t="inlineStr">
        <is>
          <t>{"agility":44,"defense":15,"force":14,"hp":340,"intellect":9}</t>
        </is>
      </c>
      <c r="AF92" s="3" t="inlineStr">
        <is>
          <t>data/item_templates.yaml:L4275</t>
        </is>
      </c>
    </row>
    <row r="93">
      <c r="A93" s="2" t="n">
        <v>92</v>
      </c>
      <c r="B93" s="2" t="inlineStr">
        <is>
          <t>equip_shenxingxue</t>
        </is>
      </c>
      <c r="C93" s="2" t="inlineStr">
        <is>
          <t>神行靴</t>
        </is>
      </c>
      <c r="D93" s="2" t="inlineStr">
        <is>
          <t>shoes</t>
        </is>
      </c>
      <c r="E93" s="2" t="inlineStr">
        <is>
          <t>鞋履</t>
        </is>
      </c>
      <c r="F93" s="2" t="inlineStr">
        <is>
          <t>equip_shoes</t>
        </is>
      </c>
      <c r="G93" s="2" t="inlineStr">
        <is>
          <t>orange</t>
        </is>
      </c>
      <c r="H93" s="2" t="inlineStr">
        <is>
          <t>传说/橙</t>
        </is>
      </c>
      <c r="I93" s="2" t="inlineStr"/>
      <c r="J93" s="3" t="inlineStr"/>
      <c r="K93" s="3" t="inlineStr">
        <is>
          <t>神行太保戴宗的亲传之物，内藏神行甲马。</t>
        </is>
      </c>
      <c r="L93" s="4" t="n">
        <v>48000</v>
      </c>
      <c r="M93" s="4" t="n">
        <v>200</v>
      </c>
      <c r="N93" s="2" t="inlineStr">
        <is>
          <t>是</t>
        </is>
      </c>
      <c r="O93" s="4" t="n">
        <v>330</v>
      </c>
      <c r="P93" s="4" t="n">
        <v>24</v>
      </c>
      <c r="Q93" s="4" t="n">
        <v>5</v>
      </c>
      <c r="R93" s="4" t="n">
        <v>0</v>
      </c>
      <c r="S93" s="4" t="n">
        <v>60</v>
      </c>
      <c r="T93" s="4" t="n">
        <v>0</v>
      </c>
      <c r="U93" s="4" t="n">
        <v>0</v>
      </c>
      <c r="V93" s="5">
        <f>SUM(O93:U93)</f>
        <v/>
      </c>
      <c r="W93" s="6">
        <f>O93*'强度系数说明'!$B$7+P93*'强度系数说明'!$B$8+Q93*'强度系数说明'!$B$9+R93*'强度系数说明'!$B$10+S93*'强度系数说明'!$B$11+T93*'强度系数说明'!$B$12+U93*'强度系数说明'!$B$13</f>
        <v/>
      </c>
      <c r="X93" s="7">
        <f>SUMPRODUCT((O93:U93&gt;0)*O93:U93)</f>
        <v/>
      </c>
      <c r="Y93" s="2" t="inlineStr">
        <is>
          <t>否</t>
        </is>
      </c>
      <c r="Z93" s="2" t="inlineStr"/>
      <c r="AA93" s="4" t="inlineStr"/>
      <c r="AB93" s="4" t="inlineStr"/>
      <c r="AC93" s="3" t="inlineStr"/>
      <c r="AD93" s="3" t="inlineStr"/>
      <c r="AE93" s="3" t="inlineStr">
        <is>
          <t>{"agility":60,"defense":24,"force":5,"hp":330}</t>
        </is>
      </c>
      <c r="AF93" s="3" t="inlineStr">
        <is>
          <t>data/item_templates.yaml:L4291</t>
        </is>
      </c>
    </row>
    <row r="94">
      <c r="A94" s="2" t="n">
        <v>93</v>
      </c>
      <c r="B94" s="2" t="inlineStr">
        <is>
          <t>equip_wujixingxue</t>
        </is>
      </c>
      <c r="C94" s="2" t="inlineStr">
        <is>
          <t>无极行靴</t>
        </is>
      </c>
      <c r="D94" s="2" t="inlineStr">
        <is>
          <t>shoes</t>
        </is>
      </c>
      <c r="E94" s="2" t="inlineStr">
        <is>
          <t>鞋履</t>
        </is>
      </c>
      <c r="F94" s="2" t="inlineStr">
        <is>
          <t>equip_shoes</t>
        </is>
      </c>
      <c r="G94" s="2" t="inlineStr">
        <is>
          <t>orange</t>
        </is>
      </c>
      <c r="H94" s="2" t="inlineStr">
        <is>
          <t>传说/橙</t>
        </is>
      </c>
      <c r="I94" s="2" t="inlineStr"/>
      <c r="J94" s="3" t="inlineStr"/>
      <c r="K94" s="3" t="inlineStr">
        <is>
          <t>无极门祖师的遗物，暗合太极阴阳之理。</t>
        </is>
      </c>
      <c r="L94" s="4" t="n">
        <v>55000</v>
      </c>
      <c r="M94" s="4" t="n">
        <v>200</v>
      </c>
      <c r="N94" s="2" t="inlineStr">
        <is>
          <t>是</t>
        </is>
      </c>
      <c r="O94" s="4" t="n">
        <v>330</v>
      </c>
      <c r="P94" s="4" t="n">
        <v>24</v>
      </c>
      <c r="Q94" s="4" t="n">
        <v>7</v>
      </c>
      <c r="R94" s="4" t="n">
        <v>0</v>
      </c>
      <c r="S94" s="4" t="n">
        <v>60</v>
      </c>
      <c r="T94" s="4" t="n">
        <v>0</v>
      </c>
      <c r="U94" s="4" t="n">
        <v>0</v>
      </c>
      <c r="V94" s="5">
        <f>SUM(O94:U94)</f>
        <v/>
      </c>
      <c r="W94" s="6">
        <f>O94*'强度系数说明'!$B$7+P94*'强度系数说明'!$B$8+Q94*'强度系数说明'!$B$9+R94*'强度系数说明'!$B$10+S94*'强度系数说明'!$B$11+T94*'强度系数说明'!$B$12+U94*'强度系数说明'!$B$13</f>
        <v/>
      </c>
      <c r="X94" s="7">
        <f>SUMPRODUCT((O94:U94&gt;0)*O94:U94)</f>
        <v/>
      </c>
      <c r="Y94" s="2" t="inlineStr">
        <is>
          <t>否</t>
        </is>
      </c>
      <c r="Z94" s="2" t="inlineStr"/>
      <c r="AA94" s="4" t="inlineStr"/>
      <c r="AB94" s="4" t="inlineStr"/>
      <c r="AC94" s="3" t="inlineStr"/>
      <c r="AD94" s="3" t="inlineStr"/>
      <c r="AE94" s="3" t="inlineStr">
        <is>
          <t>{"agility":60,"defense":24,"force":7,"hp":330}</t>
        </is>
      </c>
      <c r="AF94" s="3" t="inlineStr">
        <is>
          <t>data/item_templates.yaml:L4306</t>
        </is>
      </c>
    </row>
    <row r="95">
      <c r="A95" s="2" t="n">
        <v>94</v>
      </c>
      <c r="B95" s="2" t="inlineStr">
        <is>
          <t>equip_duanjian</t>
        </is>
      </c>
      <c r="C95" s="2" t="inlineStr">
        <is>
          <t>短剑</t>
        </is>
      </c>
      <c r="D95" s="2" t="inlineStr">
        <is>
          <t>weapon</t>
        </is>
      </c>
      <c r="E95" s="2" t="inlineStr">
        <is>
          <t>武器</t>
        </is>
      </c>
      <c r="F95" s="2" t="inlineStr">
        <is>
          <t>equip_weapon</t>
        </is>
      </c>
      <c r="G95" s="2" t="inlineStr">
        <is>
          <t>black</t>
        </is>
      </c>
      <c r="H95" s="2" t="inlineStr">
        <is>
          <t>普通/白</t>
        </is>
      </c>
      <c r="I95" s="2" t="inlineStr"/>
      <c r="J95" s="3" t="inlineStr"/>
      <c r="K95" s="3" t="inlineStr">
        <is>
          <t>粗钢打造的剑，勉强够防身用。</t>
        </is>
      </c>
      <c r="L95" s="4" t="n">
        <v>100</v>
      </c>
      <c r="M95" s="4" t="n">
        <v>50</v>
      </c>
      <c r="N95" s="2" t="inlineStr">
        <is>
          <t>是</t>
        </is>
      </c>
      <c r="O95" s="4" t="n">
        <v>100</v>
      </c>
      <c r="P95" s="4" t="n">
        <v>0</v>
      </c>
      <c r="Q95" s="4" t="n">
        <v>10</v>
      </c>
      <c r="R95" s="4" t="n">
        <v>0</v>
      </c>
      <c r="S95" s="4" t="n">
        <v>8</v>
      </c>
      <c r="T95" s="4" t="n">
        <v>0</v>
      </c>
      <c r="U95" s="4" t="n">
        <v>0</v>
      </c>
      <c r="V95" s="5">
        <f>SUM(O95:U95)</f>
        <v/>
      </c>
      <c r="W95" s="6">
        <f>O95*'强度系数说明'!$B$7+P95*'强度系数说明'!$B$8+Q95*'强度系数说明'!$B$9+R95*'强度系数说明'!$B$10+S95*'强度系数说明'!$B$11+T95*'强度系数说明'!$B$12+U95*'强度系数说明'!$B$13</f>
        <v/>
      </c>
      <c r="X95" s="7">
        <f>SUMPRODUCT((O95:U95&gt;0)*O95:U95)</f>
        <v/>
      </c>
      <c r="Y95" s="2" t="inlineStr">
        <is>
          <t>是</t>
        </is>
      </c>
      <c r="Z95" s="2" t="inlineStr">
        <is>
          <t>剑</t>
        </is>
      </c>
      <c r="AA95" s="4" t="n">
        <v>1</v>
      </c>
      <c r="AB95" s="4" t="n">
        <v>120</v>
      </c>
      <c r="AC95" s="3" t="inlineStr">
        <is>
          <t>{"tong":5}</t>
        </is>
      </c>
      <c r="AD95" s="3" t="inlineStr"/>
      <c r="AE95" s="3" t="inlineStr">
        <is>
          <t>{"agility":8,"force":10,"hp":100}</t>
        </is>
      </c>
      <c r="AF95" s="3" t="inlineStr">
        <is>
          <t>data/item_templates.yaml:L4325; data/forge_equipment.yaml:L83</t>
        </is>
      </c>
    </row>
    <row r="96">
      <c r="A96" s="2" t="n">
        <v>95</v>
      </c>
      <c r="B96" s="2" t="inlineStr">
        <is>
          <t>equip_changjian</t>
        </is>
      </c>
      <c r="C96" s="2" t="inlineStr">
        <is>
          <t>长剑</t>
        </is>
      </c>
      <c r="D96" s="2" t="inlineStr">
        <is>
          <t>weapon</t>
        </is>
      </c>
      <c r="E96" s="2" t="inlineStr">
        <is>
          <t>武器</t>
        </is>
      </c>
      <c r="F96" s="2" t="inlineStr">
        <is>
          <t>equip_weapon</t>
        </is>
      </c>
      <c r="G96" s="2" t="inlineStr">
        <is>
          <t>black</t>
        </is>
      </c>
      <c r="H96" s="2" t="inlineStr">
        <is>
          <t>普通/白</t>
        </is>
      </c>
      <c r="I96" s="2" t="inlineStr"/>
      <c r="J96" s="3" t="inlineStr"/>
      <c r="K96" s="3" t="inlineStr">
        <is>
          <t>兵器铺必备的东西，行走江湖时可用来防身和装潇洒。</t>
        </is>
      </c>
      <c r="L96" s="4" t="n">
        <v>300</v>
      </c>
      <c r="M96" s="4" t="n">
        <v>50</v>
      </c>
      <c r="N96" s="2" t="inlineStr">
        <is>
          <t>是</t>
        </is>
      </c>
      <c r="O96" s="4" t="n">
        <v>150</v>
      </c>
      <c r="P96" s="4" t="n">
        <v>2</v>
      </c>
      <c r="Q96" s="4" t="n">
        <v>18</v>
      </c>
      <c r="R96" s="4" t="n">
        <v>0</v>
      </c>
      <c r="S96" s="4" t="n">
        <v>0</v>
      </c>
      <c r="T96" s="4" t="n">
        <v>0</v>
      </c>
      <c r="U96" s="4" t="n">
        <v>0</v>
      </c>
      <c r="V96" s="5">
        <f>SUM(O96:U96)</f>
        <v/>
      </c>
      <c r="W96" s="6">
        <f>O96*'强度系数说明'!$B$7+P96*'强度系数说明'!$B$8+Q96*'强度系数说明'!$B$9+R96*'强度系数说明'!$B$10+S96*'强度系数说明'!$B$11+T96*'强度系数说明'!$B$12+U96*'强度系数说明'!$B$13</f>
        <v/>
      </c>
      <c r="X96" s="7">
        <f>SUMPRODUCT((O96:U96&gt;0)*O96:U96)</f>
        <v/>
      </c>
      <c r="Y96" s="2" t="inlineStr">
        <is>
          <t>是</t>
        </is>
      </c>
      <c r="Z96" s="2" t="inlineStr">
        <is>
          <t>剑</t>
        </is>
      </c>
      <c r="AA96" s="4" t="n">
        <v>3</v>
      </c>
      <c r="AB96" s="4" t="n">
        <v>180</v>
      </c>
      <c r="AC96" s="3" t="inlineStr">
        <is>
          <t>{"tong":10,"xi":5}</t>
        </is>
      </c>
      <c r="AD96" s="3" t="inlineStr"/>
      <c r="AE96" s="3" t="inlineStr">
        <is>
          <t>{"defense":2,"force":18,"hp":150}</t>
        </is>
      </c>
      <c r="AF96" s="3" t="inlineStr">
        <is>
          <t>data/item_templates.yaml:L4339; data/forge_equipment.yaml:L89</t>
        </is>
      </c>
    </row>
    <row r="97">
      <c r="A97" s="2" t="n">
        <v>96</v>
      </c>
      <c r="B97" s="2" t="inlineStr">
        <is>
          <t>equip_qingmangjian</t>
        </is>
      </c>
      <c r="C97" s="2" t="inlineStr">
        <is>
          <t>青芒剑</t>
        </is>
      </c>
      <c r="D97" s="2" t="inlineStr">
        <is>
          <t>weapon</t>
        </is>
      </c>
      <c r="E97" s="2" t="inlineStr">
        <is>
          <t>武器</t>
        </is>
      </c>
      <c r="F97" s="2" t="inlineStr">
        <is>
          <t>equip_weapon</t>
        </is>
      </c>
      <c r="G97" s="2" t="inlineStr">
        <is>
          <t>green</t>
        </is>
      </c>
      <c r="H97" s="2" t="inlineStr">
        <is>
          <t>优良/绿</t>
        </is>
      </c>
      <c r="I97" s="2" t="inlineStr"/>
      <c r="J97" s="3" t="inlineStr"/>
      <c r="K97" s="3" t="inlineStr">
        <is>
          <t>当代名师铸的宝剑，剑锋有青光透出。</t>
        </is>
      </c>
      <c r="L97" s="4" t="n">
        <v>800</v>
      </c>
      <c r="M97" s="4" t="n">
        <v>75</v>
      </c>
      <c r="N97" s="2" t="inlineStr">
        <is>
          <t>是</t>
        </is>
      </c>
      <c r="O97" s="4" t="n">
        <v>0</v>
      </c>
      <c r="P97" s="4" t="n">
        <v>5</v>
      </c>
      <c r="Q97" s="4" t="n">
        <v>20</v>
      </c>
      <c r="R97" s="4" t="n">
        <v>0</v>
      </c>
      <c r="S97" s="4" t="n">
        <v>7</v>
      </c>
      <c r="T97" s="4" t="n">
        <v>0</v>
      </c>
      <c r="U97" s="4" t="n">
        <v>0</v>
      </c>
      <c r="V97" s="5">
        <f>SUM(O97:U97)</f>
        <v/>
      </c>
      <c r="W97" s="6">
        <f>O97*'强度系数说明'!$B$7+P97*'强度系数说明'!$B$8+Q97*'强度系数说明'!$B$9+R97*'强度系数说明'!$B$10+S97*'强度系数说明'!$B$11+T97*'强度系数说明'!$B$12+U97*'强度系数说明'!$B$13</f>
        <v/>
      </c>
      <c r="X97" s="7">
        <f>SUMPRODUCT((O97:U97&gt;0)*O97:U97)</f>
        <v/>
      </c>
      <c r="Y97" s="2" t="inlineStr">
        <is>
          <t>是</t>
        </is>
      </c>
      <c r="Z97" s="2" t="inlineStr">
        <is>
          <t>剑</t>
        </is>
      </c>
      <c r="AA97" s="4" t="n">
        <v>5</v>
      </c>
      <c r="AB97" s="4" t="n">
        <v>240</v>
      </c>
      <c r="AC97" s="3" t="inlineStr">
        <is>
          <t>{"tie":10}</t>
        </is>
      </c>
      <c r="AD97" s="3" t="inlineStr"/>
      <c r="AE97" s="3" t="inlineStr">
        <is>
          <t>{"agility":7,"defense":5,"force":20}</t>
        </is>
      </c>
      <c r="AF97" s="3" t="inlineStr">
        <is>
          <t>data/item_templates.yaml:L4353; data/forge_equipment.yaml:L96</t>
        </is>
      </c>
    </row>
    <row r="98">
      <c r="A98" s="2" t="n">
        <v>97</v>
      </c>
      <c r="B98" s="2" t="inlineStr">
        <is>
          <t>equip_duanmajian</t>
        </is>
      </c>
      <c r="C98" s="2" t="inlineStr">
        <is>
          <t>断马剑</t>
        </is>
      </c>
      <c r="D98" s="2" t="inlineStr">
        <is>
          <t>weapon</t>
        </is>
      </c>
      <c r="E98" s="2" t="inlineStr">
        <is>
          <t>武器</t>
        </is>
      </c>
      <c r="F98" s="2" t="inlineStr">
        <is>
          <t>equip_weapon</t>
        </is>
      </c>
      <c r="G98" s="2" t="inlineStr">
        <is>
          <t>green</t>
        </is>
      </c>
      <c r="H98" s="2" t="inlineStr">
        <is>
          <t>优良/绿</t>
        </is>
      </c>
      <c r="I98" s="2" t="inlineStr"/>
      <c r="J98" s="3" t="inlineStr"/>
      <c r="K98" s="3" t="inlineStr">
        <is>
          <t>特长特厚的刀刃，一击甚至可以将马斩断。</t>
        </is>
      </c>
      <c r="L98" s="4" t="n">
        <v>1500</v>
      </c>
      <c r="M98" s="4" t="n">
        <v>75</v>
      </c>
      <c r="N98" s="2" t="inlineStr">
        <is>
          <t>是</t>
        </is>
      </c>
      <c r="O98" s="4" t="n">
        <v>0</v>
      </c>
      <c r="P98" s="4" t="n">
        <v>0</v>
      </c>
      <c r="Q98" s="4" t="n">
        <v>25</v>
      </c>
      <c r="R98" s="4" t="n">
        <v>0</v>
      </c>
      <c r="S98" s="4" t="n">
        <v>10</v>
      </c>
      <c r="T98" s="4" t="n">
        <v>0</v>
      </c>
      <c r="U98" s="4" t="n">
        <v>0</v>
      </c>
      <c r="V98" s="5">
        <f>SUM(O98:U98)</f>
        <v/>
      </c>
      <c r="W98" s="6">
        <f>O98*'强度系数说明'!$B$7+P98*'强度系数说明'!$B$8+Q98*'强度系数说明'!$B$9+R98*'强度系数说明'!$B$10+S98*'强度系数说明'!$B$11+T98*'强度系数说明'!$B$12+U98*'强度系数说明'!$B$13</f>
        <v/>
      </c>
      <c r="X98" s="7">
        <f>SUMPRODUCT((O98:U98&gt;0)*O98:U98)</f>
        <v/>
      </c>
      <c r="Y98" s="2" t="inlineStr">
        <is>
          <t>是</t>
        </is>
      </c>
      <c r="Z98" s="2" t="inlineStr">
        <is>
          <t>剑</t>
        </is>
      </c>
      <c r="AA98" s="4" t="n">
        <v>7</v>
      </c>
      <c r="AB98" s="4" t="n">
        <v>300</v>
      </c>
      <c r="AC98" s="3" t="inlineStr">
        <is>
          <t>{"tie":20}</t>
        </is>
      </c>
      <c r="AD98" s="3" t="inlineStr"/>
      <c r="AE98" s="3" t="inlineStr">
        <is>
          <t>{"agility":10,"force":25}</t>
        </is>
      </c>
      <c r="AF98" s="3" t="inlineStr">
        <is>
          <t>data/item_templates.yaml:L4367; data/forge_equipment.yaml:L102</t>
        </is>
      </c>
    </row>
    <row r="99">
      <c r="A99" s="2" t="n">
        <v>98</v>
      </c>
      <c r="B99" s="2" t="inlineStr">
        <is>
          <t>equip_duandao</t>
        </is>
      </c>
      <c r="C99" s="2" t="inlineStr">
        <is>
          <t>短刀</t>
        </is>
      </c>
      <c r="D99" s="2" t="inlineStr">
        <is>
          <t>weapon</t>
        </is>
      </c>
      <c r="E99" s="2" t="inlineStr">
        <is>
          <t>武器</t>
        </is>
      </c>
      <c r="F99" s="2" t="inlineStr">
        <is>
          <t>equip_weapon</t>
        </is>
      </c>
      <c r="G99" s="2" t="inlineStr">
        <is>
          <t>black</t>
        </is>
      </c>
      <c r="H99" s="2" t="inlineStr">
        <is>
          <t>普通/白</t>
        </is>
      </c>
      <c r="I99" s="2" t="inlineStr"/>
      <c r="J99" s="3" t="inlineStr"/>
      <c r="K99" s="3" t="inlineStr">
        <is>
          <t>粗钢打造的刀，勉强够防身用。</t>
        </is>
      </c>
      <c r="L99" s="4" t="n">
        <v>100</v>
      </c>
      <c r="M99" s="4" t="n">
        <v>50</v>
      </c>
      <c r="N99" s="2" t="inlineStr">
        <is>
          <t>是</t>
        </is>
      </c>
      <c r="O99" s="4" t="n">
        <v>50</v>
      </c>
      <c r="P99" s="4" t="n">
        <v>0</v>
      </c>
      <c r="Q99" s="4" t="n">
        <v>15</v>
      </c>
      <c r="R99" s="4" t="n">
        <v>0</v>
      </c>
      <c r="S99" s="4" t="n">
        <v>5</v>
      </c>
      <c r="T99" s="4" t="n">
        <v>0</v>
      </c>
      <c r="U99" s="4" t="n">
        <v>0</v>
      </c>
      <c r="V99" s="5">
        <f>SUM(O99:U99)</f>
        <v/>
      </c>
      <c r="W99" s="6">
        <f>O99*'强度系数说明'!$B$7+P99*'强度系数说明'!$B$8+Q99*'强度系数说明'!$B$9+R99*'强度系数说明'!$B$10+S99*'强度系数说明'!$B$11+T99*'强度系数说明'!$B$12+U99*'强度系数说明'!$B$13</f>
        <v/>
      </c>
      <c r="X99" s="7">
        <f>SUMPRODUCT((O99:U99&gt;0)*O99:U99)</f>
        <v/>
      </c>
      <c r="Y99" s="2" t="inlineStr">
        <is>
          <t>是</t>
        </is>
      </c>
      <c r="Z99" s="2" t="inlineStr">
        <is>
          <t>刀</t>
        </is>
      </c>
      <c r="AA99" s="4" t="n">
        <v>1</v>
      </c>
      <c r="AB99" s="4" t="n">
        <v>120</v>
      </c>
      <c r="AC99" s="3" t="inlineStr">
        <is>
          <t>{"tong":5}</t>
        </is>
      </c>
      <c r="AD99" s="3" t="inlineStr"/>
      <c r="AE99" s="3" t="inlineStr">
        <is>
          <t>{"agility":5,"force":15,"hp":50}</t>
        </is>
      </c>
      <c r="AF99" s="3" t="inlineStr">
        <is>
          <t>data/item_templates.yaml:L4384; data/forge_equipment.yaml:L108</t>
        </is>
      </c>
    </row>
    <row r="100">
      <c r="A100" s="2" t="n">
        <v>99</v>
      </c>
      <c r="B100" s="2" t="inlineStr">
        <is>
          <t>equip_dakandao</t>
        </is>
      </c>
      <c r="C100" s="2" t="inlineStr">
        <is>
          <t>大砍刀</t>
        </is>
      </c>
      <c r="D100" s="2" t="inlineStr">
        <is>
          <t>weapon</t>
        </is>
      </c>
      <c r="E100" s="2" t="inlineStr">
        <is>
          <t>武器</t>
        </is>
      </c>
      <c r="F100" s="2" t="inlineStr">
        <is>
          <t>equip_weapon</t>
        </is>
      </c>
      <c r="G100" s="2" t="inlineStr">
        <is>
          <t>black</t>
        </is>
      </c>
      <c r="H100" s="2" t="inlineStr">
        <is>
          <t>普通/白</t>
        </is>
      </c>
      <c r="I100" s="2" t="inlineStr"/>
      <c r="J100" s="3" t="inlineStr"/>
      <c r="K100" s="3" t="inlineStr">
        <is>
          <t>江湖豪客常用的刀，相当好使。</t>
        </is>
      </c>
      <c r="L100" s="4" t="n">
        <v>300</v>
      </c>
      <c r="M100" s="4" t="n">
        <v>50</v>
      </c>
      <c r="N100" s="2" t="inlineStr">
        <is>
          <t>是</t>
        </is>
      </c>
      <c r="O100" s="4" t="n">
        <v>100</v>
      </c>
      <c r="P100" s="4" t="n">
        <v>0</v>
      </c>
      <c r="Q100" s="4" t="n">
        <v>20</v>
      </c>
      <c r="R100" s="4" t="n">
        <v>0</v>
      </c>
      <c r="S100" s="4" t="n">
        <v>0</v>
      </c>
      <c r="T100" s="4" t="n">
        <v>0</v>
      </c>
      <c r="U100" s="4" t="n">
        <v>0</v>
      </c>
      <c r="V100" s="5">
        <f>SUM(O100:U100)</f>
        <v/>
      </c>
      <c r="W100" s="6">
        <f>O100*'强度系数说明'!$B$7+P100*'强度系数说明'!$B$8+Q100*'强度系数说明'!$B$9+R100*'强度系数说明'!$B$10+S100*'强度系数说明'!$B$11+T100*'强度系数说明'!$B$12+U100*'强度系数说明'!$B$13</f>
        <v/>
      </c>
      <c r="X100" s="7">
        <f>SUMPRODUCT((O100:U100&gt;0)*O100:U100)</f>
        <v/>
      </c>
      <c r="Y100" s="2" t="inlineStr">
        <is>
          <t>是</t>
        </is>
      </c>
      <c r="Z100" s="2" t="inlineStr">
        <is>
          <t>刀</t>
        </is>
      </c>
      <c r="AA100" s="4" t="n">
        <v>3</v>
      </c>
      <c r="AB100" s="4" t="n">
        <v>180</v>
      </c>
      <c r="AC100" s="3" t="inlineStr">
        <is>
          <t>{"tong":10,"xi":5}</t>
        </is>
      </c>
      <c r="AD100" s="3" t="inlineStr"/>
      <c r="AE100" s="3" t="inlineStr">
        <is>
          <t>{"force":20,"hp":100}</t>
        </is>
      </c>
      <c r="AF100" s="3" t="inlineStr">
        <is>
          <t>data/item_templates.yaml:L4398; data/forge_equipment.yaml:L114</t>
        </is>
      </c>
    </row>
    <row r="101">
      <c r="A101" s="2" t="n">
        <v>100</v>
      </c>
      <c r="B101" s="2" t="inlineStr">
        <is>
          <t>equip_tongchangdao</t>
        </is>
      </c>
      <c r="C101" s="2" t="inlineStr">
        <is>
          <t>铜长刀</t>
        </is>
      </c>
      <c r="D101" s="2" t="inlineStr">
        <is>
          <t>weapon</t>
        </is>
      </c>
      <c r="E101" s="2" t="inlineStr">
        <is>
          <t>武器</t>
        </is>
      </c>
      <c r="F101" s="2" t="inlineStr">
        <is>
          <t>equip_weapon</t>
        </is>
      </c>
      <c r="G101" s="2" t="inlineStr">
        <is>
          <t>green</t>
        </is>
      </c>
      <c r="H101" s="2" t="inlineStr">
        <is>
          <t>优良/绿</t>
        </is>
      </c>
      <c r="I101" s="2" t="inlineStr"/>
      <c r="J101" s="3" t="inlineStr"/>
      <c r="K101" s="3" t="inlineStr">
        <is>
          <t>使用铜和钢混合打造，看起来闪闪发亮。</t>
        </is>
      </c>
      <c r="L101" s="4" t="n">
        <v>800</v>
      </c>
      <c r="M101" s="4" t="n">
        <v>75</v>
      </c>
      <c r="N101" s="2" t="inlineStr">
        <is>
          <t>是</t>
        </is>
      </c>
      <c r="O101" s="4" t="n">
        <v>100</v>
      </c>
      <c r="P101" s="4" t="n">
        <v>5</v>
      </c>
      <c r="Q101" s="4" t="n">
        <v>28</v>
      </c>
      <c r="R101" s="4" t="n">
        <v>0</v>
      </c>
      <c r="S101" s="4" t="n">
        <v>0</v>
      </c>
      <c r="T101" s="4" t="n">
        <v>0</v>
      </c>
      <c r="U101" s="4" t="n">
        <v>0</v>
      </c>
      <c r="V101" s="5">
        <f>SUM(O101:U101)</f>
        <v/>
      </c>
      <c r="W101" s="6">
        <f>O101*'强度系数说明'!$B$7+P101*'强度系数说明'!$B$8+Q101*'强度系数说明'!$B$9+R101*'强度系数说明'!$B$10+S101*'强度系数说明'!$B$11+T101*'强度系数说明'!$B$12+U101*'强度系数说明'!$B$13</f>
        <v/>
      </c>
      <c r="X101" s="7">
        <f>SUMPRODUCT((O101:U101&gt;0)*O101:U101)</f>
        <v/>
      </c>
      <c r="Y101" s="2" t="inlineStr">
        <is>
          <t>是</t>
        </is>
      </c>
      <c r="Z101" s="2" t="inlineStr">
        <is>
          <t>刀</t>
        </is>
      </c>
      <c r="AA101" s="4" t="n">
        <v>5</v>
      </c>
      <c r="AB101" s="4" t="n">
        <v>240</v>
      </c>
      <c r="AC101" s="3" t="inlineStr">
        <is>
          <t>{"tie":10}</t>
        </is>
      </c>
      <c r="AD101" s="3" t="inlineStr"/>
      <c r="AE101" s="3" t="inlineStr">
        <is>
          <t>{"defense":5,"force":28,"hp":100}</t>
        </is>
      </c>
      <c r="AF101" s="3" t="inlineStr">
        <is>
          <t>data/item_templates.yaml:L4411; data/forge_equipment.yaml:L121</t>
        </is>
      </c>
    </row>
    <row r="102">
      <c r="A102" s="2" t="n">
        <v>101</v>
      </c>
      <c r="B102" s="2" t="inlineStr">
        <is>
          <t>equip_jingtiedao</t>
        </is>
      </c>
      <c r="C102" s="2" t="inlineStr">
        <is>
          <t>精铁刀</t>
        </is>
      </c>
      <c r="D102" s="2" t="inlineStr">
        <is>
          <t>weapon</t>
        </is>
      </c>
      <c r="E102" s="2" t="inlineStr">
        <is>
          <t>武器</t>
        </is>
      </c>
      <c r="F102" s="2" t="inlineStr">
        <is>
          <t>equip_weapon</t>
        </is>
      </c>
      <c r="G102" s="2" t="inlineStr">
        <is>
          <t>green</t>
        </is>
      </c>
      <c r="H102" s="2" t="inlineStr">
        <is>
          <t>优良/绿</t>
        </is>
      </c>
      <c r="I102" s="2" t="inlineStr"/>
      <c r="J102" s="3" t="inlineStr"/>
      <c r="K102" s="3" t="inlineStr">
        <is>
          <t>上好精铁打造而成，锋利无比。</t>
        </is>
      </c>
      <c r="L102" s="4" t="n">
        <v>1500</v>
      </c>
      <c r="M102" s="4" t="n">
        <v>75</v>
      </c>
      <c r="N102" s="2" t="inlineStr">
        <is>
          <t>是</t>
        </is>
      </c>
      <c r="O102" s="4" t="n">
        <v>50</v>
      </c>
      <c r="P102" s="4" t="n">
        <v>0</v>
      </c>
      <c r="Q102" s="4" t="n">
        <v>35</v>
      </c>
      <c r="R102" s="4" t="n">
        <v>0</v>
      </c>
      <c r="S102" s="4" t="n">
        <v>0</v>
      </c>
      <c r="T102" s="4" t="n">
        <v>0</v>
      </c>
      <c r="U102" s="4" t="n">
        <v>0</v>
      </c>
      <c r="V102" s="5">
        <f>SUM(O102:U102)</f>
        <v/>
      </c>
      <c r="W102" s="6">
        <f>O102*'强度系数说明'!$B$7+P102*'强度系数说明'!$B$8+Q102*'强度系数说明'!$B$9+R102*'强度系数说明'!$B$10+S102*'强度系数说明'!$B$11+T102*'强度系数说明'!$B$12+U102*'强度系数说明'!$B$13</f>
        <v/>
      </c>
      <c r="X102" s="7">
        <f>SUMPRODUCT((O102:U102&gt;0)*O102:U102)</f>
        <v/>
      </c>
      <c r="Y102" s="2" t="inlineStr">
        <is>
          <t>是</t>
        </is>
      </c>
      <c r="Z102" s="2" t="inlineStr">
        <is>
          <t>刀</t>
        </is>
      </c>
      <c r="AA102" s="4" t="n">
        <v>7</v>
      </c>
      <c r="AB102" s="4" t="n">
        <v>300</v>
      </c>
      <c r="AC102" s="3" t="inlineStr">
        <is>
          <t>{"tie":20}</t>
        </is>
      </c>
      <c r="AD102" s="3" t="inlineStr"/>
      <c r="AE102" s="3" t="inlineStr">
        <is>
          <t>{"force":35,"hp":50}</t>
        </is>
      </c>
      <c r="AF102" s="3" t="inlineStr">
        <is>
          <t>data/item_templates.yaml:L4425; data/forge_equipment.yaml:L127</t>
        </is>
      </c>
    </row>
    <row r="103">
      <c r="A103" s="2" t="n">
        <v>102</v>
      </c>
      <c r="B103" s="2" t="inlineStr">
        <is>
          <t>equip_changqiang</t>
        </is>
      </c>
      <c r="C103" s="2" t="inlineStr">
        <is>
          <t>长枪</t>
        </is>
      </c>
      <c r="D103" s="2" t="inlineStr">
        <is>
          <t>weapon</t>
        </is>
      </c>
      <c r="E103" s="2" t="inlineStr">
        <is>
          <t>武器</t>
        </is>
      </c>
      <c r="F103" s="2" t="inlineStr">
        <is>
          <t>equip_weapon</t>
        </is>
      </c>
      <c r="G103" s="2" t="inlineStr">
        <is>
          <t>black</t>
        </is>
      </c>
      <c r="H103" s="2" t="inlineStr">
        <is>
          <t>普通/白</t>
        </is>
      </c>
      <c r="I103" s="2" t="inlineStr"/>
      <c r="J103" s="3" t="inlineStr"/>
      <c r="K103" s="3" t="inlineStr">
        <is>
          <t>普通的红缨点钢枪，士兵常使的武器。</t>
        </is>
      </c>
      <c r="L103" s="4" t="n">
        <v>100</v>
      </c>
      <c r="M103" s="4" t="n">
        <v>50</v>
      </c>
      <c r="N103" s="2" t="inlineStr">
        <is>
          <t>是</t>
        </is>
      </c>
      <c r="O103" s="4" t="n">
        <v>200</v>
      </c>
      <c r="P103" s="4" t="n">
        <v>1</v>
      </c>
      <c r="Q103" s="4" t="n">
        <v>12</v>
      </c>
      <c r="R103" s="4" t="n">
        <v>0</v>
      </c>
      <c r="S103" s="4" t="n">
        <v>0</v>
      </c>
      <c r="T103" s="4" t="n">
        <v>0</v>
      </c>
      <c r="U103" s="4" t="n">
        <v>15</v>
      </c>
      <c r="V103" s="5">
        <f>SUM(O103:U103)</f>
        <v/>
      </c>
      <c r="W103" s="6">
        <f>O103*'强度系数说明'!$B$7+P103*'强度系数说明'!$B$8+Q103*'强度系数说明'!$B$9+R103*'强度系数说明'!$B$10+S103*'强度系数说明'!$B$11+T103*'强度系数说明'!$B$12+U103*'强度系数说明'!$B$13</f>
        <v/>
      </c>
      <c r="X103" s="7">
        <f>SUMPRODUCT((O103:U103&gt;0)*O103:U103)</f>
        <v/>
      </c>
      <c r="Y103" s="2" t="inlineStr">
        <is>
          <t>是</t>
        </is>
      </c>
      <c r="Z103" s="2" t="inlineStr">
        <is>
          <t>枪矛</t>
        </is>
      </c>
      <c r="AA103" s="4" t="n">
        <v>1</v>
      </c>
      <c r="AB103" s="4" t="n">
        <v>120</v>
      </c>
      <c r="AC103" s="3" t="inlineStr">
        <is>
          <t>{"tong":5}</t>
        </is>
      </c>
      <c r="AD103" s="3" t="inlineStr"/>
      <c r="AE103" s="3" t="inlineStr">
        <is>
          <t>{"defense":1,"force":12,"hp":200,"troop_capacity":15}</t>
        </is>
      </c>
      <c r="AF103" s="3" t="inlineStr">
        <is>
          <t>data/item_templates.yaml:L4442; data/forge_equipment.yaml:L133</t>
        </is>
      </c>
    </row>
    <row r="104">
      <c r="A104" s="2" t="n">
        <v>103</v>
      </c>
      <c r="B104" s="2" t="inlineStr">
        <is>
          <t>equip_baoweiqiang</t>
        </is>
      </c>
      <c r="C104" s="2" t="inlineStr">
        <is>
          <t>豹尾枪</t>
        </is>
      </c>
      <c r="D104" s="2" t="inlineStr">
        <is>
          <t>weapon</t>
        </is>
      </c>
      <c r="E104" s="2" t="inlineStr">
        <is>
          <t>武器</t>
        </is>
      </c>
      <c r="F104" s="2" t="inlineStr">
        <is>
          <t>equip_weapon</t>
        </is>
      </c>
      <c r="G104" s="2" t="inlineStr">
        <is>
          <t>black</t>
        </is>
      </c>
      <c r="H104" s="2" t="inlineStr">
        <is>
          <t>普通/白</t>
        </is>
      </c>
      <c r="I104" s="2" t="inlineStr"/>
      <c r="J104" s="3" t="inlineStr"/>
      <c r="K104" s="3" t="inlineStr">
        <is>
          <t>头有兽尾为饰，看来稍微华贵些。</t>
        </is>
      </c>
      <c r="L104" s="4" t="n">
        <v>300</v>
      </c>
      <c r="M104" s="4" t="n">
        <v>50</v>
      </c>
      <c r="N104" s="2" t="inlineStr">
        <is>
          <t>是</t>
        </is>
      </c>
      <c r="O104" s="4" t="n">
        <v>0</v>
      </c>
      <c r="P104" s="4" t="n">
        <v>5</v>
      </c>
      <c r="Q104" s="4" t="n">
        <v>10</v>
      </c>
      <c r="R104" s="4" t="n">
        <v>0</v>
      </c>
      <c r="S104" s="4" t="n">
        <v>0</v>
      </c>
      <c r="T104" s="4" t="n">
        <v>0</v>
      </c>
      <c r="U104" s="4" t="n">
        <v>25</v>
      </c>
      <c r="V104" s="5">
        <f>SUM(O104:U104)</f>
        <v/>
      </c>
      <c r="W104" s="6">
        <f>O104*'强度系数说明'!$B$7+P104*'强度系数说明'!$B$8+Q104*'强度系数说明'!$B$9+R104*'强度系数说明'!$B$10+S104*'强度系数说明'!$B$11+T104*'强度系数说明'!$B$12+U104*'强度系数说明'!$B$13</f>
        <v/>
      </c>
      <c r="X104" s="7">
        <f>SUMPRODUCT((O104:U104&gt;0)*O104:U104)</f>
        <v/>
      </c>
      <c r="Y104" s="2" t="inlineStr">
        <is>
          <t>是</t>
        </is>
      </c>
      <c r="Z104" s="2" t="inlineStr">
        <is>
          <t>枪矛</t>
        </is>
      </c>
      <c r="AA104" s="4" t="n">
        <v>3</v>
      </c>
      <c r="AB104" s="4" t="n">
        <v>180</v>
      </c>
      <c r="AC104" s="3" t="inlineStr">
        <is>
          <t>{"tong":10,"xi":5}</t>
        </is>
      </c>
      <c r="AD104" s="3" t="inlineStr"/>
      <c r="AE104" s="3" t="inlineStr">
        <is>
          <t>{"defense":5,"force":10,"troop_capacity":25}</t>
        </is>
      </c>
      <c r="AF104" s="3" t="inlineStr">
        <is>
          <t>data/item_templates.yaml:L4457; data/forge_equipment.yaml:L139</t>
        </is>
      </c>
    </row>
    <row r="105">
      <c r="A105" s="2" t="n">
        <v>104</v>
      </c>
      <c r="B105" s="2" t="inlineStr">
        <is>
          <t>equip_hutoumao</t>
        </is>
      </c>
      <c r="C105" s="2" t="inlineStr">
        <is>
          <t>虎头矛</t>
        </is>
      </c>
      <c r="D105" s="2" t="inlineStr">
        <is>
          <t>weapon</t>
        </is>
      </c>
      <c r="E105" s="2" t="inlineStr">
        <is>
          <t>武器</t>
        </is>
      </c>
      <c r="F105" s="2" t="inlineStr">
        <is>
          <t>equip_weapon</t>
        </is>
      </c>
      <c r="G105" s="2" t="inlineStr">
        <is>
          <t>green</t>
        </is>
      </c>
      <c r="H105" s="2" t="inlineStr">
        <is>
          <t>优良/绿</t>
        </is>
      </c>
      <c r="I105" s="2" t="inlineStr"/>
      <c r="J105" s="3" t="inlineStr"/>
      <c r="K105" s="3" t="inlineStr">
        <is>
          <t>矛头上刻有虎头吞刃，让人望而生畏。</t>
        </is>
      </c>
      <c r="L105" s="4" t="n">
        <v>800</v>
      </c>
      <c r="M105" s="4" t="n">
        <v>75</v>
      </c>
      <c r="N105" s="2" t="inlineStr">
        <is>
          <t>是</t>
        </is>
      </c>
      <c r="O105" s="4" t="n">
        <v>0</v>
      </c>
      <c r="P105" s="4" t="n">
        <v>5</v>
      </c>
      <c r="Q105" s="4" t="n">
        <v>20</v>
      </c>
      <c r="R105" s="4" t="n">
        <v>0</v>
      </c>
      <c r="S105" s="4" t="n">
        <v>0</v>
      </c>
      <c r="T105" s="4" t="n">
        <v>0</v>
      </c>
      <c r="U105" s="4" t="n">
        <v>20</v>
      </c>
      <c r="V105" s="5">
        <f>SUM(O105:U105)</f>
        <v/>
      </c>
      <c r="W105" s="6">
        <f>O105*'强度系数说明'!$B$7+P105*'强度系数说明'!$B$8+Q105*'强度系数说明'!$B$9+R105*'强度系数说明'!$B$10+S105*'强度系数说明'!$B$11+T105*'强度系数说明'!$B$12+U105*'强度系数说明'!$B$13</f>
        <v/>
      </c>
      <c r="X105" s="7">
        <f>SUMPRODUCT((O105:U105&gt;0)*O105:U105)</f>
        <v/>
      </c>
      <c r="Y105" s="2" t="inlineStr">
        <is>
          <t>是</t>
        </is>
      </c>
      <c r="Z105" s="2" t="inlineStr">
        <is>
          <t>枪矛</t>
        </is>
      </c>
      <c r="AA105" s="4" t="n">
        <v>5</v>
      </c>
      <c r="AB105" s="4" t="n">
        <v>240</v>
      </c>
      <c r="AC105" s="3" t="inlineStr">
        <is>
          <t>{"tie":10}</t>
        </is>
      </c>
      <c r="AD105" s="3" t="inlineStr"/>
      <c r="AE105" s="3" t="inlineStr">
        <is>
          <t>{"defense":5,"force":20,"troop_capacity":20}</t>
        </is>
      </c>
      <c r="AF105" s="3" t="inlineStr">
        <is>
          <t>data/item_templates.yaml:L4471; data/forge_equipment.yaml:L146</t>
        </is>
      </c>
    </row>
    <row r="106">
      <c r="A106" s="2" t="n">
        <v>105</v>
      </c>
      <c r="B106" s="2" t="inlineStr">
        <is>
          <t>equip_pansheqiang</t>
        </is>
      </c>
      <c r="C106" s="2" t="inlineStr">
        <is>
          <t>盘蛇枪</t>
        </is>
      </c>
      <c r="D106" s="2" t="inlineStr">
        <is>
          <t>weapon</t>
        </is>
      </c>
      <c r="E106" s="2" t="inlineStr">
        <is>
          <t>武器</t>
        </is>
      </c>
      <c r="F106" s="2" t="inlineStr">
        <is>
          <t>equip_weapon</t>
        </is>
      </c>
      <c r="G106" s="2" t="inlineStr">
        <is>
          <t>green</t>
        </is>
      </c>
      <c r="H106" s="2" t="inlineStr">
        <is>
          <t>优良/绿</t>
        </is>
      </c>
      <c r="I106" s="2" t="inlineStr"/>
      <c r="J106" s="3" t="inlineStr"/>
      <c r="K106" s="3" t="inlineStr">
        <is>
          <t>枪身柔性十足，在高手手中如出洞毒蛇般狠辣。</t>
        </is>
      </c>
      <c r="L106" s="4" t="n">
        <v>1500</v>
      </c>
      <c r="M106" s="4" t="n">
        <v>75</v>
      </c>
      <c r="N106" s="2" t="inlineStr">
        <is>
          <t>是</t>
        </is>
      </c>
      <c r="O106" s="4" t="n">
        <v>0</v>
      </c>
      <c r="P106" s="4" t="n">
        <v>0</v>
      </c>
      <c r="Q106" s="4" t="n">
        <v>20</v>
      </c>
      <c r="R106" s="4" t="n">
        <v>0</v>
      </c>
      <c r="S106" s="4" t="n">
        <v>5</v>
      </c>
      <c r="T106" s="4" t="n">
        <v>0</v>
      </c>
      <c r="U106" s="4" t="n">
        <v>20</v>
      </c>
      <c r="V106" s="5">
        <f>SUM(O106:U106)</f>
        <v/>
      </c>
      <c r="W106" s="6">
        <f>O106*'强度系数说明'!$B$7+P106*'强度系数说明'!$B$8+Q106*'强度系数说明'!$B$9+R106*'强度系数说明'!$B$10+S106*'强度系数说明'!$B$11+T106*'强度系数说明'!$B$12+U106*'强度系数说明'!$B$13</f>
        <v/>
      </c>
      <c r="X106" s="7">
        <f>SUMPRODUCT((O106:U106&gt;0)*O106:U106)</f>
        <v/>
      </c>
      <c r="Y106" s="2" t="inlineStr">
        <is>
          <t>是</t>
        </is>
      </c>
      <c r="Z106" s="2" t="inlineStr">
        <is>
          <t>枪矛</t>
        </is>
      </c>
      <c r="AA106" s="4" t="n">
        <v>7</v>
      </c>
      <c r="AB106" s="4" t="n">
        <v>300</v>
      </c>
      <c r="AC106" s="3" t="inlineStr">
        <is>
          <t>{"tie":20}</t>
        </is>
      </c>
      <c r="AD106" s="3" t="inlineStr"/>
      <c r="AE106" s="3" t="inlineStr">
        <is>
          <t>{"agility":5,"force":20,"troop_capacity":20}</t>
        </is>
      </c>
      <c r="AF106" s="3" t="inlineStr">
        <is>
          <t>data/item_templates.yaml:L4485; data/forge_equipment.yaml:L152</t>
        </is>
      </c>
    </row>
    <row r="107">
      <c r="A107" s="2" t="n">
        <v>106</v>
      </c>
      <c r="B107" s="2" t="inlineStr">
        <is>
          <t>equip_changgong</t>
        </is>
      </c>
      <c r="C107" s="2" t="inlineStr">
        <is>
          <t>长弓</t>
        </is>
      </c>
      <c r="D107" s="2" t="inlineStr">
        <is>
          <t>weapon</t>
        </is>
      </c>
      <c r="E107" s="2" t="inlineStr">
        <is>
          <t>武器</t>
        </is>
      </c>
      <c r="F107" s="2" t="inlineStr">
        <is>
          <t>equip_weapon</t>
        </is>
      </c>
      <c r="G107" s="2" t="inlineStr">
        <is>
          <t>black</t>
        </is>
      </c>
      <c r="H107" s="2" t="inlineStr">
        <is>
          <t>普通/白</t>
        </is>
      </c>
      <c r="I107" s="2" t="inlineStr"/>
      <c r="J107" s="3" t="inlineStr"/>
      <c r="K107" s="3" t="inlineStr">
        <is>
          <t>白木制的弓，随处可见的东西。</t>
        </is>
      </c>
      <c r="L107" s="4" t="n">
        <v>100</v>
      </c>
      <c r="M107" s="4" t="n">
        <v>50</v>
      </c>
      <c r="N107" s="2" t="inlineStr">
        <is>
          <t>是</t>
        </is>
      </c>
      <c r="O107" s="4" t="n">
        <v>0</v>
      </c>
      <c r="P107" s="4" t="n">
        <v>0</v>
      </c>
      <c r="Q107" s="4" t="n">
        <v>15</v>
      </c>
      <c r="R107" s="4" t="n">
        <v>0</v>
      </c>
      <c r="S107" s="4" t="n">
        <v>5</v>
      </c>
      <c r="T107" s="4" t="n">
        <v>0</v>
      </c>
      <c r="U107" s="4" t="n">
        <v>0</v>
      </c>
      <c r="V107" s="5">
        <f>SUM(O107:U107)</f>
        <v/>
      </c>
      <c r="W107" s="6">
        <f>O107*'强度系数说明'!$B$7+P107*'强度系数说明'!$B$8+Q107*'强度系数说明'!$B$9+R107*'强度系数说明'!$B$10+S107*'强度系数说明'!$B$11+T107*'强度系数说明'!$B$12+U107*'强度系数说明'!$B$13</f>
        <v/>
      </c>
      <c r="X107" s="7">
        <f>SUMPRODUCT((O107:U107&gt;0)*O107:U107)</f>
        <v/>
      </c>
      <c r="Y107" s="2" t="inlineStr">
        <is>
          <t>是</t>
        </is>
      </c>
      <c r="Z107" s="2" t="inlineStr">
        <is>
          <t>弓</t>
        </is>
      </c>
      <c r="AA107" s="4" t="n">
        <v>1</v>
      </c>
      <c r="AB107" s="4" t="n">
        <v>120</v>
      </c>
      <c r="AC107" s="3" t="inlineStr">
        <is>
          <t>{"tong":5}</t>
        </is>
      </c>
      <c r="AD107" s="3" t="inlineStr"/>
      <c r="AE107" s="3" t="inlineStr">
        <is>
          <t>{"agility":5,"force":15}</t>
        </is>
      </c>
      <c r="AF107" s="3" t="inlineStr">
        <is>
          <t>data/item_templates.yaml:L4503; data/forge_equipment.yaml:L158</t>
        </is>
      </c>
    </row>
    <row r="108">
      <c r="A108" s="2" t="n">
        <v>107</v>
      </c>
      <c r="B108" s="2" t="inlineStr">
        <is>
          <t>equip_fanqugong</t>
        </is>
      </c>
      <c r="C108" s="2" t="inlineStr">
        <is>
          <t>反曲弓</t>
        </is>
      </c>
      <c r="D108" s="2" t="inlineStr">
        <is>
          <t>weapon</t>
        </is>
      </c>
      <c r="E108" s="2" t="inlineStr">
        <is>
          <t>武器</t>
        </is>
      </c>
      <c r="F108" s="2" t="inlineStr">
        <is>
          <t>equip_weapon</t>
        </is>
      </c>
      <c r="G108" s="2" t="inlineStr">
        <is>
          <t>black</t>
        </is>
      </c>
      <c r="H108" s="2" t="inlineStr">
        <is>
          <t>普通/白</t>
        </is>
      </c>
      <c r="I108" s="2" t="inlineStr"/>
      <c r="J108" s="3" t="inlineStr"/>
      <c r="K108" s="3" t="inlineStr">
        <is>
          <t>以干角筋胶丝漆六材制成的弓，相当精致。</t>
        </is>
      </c>
      <c r="L108" s="4" t="n">
        <v>300</v>
      </c>
      <c r="M108" s="4" t="n">
        <v>50</v>
      </c>
      <c r="N108" s="2" t="inlineStr">
        <is>
          <t>是</t>
        </is>
      </c>
      <c r="O108" s="4" t="n">
        <v>0</v>
      </c>
      <c r="P108" s="4" t="n">
        <v>0</v>
      </c>
      <c r="Q108" s="4" t="n">
        <v>15</v>
      </c>
      <c r="R108" s="4" t="n">
        <v>0</v>
      </c>
      <c r="S108" s="4" t="n">
        <v>8</v>
      </c>
      <c r="T108" s="4" t="n">
        <v>0</v>
      </c>
      <c r="U108" s="4" t="n">
        <v>0</v>
      </c>
      <c r="V108" s="5">
        <f>SUM(O108:U108)</f>
        <v/>
      </c>
      <c r="W108" s="6">
        <f>O108*'强度系数说明'!$B$7+P108*'强度系数说明'!$B$8+Q108*'强度系数说明'!$B$9+R108*'强度系数说明'!$B$10+S108*'强度系数说明'!$B$11+T108*'强度系数说明'!$B$12+U108*'强度系数说明'!$B$13</f>
        <v/>
      </c>
      <c r="X108" s="7">
        <f>SUMPRODUCT((O108:U108&gt;0)*O108:U108)</f>
        <v/>
      </c>
      <c r="Y108" s="2" t="inlineStr">
        <is>
          <t>是</t>
        </is>
      </c>
      <c r="Z108" s="2" t="inlineStr">
        <is>
          <t>弓</t>
        </is>
      </c>
      <c r="AA108" s="4" t="n">
        <v>3</v>
      </c>
      <c r="AB108" s="4" t="n">
        <v>180</v>
      </c>
      <c r="AC108" s="3" t="inlineStr">
        <is>
          <t>{"tong":10,"xi":5}</t>
        </is>
      </c>
      <c r="AD108" s="3" t="inlineStr"/>
      <c r="AE108" s="3" t="inlineStr">
        <is>
          <t>{"agility":8,"force":15}</t>
        </is>
      </c>
      <c r="AF108" s="3" t="inlineStr">
        <is>
          <t>data/item_templates.yaml:L4516; data/forge_equipment.yaml:L164</t>
        </is>
      </c>
    </row>
    <row r="109">
      <c r="A109" s="2" t="n">
        <v>108</v>
      </c>
      <c r="B109" s="2" t="inlineStr">
        <is>
          <t>equip_tietaigong</t>
        </is>
      </c>
      <c r="C109" s="2" t="inlineStr">
        <is>
          <t>铁胎弓</t>
        </is>
      </c>
      <c r="D109" s="2" t="inlineStr">
        <is>
          <t>weapon</t>
        </is>
      </c>
      <c r="E109" s="2" t="inlineStr">
        <is>
          <t>武器</t>
        </is>
      </c>
      <c r="F109" s="2" t="inlineStr">
        <is>
          <t>equip_weapon</t>
        </is>
      </c>
      <c r="G109" s="2" t="inlineStr">
        <is>
          <t>green</t>
        </is>
      </c>
      <c r="H109" s="2" t="inlineStr">
        <is>
          <t>优良/绿</t>
        </is>
      </c>
      <c r="I109" s="2" t="inlineStr"/>
      <c r="J109" s="3" t="inlineStr"/>
      <c r="K109" s="3" t="inlineStr">
        <is>
          <t>弓身以钢片加固，得有相当的臂力才能拉开。</t>
        </is>
      </c>
      <c r="L109" s="4" t="n">
        <v>800</v>
      </c>
      <c r="M109" s="4" t="n">
        <v>75</v>
      </c>
      <c r="N109" s="2" t="inlineStr">
        <is>
          <t>是</t>
        </is>
      </c>
      <c r="O109" s="4" t="n">
        <v>0</v>
      </c>
      <c r="P109" s="4" t="n">
        <v>5</v>
      </c>
      <c r="Q109" s="4" t="n">
        <v>15</v>
      </c>
      <c r="R109" s="4" t="n">
        <v>0</v>
      </c>
      <c r="S109" s="4" t="n">
        <v>12</v>
      </c>
      <c r="T109" s="4" t="n">
        <v>0</v>
      </c>
      <c r="U109" s="4" t="n">
        <v>0</v>
      </c>
      <c r="V109" s="5">
        <f>SUM(O109:U109)</f>
        <v/>
      </c>
      <c r="W109" s="6">
        <f>O109*'强度系数说明'!$B$7+P109*'强度系数说明'!$B$8+Q109*'强度系数说明'!$B$9+R109*'强度系数说明'!$B$10+S109*'强度系数说明'!$B$11+T109*'强度系数说明'!$B$12+U109*'强度系数说明'!$B$13</f>
        <v/>
      </c>
      <c r="X109" s="7">
        <f>SUMPRODUCT((O109:U109&gt;0)*O109:U109)</f>
        <v/>
      </c>
      <c r="Y109" s="2" t="inlineStr">
        <is>
          <t>是</t>
        </is>
      </c>
      <c r="Z109" s="2" t="inlineStr">
        <is>
          <t>弓</t>
        </is>
      </c>
      <c r="AA109" s="4" t="n">
        <v>5</v>
      </c>
      <c r="AB109" s="4" t="n">
        <v>240</v>
      </c>
      <c r="AC109" s="3" t="inlineStr">
        <is>
          <t>{"tie":10}</t>
        </is>
      </c>
      <c r="AD109" s="3" t="inlineStr"/>
      <c r="AE109" s="3" t="inlineStr">
        <is>
          <t>{"agility":12,"defense":5,"force":15}</t>
        </is>
      </c>
      <c r="AF109" s="3" t="inlineStr">
        <is>
          <t>data/item_templates.yaml:L4529; data/forge_equipment.yaml:L171</t>
        </is>
      </c>
    </row>
    <row r="110">
      <c r="A110" s="2" t="n">
        <v>109</v>
      </c>
      <c r="B110" s="2" t="inlineStr">
        <is>
          <t>equip_shenbigong</t>
        </is>
      </c>
      <c r="C110" s="2" t="inlineStr">
        <is>
          <t>神臂弓</t>
        </is>
      </c>
      <c r="D110" s="2" t="inlineStr">
        <is>
          <t>weapon</t>
        </is>
      </c>
      <c r="E110" s="2" t="inlineStr">
        <is>
          <t>武器</t>
        </is>
      </c>
      <c r="F110" s="2" t="inlineStr">
        <is>
          <t>equip_weapon</t>
        </is>
      </c>
      <c r="G110" s="2" t="inlineStr">
        <is>
          <t>green</t>
        </is>
      </c>
      <c r="H110" s="2" t="inlineStr">
        <is>
          <t>优良/绿</t>
        </is>
      </c>
      <c r="I110" s="2" t="inlineStr"/>
      <c r="J110" s="3" t="inlineStr"/>
      <c r="K110" s="3" t="inlineStr">
        <is>
          <t>机括击发的弩机，力可穿透铁甲。</t>
        </is>
      </c>
      <c r="L110" s="4" t="n">
        <v>1500</v>
      </c>
      <c r="M110" s="4" t="n">
        <v>75</v>
      </c>
      <c r="N110" s="2" t="inlineStr">
        <is>
          <t>是</t>
        </is>
      </c>
      <c r="O110" s="4" t="n">
        <v>0</v>
      </c>
      <c r="P110" s="4" t="n">
        <v>0</v>
      </c>
      <c r="Q110" s="4" t="n">
        <v>20</v>
      </c>
      <c r="R110" s="4" t="n">
        <v>0</v>
      </c>
      <c r="S110" s="4" t="n">
        <v>15</v>
      </c>
      <c r="T110" s="4" t="n">
        <v>0</v>
      </c>
      <c r="U110" s="4" t="n">
        <v>0</v>
      </c>
      <c r="V110" s="5">
        <f>SUM(O110:U110)</f>
        <v/>
      </c>
      <c r="W110" s="6">
        <f>O110*'强度系数说明'!$B$7+P110*'强度系数说明'!$B$8+Q110*'强度系数说明'!$B$9+R110*'强度系数说明'!$B$10+S110*'强度系数说明'!$B$11+T110*'强度系数说明'!$B$12+U110*'强度系数说明'!$B$13</f>
        <v/>
      </c>
      <c r="X110" s="7">
        <f>SUMPRODUCT((O110:U110&gt;0)*O110:U110)</f>
        <v/>
      </c>
      <c r="Y110" s="2" t="inlineStr">
        <is>
          <t>是</t>
        </is>
      </c>
      <c r="Z110" s="2" t="inlineStr">
        <is>
          <t>弓</t>
        </is>
      </c>
      <c r="AA110" s="4" t="n">
        <v>7</v>
      </c>
      <c r="AB110" s="4" t="n">
        <v>300</v>
      </c>
      <c r="AC110" s="3" t="inlineStr">
        <is>
          <t>{"tie":20}</t>
        </is>
      </c>
      <c r="AD110" s="3" t="inlineStr"/>
      <c r="AE110" s="3" t="inlineStr">
        <is>
          <t>{"agility":15,"force":20}</t>
        </is>
      </c>
      <c r="AF110" s="3" t="inlineStr">
        <is>
          <t>data/item_templates.yaml:L4543; data/forge_equipment.yaml:L177</t>
        </is>
      </c>
    </row>
    <row r="111">
      <c r="A111" s="2" t="n">
        <v>110</v>
      </c>
      <c r="B111" s="2" t="inlineStr">
        <is>
          <t>equip_changbian</t>
        </is>
      </c>
      <c r="C111" s="2" t="inlineStr">
        <is>
          <t>长鞭</t>
        </is>
      </c>
      <c r="D111" s="2" t="inlineStr">
        <is>
          <t>weapon</t>
        </is>
      </c>
      <c r="E111" s="2" t="inlineStr">
        <is>
          <t>武器</t>
        </is>
      </c>
      <c r="F111" s="2" t="inlineStr">
        <is>
          <t>equip_weapon</t>
        </is>
      </c>
      <c r="G111" s="2" t="inlineStr">
        <is>
          <t>black</t>
        </is>
      </c>
      <c r="H111" s="2" t="inlineStr">
        <is>
          <t>普通/白</t>
        </is>
      </c>
      <c r="I111" s="2" t="inlineStr"/>
      <c r="J111" s="3" t="inlineStr"/>
      <c r="K111" s="3" t="inlineStr">
        <is>
          <t>细藤搓成的鞭子，通常只能用来赶羊。</t>
        </is>
      </c>
      <c r="L111" s="4" t="n">
        <v>100</v>
      </c>
      <c r="M111" s="4" t="n">
        <v>50</v>
      </c>
      <c r="N111" s="2" t="inlineStr">
        <is>
          <t>是</t>
        </is>
      </c>
      <c r="O111" s="4" t="n">
        <v>0</v>
      </c>
      <c r="P111" s="4" t="n">
        <v>0</v>
      </c>
      <c r="Q111" s="4" t="n">
        <v>12</v>
      </c>
      <c r="R111" s="4" t="n">
        <v>0</v>
      </c>
      <c r="S111" s="4" t="n">
        <v>8</v>
      </c>
      <c r="T111" s="4" t="n">
        <v>0</v>
      </c>
      <c r="U111" s="4" t="n">
        <v>0</v>
      </c>
      <c r="V111" s="5">
        <f>SUM(O111:U111)</f>
        <v/>
      </c>
      <c r="W111" s="6">
        <f>O111*'强度系数说明'!$B$7+P111*'强度系数说明'!$B$8+Q111*'强度系数说明'!$B$9+R111*'强度系数说明'!$B$10+S111*'强度系数说明'!$B$11+T111*'强度系数说明'!$B$12+U111*'强度系数说明'!$B$13</f>
        <v/>
      </c>
      <c r="X111" s="7">
        <f>SUMPRODUCT((O111:U111&gt;0)*O111:U111)</f>
        <v/>
      </c>
      <c r="Y111" s="2" t="inlineStr">
        <is>
          <t>是</t>
        </is>
      </c>
      <c r="Z111" s="2" t="inlineStr">
        <is>
          <t>鞭</t>
        </is>
      </c>
      <c r="AA111" s="4" t="n">
        <v>1</v>
      </c>
      <c r="AB111" s="4" t="n">
        <v>120</v>
      </c>
      <c r="AC111" s="3" t="inlineStr">
        <is>
          <t>{"tong":5}</t>
        </is>
      </c>
      <c r="AD111" s="3" t="inlineStr"/>
      <c r="AE111" s="3" t="inlineStr">
        <is>
          <t>{"agility":8,"force":12}</t>
        </is>
      </c>
      <c r="AF111" s="3" t="inlineStr">
        <is>
          <t>data/item_templates.yaml:L4560; data/forge_equipment.yaml:L183</t>
        </is>
      </c>
    </row>
    <row r="112">
      <c r="A112" s="2" t="n">
        <v>111</v>
      </c>
      <c r="B112" s="2" t="inlineStr">
        <is>
          <t>equip_niupibian</t>
        </is>
      </c>
      <c r="C112" s="2" t="inlineStr">
        <is>
          <t>牛皮鞭</t>
        </is>
      </c>
      <c r="D112" s="2" t="inlineStr">
        <is>
          <t>weapon</t>
        </is>
      </c>
      <c r="E112" s="2" t="inlineStr">
        <is>
          <t>武器</t>
        </is>
      </c>
      <c r="F112" s="2" t="inlineStr">
        <is>
          <t>equip_weapon</t>
        </is>
      </c>
      <c r="G112" s="2" t="inlineStr">
        <is>
          <t>black</t>
        </is>
      </c>
      <c r="H112" s="2" t="inlineStr">
        <is>
          <t>普通/白</t>
        </is>
      </c>
      <c r="I112" s="2" t="inlineStr"/>
      <c r="J112" s="3" t="inlineStr"/>
      <c r="K112" s="3" t="inlineStr">
        <is>
          <t>生牛皮编制的长鞭，相当难用。</t>
        </is>
      </c>
      <c r="L112" s="4" t="n">
        <v>300</v>
      </c>
      <c r="M112" s="4" t="n">
        <v>50</v>
      </c>
      <c r="N112" s="2" t="inlineStr">
        <is>
          <t>是</t>
        </is>
      </c>
      <c r="O112" s="4" t="n">
        <v>0</v>
      </c>
      <c r="P112" s="4" t="n">
        <v>0</v>
      </c>
      <c r="Q112" s="4" t="n">
        <v>10</v>
      </c>
      <c r="R112" s="4" t="n">
        <v>0</v>
      </c>
      <c r="S112" s="4" t="n">
        <v>8</v>
      </c>
      <c r="T112" s="4" t="n">
        <v>5</v>
      </c>
      <c r="U112" s="4" t="n">
        <v>0</v>
      </c>
      <c r="V112" s="5">
        <f>SUM(O112:U112)</f>
        <v/>
      </c>
      <c r="W112" s="6">
        <f>O112*'强度系数说明'!$B$7+P112*'强度系数说明'!$B$8+Q112*'强度系数说明'!$B$9+R112*'强度系数说明'!$B$10+S112*'强度系数说明'!$B$11+T112*'强度系数说明'!$B$12+U112*'强度系数说明'!$B$13</f>
        <v/>
      </c>
      <c r="X112" s="7">
        <f>SUMPRODUCT((O112:U112&gt;0)*O112:U112)</f>
        <v/>
      </c>
      <c r="Y112" s="2" t="inlineStr">
        <is>
          <t>是</t>
        </is>
      </c>
      <c r="Z112" s="2" t="inlineStr">
        <is>
          <t>鞭</t>
        </is>
      </c>
      <c r="AA112" s="4" t="n">
        <v>3</v>
      </c>
      <c r="AB112" s="4" t="n">
        <v>180</v>
      </c>
      <c r="AC112" s="3" t="inlineStr">
        <is>
          <t>{"tong":10,"xi":5}</t>
        </is>
      </c>
      <c r="AD112" s="3" t="inlineStr"/>
      <c r="AE112" s="3" t="inlineStr">
        <is>
          <t>{"agility":8,"force":10,"luck":5}</t>
        </is>
      </c>
      <c r="AF112" s="3" t="inlineStr">
        <is>
          <t>data/item_templates.yaml:L4573; data/forge_equipment.yaml:L189</t>
        </is>
      </c>
    </row>
    <row r="113">
      <c r="A113" s="2" t="n">
        <v>112</v>
      </c>
      <c r="B113" s="2" t="inlineStr">
        <is>
          <t>equip_jicibian</t>
        </is>
      </c>
      <c r="C113" s="2" t="inlineStr">
        <is>
          <t>棘刺鞭</t>
        </is>
      </c>
      <c r="D113" s="2" t="inlineStr">
        <is>
          <t>weapon</t>
        </is>
      </c>
      <c r="E113" s="2" t="inlineStr">
        <is>
          <t>武器</t>
        </is>
      </c>
      <c r="F113" s="2" t="inlineStr">
        <is>
          <t>equip_weapon</t>
        </is>
      </c>
      <c r="G113" s="2" t="inlineStr">
        <is>
          <t>green</t>
        </is>
      </c>
      <c r="H113" s="2" t="inlineStr">
        <is>
          <t>优良/绿</t>
        </is>
      </c>
      <c r="I113" s="2" t="inlineStr"/>
      <c r="J113" s="3" t="inlineStr"/>
      <c r="K113" s="3" t="inlineStr">
        <is>
          <t>鞭身带有荆棘倒刺，抽人可不是一般的痛。</t>
        </is>
      </c>
      <c r="L113" s="4" t="n">
        <v>800</v>
      </c>
      <c r="M113" s="4" t="n">
        <v>75</v>
      </c>
      <c r="N113" s="2" t="inlineStr">
        <is>
          <t>是</t>
        </is>
      </c>
      <c r="O113" s="4" t="n">
        <v>0</v>
      </c>
      <c r="P113" s="4" t="n">
        <v>0</v>
      </c>
      <c r="Q113" s="4" t="n">
        <v>15</v>
      </c>
      <c r="R113" s="4" t="n">
        <v>0</v>
      </c>
      <c r="S113" s="4" t="n">
        <v>8</v>
      </c>
      <c r="T113" s="4" t="n">
        <v>8</v>
      </c>
      <c r="U113" s="4" t="n">
        <v>0</v>
      </c>
      <c r="V113" s="5">
        <f>SUM(O113:U113)</f>
        <v/>
      </c>
      <c r="W113" s="6">
        <f>O113*'强度系数说明'!$B$7+P113*'强度系数说明'!$B$8+Q113*'强度系数说明'!$B$9+R113*'强度系数说明'!$B$10+S113*'强度系数说明'!$B$11+T113*'强度系数说明'!$B$12+U113*'强度系数说明'!$B$13</f>
        <v/>
      </c>
      <c r="X113" s="7">
        <f>SUMPRODUCT((O113:U113&gt;0)*O113:U113)</f>
        <v/>
      </c>
      <c r="Y113" s="2" t="inlineStr">
        <is>
          <t>是</t>
        </is>
      </c>
      <c r="Z113" s="2" t="inlineStr">
        <is>
          <t>鞭</t>
        </is>
      </c>
      <c r="AA113" s="4" t="n">
        <v>5</v>
      </c>
      <c r="AB113" s="4" t="n">
        <v>240</v>
      </c>
      <c r="AC113" s="3" t="inlineStr">
        <is>
          <t>{"tie":10}</t>
        </is>
      </c>
      <c r="AD113" s="3" t="inlineStr"/>
      <c r="AE113" s="3" t="inlineStr">
        <is>
          <t>{"agility":8,"force":15,"luck":8}</t>
        </is>
      </c>
      <c r="AF113" s="3" t="inlineStr">
        <is>
          <t>data/item_templates.yaml:L4587; data/forge_equipment.yaml:L196</t>
        </is>
      </c>
    </row>
    <row r="114">
      <c r="A114" s="2" t="n">
        <v>113</v>
      </c>
      <c r="B114" s="2" t="inlineStr">
        <is>
          <t>equip_jiulonggangbian</t>
        </is>
      </c>
      <c r="C114" s="2" t="inlineStr">
        <is>
          <t>九龙钢鞭</t>
        </is>
      </c>
      <c r="D114" s="2" t="inlineStr">
        <is>
          <t>weapon</t>
        </is>
      </c>
      <c r="E114" s="2" t="inlineStr">
        <is>
          <t>武器</t>
        </is>
      </c>
      <c r="F114" s="2" t="inlineStr">
        <is>
          <t>equip_weapon</t>
        </is>
      </c>
      <c r="G114" s="2" t="inlineStr">
        <is>
          <t>green</t>
        </is>
      </c>
      <c r="H114" s="2" t="inlineStr">
        <is>
          <t>优良/绿</t>
        </is>
      </c>
      <c r="I114" s="2" t="inlineStr"/>
      <c r="J114" s="3" t="inlineStr"/>
      <c r="K114" s="3" t="inlineStr">
        <is>
          <t>钢鞭分九节，铸有九龙盘身，精光耀眼。</t>
        </is>
      </c>
      <c r="L114" s="4" t="n">
        <v>1500</v>
      </c>
      <c r="M114" s="4" t="n">
        <v>75</v>
      </c>
      <c r="N114" s="2" t="inlineStr">
        <is>
          <t>是</t>
        </is>
      </c>
      <c r="O114" s="4" t="n">
        <v>0</v>
      </c>
      <c r="P114" s="4" t="n">
        <v>0</v>
      </c>
      <c r="Q114" s="4" t="n">
        <v>15</v>
      </c>
      <c r="R114" s="4" t="n">
        <v>0</v>
      </c>
      <c r="S114" s="4" t="n">
        <v>10</v>
      </c>
      <c r="T114" s="4" t="n">
        <v>8</v>
      </c>
      <c r="U114" s="4" t="n">
        <v>0</v>
      </c>
      <c r="V114" s="5">
        <f>SUM(O114:U114)</f>
        <v/>
      </c>
      <c r="W114" s="6">
        <f>O114*'强度系数说明'!$B$7+P114*'强度系数说明'!$B$8+Q114*'强度系数说明'!$B$9+R114*'强度系数说明'!$B$10+S114*'强度系数说明'!$B$11+T114*'强度系数说明'!$B$12+U114*'强度系数说明'!$B$13</f>
        <v/>
      </c>
      <c r="X114" s="7">
        <f>SUMPRODUCT((O114:U114&gt;0)*O114:U114)</f>
        <v/>
      </c>
      <c r="Y114" s="2" t="inlineStr">
        <is>
          <t>是</t>
        </is>
      </c>
      <c r="Z114" s="2" t="inlineStr">
        <is>
          <t>鞭</t>
        </is>
      </c>
      <c r="AA114" s="4" t="n">
        <v>7</v>
      </c>
      <c r="AB114" s="4" t="n">
        <v>300</v>
      </c>
      <c r="AC114" s="3" t="inlineStr">
        <is>
          <t>{"tie":20}</t>
        </is>
      </c>
      <c r="AD114" s="3" t="inlineStr"/>
      <c r="AE114" s="3" t="inlineStr">
        <is>
          <t>{"agility":10,"force":15,"luck":8}</t>
        </is>
      </c>
      <c r="AF114" s="3" t="inlineStr">
        <is>
          <t>data/item_templates.yaml:L4601; data/forge_equipment.yaml:L202</t>
        </is>
      </c>
    </row>
    <row r="115">
      <c r="A115" s="2" t="n">
        <v>114</v>
      </c>
      <c r="B115" s="2" t="inlineStr">
        <is>
          <t>equip_mingshejiebian</t>
        </is>
      </c>
      <c r="C115" s="2" t="inlineStr">
        <is>
          <t>冥蛇节鞭</t>
        </is>
      </c>
      <c r="D115" s="2" t="inlineStr">
        <is>
          <t>weapon</t>
        </is>
      </c>
      <c r="E115" s="2" t="inlineStr">
        <is>
          <t>武器</t>
        </is>
      </c>
      <c r="F115" s="2" t="inlineStr">
        <is>
          <t>equip_weapon</t>
        </is>
      </c>
      <c r="G115" s="2" t="inlineStr">
        <is>
          <t>green</t>
        </is>
      </c>
      <c r="H115" s="2" t="inlineStr">
        <is>
          <t>优良/绿</t>
        </is>
      </c>
      <c r="I115" s="2" t="inlineStr"/>
      <c r="J115" s="3" t="inlineStr"/>
      <c r="K115" s="3" t="inlineStr">
        <is>
          <t>鞭身乌黑，做蛇形蠕动噬人。</t>
        </is>
      </c>
      <c r="L115" s="4" t="n">
        <v>3000</v>
      </c>
      <c r="M115" s="4" t="n">
        <v>75</v>
      </c>
      <c r="N115" s="2" t="inlineStr">
        <is>
          <t>是</t>
        </is>
      </c>
      <c r="O115" s="4" t="n">
        <v>50</v>
      </c>
      <c r="P115" s="4" t="n">
        <v>0</v>
      </c>
      <c r="Q115" s="4" t="n">
        <v>15</v>
      </c>
      <c r="R115" s="4" t="n">
        <v>0</v>
      </c>
      <c r="S115" s="4" t="n">
        <v>8</v>
      </c>
      <c r="T115" s="4" t="n">
        <v>10</v>
      </c>
      <c r="U115" s="4" t="n">
        <v>0</v>
      </c>
      <c r="V115" s="5">
        <f>SUM(O115:U115)</f>
        <v/>
      </c>
      <c r="W115" s="6">
        <f>O115*'强度系数说明'!$B$7+P115*'强度系数说明'!$B$8+Q115*'强度系数说明'!$B$9+R115*'强度系数说明'!$B$10+S115*'强度系数说明'!$B$11+T115*'强度系数说明'!$B$12+U115*'强度系数说明'!$B$13</f>
        <v/>
      </c>
      <c r="X115" s="7">
        <f>SUMPRODUCT((O115:U115&gt;0)*O115:U115)</f>
        <v/>
      </c>
      <c r="Y115" s="2" t="inlineStr">
        <is>
          <t>是</t>
        </is>
      </c>
      <c r="Z115" s="2" t="inlineStr">
        <is>
          <t>鞭</t>
        </is>
      </c>
      <c r="AA115" s="4" t="n">
        <v>9</v>
      </c>
      <c r="AB115" s="4" t="n">
        <v>360</v>
      </c>
      <c r="AC115" s="3" t="inlineStr">
        <is>
          <t>{"tie":30}</t>
        </is>
      </c>
      <c r="AD115" s="3" t="inlineStr"/>
      <c r="AE115" s="3" t="inlineStr">
        <is>
          <t>{"agility":8,"force":15,"hp":50,"luck":10}</t>
        </is>
      </c>
      <c r="AF115" s="3" t="inlineStr">
        <is>
          <t>data/item_templates.yaml:L4615; data/forge_equipment.yaml:L208</t>
        </is>
      </c>
    </row>
    <row r="116">
      <c r="A116" s="2" t="n">
        <v>115</v>
      </c>
      <c r="B116" s="2" t="inlineStr">
        <is>
          <t>equip_yemankandao</t>
        </is>
      </c>
      <c r="C116" s="2" t="inlineStr">
        <is>
          <t>野蛮砍刀</t>
        </is>
      </c>
      <c r="D116" s="2" t="inlineStr">
        <is>
          <t>weapon</t>
        </is>
      </c>
      <c r="E116" s="2" t="inlineStr">
        <is>
          <t>武器</t>
        </is>
      </c>
      <c r="F116" s="2" t="inlineStr">
        <is>
          <t>equip_weapon</t>
        </is>
      </c>
      <c r="G116" s="2" t="inlineStr">
        <is>
          <t>green</t>
        </is>
      </c>
      <c r="H116" s="2" t="inlineStr">
        <is>
          <t>优良/绿</t>
        </is>
      </c>
      <c r="I116" s="2" t="inlineStr">
        <is>
          <t>yeman_set</t>
        </is>
      </c>
      <c r="J116" s="3" t="inlineStr">
        <is>
          <t>野蛮套装</t>
        </is>
      </c>
      <c r="K116" s="3" t="inlineStr">
        <is>
          <t>北方蛮族的战利品，刀身带有异域纹饰，做工粗犷。</t>
        </is>
      </c>
      <c r="L116" s="4" t="n">
        <v>2000</v>
      </c>
      <c r="M116" s="4" t="n">
        <v>75</v>
      </c>
      <c r="N116" s="2" t="inlineStr">
        <is>
          <t>是</t>
        </is>
      </c>
      <c r="O116" s="4" t="n">
        <v>0</v>
      </c>
      <c r="P116" s="4" t="n">
        <v>0</v>
      </c>
      <c r="Q116" s="4" t="n">
        <v>40</v>
      </c>
      <c r="R116" s="4" t="n">
        <v>0</v>
      </c>
      <c r="S116" s="4" t="n">
        <v>0</v>
      </c>
      <c r="T116" s="4" t="n">
        <v>0</v>
      </c>
      <c r="U116" s="4" t="n">
        <v>0</v>
      </c>
      <c r="V116" s="5">
        <f>SUM(O116:U116)</f>
        <v/>
      </c>
      <c r="W116" s="6">
        <f>O116*'强度系数说明'!$B$7+P116*'强度系数说明'!$B$8+Q116*'强度系数说明'!$B$9+R116*'强度系数说明'!$B$10+S116*'强度系数说明'!$B$11+T116*'强度系数说明'!$B$12+U116*'强度系数说明'!$B$13</f>
        <v/>
      </c>
      <c r="X116" s="7">
        <f>SUMPRODUCT((O116:U116&gt;0)*O116:U116)</f>
        <v/>
      </c>
      <c r="Y116" s="2" t="inlineStr">
        <is>
          <t>否</t>
        </is>
      </c>
      <c r="Z116" s="2" t="inlineStr"/>
      <c r="AA116" s="4" t="inlineStr"/>
      <c r="AB116" s="4" t="inlineStr"/>
      <c r="AC116" s="3" t="inlineStr"/>
      <c r="AD116" s="3" t="inlineStr">
        <is>
          <t>{"bonus":{"defense":10,"force":25,"hp":300},"pieces":2}</t>
        </is>
      </c>
      <c r="AE116" s="3" t="inlineStr">
        <is>
          <t>{"force":40,"set_bonus":{"bonus":{"defense":10,"force":25,"hp":300},"pieces":2},"set_description":"野蛮套装","set_key":"yeman_set"}</t>
        </is>
      </c>
      <c r="AF116" s="3" t="inlineStr">
        <is>
          <t>data/item_templates.yaml:L4634</t>
        </is>
      </c>
    </row>
    <row r="117">
      <c r="A117" s="2" t="n">
        <v>116</v>
      </c>
      <c r="B117" s="2" t="inlineStr">
        <is>
          <t>equip_tiegugun</t>
        </is>
      </c>
      <c r="C117" s="2" t="inlineStr">
        <is>
          <t>铁骨棍</t>
        </is>
      </c>
      <c r="D117" s="2" t="inlineStr">
        <is>
          <t>weapon</t>
        </is>
      </c>
      <c r="E117" s="2" t="inlineStr">
        <is>
          <t>武器</t>
        </is>
      </c>
      <c r="F117" s="2" t="inlineStr">
        <is>
          <t>equip_weapon</t>
        </is>
      </c>
      <c r="G117" s="2" t="inlineStr">
        <is>
          <t>green</t>
        </is>
      </c>
      <c r="H117" s="2" t="inlineStr">
        <is>
          <t>优良/绿</t>
        </is>
      </c>
      <c r="I117" s="2" t="inlineStr"/>
      <c r="J117" s="3" t="inlineStr"/>
      <c r="K117" s="3" t="inlineStr">
        <is>
          <t>以精铁为芯、硬木为皮的哨棍，是少林护法僧的常用兵器。</t>
        </is>
      </c>
      <c r="L117" s="4" t="n">
        <v>2000</v>
      </c>
      <c r="M117" s="4" t="n">
        <v>75</v>
      </c>
      <c r="N117" s="2" t="inlineStr">
        <is>
          <t>是</t>
        </is>
      </c>
      <c r="O117" s="4" t="n">
        <v>0</v>
      </c>
      <c r="P117" s="4" t="n">
        <v>5</v>
      </c>
      <c r="Q117" s="4" t="n">
        <v>30</v>
      </c>
      <c r="R117" s="4" t="n">
        <v>0</v>
      </c>
      <c r="S117" s="4" t="n">
        <v>0</v>
      </c>
      <c r="T117" s="4" t="n">
        <v>0</v>
      </c>
      <c r="U117" s="4" t="n">
        <v>0</v>
      </c>
      <c r="V117" s="5">
        <f>SUM(O117:U117)</f>
        <v/>
      </c>
      <c r="W117" s="6">
        <f>O117*'强度系数说明'!$B$7+P117*'强度系数说明'!$B$8+Q117*'强度系数说明'!$B$9+R117*'强度系数说明'!$B$10+S117*'强度系数说明'!$B$11+T117*'强度系数说明'!$B$12+U117*'强度系数说明'!$B$13</f>
        <v/>
      </c>
      <c r="X117" s="7">
        <f>SUMPRODUCT((O117:U117&gt;0)*O117:U117)</f>
        <v/>
      </c>
      <c r="Y117" s="2" t="inlineStr">
        <is>
          <t>否</t>
        </is>
      </c>
      <c r="Z117" s="2" t="inlineStr"/>
      <c r="AA117" s="4" t="inlineStr"/>
      <c r="AB117" s="4" t="inlineStr"/>
      <c r="AC117" s="3" t="inlineStr"/>
      <c r="AD117" s="3" t="inlineStr"/>
      <c r="AE117" s="3" t="inlineStr">
        <is>
          <t>{"defense":5,"force":30}</t>
        </is>
      </c>
      <c r="AF117" s="3" t="inlineStr">
        <is>
          <t>data/item_templates.yaml:L4653</t>
        </is>
      </c>
    </row>
    <row r="118">
      <c r="A118" s="2" t="n">
        <v>117</v>
      </c>
      <c r="B118" s="2" t="inlineStr">
        <is>
          <t>equip_tongshanchui</t>
        </is>
      </c>
      <c r="C118" s="2" t="inlineStr">
        <is>
          <t>铜山锤</t>
        </is>
      </c>
      <c r="D118" s="2" t="inlineStr">
        <is>
          <t>weapon</t>
        </is>
      </c>
      <c r="E118" s="2" t="inlineStr">
        <is>
          <t>武器</t>
        </is>
      </c>
      <c r="F118" s="2" t="inlineStr">
        <is>
          <t>equip_weapon</t>
        </is>
      </c>
      <c r="G118" s="2" t="inlineStr">
        <is>
          <t>green</t>
        </is>
      </c>
      <c r="H118" s="2" t="inlineStr">
        <is>
          <t>优良/绿</t>
        </is>
      </c>
      <c r="I118" s="2" t="inlineStr"/>
      <c r="J118" s="3" t="inlineStr"/>
      <c r="K118" s="3" t="inlineStr">
        <is>
          <t>仿照铜山形状铸造的重锤，据说是某位力士的心爱之物。</t>
        </is>
      </c>
      <c r="L118" s="4" t="n">
        <v>2000</v>
      </c>
      <c r="M118" s="4" t="n">
        <v>75</v>
      </c>
      <c r="N118" s="2" t="inlineStr">
        <is>
          <t>是</t>
        </is>
      </c>
      <c r="O118" s="4" t="n">
        <v>200</v>
      </c>
      <c r="P118" s="4" t="n">
        <v>5</v>
      </c>
      <c r="Q118" s="4" t="n">
        <v>32</v>
      </c>
      <c r="R118" s="4" t="n">
        <v>0</v>
      </c>
      <c r="S118" s="4" t="n">
        <v>0</v>
      </c>
      <c r="T118" s="4" t="n">
        <v>0</v>
      </c>
      <c r="U118" s="4" t="n">
        <v>0</v>
      </c>
      <c r="V118" s="5">
        <f>SUM(O118:U118)</f>
        <v/>
      </c>
      <c r="W118" s="6">
        <f>O118*'强度系数说明'!$B$7+P118*'强度系数说明'!$B$8+Q118*'强度系数说明'!$B$9+R118*'强度系数说明'!$B$10+S118*'强度系数说明'!$B$11+T118*'强度系数说明'!$B$12+U118*'强度系数说明'!$B$13</f>
        <v/>
      </c>
      <c r="X118" s="7">
        <f>SUMPRODUCT((O118:U118&gt;0)*O118:U118)</f>
        <v/>
      </c>
      <c r="Y118" s="2" t="inlineStr">
        <is>
          <t>否</t>
        </is>
      </c>
      <c r="Z118" s="2" t="inlineStr"/>
      <c r="AA118" s="4" t="inlineStr"/>
      <c r="AB118" s="4" t="inlineStr"/>
      <c r="AC118" s="3" t="inlineStr"/>
      <c r="AD118" s="3" t="inlineStr"/>
      <c r="AE118" s="3" t="inlineStr">
        <is>
          <t>{"defense":5,"force":32,"hp":200}</t>
        </is>
      </c>
      <c r="AF118" s="3" t="inlineStr">
        <is>
          <t>data/item_templates.yaml:L4666</t>
        </is>
      </c>
    </row>
    <row r="119">
      <c r="A119" s="2" t="n">
        <v>118</v>
      </c>
      <c r="B119" s="2" t="inlineStr">
        <is>
          <t>equip_pofengji</t>
        </is>
      </c>
      <c r="C119" s="2" t="inlineStr">
        <is>
          <t>破风戟</t>
        </is>
      </c>
      <c r="D119" s="2" t="inlineStr">
        <is>
          <t>weapon</t>
        </is>
      </c>
      <c r="E119" s="2" t="inlineStr">
        <is>
          <t>武器</t>
        </is>
      </c>
      <c r="F119" s="2" t="inlineStr">
        <is>
          <t>equip_weapon</t>
        </is>
      </c>
      <c r="G119" s="2" t="inlineStr">
        <is>
          <t>green</t>
        </is>
      </c>
      <c r="H119" s="2" t="inlineStr">
        <is>
          <t>优良/绿</t>
        </is>
      </c>
      <c r="I119" s="2" t="inlineStr"/>
      <c r="J119" s="3" t="inlineStr"/>
      <c r="K119" s="3" t="inlineStr">
        <is>
          <t>戟刃锋利可破风声，相传是仿照吕布方天画戟所铸。</t>
        </is>
      </c>
      <c r="L119" s="4" t="n">
        <v>2000</v>
      </c>
      <c r="M119" s="4" t="n">
        <v>75</v>
      </c>
      <c r="N119" s="2" t="inlineStr">
        <is>
          <t>是</t>
        </is>
      </c>
      <c r="O119" s="4" t="n">
        <v>0</v>
      </c>
      <c r="P119" s="4" t="n">
        <v>0</v>
      </c>
      <c r="Q119" s="4" t="n">
        <v>25</v>
      </c>
      <c r="R119" s="4" t="n">
        <v>0</v>
      </c>
      <c r="S119" s="4" t="n">
        <v>5</v>
      </c>
      <c r="T119" s="4" t="n">
        <v>0</v>
      </c>
      <c r="U119" s="4" t="n">
        <v>50</v>
      </c>
      <c r="V119" s="5">
        <f>SUM(O119:U119)</f>
        <v/>
      </c>
      <c r="W119" s="6">
        <f>O119*'强度系数说明'!$B$7+P119*'强度系数说明'!$B$8+Q119*'强度系数说明'!$B$9+R119*'强度系数说明'!$B$10+S119*'强度系数说明'!$B$11+T119*'强度系数说明'!$B$12+U119*'强度系数说明'!$B$13</f>
        <v/>
      </c>
      <c r="X119" s="7">
        <f>SUMPRODUCT((O119:U119&gt;0)*O119:U119)</f>
        <v/>
      </c>
      <c r="Y119" s="2" t="inlineStr">
        <is>
          <t>否</t>
        </is>
      </c>
      <c r="Z119" s="2" t="inlineStr"/>
      <c r="AA119" s="4" t="inlineStr"/>
      <c r="AB119" s="4" t="inlineStr"/>
      <c r="AC119" s="3" t="inlineStr"/>
      <c r="AD119" s="3" t="inlineStr"/>
      <c r="AE119" s="3" t="inlineStr">
        <is>
          <t>{"agility":5,"force":25,"troop_capacity":50}</t>
        </is>
      </c>
      <c r="AF119" s="3" t="inlineStr">
        <is>
          <t>data/item_templates.yaml:L4680</t>
        </is>
      </c>
    </row>
    <row r="120">
      <c r="A120" s="2" t="n">
        <v>119</v>
      </c>
      <c r="B120" s="2" t="inlineStr">
        <is>
          <t>equip_shushengzhesan</t>
        </is>
      </c>
      <c r="C120" s="2" t="inlineStr">
        <is>
          <t>书生折扇</t>
        </is>
      </c>
      <c r="D120" s="2" t="inlineStr">
        <is>
          <t>weapon</t>
        </is>
      </c>
      <c r="E120" s="2" t="inlineStr">
        <is>
          <t>武器</t>
        </is>
      </c>
      <c r="F120" s="2" t="inlineStr">
        <is>
          <t>equip_weapon</t>
        </is>
      </c>
      <c r="G120" s="2" t="inlineStr">
        <is>
          <t>green</t>
        </is>
      </c>
      <c r="H120" s="2" t="inlineStr">
        <is>
          <t>优良/绿</t>
        </is>
      </c>
      <c r="I120" s="2" t="inlineStr"/>
      <c r="J120" s="3" t="inlineStr"/>
      <c r="K120" s="3" t="inlineStr">
        <is>
          <t>看似文人雅物，扇骨却以精钢铸成，是文人侠客的专属。</t>
        </is>
      </c>
      <c r="L120" s="4" t="n">
        <v>2000</v>
      </c>
      <c r="M120" s="4" t="n">
        <v>75</v>
      </c>
      <c r="N120" s="2" t="inlineStr">
        <is>
          <t>是</t>
        </is>
      </c>
      <c r="O120" s="4" t="n">
        <v>0</v>
      </c>
      <c r="P120" s="4" t="n">
        <v>0</v>
      </c>
      <c r="Q120" s="4" t="n">
        <v>5</v>
      </c>
      <c r="R120" s="4" t="n">
        <v>25</v>
      </c>
      <c r="S120" s="4" t="n">
        <v>0</v>
      </c>
      <c r="T120" s="4" t="n">
        <v>10</v>
      </c>
      <c r="U120" s="4" t="n">
        <v>0</v>
      </c>
      <c r="V120" s="5">
        <f>SUM(O120:U120)</f>
        <v/>
      </c>
      <c r="W120" s="6">
        <f>O120*'强度系数说明'!$B$7+P120*'强度系数说明'!$B$8+Q120*'强度系数说明'!$B$9+R120*'强度系数说明'!$B$10+S120*'强度系数说明'!$B$11+T120*'强度系数说明'!$B$12+U120*'强度系数说明'!$B$13</f>
        <v/>
      </c>
      <c r="X120" s="7">
        <f>SUMPRODUCT((O120:U120&gt;0)*O120:U120)</f>
        <v/>
      </c>
      <c r="Y120" s="2" t="inlineStr">
        <is>
          <t>否</t>
        </is>
      </c>
      <c r="Z120" s="2" t="inlineStr"/>
      <c r="AA120" s="4" t="inlineStr"/>
      <c r="AB120" s="4" t="inlineStr"/>
      <c r="AC120" s="3" t="inlineStr"/>
      <c r="AD120" s="3" t="inlineStr"/>
      <c r="AE120" s="3" t="inlineStr">
        <is>
          <t>{"force":5,"intellect":25,"luck":10}</t>
        </is>
      </c>
      <c r="AF120" s="3" t="inlineStr">
        <is>
          <t>data/item_templates.yaml:L4694</t>
        </is>
      </c>
    </row>
    <row r="121">
      <c r="A121" s="2" t="n">
        <v>120</v>
      </c>
      <c r="B121" s="2" t="inlineStr">
        <is>
          <t>equip_xiaoweichangjian</t>
        </is>
      </c>
      <c r="C121" s="2" t="inlineStr">
        <is>
          <t>校尉长剑</t>
        </is>
      </c>
      <c r="D121" s="2" t="inlineStr">
        <is>
          <t>weapon</t>
        </is>
      </c>
      <c r="E121" s="2" t="inlineStr">
        <is>
          <t>武器</t>
        </is>
      </c>
      <c r="F121" s="2" t="inlineStr">
        <is>
          <t>equip_weapon</t>
        </is>
      </c>
      <c r="G121" s="2" t="inlineStr">
        <is>
          <t>blue</t>
        </is>
      </c>
      <c r="H121" s="2" t="inlineStr">
        <is>
          <t>稀有/蓝</t>
        </is>
      </c>
      <c r="I121" s="2" t="inlineStr">
        <is>
          <t>xiaowei_set</t>
        </is>
      </c>
      <c r="J121" s="3" t="inlineStr">
        <is>
          <t>校尉套装</t>
        </is>
      </c>
      <c r="K121" s="3" t="inlineStr">
        <is>
          <t>军中校尉的制式配剑，剑柄刻有军阶徽记。</t>
        </is>
      </c>
      <c r="L121" s="4" t="n">
        <v>6000</v>
      </c>
      <c r="M121" s="4" t="n">
        <v>100</v>
      </c>
      <c r="N121" s="2" t="inlineStr">
        <is>
          <t>是</t>
        </is>
      </c>
      <c r="O121" s="4" t="n">
        <v>72</v>
      </c>
      <c r="P121" s="4" t="n">
        <v>0</v>
      </c>
      <c r="Q121" s="4" t="n">
        <v>45</v>
      </c>
      <c r="R121" s="4" t="n">
        <v>0</v>
      </c>
      <c r="S121" s="4" t="n">
        <v>0</v>
      </c>
      <c r="T121" s="4" t="n">
        <v>0</v>
      </c>
      <c r="U121" s="4" t="n">
        <v>20</v>
      </c>
      <c r="V121" s="5">
        <f>SUM(O121:U121)</f>
        <v/>
      </c>
      <c r="W121" s="6">
        <f>O121*'强度系数说明'!$B$7+P121*'强度系数说明'!$B$8+Q121*'强度系数说明'!$B$9+R121*'强度系数说明'!$B$10+S121*'强度系数说明'!$B$11+T121*'强度系数说明'!$B$12+U121*'强度系数说明'!$B$13</f>
        <v/>
      </c>
      <c r="X121" s="7">
        <f>SUMPRODUCT((O121:U121&gt;0)*O121:U121)</f>
        <v/>
      </c>
      <c r="Y121" s="2" t="inlineStr">
        <is>
          <t>否</t>
        </is>
      </c>
      <c r="Z121" s="2" t="inlineStr"/>
      <c r="AA121" s="4" t="inlineStr"/>
      <c r="AB121" s="4" t="inlineStr"/>
      <c r="AC121" s="3" t="inlineStr"/>
      <c r="AD121" s="3" t="inlineStr">
        <is>
          <t>{"bonus":{"defense":15,"force":40,"hp":360,"troop_capacity":100},"pieces":4}</t>
        </is>
      </c>
      <c r="AE121" s="3" t="inlineStr">
        <is>
          <t>{"force":45,"hp":72,"set_bonus":{"bonus":{"defense":15,"force":40,"hp":360,"troop_capacity":100},"pieces":4},"set_description":"校尉套装","set_key":"xiaowei_set","troop_capacity":20}</t>
        </is>
      </c>
      <c r="AF121" s="3" t="inlineStr">
        <is>
          <t>data/item_templates.yaml:L4710</t>
        </is>
      </c>
    </row>
    <row r="122">
      <c r="A122" s="2" t="n">
        <v>121</v>
      </c>
      <c r="B122" s="2" t="inlineStr">
        <is>
          <t>equip_nichangjian</t>
        </is>
      </c>
      <c r="C122" s="2" t="inlineStr">
        <is>
          <t>霓裳剑</t>
        </is>
      </c>
      <c r="D122" s="2" t="inlineStr">
        <is>
          <t>weapon</t>
        </is>
      </c>
      <c r="E122" s="2" t="inlineStr">
        <is>
          <t>武器</t>
        </is>
      </c>
      <c r="F122" s="2" t="inlineStr">
        <is>
          <t>equip_weapon</t>
        </is>
      </c>
      <c r="G122" s="2" t="inlineStr">
        <is>
          <t>blue</t>
        </is>
      </c>
      <c r="H122" s="2" t="inlineStr">
        <is>
          <t>稀有/蓝</t>
        </is>
      </c>
      <c r="I122" s="2" t="inlineStr">
        <is>
          <t>nichang_set</t>
        </is>
      </c>
      <c r="J122" s="3" t="inlineStr">
        <is>
          <t>霓裳</t>
        </is>
      </c>
      <c r="K122" s="3" t="inlineStr">
        <is>
          <t>剑身修长如舞袖起落，出招时既能借势压人，也适合以灵思与节奏带动战局。</t>
        </is>
      </c>
      <c r="L122" s="4" t="n">
        <v>6000</v>
      </c>
      <c r="M122" s="4" t="n">
        <v>100</v>
      </c>
      <c r="N122" s="2" t="inlineStr">
        <is>
          <t>是</t>
        </is>
      </c>
      <c r="O122" s="4" t="n">
        <v>0</v>
      </c>
      <c r="P122" s="4" t="n">
        <v>0</v>
      </c>
      <c r="Q122" s="4" t="n">
        <v>10</v>
      </c>
      <c r="R122" s="4" t="n">
        <v>35</v>
      </c>
      <c r="S122" s="4" t="n">
        <v>15</v>
      </c>
      <c r="T122" s="4" t="n">
        <v>0</v>
      </c>
      <c r="U122" s="4" t="n">
        <v>0</v>
      </c>
      <c r="V122" s="5">
        <f>SUM(O122:U122)</f>
        <v/>
      </c>
      <c r="W122" s="6">
        <f>O122*'强度系数说明'!$B$7+P122*'强度系数说明'!$B$8+Q122*'强度系数说明'!$B$9+R122*'强度系数说明'!$B$10+S122*'强度系数说明'!$B$11+T122*'强度系数说明'!$B$12+U122*'强度系数说明'!$B$13</f>
        <v/>
      </c>
      <c r="X122" s="7">
        <f>SUMPRODUCT((O122:U122&gt;0)*O122:U122)</f>
        <v/>
      </c>
      <c r="Y122" s="2" t="inlineStr">
        <is>
          <t>否</t>
        </is>
      </c>
      <c r="Z122" s="2" t="inlineStr"/>
      <c r="AA122" s="4" t="inlineStr"/>
      <c r="AB122" s="4" t="inlineStr"/>
      <c r="AC122" s="3" t="inlineStr"/>
      <c r="AD122" s="3" t="inlineStr">
        <is>
          <t>{"bonus":{"agility":10,"hp":150,"intellect":20,"luck":15},"pieces":3}</t>
        </is>
      </c>
      <c r="AE122" s="3" t="inlineStr">
        <is>
          <t>{"agility":15,"force":10,"intellect":35,"set_bonus":{"bonus":{"agility":10,"hp":150,"intellect":20,"luck":15},"pieces":3},"set_description":"霓裳","set_key":"nichang_set"}</t>
        </is>
      </c>
      <c r="AF122" s="3" t="inlineStr">
        <is>
          <t>data/item_templates.yaml:L4732</t>
        </is>
      </c>
    </row>
    <row r="123">
      <c r="A123" s="2" t="n">
        <v>122</v>
      </c>
      <c r="B123" s="2" t="inlineStr">
        <is>
          <t>equip_jiaodoushizhichui</t>
        </is>
      </c>
      <c r="C123" s="2" t="inlineStr">
        <is>
          <t>角斗士之锤</t>
        </is>
      </c>
      <c r="D123" s="2" t="inlineStr">
        <is>
          <t>weapon</t>
        </is>
      </c>
      <c r="E123" s="2" t="inlineStr">
        <is>
          <t>武器</t>
        </is>
      </c>
      <c r="F123" s="2" t="inlineStr">
        <is>
          <t>equip_weapon</t>
        </is>
      </c>
      <c r="G123" s="2" t="inlineStr">
        <is>
          <t>blue</t>
        </is>
      </c>
      <c r="H123" s="2" t="inlineStr">
        <is>
          <t>稀有/蓝</t>
        </is>
      </c>
      <c r="I123" s="2" t="inlineStr">
        <is>
          <t>jiaodoushi_set</t>
        </is>
      </c>
      <c r="J123" s="3" t="inlineStr">
        <is>
          <t>角斗士套装</t>
        </is>
      </c>
      <c r="K123" s="3" t="inlineStr">
        <is>
          <t>角斗场常见的重型战锤，锤头配重厚实，擅长正面破防压制。</t>
        </is>
      </c>
      <c r="L123" s="4" t="n">
        <v>6500</v>
      </c>
      <c r="M123" s="4" t="n">
        <v>100</v>
      </c>
      <c r="N123" s="2" t="inlineStr">
        <is>
          <t>是</t>
        </is>
      </c>
      <c r="O123" s="4" t="n">
        <v>250</v>
      </c>
      <c r="P123" s="4" t="n">
        <v>8</v>
      </c>
      <c r="Q123" s="4" t="n">
        <v>45</v>
      </c>
      <c r="R123" s="4" t="n">
        <v>0</v>
      </c>
      <c r="S123" s="4" t="n">
        <v>0</v>
      </c>
      <c r="T123" s="4" t="n">
        <v>0</v>
      </c>
      <c r="U123" s="4" t="n">
        <v>0</v>
      </c>
      <c r="V123" s="5">
        <f>SUM(O123:U123)</f>
        <v/>
      </c>
      <c r="W123" s="6">
        <f>O123*'强度系数说明'!$B$7+P123*'强度系数说明'!$B$8+Q123*'强度系数说明'!$B$9+R123*'强度系数说明'!$B$10+S123*'强度系数说明'!$B$11+T123*'强度系数说明'!$B$12+U123*'强度系数说明'!$B$13</f>
        <v/>
      </c>
      <c r="X123" s="7">
        <f>SUMPRODUCT((O123:U123&gt;0)*O123:U123)</f>
        <v/>
      </c>
      <c r="Y123" s="2" t="inlineStr">
        <is>
          <t>否</t>
        </is>
      </c>
      <c r="Z123" s="2" t="inlineStr"/>
      <c r="AA123" s="4" t="inlineStr"/>
      <c r="AB123" s="4" t="inlineStr"/>
      <c r="AC123" s="3" t="inlineStr"/>
      <c r="AD123" s="3" t="inlineStr">
        <is>
          <t>{"bonus":{"agility":15,"defense":10,"force":30,"hp":280},"pieces":4}</t>
        </is>
      </c>
      <c r="AE123" s="3" t="inlineStr">
        <is>
          <t>{"defense":8,"force":45,"hp":250,"set_bonus":{"bonus":{"agility":15,"defense":10,"force":30,"hp":280},"pieces":4},"set_description":"角斗士套装","set_key":"jiaodoushi_set"}</t>
        </is>
      </c>
      <c r="AF123" s="3" t="inlineStr">
        <is>
          <t>data/item_templates.yaml:L4754</t>
        </is>
      </c>
    </row>
    <row r="124">
      <c r="A124" s="2" t="n">
        <v>123</v>
      </c>
      <c r="B124" s="2" t="inlineStr">
        <is>
          <t>equip_junzijian</t>
        </is>
      </c>
      <c r="C124" s="2" t="inlineStr">
        <is>
          <t>君子剑</t>
        </is>
      </c>
      <c r="D124" s="2" t="inlineStr">
        <is>
          <t>weapon</t>
        </is>
      </c>
      <c r="E124" s="2" t="inlineStr">
        <is>
          <t>武器</t>
        </is>
      </c>
      <c r="F124" s="2" t="inlineStr">
        <is>
          <t>equip_weapon</t>
        </is>
      </c>
      <c r="G124" s="2" t="inlineStr">
        <is>
          <t>blue</t>
        </is>
      </c>
      <c r="H124" s="2" t="inlineStr">
        <is>
          <t>稀有/蓝</t>
        </is>
      </c>
      <c r="I124" s="2" t="inlineStr"/>
      <c r="J124" s="3" t="inlineStr"/>
      <c r="K124" s="3" t="inlineStr">
        <is>
          <t>传说是某位儒门宗师以仁义为剑名所铸，剑身刻有《论语》句。</t>
        </is>
      </c>
      <c r="L124" s="4" t="n">
        <v>6000</v>
      </c>
      <c r="M124" s="4" t="n">
        <v>100</v>
      </c>
      <c r="N124" s="2" t="inlineStr">
        <is>
          <t>是</t>
        </is>
      </c>
      <c r="O124" s="4" t="n">
        <v>0</v>
      </c>
      <c r="P124" s="4" t="n">
        <v>0</v>
      </c>
      <c r="Q124" s="4" t="n">
        <v>25</v>
      </c>
      <c r="R124" s="4" t="n">
        <v>35</v>
      </c>
      <c r="S124" s="4" t="n">
        <v>15</v>
      </c>
      <c r="T124" s="4" t="n">
        <v>0</v>
      </c>
      <c r="U124" s="4" t="n">
        <v>0</v>
      </c>
      <c r="V124" s="5">
        <f>SUM(O124:U124)</f>
        <v/>
      </c>
      <c r="W124" s="6">
        <f>O124*'强度系数说明'!$B$7+P124*'强度系数说明'!$B$8+Q124*'强度系数说明'!$B$9+R124*'强度系数说明'!$B$10+S124*'强度系数说明'!$B$11+T124*'强度系数说明'!$B$12+U124*'强度系数说明'!$B$13</f>
        <v/>
      </c>
      <c r="X124" s="7">
        <f>SUMPRODUCT((O124:U124&gt;0)*O124:U124)</f>
        <v/>
      </c>
      <c r="Y124" s="2" t="inlineStr">
        <is>
          <t>否</t>
        </is>
      </c>
      <c r="Z124" s="2" t="inlineStr"/>
      <c r="AA124" s="4" t="inlineStr"/>
      <c r="AB124" s="4" t="inlineStr"/>
      <c r="AC124" s="3" t="inlineStr"/>
      <c r="AD124" s="3" t="inlineStr"/>
      <c r="AE124" s="3" t="inlineStr">
        <is>
          <t>{"agility":15,"force":25,"intellect":35}</t>
        </is>
      </c>
      <c r="AF124" s="3" t="inlineStr">
        <is>
          <t>data/item_templates.yaml:L4776</t>
        </is>
      </c>
    </row>
    <row r="125">
      <c r="A125" s="2" t="n">
        <v>124</v>
      </c>
      <c r="B125" s="2" t="inlineStr">
        <is>
          <t>equip_qinglongdao</t>
        </is>
      </c>
      <c r="C125" s="2" t="inlineStr">
        <is>
          <t>青龙刀</t>
        </is>
      </c>
      <c r="D125" s="2" t="inlineStr">
        <is>
          <t>weapon</t>
        </is>
      </c>
      <c r="E125" s="2" t="inlineStr">
        <is>
          <t>武器</t>
        </is>
      </c>
      <c r="F125" s="2" t="inlineStr">
        <is>
          <t>equip_weapon</t>
        </is>
      </c>
      <c r="G125" s="2" t="inlineStr">
        <is>
          <t>blue</t>
        </is>
      </c>
      <c r="H125" s="2" t="inlineStr">
        <is>
          <t>稀有/蓝</t>
        </is>
      </c>
      <c r="I125" s="2" t="inlineStr">
        <is>
          <t>sixiang_set</t>
        </is>
      </c>
      <c r="J125" s="3" t="inlineStr">
        <is>
          <t>四象套装</t>
        </is>
      </c>
      <c r="K125" s="3" t="inlineStr">
        <is>
          <t>刀身雕有青龙图腾，相传是青龙堂镇堂之宝的仿品。</t>
        </is>
      </c>
      <c r="L125" s="4" t="n">
        <v>6000</v>
      </c>
      <c r="M125" s="4" t="n">
        <v>100</v>
      </c>
      <c r="N125" s="2" t="inlineStr">
        <is>
          <t>是</t>
        </is>
      </c>
      <c r="O125" s="4" t="n">
        <v>500</v>
      </c>
      <c r="P125" s="4" t="n">
        <v>0</v>
      </c>
      <c r="Q125" s="4" t="n">
        <v>30</v>
      </c>
      <c r="R125" s="4" t="n">
        <v>25</v>
      </c>
      <c r="S125" s="4" t="n">
        <v>0</v>
      </c>
      <c r="T125" s="4" t="n">
        <v>0</v>
      </c>
      <c r="U125" s="4" t="n">
        <v>0</v>
      </c>
      <c r="V125" s="5">
        <f>SUM(O125:U125)</f>
        <v/>
      </c>
      <c r="W125" s="6">
        <f>O125*'强度系数说明'!$B$7+P125*'强度系数说明'!$B$8+Q125*'强度系数说明'!$B$9+R125*'强度系数说明'!$B$10+S125*'强度系数说明'!$B$11+T125*'强度系数说明'!$B$12+U125*'强度系数说明'!$B$13</f>
        <v/>
      </c>
      <c r="X125" s="7">
        <f>SUMPRODUCT((O125:U125&gt;0)*O125:U125)</f>
        <v/>
      </c>
      <c r="Y125" s="2" t="inlineStr">
        <is>
          <t>否</t>
        </is>
      </c>
      <c r="Z125" s="2" t="inlineStr"/>
      <c r="AA125" s="4" t="inlineStr"/>
      <c r="AB125" s="4" t="inlineStr"/>
      <c r="AC125" s="3" t="inlineStr"/>
      <c r="AD125" s="3" t="inlineStr">
        <is>
          <t>{"bonus":{"agility":20,"force":35,"hp":360,"intellect":35},"pieces":4}</t>
        </is>
      </c>
      <c r="AE125" s="3" t="inlineStr">
        <is>
          <t>{"force":30,"hp":500,"intellect":25,"set_bonus":{"bonus":{"agility":20,"force":35,"hp":360,"intellect":35},"pieces":4},"set_description":"四象套装","set_key":"sixiang_set"}</t>
        </is>
      </c>
      <c r="AF125" s="3" t="inlineStr">
        <is>
          <t>data/item_templates.yaml:L4790</t>
        </is>
      </c>
    </row>
    <row r="126">
      <c r="A126" s="2" t="n">
        <v>125</v>
      </c>
      <c r="B126" s="2" t="inlineStr">
        <is>
          <t>equip_pozhenqiang</t>
        </is>
      </c>
      <c r="C126" s="2" t="inlineStr">
        <is>
          <t>破阵枪</t>
        </is>
      </c>
      <c r="D126" s="2" t="inlineStr">
        <is>
          <t>weapon</t>
        </is>
      </c>
      <c r="E126" s="2" t="inlineStr">
        <is>
          <t>武器</t>
        </is>
      </c>
      <c r="F126" s="2" t="inlineStr">
        <is>
          <t>equip_weapon</t>
        </is>
      </c>
      <c r="G126" s="2" t="inlineStr">
        <is>
          <t>blue</t>
        </is>
      </c>
      <c r="H126" s="2" t="inlineStr">
        <is>
          <t>稀有/蓝</t>
        </is>
      </c>
      <c r="I126" s="2" t="inlineStr"/>
      <c r="J126" s="3" t="inlineStr"/>
      <c r="K126" s="3" t="inlineStr">
        <is>
          <t>岳家军破阵用的制式长枪，枪头带有倒钩设计。</t>
        </is>
      </c>
      <c r="L126" s="4" t="n">
        <v>6000</v>
      </c>
      <c r="M126" s="4" t="n">
        <v>100</v>
      </c>
      <c r="N126" s="2" t="inlineStr">
        <is>
          <t>是</t>
        </is>
      </c>
      <c r="O126" s="4" t="n">
        <v>150</v>
      </c>
      <c r="P126" s="4" t="n">
        <v>0</v>
      </c>
      <c r="Q126" s="4" t="n">
        <v>50</v>
      </c>
      <c r="R126" s="4" t="n">
        <v>0</v>
      </c>
      <c r="S126" s="4" t="n">
        <v>0</v>
      </c>
      <c r="T126" s="4" t="n">
        <v>0</v>
      </c>
      <c r="U126" s="4" t="n">
        <v>50</v>
      </c>
      <c r="V126" s="5">
        <f>SUM(O126:U126)</f>
        <v/>
      </c>
      <c r="W126" s="6">
        <f>O126*'强度系数说明'!$B$7+P126*'强度系数说明'!$B$8+Q126*'强度系数说明'!$B$9+R126*'强度系数说明'!$B$10+S126*'强度系数说明'!$B$11+T126*'强度系数说明'!$B$12+U126*'强度系数说明'!$B$13</f>
        <v/>
      </c>
      <c r="X126" s="7">
        <f>SUMPRODUCT((O126:U126&gt;0)*O126:U126)</f>
        <v/>
      </c>
      <c r="Y126" s="2" t="inlineStr">
        <is>
          <t>否</t>
        </is>
      </c>
      <c r="Z126" s="2" t="inlineStr"/>
      <c r="AA126" s="4" t="inlineStr"/>
      <c r="AB126" s="4" t="inlineStr"/>
      <c r="AC126" s="3" t="inlineStr"/>
      <c r="AD126" s="3" t="inlineStr"/>
      <c r="AE126" s="3" t="inlineStr">
        <is>
          <t>{"force":50,"hp":150,"troop_capacity":50}</t>
        </is>
      </c>
      <c r="AF126" s="3" t="inlineStr">
        <is>
          <t>data/item_templates.yaml:L4812</t>
        </is>
      </c>
    </row>
    <row r="127">
      <c r="A127" s="2" t="n">
        <v>126</v>
      </c>
      <c r="B127" s="2" t="inlineStr">
        <is>
          <t>equip_chuanyungong</t>
        </is>
      </c>
      <c r="C127" s="2" t="inlineStr">
        <is>
          <t>穿云弓</t>
        </is>
      </c>
      <c r="D127" s="2" t="inlineStr">
        <is>
          <t>weapon</t>
        </is>
      </c>
      <c r="E127" s="2" t="inlineStr">
        <is>
          <t>武器</t>
        </is>
      </c>
      <c r="F127" s="2" t="inlineStr">
        <is>
          <t>equip_weapon</t>
        </is>
      </c>
      <c r="G127" s="2" t="inlineStr">
        <is>
          <t>blue</t>
        </is>
      </c>
      <c r="H127" s="2" t="inlineStr">
        <is>
          <t>稀有/蓝</t>
        </is>
      </c>
      <c r="I127" s="2" t="inlineStr"/>
      <c r="J127" s="3" t="inlineStr"/>
      <c r="K127" s="3" t="inlineStr">
        <is>
          <t>传说某位神箭手以此弓射穿云雾中的飞鹰，因而得名。</t>
        </is>
      </c>
      <c r="L127" s="4" t="n">
        <v>6000</v>
      </c>
      <c r="M127" s="4" t="n">
        <v>100</v>
      </c>
      <c r="N127" s="2" t="inlineStr">
        <is>
          <t>是</t>
        </is>
      </c>
      <c r="O127" s="4" t="n">
        <v>0</v>
      </c>
      <c r="P127" s="4" t="n">
        <v>0</v>
      </c>
      <c r="Q127" s="4" t="n">
        <v>40</v>
      </c>
      <c r="R127" s="4" t="n">
        <v>0</v>
      </c>
      <c r="S127" s="4" t="n">
        <v>18</v>
      </c>
      <c r="T127" s="4" t="n">
        <v>0</v>
      </c>
      <c r="U127" s="4" t="n">
        <v>0</v>
      </c>
      <c r="V127" s="5">
        <f>SUM(O127:U127)</f>
        <v/>
      </c>
      <c r="W127" s="6">
        <f>O127*'强度系数说明'!$B$7+P127*'强度系数说明'!$B$8+Q127*'强度系数说明'!$B$9+R127*'强度系数说明'!$B$10+S127*'强度系数说明'!$B$11+T127*'强度系数说明'!$B$12+U127*'强度系数说明'!$B$13</f>
        <v/>
      </c>
      <c r="X127" s="7">
        <f>SUMPRODUCT((O127:U127&gt;0)*O127:U127)</f>
        <v/>
      </c>
      <c r="Y127" s="2" t="inlineStr">
        <is>
          <t>否</t>
        </is>
      </c>
      <c r="Z127" s="2" t="inlineStr"/>
      <c r="AA127" s="4" t="inlineStr"/>
      <c r="AB127" s="4" t="inlineStr"/>
      <c r="AC127" s="3" t="inlineStr"/>
      <c r="AD127" s="3" t="inlineStr"/>
      <c r="AE127" s="3" t="inlineStr">
        <is>
          <t>{"agility":18,"force":40}</t>
        </is>
      </c>
      <c r="AF127" s="3" t="inlineStr">
        <is>
          <t>data/item_templates.yaml:L4826</t>
        </is>
      </c>
    </row>
    <row r="128">
      <c r="A128" s="2" t="n">
        <v>127</v>
      </c>
      <c r="B128" s="2" t="inlineStr">
        <is>
          <t>equip_hanyuejian</t>
        </is>
      </c>
      <c r="C128" s="2" t="inlineStr">
        <is>
          <t>寒月剑</t>
        </is>
      </c>
      <c r="D128" s="2" t="inlineStr">
        <is>
          <t>weapon</t>
        </is>
      </c>
      <c r="E128" s="2" t="inlineStr">
        <is>
          <t>武器</t>
        </is>
      </c>
      <c r="F128" s="2" t="inlineStr">
        <is>
          <t>equip_weapon</t>
        </is>
      </c>
      <c r="G128" s="2" t="inlineStr">
        <is>
          <t>blue</t>
        </is>
      </c>
      <c r="H128" s="2" t="inlineStr">
        <is>
          <t>稀有/蓝</t>
        </is>
      </c>
      <c r="I128" s="2" t="inlineStr"/>
      <c r="J128" s="3" t="inlineStr"/>
      <c r="K128" s="3" t="inlineStr">
        <is>
          <t>剑身泛着寒光如月，相传是某位刺客组织头目的佩剑。</t>
        </is>
      </c>
      <c r="L128" s="4" t="n">
        <v>6000</v>
      </c>
      <c r="M128" s="4" t="n">
        <v>100</v>
      </c>
      <c r="N128" s="2" t="inlineStr">
        <is>
          <t>是</t>
        </is>
      </c>
      <c r="O128" s="4" t="n">
        <v>0</v>
      </c>
      <c r="P128" s="4" t="n">
        <v>10</v>
      </c>
      <c r="Q128" s="4" t="n">
        <v>35</v>
      </c>
      <c r="R128" s="4" t="n">
        <v>0</v>
      </c>
      <c r="S128" s="4" t="n">
        <v>15</v>
      </c>
      <c r="T128" s="4" t="n">
        <v>0</v>
      </c>
      <c r="U128" s="4" t="n">
        <v>0</v>
      </c>
      <c r="V128" s="5">
        <f>SUM(O128:U128)</f>
        <v/>
      </c>
      <c r="W128" s="6">
        <f>O128*'强度系数说明'!$B$7+P128*'强度系数说明'!$B$8+Q128*'强度系数说明'!$B$9+R128*'强度系数说明'!$B$10+S128*'强度系数说明'!$B$11+T128*'强度系数说明'!$B$12+U128*'强度系数说明'!$B$13</f>
        <v/>
      </c>
      <c r="X128" s="7">
        <f>SUMPRODUCT((O128:U128&gt;0)*O128:U128)</f>
        <v/>
      </c>
      <c r="Y128" s="2" t="inlineStr">
        <is>
          <t>否</t>
        </is>
      </c>
      <c r="Z128" s="2" t="inlineStr"/>
      <c r="AA128" s="4" t="inlineStr"/>
      <c r="AB128" s="4" t="inlineStr"/>
      <c r="AC128" s="3" t="inlineStr"/>
      <c r="AD128" s="3" t="inlineStr"/>
      <c r="AE128" s="3" t="inlineStr">
        <is>
          <t>{"agility":15,"defense":10,"force":35}</t>
        </is>
      </c>
      <c r="AF128" s="3" t="inlineStr">
        <is>
          <t>data/item_templates.yaml:L4839</t>
        </is>
      </c>
    </row>
    <row r="129">
      <c r="A129" s="2" t="n">
        <v>128</v>
      </c>
      <c r="B129" s="2" t="inlineStr">
        <is>
          <t>equip_lieyandao</t>
        </is>
      </c>
      <c r="C129" s="2" t="inlineStr">
        <is>
          <t>烈焰刀</t>
        </is>
      </c>
      <c r="D129" s="2" t="inlineStr">
        <is>
          <t>weapon</t>
        </is>
      </c>
      <c r="E129" s="2" t="inlineStr">
        <is>
          <t>武器</t>
        </is>
      </c>
      <c r="F129" s="2" t="inlineStr">
        <is>
          <t>equip_weapon</t>
        </is>
      </c>
      <c r="G129" s="2" t="inlineStr">
        <is>
          <t>blue</t>
        </is>
      </c>
      <c r="H129" s="2" t="inlineStr">
        <is>
          <t>稀有/蓝</t>
        </is>
      </c>
      <c r="I129" s="2" t="inlineStr"/>
      <c r="J129" s="3" t="inlineStr"/>
      <c r="K129" s="3" t="inlineStr">
        <is>
          <t>刀身铸入火焰纹路，据传以地底熔岩为淬火之水。</t>
        </is>
      </c>
      <c r="L129" s="4" t="n">
        <v>6000</v>
      </c>
      <c r="M129" s="4" t="n">
        <v>100</v>
      </c>
      <c r="N129" s="2" t="inlineStr">
        <is>
          <t>是</t>
        </is>
      </c>
      <c r="O129" s="4" t="n">
        <v>160</v>
      </c>
      <c r="P129" s="4" t="n">
        <v>0</v>
      </c>
      <c r="Q129" s="4" t="n">
        <v>55</v>
      </c>
      <c r="R129" s="4" t="n">
        <v>0</v>
      </c>
      <c r="S129" s="4" t="n">
        <v>0</v>
      </c>
      <c r="T129" s="4" t="n">
        <v>0</v>
      </c>
      <c r="U129" s="4" t="n">
        <v>0</v>
      </c>
      <c r="V129" s="5">
        <f>SUM(O129:U129)</f>
        <v/>
      </c>
      <c r="W129" s="6">
        <f>O129*'强度系数说明'!$B$7+P129*'强度系数说明'!$B$8+Q129*'强度系数说明'!$B$9+R129*'强度系数说明'!$B$10+S129*'强度系数说明'!$B$11+T129*'强度系数说明'!$B$12+U129*'强度系数说明'!$B$13</f>
        <v/>
      </c>
      <c r="X129" s="7">
        <f>SUMPRODUCT((O129:U129&gt;0)*O129:U129)</f>
        <v/>
      </c>
      <c r="Y129" s="2" t="inlineStr">
        <is>
          <t>否</t>
        </is>
      </c>
      <c r="Z129" s="2" t="inlineStr"/>
      <c r="AA129" s="4" t="inlineStr"/>
      <c r="AB129" s="4" t="inlineStr"/>
      <c r="AC129" s="3" t="inlineStr"/>
      <c r="AD129" s="3" t="inlineStr"/>
      <c r="AE129" s="3" t="inlineStr">
        <is>
          <t>{"force":55,"hp":160}</t>
        </is>
      </c>
      <c r="AF129" s="3" t="inlineStr">
        <is>
          <t>data/item_templates.yaml:L4853</t>
        </is>
      </c>
    </row>
    <row r="130">
      <c r="A130" s="2" t="n">
        <v>129</v>
      </c>
      <c r="B130" s="2" t="inlineStr">
        <is>
          <t>equip_duanhunbian</t>
        </is>
      </c>
      <c r="C130" s="2" t="inlineStr">
        <is>
          <t>断魂鞭</t>
        </is>
      </c>
      <c r="D130" s="2" t="inlineStr">
        <is>
          <t>weapon</t>
        </is>
      </c>
      <c r="E130" s="2" t="inlineStr">
        <is>
          <t>武器</t>
        </is>
      </c>
      <c r="F130" s="2" t="inlineStr">
        <is>
          <t>equip_weapon</t>
        </is>
      </c>
      <c r="G130" s="2" t="inlineStr">
        <is>
          <t>blue</t>
        </is>
      </c>
      <c r="H130" s="2" t="inlineStr">
        <is>
          <t>稀有/蓝</t>
        </is>
      </c>
      <c r="I130" s="2" t="inlineStr"/>
      <c r="J130" s="3" t="inlineStr"/>
      <c r="K130" s="3" t="inlineStr">
        <is>
          <t>江湖暗杀组织"断魂谷"的标志性兵器，来历神秘。</t>
        </is>
      </c>
      <c r="L130" s="4" t="n">
        <v>6000</v>
      </c>
      <c r="M130" s="4" t="n">
        <v>100</v>
      </c>
      <c r="N130" s="2" t="inlineStr">
        <is>
          <t>是</t>
        </is>
      </c>
      <c r="O130" s="4" t="n">
        <v>0</v>
      </c>
      <c r="P130" s="4" t="n">
        <v>0</v>
      </c>
      <c r="Q130" s="4" t="n">
        <v>35</v>
      </c>
      <c r="R130" s="4" t="n">
        <v>0</v>
      </c>
      <c r="S130" s="4" t="n">
        <v>20</v>
      </c>
      <c r="T130" s="4" t="n">
        <v>10</v>
      </c>
      <c r="U130" s="4" t="n">
        <v>0</v>
      </c>
      <c r="V130" s="5">
        <f>SUM(O130:U130)</f>
        <v/>
      </c>
      <c r="W130" s="6">
        <f>O130*'强度系数说明'!$B$7+P130*'强度系数说明'!$B$8+Q130*'强度系数说明'!$B$9+R130*'强度系数说明'!$B$10+S130*'强度系数说明'!$B$11+T130*'强度系数说明'!$B$12+U130*'强度系数说明'!$B$13</f>
        <v/>
      </c>
      <c r="X130" s="7">
        <f>SUMPRODUCT((O130:U130&gt;0)*O130:U130)</f>
        <v/>
      </c>
      <c r="Y130" s="2" t="inlineStr">
        <is>
          <t>否</t>
        </is>
      </c>
      <c r="Z130" s="2" t="inlineStr"/>
      <c r="AA130" s="4" t="inlineStr"/>
      <c r="AB130" s="4" t="inlineStr"/>
      <c r="AC130" s="3" t="inlineStr"/>
      <c r="AD130" s="3" t="inlineStr"/>
      <c r="AE130" s="3" t="inlineStr">
        <is>
          <t>{"agility":20,"force":35,"luck":10}</t>
        </is>
      </c>
      <c r="AF130" s="3" t="inlineStr">
        <is>
          <t>data/item_templates.yaml:L4866</t>
        </is>
      </c>
    </row>
    <row r="131">
      <c r="A131" s="2" t="n">
        <v>130</v>
      </c>
      <c r="B131" s="2" t="inlineStr">
        <is>
          <t>equip_zhenyuechui</t>
        </is>
      </c>
      <c r="C131" s="2" t="inlineStr">
        <is>
          <t>镇岳锤</t>
        </is>
      </c>
      <c r="D131" s="2" t="inlineStr">
        <is>
          <t>weapon</t>
        </is>
      </c>
      <c r="E131" s="2" t="inlineStr">
        <is>
          <t>武器</t>
        </is>
      </c>
      <c r="F131" s="2" t="inlineStr">
        <is>
          <t>equip_weapon</t>
        </is>
      </c>
      <c r="G131" s="2" t="inlineStr">
        <is>
          <t>blue</t>
        </is>
      </c>
      <c r="H131" s="2" t="inlineStr">
        <is>
          <t>稀有/蓝</t>
        </is>
      </c>
      <c r="I131" s="2" t="inlineStr"/>
      <c r="J131" s="3" t="inlineStr"/>
      <c r="K131" s="3" t="inlineStr">
        <is>
          <t>仿五岳之形铸造的重锤，据传曾镇压过山中精怪。</t>
        </is>
      </c>
      <c r="L131" s="4" t="n">
        <v>6000</v>
      </c>
      <c r="M131" s="4" t="n">
        <v>100</v>
      </c>
      <c r="N131" s="2" t="inlineStr">
        <is>
          <t>是</t>
        </is>
      </c>
      <c r="O131" s="4" t="n">
        <v>500</v>
      </c>
      <c r="P131" s="4" t="n">
        <v>20</v>
      </c>
      <c r="Q131" s="4" t="n">
        <v>35</v>
      </c>
      <c r="R131" s="4" t="n">
        <v>0</v>
      </c>
      <c r="S131" s="4" t="n">
        <v>0</v>
      </c>
      <c r="T131" s="4" t="n">
        <v>0</v>
      </c>
      <c r="U131" s="4" t="n">
        <v>0</v>
      </c>
      <c r="V131" s="5">
        <f>SUM(O131:U131)</f>
        <v/>
      </c>
      <c r="W131" s="6">
        <f>O131*'强度系数说明'!$B$7+P131*'强度系数说明'!$B$8+Q131*'强度系数说明'!$B$9+R131*'强度系数说明'!$B$10+S131*'强度系数说明'!$B$11+T131*'强度系数说明'!$B$12+U131*'强度系数说明'!$B$13</f>
        <v/>
      </c>
      <c r="X131" s="7">
        <f>SUMPRODUCT((O131:U131&gt;0)*O131:U131)</f>
        <v/>
      </c>
      <c r="Y131" s="2" t="inlineStr">
        <is>
          <t>否</t>
        </is>
      </c>
      <c r="Z131" s="2" t="inlineStr"/>
      <c r="AA131" s="4" t="inlineStr"/>
      <c r="AB131" s="4" t="inlineStr"/>
      <c r="AC131" s="3" t="inlineStr"/>
      <c r="AD131" s="3" t="inlineStr"/>
      <c r="AE131" s="3" t="inlineStr">
        <is>
          <t>{"defense":20,"force":35,"hp":500}</t>
        </is>
      </c>
      <c r="AF131" s="3" t="inlineStr">
        <is>
          <t>data/item_templates.yaml:L4880</t>
        </is>
      </c>
    </row>
    <row r="132">
      <c r="A132" s="2" t="n">
        <v>131</v>
      </c>
      <c r="B132" s="2" t="inlineStr">
        <is>
          <t>equip_xuanbinggong</t>
        </is>
      </c>
      <c r="C132" s="2" t="inlineStr">
        <is>
          <t>玄冰弓</t>
        </is>
      </c>
      <c r="D132" s="2" t="inlineStr">
        <is>
          <t>weapon</t>
        </is>
      </c>
      <c r="E132" s="2" t="inlineStr">
        <is>
          <t>武器</t>
        </is>
      </c>
      <c r="F132" s="2" t="inlineStr">
        <is>
          <t>equip_weapon</t>
        </is>
      </c>
      <c r="G132" s="2" t="inlineStr">
        <is>
          <t>blue</t>
        </is>
      </c>
      <c r="H132" s="2" t="inlineStr">
        <is>
          <t>稀有/蓝</t>
        </is>
      </c>
      <c r="I132" s="2" t="inlineStr"/>
      <c r="J132" s="3" t="inlineStr"/>
      <c r="K132" s="3" t="inlineStr">
        <is>
          <t>以北极寒冰封存的弓身，传说出自极北雪域的神秘部落。</t>
        </is>
      </c>
      <c r="L132" s="4" t="n">
        <v>6000</v>
      </c>
      <c r="M132" s="4" t="n">
        <v>100</v>
      </c>
      <c r="N132" s="2" t="inlineStr">
        <is>
          <t>是</t>
        </is>
      </c>
      <c r="O132" s="4" t="n">
        <v>0</v>
      </c>
      <c r="P132" s="4" t="n">
        <v>0</v>
      </c>
      <c r="Q132" s="4" t="n">
        <v>40</v>
      </c>
      <c r="R132" s="4" t="n">
        <v>0</v>
      </c>
      <c r="S132" s="4" t="n">
        <v>25</v>
      </c>
      <c r="T132" s="4" t="n">
        <v>0</v>
      </c>
      <c r="U132" s="4" t="n">
        <v>0</v>
      </c>
      <c r="V132" s="5">
        <f>SUM(O132:U132)</f>
        <v/>
      </c>
      <c r="W132" s="6">
        <f>O132*'强度系数说明'!$B$7+P132*'强度系数说明'!$B$8+Q132*'强度系数说明'!$B$9+R132*'强度系数说明'!$B$10+S132*'强度系数说明'!$B$11+T132*'强度系数说明'!$B$12+U132*'强度系数说明'!$B$13</f>
        <v/>
      </c>
      <c r="X132" s="7">
        <f>SUMPRODUCT((O132:U132&gt;0)*O132:U132)</f>
        <v/>
      </c>
      <c r="Y132" s="2" t="inlineStr">
        <is>
          <t>否</t>
        </is>
      </c>
      <c r="Z132" s="2" t="inlineStr"/>
      <c r="AA132" s="4" t="inlineStr"/>
      <c r="AB132" s="4" t="inlineStr"/>
      <c r="AC132" s="3" t="inlineStr"/>
      <c r="AD132" s="3" t="inlineStr"/>
      <c r="AE132" s="3" t="inlineStr">
        <is>
          <t>{"agility":25,"force":40}</t>
        </is>
      </c>
      <c r="AF132" s="3" t="inlineStr">
        <is>
          <t>data/item_templates.yaml:L4894</t>
        </is>
      </c>
    </row>
    <row r="133">
      <c r="A133" s="2" t="n">
        <v>132</v>
      </c>
      <c r="B133" s="2" t="inlineStr">
        <is>
          <t>equip_xingluoshan</t>
        </is>
      </c>
      <c r="C133" s="2" t="inlineStr">
        <is>
          <t>星罗扇</t>
        </is>
      </c>
      <c r="D133" s="2" t="inlineStr">
        <is>
          <t>weapon</t>
        </is>
      </c>
      <c r="E133" s="2" t="inlineStr">
        <is>
          <t>武器</t>
        </is>
      </c>
      <c r="F133" s="2" t="inlineStr">
        <is>
          <t>equip_weapon</t>
        </is>
      </c>
      <c r="G133" s="2" t="inlineStr">
        <is>
          <t>blue</t>
        </is>
      </c>
      <c r="H133" s="2" t="inlineStr">
        <is>
          <t>稀有/蓝</t>
        </is>
      </c>
      <c r="I133" s="2" t="inlineStr"/>
      <c r="J133" s="3" t="inlineStr"/>
      <c r="K133" s="3" t="inlineStr">
        <is>
          <t>扇面绘有星罗棋布图案，是钦天监术士的法器。</t>
        </is>
      </c>
      <c r="L133" s="4" t="n">
        <v>6000</v>
      </c>
      <c r="M133" s="4" t="n">
        <v>100</v>
      </c>
      <c r="N133" s="2" t="inlineStr">
        <is>
          <t>是</t>
        </is>
      </c>
      <c r="O133" s="4" t="n">
        <v>0</v>
      </c>
      <c r="P133" s="4" t="n">
        <v>0</v>
      </c>
      <c r="Q133" s="4" t="n">
        <v>0</v>
      </c>
      <c r="R133" s="4" t="n">
        <v>45</v>
      </c>
      <c r="S133" s="4" t="n">
        <v>0</v>
      </c>
      <c r="T133" s="4" t="n">
        <v>15</v>
      </c>
      <c r="U133" s="4" t="n">
        <v>0</v>
      </c>
      <c r="V133" s="5">
        <f>SUM(O133:U133)</f>
        <v/>
      </c>
      <c r="W133" s="6">
        <f>O133*'强度系数说明'!$B$7+P133*'强度系数说明'!$B$8+Q133*'强度系数说明'!$B$9+R133*'强度系数说明'!$B$10+S133*'强度系数说明'!$B$11+T133*'强度系数说明'!$B$12+U133*'强度系数说明'!$B$13</f>
        <v/>
      </c>
      <c r="X133" s="7">
        <f>SUMPRODUCT((O133:U133&gt;0)*O133:U133)</f>
        <v/>
      </c>
      <c r="Y133" s="2" t="inlineStr">
        <is>
          <t>否</t>
        </is>
      </c>
      <c r="Z133" s="2" t="inlineStr"/>
      <c r="AA133" s="4" t="inlineStr"/>
      <c r="AB133" s="4" t="inlineStr"/>
      <c r="AC133" s="3" t="inlineStr"/>
      <c r="AD133" s="3" t="inlineStr"/>
      <c r="AE133" s="3" t="inlineStr">
        <is>
          <t>{"intellect":45,"luck":15}</t>
        </is>
      </c>
      <c r="AF133" s="3" t="inlineStr">
        <is>
          <t>data/item_templates.yaml:L4907</t>
        </is>
      </c>
    </row>
    <row r="134">
      <c r="A134" s="2" t="n">
        <v>133</v>
      </c>
      <c r="B134" s="2" t="inlineStr">
        <is>
          <t>equip_huxianjian</t>
        </is>
      </c>
      <c r="C134" s="2" t="inlineStr">
        <is>
          <t>狐仙剑</t>
        </is>
      </c>
      <c r="D134" s="2" t="inlineStr">
        <is>
          <t>weapon</t>
        </is>
      </c>
      <c r="E134" s="2" t="inlineStr">
        <is>
          <t>武器</t>
        </is>
      </c>
      <c r="F134" s="2" t="inlineStr">
        <is>
          <t>equip_weapon</t>
        </is>
      </c>
      <c r="G134" s="2" t="inlineStr">
        <is>
          <t>purple</t>
        </is>
      </c>
      <c r="H134" s="2" t="inlineStr">
        <is>
          <t>史诗/紫</t>
        </is>
      </c>
      <c r="I134" s="2" t="inlineStr">
        <is>
          <t>huxian_set</t>
        </is>
      </c>
      <c r="J134" s="3" t="inlineStr">
        <is>
          <t>狐仙套装</t>
        </is>
      </c>
      <c r="K134" s="3" t="inlineStr">
        <is>
          <t>相传是涂山狐族遗落人间的宝剑，剑身隐有狐影流转。</t>
        </is>
      </c>
      <c r="L134" s="4" t="n">
        <v>16000</v>
      </c>
      <c r="M134" s="4" t="n">
        <v>150</v>
      </c>
      <c r="N134" s="2" t="inlineStr">
        <is>
          <t>是</t>
        </is>
      </c>
      <c r="O134" s="4" t="n">
        <v>0</v>
      </c>
      <c r="P134" s="4" t="n">
        <v>0</v>
      </c>
      <c r="Q134" s="4" t="n">
        <v>41</v>
      </c>
      <c r="R134" s="4" t="n">
        <v>27</v>
      </c>
      <c r="S134" s="4" t="n">
        <v>0</v>
      </c>
      <c r="T134" s="4" t="n">
        <v>5</v>
      </c>
      <c r="U134" s="4" t="n">
        <v>0</v>
      </c>
      <c r="V134" s="5">
        <f>SUM(O134:U134)</f>
        <v/>
      </c>
      <c r="W134" s="6">
        <f>O134*'强度系数说明'!$B$7+P134*'强度系数说明'!$B$8+Q134*'强度系数说明'!$B$9+R134*'强度系数说明'!$B$10+S134*'强度系数说明'!$B$11+T134*'强度系数说明'!$B$12+U134*'强度系数说明'!$B$13</f>
        <v/>
      </c>
      <c r="X134" s="7">
        <f>SUMPRODUCT((O134:U134&gt;0)*O134:U134)</f>
        <v/>
      </c>
      <c r="Y134" s="2" t="inlineStr">
        <is>
          <t>否</t>
        </is>
      </c>
      <c r="Z134" s="2" t="inlineStr"/>
      <c r="AA134" s="4" t="inlineStr"/>
      <c r="AB134" s="4" t="inlineStr"/>
      <c r="AC134" s="3" t="inlineStr"/>
      <c r="AD134" s="3" t="inlineStr">
        <is>
          <t>{"bonus":{"hp":280,"intellect":64,"luck":18},"pieces":3}</t>
        </is>
      </c>
      <c r="AE134" s="3" t="inlineStr">
        <is>
          <t>{"force":41,"intellect":27,"luck":5,"set_bonus":{"bonus":{"hp":280,"intellect":64,"luck":18},"pieces":3},"set_description":"狐仙套装","set_key":"huxian_set"}</t>
        </is>
      </c>
      <c r="AF134" s="3" t="inlineStr">
        <is>
          <t>data/item_templates.yaml:L4922</t>
        </is>
      </c>
    </row>
    <row r="135">
      <c r="A135" s="2" t="n">
        <v>134</v>
      </c>
      <c r="B135" s="2" t="inlineStr">
        <is>
          <t>equip_bawangqiang</t>
        </is>
      </c>
      <c r="C135" s="2" t="inlineStr">
        <is>
          <t>霸王枪</t>
        </is>
      </c>
      <c r="D135" s="2" t="inlineStr">
        <is>
          <t>weapon</t>
        </is>
      </c>
      <c r="E135" s="2" t="inlineStr">
        <is>
          <t>武器</t>
        </is>
      </c>
      <c r="F135" s="2" t="inlineStr">
        <is>
          <t>equip_weapon</t>
        </is>
      </c>
      <c r="G135" s="2" t="inlineStr">
        <is>
          <t>purple</t>
        </is>
      </c>
      <c r="H135" s="2" t="inlineStr">
        <is>
          <t>史诗/紫</t>
        </is>
      </c>
      <c r="I135" s="2" t="inlineStr"/>
      <c r="J135" s="3" t="inlineStr"/>
      <c r="K135" s="3" t="inlineStr">
        <is>
          <t>仿西楚霸王项羽的虎头鲛皮枪所铸，气势雄浑。</t>
        </is>
      </c>
      <c r="L135" s="4" t="n">
        <v>16000</v>
      </c>
      <c r="M135" s="4" t="n">
        <v>150</v>
      </c>
      <c r="N135" s="2" t="inlineStr">
        <is>
          <t>是</t>
        </is>
      </c>
      <c r="O135" s="4" t="n">
        <v>237</v>
      </c>
      <c r="P135" s="4" t="n">
        <v>0</v>
      </c>
      <c r="Q135" s="4" t="n">
        <v>46</v>
      </c>
      <c r="R135" s="4" t="n">
        <v>0</v>
      </c>
      <c r="S135" s="4" t="n">
        <v>12</v>
      </c>
      <c r="T135" s="4" t="n">
        <v>0</v>
      </c>
      <c r="U135" s="4" t="n">
        <v>39</v>
      </c>
      <c r="V135" s="5">
        <f>SUM(O135:U135)</f>
        <v/>
      </c>
      <c r="W135" s="6">
        <f>O135*'强度系数说明'!$B$7+P135*'强度系数说明'!$B$8+Q135*'强度系数说明'!$B$9+R135*'强度系数说明'!$B$10+S135*'强度系数说明'!$B$11+T135*'强度系数说明'!$B$12+U135*'强度系数说明'!$B$13</f>
        <v/>
      </c>
      <c r="X135" s="7">
        <f>SUMPRODUCT((O135:U135&gt;0)*O135:U135)</f>
        <v/>
      </c>
      <c r="Y135" s="2" t="inlineStr">
        <is>
          <t>否</t>
        </is>
      </c>
      <c r="Z135" s="2" t="inlineStr"/>
      <c r="AA135" s="4" t="inlineStr"/>
      <c r="AB135" s="4" t="inlineStr"/>
      <c r="AC135" s="3" t="inlineStr"/>
      <c r="AD135" s="3" t="inlineStr"/>
      <c r="AE135" s="3" t="inlineStr">
        <is>
          <t>{"agility":12,"force":46,"hp":237,"troop_capacity":39}</t>
        </is>
      </c>
      <c r="AF135" s="3" t="inlineStr">
        <is>
          <t>data/item_templates.yaml:L4943</t>
        </is>
      </c>
    </row>
    <row r="136">
      <c r="A136" s="2" t="n">
        <v>135</v>
      </c>
      <c r="B136" s="2" t="inlineStr">
        <is>
          <t>equip_qilindao</t>
        </is>
      </c>
      <c r="C136" s="2" t="inlineStr">
        <is>
          <t>麒麟刀</t>
        </is>
      </c>
      <c r="D136" s="2" t="inlineStr">
        <is>
          <t>weapon</t>
        </is>
      </c>
      <c r="E136" s="2" t="inlineStr">
        <is>
          <t>武器</t>
        </is>
      </c>
      <c r="F136" s="2" t="inlineStr">
        <is>
          <t>equip_weapon</t>
        </is>
      </c>
      <c r="G136" s="2" t="inlineStr">
        <is>
          <t>purple</t>
        </is>
      </c>
      <c r="H136" s="2" t="inlineStr">
        <is>
          <t>史诗/紫</t>
        </is>
      </c>
      <c r="I136" s="2" t="inlineStr">
        <is>
          <t>qilin_set</t>
        </is>
      </c>
      <c r="J136" s="3" t="inlineStr">
        <is>
          <t>麒麟套装</t>
        </is>
      </c>
      <c r="K136" s="3" t="inlineStr">
        <is>
          <t>刀柄雕有麒麟头颅，是麒麟卫统领的佩刀。</t>
        </is>
      </c>
      <c r="L136" s="4" t="n">
        <v>16000</v>
      </c>
      <c r="M136" s="4" t="n">
        <v>150</v>
      </c>
      <c r="N136" s="2" t="inlineStr">
        <is>
          <t>是</t>
        </is>
      </c>
      <c r="O136" s="4" t="n">
        <v>211</v>
      </c>
      <c r="P136" s="4" t="n">
        <v>0</v>
      </c>
      <c r="Q136" s="4" t="n">
        <v>70</v>
      </c>
      <c r="R136" s="4" t="n">
        <v>0</v>
      </c>
      <c r="S136" s="4" t="n">
        <v>0</v>
      </c>
      <c r="T136" s="4" t="n">
        <v>0</v>
      </c>
      <c r="U136" s="4" t="n">
        <v>0</v>
      </c>
      <c r="V136" s="5">
        <f>SUM(O136:U136)</f>
        <v/>
      </c>
      <c r="W136" s="6">
        <f>O136*'强度系数说明'!$B$7+P136*'强度系数说明'!$B$8+Q136*'强度系数说明'!$B$9+R136*'强度系数说明'!$B$10+S136*'强度系数说明'!$B$11+T136*'强度系数说明'!$B$12+U136*'强度系数说明'!$B$13</f>
        <v/>
      </c>
      <c r="X136" s="7">
        <f>SUMPRODUCT((O136:U136&gt;0)*O136:U136)</f>
        <v/>
      </c>
      <c r="Y136" s="2" t="inlineStr">
        <is>
          <t>否</t>
        </is>
      </c>
      <c r="Z136" s="2" t="inlineStr"/>
      <c r="AA136" s="4" t="inlineStr"/>
      <c r="AB136" s="4" t="inlineStr"/>
      <c r="AC136" s="3" t="inlineStr"/>
      <c r="AD136" s="3" t="inlineStr">
        <is>
          <t>{"bonus":{"agility":18,"force":38,"hp":420,"luck":30},"pieces":4}</t>
        </is>
      </c>
      <c r="AE136" s="3" t="inlineStr">
        <is>
          <t>{"force":70,"hp":211,"set_bonus":{"bonus":{"agility":18,"force":38,"hp":420,"luck":30},"pieces":4},"set_description":"麒麟套装","set_key":"qilin_set"}</t>
        </is>
      </c>
      <c r="AF136" s="3" t="inlineStr">
        <is>
          <t>data/item_templates.yaml:L4958</t>
        </is>
      </c>
    </row>
    <row r="137">
      <c r="A137" s="2" t="n">
        <v>136</v>
      </c>
      <c r="B137" s="2" t="inlineStr">
        <is>
          <t>equip_xuanwuchui</t>
        </is>
      </c>
      <c r="C137" s="2" t="inlineStr">
        <is>
          <t>玄武锤</t>
        </is>
      </c>
      <c r="D137" s="2" t="inlineStr">
        <is>
          <t>weapon</t>
        </is>
      </c>
      <c r="E137" s="2" t="inlineStr">
        <is>
          <t>武器</t>
        </is>
      </c>
      <c r="F137" s="2" t="inlineStr">
        <is>
          <t>equip_weapon</t>
        </is>
      </c>
      <c r="G137" s="2" t="inlineStr">
        <is>
          <t>purple</t>
        </is>
      </c>
      <c r="H137" s="2" t="inlineStr">
        <is>
          <t>史诗/紫</t>
        </is>
      </c>
      <c r="I137" s="2" t="inlineStr">
        <is>
          <t>xuanwu_set</t>
        </is>
      </c>
      <c r="J137" s="3" t="inlineStr">
        <is>
          <t>玄武套装</t>
        </is>
      </c>
      <c r="K137" s="3" t="inlineStr">
        <is>
          <t>锤头铸成玄武形状，是玄武山庄的传承之物。</t>
        </is>
      </c>
      <c r="L137" s="4" t="n">
        <v>16000</v>
      </c>
      <c r="M137" s="4" t="n">
        <v>150</v>
      </c>
      <c r="N137" s="2" t="inlineStr">
        <is>
          <t>是</t>
        </is>
      </c>
      <c r="O137" s="4" t="n">
        <v>350</v>
      </c>
      <c r="P137" s="4" t="n">
        <v>13</v>
      </c>
      <c r="Q137" s="4" t="n">
        <v>64</v>
      </c>
      <c r="R137" s="4" t="n">
        <v>0</v>
      </c>
      <c r="S137" s="4" t="n">
        <v>0</v>
      </c>
      <c r="T137" s="4" t="n">
        <v>0</v>
      </c>
      <c r="U137" s="4" t="n">
        <v>0</v>
      </c>
      <c r="V137" s="5">
        <f>SUM(O137:U137)</f>
        <v/>
      </c>
      <c r="W137" s="6">
        <f>O137*'强度系数说明'!$B$7+P137*'强度系数说明'!$B$8+Q137*'强度系数说明'!$B$9+R137*'强度系数说明'!$B$10+S137*'强度系数说明'!$B$11+T137*'强度系数说明'!$B$12+U137*'强度系数说明'!$B$13</f>
        <v/>
      </c>
      <c r="X137" s="7">
        <f>SUMPRODUCT((O137:U137&gt;0)*O137:U137)</f>
        <v/>
      </c>
      <c r="Y137" s="2" t="inlineStr">
        <is>
          <t>否</t>
        </is>
      </c>
      <c r="Z137" s="2" t="inlineStr"/>
      <c r="AA137" s="4" t="inlineStr"/>
      <c r="AB137" s="4" t="inlineStr"/>
      <c r="AC137" s="3" t="inlineStr"/>
      <c r="AD137" s="3" t="inlineStr">
        <is>
          <t>{"bonus":{"defense":70,"force":20,"hp":260},"pieces":4}</t>
        </is>
      </c>
      <c r="AE137" s="3" t="inlineStr">
        <is>
          <t>{"defense":13,"force":64,"hp":350,"set_bonus":{"bonus":{"defense":70,"force":20,"hp":260},"pieces":4},"set_description":"玄武套装","set_key":"xuanwu_set"}</t>
        </is>
      </c>
      <c r="AF137" s="3" t="inlineStr">
        <is>
          <t>data/item_templates.yaml:L4979</t>
        </is>
      </c>
    </row>
    <row r="138">
      <c r="A138" s="2" t="n">
        <v>137</v>
      </c>
      <c r="B138" s="2" t="inlineStr">
        <is>
          <t>equip_fenglingshan</t>
        </is>
      </c>
      <c r="C138" s="2" t="inlineStr">
        <is>
          <t>凤翎扇</t>
        </is>
      </c>
      <c r="D138" s="2" t="inlineStr">
        <is>
          <t>weapon</t>
        </is>
      </c>
      <c r="E138" s="2" t="inlineStr">
        <is>
          <t>武器</t>
        </is>
      </c>
      <c r="F138" s="2" t="inlineStr">
        <is>
          <t>equip_weapon</t>
        </is>
      </c>
      <c r="G138" s="2" t="inlineStr">
        <is>
          <t>purple</t>
        </is>
      </c>
      <c r="H138" s="2" t="inlineStr">
        <is>
          <t>史诗/紫</t>
        </is>
      </c>
      <c r="I138" s="2" t="inlineStr">
        <is>
          <t>fengling_set</t>
        </is>
      </c>
      <c r="J138" s="3" t="inlineStr">
        <is>
          <t>凤翎套装</t>
        </is>
      </c>
      <c r="K138" s="3" t="inlineStr">
        <is>
          <t>以凤凰翎羽装饰的雅扇，传说是某位宫廷术士的遗物。</t>
        </is>
      </c>
      <c r="L138" s="4" t="n">
        <v>16000</v>
      </c>
      <c r="M138" s="4" t="n">
        <v>150</v>
      </c>
      <c r="N138" s="2" t="inlineStr">
        <is>
          <t>是</t>
        </is>
      </c>
      <c r="O138" s="4" t="n">
        <v>0</v>
      </c>
      <c r="P138" s="4" t="n">
        <v>0</v>
      </c>
      <c r="Q138" s="4" t="n">
        <v>15</v>
      </c>
      <c r="R138" s="4" t="n">
        <v>45</v>
      </c>
      <c r="S138" s="4" t="n">
        <v>0</v>
      </c>
      <c r="T138" s="4" t="n">
        <v>20</v>
      </c>
      <c r="U138" s="4" t="n">
        <v>0</v>
      </c>
      <c r="V138" s="5">
        <f>SUM(O138:U138)</f>
        <v/>
      </c>
      <c r="W138" s="6">
        <f>O138*'强度系数说明'!$B$7+P138*'强度系数说明'!$B$8+Q138*'强度系数说明'!$B$9+R138*'强度系数说明'!$B$10+S138*'强度系数说明'!$B$11+T138*'强度系数说明'!$B$12+U138*'强度系数说明'!$B$13</f>
        <v/>
      </c>
      <c r="X138" s="7">
        <f>SUMPRODUCT((O138:U138&gt;0)*O138:U138)</f>
        <v/>
      </c>
      <c r="Y138" s="2" t="inlineStr">
        <is>
          <t>否</t>
        </is>
      </c>
      <c r="Z138" s="2" t="inlineStr"/>
      <c r="AA138" s="4" t="inlineStr"/>
      <c r="AB138" s="4" t="inlineStr"/>
      <c r="AC138" s="3" t="inlineStr"/>
      <c r="AD138" s="3" t="inlineStr">
        <is>
          <t>{"bonus":{"intellect":60,"luck":30},"pieces":3}</t>
        </is>
      </c>
      <c r="AE138" s="3" t="inlineStr">
        <is>
          <t>{"force":15,"intellect":45,"luck":20,"set_bonus":{"bonus":{"intellect":60,"luck":30},"pieces":3},"set_description":"凤翎套装","set_key":"fengling_set"}</t>
        </is>
      </c>
      <c r="AF138" s="3" t="inlineStr">
        <is>
          <t>data/item_templates.yaml:L5000</t>
        </is>
      </c>
    </row>
    <row r="139">
      <c r="A139" s="2" t="n">
        <v>138</v>
      </c>
      <c r="B139" s="2" t="inlineStr">
        <is>
          <t>equip_qixingjian</t>
        </is>
      </c>
      <c r="C139" s="2" t="inlineStr">
        <is>
          <t>七星剑</t>
        </is>
      </c>
      <c r="D139" s="2" t="inlineStr">
        <is>
          <t>weapon</t>
        </is>
      </c>
      <c r="E139" s="2" t="inlineStr">
        <is>
          <t>武器</t>
        </is>
      </c>
      <c r="F139" s="2" t="inlineStr">
        <is>
          <t>equip_weapon</t>
        </is>
      </c>
      <c r="G139" s="2" t="inlineStr">
        <is>
          <t>purple</t>
        </is>
      </c>
      <c r="H139" s="2" t="inlineStr">
        <is>
          <t>史诗/紫</t>
        </is>
      </c>
      <c r="I139" s="2" t="inlineStr"/>
      <c r="J139" s="3" t="inlineStr"/>
      <c r="K139" s="3" t="inlineStr">
        <is>
          <t>剑身铸有北斗七星纹路，是道门镇压邪祟的法器。</t>
        </is>
      </c>
      <c r="L139" s="4" t="n">
        <v>16000</v>
      </c>
      <c r="M139" s="4" t="n">
        <v>150</v>
      </c>
      <c r="N139" s="2" t="inlineStr">
        <is>
          <t>是</t>
        </is>
      </c>
      <c r="O139" s="4" t="n">
        <v>0</v>
      </c>
      <c r="P139" s="4" t="n">
        <v>0</v>
      </c>
      <c r="Q139" s="4" t="n">
        <v>47</v>
      </c>
      <c r="R139" s="4" t="n">
        <v>19</v>
      </c>
      <c r="S139" s="4" t="n">
        <v>16</v>
      </c>
      <c r="T139" s="4" t="n">
        <v>0</v>
      </c>
      <c r="U139" s="4" t="n">
        <v>0</v>
      </c>
      <c r="V139" s="5">
        <f>SUM(O139:U139)</f>
        <v/>
      </c>
      <c r="W139" s="6">
        <f>O139*'强度系数说明'!$B$7+P139*'强度系数说明'!$B$8+Q139*'强度系数说明'!$B$9+R139*'强度系数说明'!$B$10+S139*'强度系数说明'!$B$11+T139*'强度系数说明'!$B$12+U139*'强度系数说明'!$B$13</f>
        <v/>
      </c>
      <c r="X139" s="7">
        <f>SUMPRODUCT((O139:U139&gt;0)*O139:U139)</f>
        <v/>
      </c>
      <c r="Y139" s="2" t="inlineStr">
        <is>
          <t>否</t>
        </is>
      </c>
      <c r="Z139" s="2" t="inlineStr"/>
      <c r="AA139" s="4" t="inlineStr"/>
      <c r="AB139" s="4" t="inlineStr"/>
      <c r="AC139" s="3" t="inlineStr"/>
      <c r="AD139" s="3" t="inlineStr"/>
      <c r="AE139" s="3" t="inlineStr">
        <is>
          <t>{"agility":16,"force":47,"intellect":19}</t>
        </is>
      </c>
      <c r="AF139" s="3" t="inlineStr">
        <is>
          <t>data/item_templates.yaml:L5020</t>
        </is>
      </c>
    </row>
    <row r="140">
      <c r="A140" s="2" t="n">
        <v>139</v>
      </c>
      <c r="B140" s="2" t="inlineStr">
        <is>
          <t>equip_tulongdao</t>
        </is>
      </c>
      <c r="C140" s="2" t="inlineStr">
        <is>
          <t>屠龙刀</t>
        </is>
      </c>
      <c r="D140" s="2" t="inlineStr">
        <is>
          <t>weapon</t>
        </is>
      </c>
      <c r="E140" s="2" t="inlineStr">
        <is>
          <t>武器</t>
        </is>
      </c>
      <c r="F140" s="2" t="inlineStr">
        <is>
          <t>equip_weapon</t>
        </is>
      </c>
      <c r="G140" s="2" t="inlineStr">
        <is>
          <t>purple</t>
        </is>
      </c>
      <c r="H140" s="2" t="inlineStr">
        <is>
          <t>史诗/紫</t>
        </is>
      </c>
      <c r="I140" s="2" t="inlineStr"/>
      <c r="J140" s="3" t="inlineStr"/>
      <c r="K140" s="3" t="inlineStr">
        <is>
          <t>传说中斩龙的神兵，刀身隐隐有龙吟之声回荡。</t>
        </is>
      </c>
      <c r="L140" s="4" t="n">
        <v>16000</v>
      </c>
      <c r="M140" s="4" t="n">
        <v>150</v>
      </c>
      <c r="N140" s="2" t="inlineStr">
        <is>
          <t>是</t>
        </is>
      </c>
      <c r="O140" s="4" t="n">
        <v>271</v>
      </c>
      <c r="P140" s="4" t="n">
        <v>0</v>
      </c>
      <c r="Q140" s="4" t="n">
        <v>77</v>
      </c>
      <c r="R140" s="4" t="n">
        <v>0</v>
      </c>
      <c r="S140" s="4" t="n">
        <v>0</v>
      </c>
      <c r="T140" s="4" t="n">
        <v>0</v>
      </c>
      <c r="U140" s="4" t="n">
        <v>0</v>
      </c>
      <c r="V140" s="5">
        <f>SUM(O140:U140)</f>
        <v/>
      </c>
      <c r="W140" s="6">
        <f>O140*'强度系数说明'!$B$7+P140*'强度系数说明'!$B$8+Q140*'强度系数说明'!$B$9+R140*'强度系数说明'!$B$10+S140*'强度系数说明'!$B$11+T140*'强度系数说明'!$B$12+U140*'强度系数说明'!$B$13</f>
        <v/>
      </c>
      <c r="X140" s="7">
        <f>SUMPRODUCT((O140:U140&gt;0)*O140:U140)</f>
        <v/>
      </c>
      <c r="Y140" s="2" t="inlineStr">
        <is>
          <t>否</t>
        </is>
      </c>
      <c r="Z140" s="2" t="inlineStr"/>
      <c r="AA140" s="4" t="inlineStr"/>
      <c r="AB140" s="4" t="inlineStr"/>
      <c r="AC140" s="3" t="inlineStr"/>
      <c r="AD140" s="3" t="inlineStr"/>
      <c r="AE140" s="3" t="inlineStr">
        <is>
          <t>{"force":77,"hp":271}</t>
        </is>
      </c>
      <c r="AF140" s="3" t="inlineStr">
        <is>
          <t>data/item_templates.yaml:L5034</t>
        </is>
      </c>
    </row>
    <row r="141">
      <c r="A141" s="2" t="n">
        <v>140</v>
      </c>
      <c r="B141" s="2" t="inlineStr">
        <is>
          <t>equip_tianjizhang</t>
        </is>
      </c>
      <c r="C141" s="2" t="inlineStr">
        <is>
          <t>天机杖</t>
        </is>
      </c>
      <c r="D141" s="2" t="inlineStr">
        <is>
          <t>weapon</t>
        </is>
      </c>
      <c r="E141" s="2" t="inlineStr">
        <is>
          <t>武器</t>
        </is>
      </c>
      <c r="F141" s="2" t="inlineStr">
        <is>
          <t>equip_weapon</t>
        </is>
      </c>
      <c r="G141" s="2" t="inlineStr">
        <is>
          <t>purple</t>
        </is>
      </c>
      <c r="H141" s="2" t="inlineStr">
        <is>
          <t>史诗/紫</t>
        </is>
      </c>
      <c r="I141" s="2" t="inlineStr"/>
      <c r="J141" s="3" t="inlineStr"/>
      <c r="K141" s="3" t="inlineStr">
        <is>
          <t>天机门掌门的法杖，杖身刻有天干地支与八卦符文。</t>
        </is>
      </c>
      <c r="L141" s="4" t="n">
        <v>16000</v>
      </c>
      <c r="M141" s="4" t="n">
        <v>150</v>
      </c>
      <c r="N141" s="2" t="inlineStr">
        <is>
          <t>是</t>
        </is>
      </c>
      <c r="O141" s="4" t="n">
        <v>187</v>
      </c>
      <c r="P141" s="4" t="n">
        <v>0</v>
      </c>
      <c r="Q141" s="4" t="n">
        <v>41</v>
      </c>
      <c r="R141" s="4" t="n">
        <v>22</v>
      </c>
      <c r="S141" s="4" t="n">
        <v>0</v>
      </c>
      <c r="T141" s="4" t="n">
        <v>15</v>
      </c>
      <c r="U141" s="4" t="n">
        <v>0</v>
      </c>
      <c r="V141" s="5">
        <f>SUM(O141:U141)</f>
        <v/>
      </c>
      <c r="W141" s="6">
        <f>O141*'强度系数说明'!$B$7+P141*'强度系数说明'!$B$8+Q141*'强度系数说明'!$B$9+R141*'强度系数说明'!$B$10+S141*'强度系数说明'!$B$11+T141*'强度系数说明'!$B$12+U141*'强度系数说明'!$B$13</f>
        <v/>
      </c>
      <c r="X141" s="7">
        <f>SUMPRODUCT((O141:U141&gt;0)*O141:U141)</f>
        <v/>
      </c>
      <c r="Y141" s="2" t="inlineStr">
        <is>
          <t>否</t>
        </is>
      </c>
      <c r="Z141" s="2" t="inlineStr"/>
      <c r="AA141" s="4" t="inlineStr"/>
      <c r="AB141" s="4" t="inlineStr"/>
      <c r="AC141" s="3" t="inlineStr"/>
      <c r="AD141" s="3" t="inlineStr"/>
      <c r="AE141" s="3" t="inlineStr">
        <is>
          <t>{"force":41,"hp":187,"intellect":22,"luck":15}</t>
        </is>
      </c>
      <c r="AF141" s="3" t="inlineStr">
        <is>
          <t>data/item_templates.yaml:L5047</t>
        </is>
      </c>
    </row>
    <row r="142">
      <c r="A142" s="2" t="n">
        <v>141</v>
      </c>
      <c r="B142" s="2" t="inlineStr">
        <is>
          <t>equip_baguadao</t>
        </is>
      </c>
      <c r="C142" s="2" t="inlineStr">
        <is>
          <t>八卦刀</t>
        </is>
      </c>
      <c r="D142" s="2" t="inlineStr">
        <is>
          <t>weapon</t>
        </is>
      </c>
      <c r="E142" s="2" t="inlineStr">
        <is>
          <t>武器</t>
        </is>
      </c>
      <c r="F142" s="2" t="inlineStr">
        <is>
          <t>equip_weapon</t>
        </is>
      </c>
      <c r="G142" s="2" t="inlineStr">
        <is>
          <t>blue</t>
        </is>
      </c>
      <c r="H142" s="2" t="inlineStr">
        <is>
          <t>稀有/蓝</t>
        </is>
      </c>
      <c r="I142" s="2" t="inlineStr"/>
      <c r="J142" s="3" t="inlineStr"/>
      <c r="K142" s="3" t="inlineStr">
        <is>
          <t>刀脊镌有八卦方位与阴阳回纹，挥斩之间善借转势破局，越在乱阵中越显锋芒。</t>
        </is>
      </c>
      <c r="L142" s="4" t="n">
        <v>6000</v>
      </c>
      <c r="M142" s="4" t="n">
        <v>100</v>
      </c>
      <c r="N142" s="2" t="inlineStr">
        <is>
          <t>是</t>
        </is>
      </c>
      <c r="O142" s="4" t="n">
        <v>200</v>
      </c>
      <c r="P142" s="4" t="n">
        <v>5</v>
      </c>
      <c r="Q142" s="4" t="n">
        <v>40</v>
      </c>
      <c r="R142" s="4" t="n">
        <v>20</v>
      </c>
      <c r="S142" s="4" t="n">
        <v>0</v>
      </c>
      <c r="T142" s="4" t="n">
        <v>0</v>
      </c>
      <c r="U142" s="4" t="n">
        <v>0</v>
      </c>
      <c r="V142" s="5">
        <f>SUM(O142:U142)</f>
        <v/>
      </c>
      <c r="W142" s="6">
        <f>O142*'强度系数说明'!$B$7+P142*'强度系数说明'!$B$8+Q142*'强度系数说明'!$B$9+R142*'强度系数说明'!$B$10+S142*'强度系数说明'!$B$11+T142*'强度系数说明'!$B$12+U142*'强度系数说明'!$B$13</f>
        <v/>
      </c>
      <c r="X142" s="7">
        <f>SUMPRODUCT((O142:U142&gt;0)*O142:U142)</f>
        <v/>
      </c>
      <c r="Y142" s="2" t="inlineStr">
        <is>
          <t>否</t>
        </is>
      </c>
      <c r="Z142" s="2" t="inlineStr"/>
      <c r="AA142" s="4" t="inlineStr"/>
      <c r="AB142" s="4" t="inlineStr"/>
      <c r="AC142" s="3" t="inlineStr"/>
      <c r="AD142" s="3" t="inlineStr"/>
      <c r="AE142" s="3" t="inlineStr">
        <is>
          <t>{"defense":5,"force":40,"hp":200,"intellect":20}</t>
        </is>
      </c>
      <c r="AF142" s="3" t="inlineStr">
        <is>
          <t>data/item_templates.yaml:L5062</t>
        </is>
      </c>
    </row>
    <row r="143">
      <c r="A143" s="2" t="n">
        <v>142</v>
      </c>
      <c r="B143" s="2" t="inlineStr">
        <is>
          <t>equip_pojunji</t>
        </is>
      </c>
      <c r="C143" s="2" t="inlineStr">
        <is>
          <t>破军戟</t>
        </is>
      </c>
      <c r="D143" s="2" t="inlineStr">
        <is>
          <t>weapon</t>
        </is>
      </c>
      <c r="E143" s="2" t="inlineStr">
        <is>
          <t>武器</t>
        </is>
      </c>
      <c r="F143" s="2" t="inlineStr">
        <is>
          <t>equip_weapon</t>
        </is>
      </c>
      <c r="G143" s="2" t="inlineStr">
        <is>
          <t>purple</t>
        </is>
      </c>
      <c r="H143" s="2" t="inlineStr">
        <is>
          <t>史诗/紫</t>
        </is>
      </c>
      <c r="I143" s="2" t="inlineStr"/>
      <c r="J143" s="3" t="inlineStr"/>
      <c r="K143" s="3" t="inlineStr">
        <is>
          <t>以破军星位锻造的神戟，据传戴者必成一方悍将。</t>
        </is>
      </c>
      <c r="L143" s="4" t="n">
        <v>16000</v>
      </c>
      <c r="M143" s="4" t="n">
        <v>150</v>
      </c>
      <c r="N143" s="2" t="inlineStr">
        <is>
          <t>是</t>
        </is>
      </c>
      <c r="O143" s="4" t="n">
        <v>214</v>
      </c>
      <c r="P143" s="4" t="n">
        <v>0</v>
      </c>
      <c r="Q143" s="4" t="n">
        <v>50</v>
      </c>
      <c r="R143" s="4" t="n">
        <v>0</v>
      </c>
      <c r="S143" s="4" t="n">
        <v>12</v>
      </c>
      <c r="T143" s="4" t="n">
        <v>0</v>
      </c>
      <c r="U143" s="4" t="n">
        <v>34</v>
      </c>
      <c r="V143" s="5">
        <f>SUM(O143:U143)</f>
        <v/>
      </c>
      <c r="W143" s="6">
        <f>O143*'强度系数说明'!$B$7+P143*'强度系数说明'!$B$8+Q143*'强度系数说明'!$B$9+R143*'强度系数说明'!$B$10+S143*'强度系数说明'!$B$11+T143*'强度系数说明'!$B$12+U143*'强度系数说明'!$B$13</f>
        <v/>
      </c>
      <c r="X143" s="7">
        <f>SUMPRODUCT((O143:U143&gt;0)*O143:U143)</f>
        <v/>
      </c>
      <c r="Y143" s="2" t="inlineStr">
        <is>
          <t>否</t>
        </is>
      </c>
      <c r="Z143" s="2" t="inlineStr"/>
      <c r="AA143" s="4" t="inlineStr"/>
      <c r="AB143" s="4" t="inlineStr"/>
      <c r="AC143" s="3" t="inlineStr"/>
      <c r="AD143" s="3" t="inlineStr"/>
      <c r="AE143" s="3" t="inlineStr">
        <is>
          <t>{"agility":12,"force":50,"hp":214,"troop_capacity":34}</t>
        </is>
      </c>
      <c r="AF143" s="3" t="inlineStr">
        <is>
          <t>data/item_templates.yaml:L5077</t>
        </is>
      </c>
    </row>
    <row r="144">
      <c r="A144" s="2" t="n">
        <v>143</v>
      </c>
      <c r="B144" s="2" t="inlineStr">
        <is>
          <t>equip_shuanghuagong</t>
        </is>
      </c>
      <c r="C144" s="2" t="inlineStr">
        <is>
          <t>霜华弓</t>
        </is>
      </c>
      <c r="D144" s="2" t="inlineStr">
        <is>
          <t>weapon</t>
        </is>
      </c>
      <c r="E144" s="2" t="inlineStr">
        <is>
          <t>武器</t>
        </is>
      </c>
      <c r="F144" s="2" t="inlineStr">
        <is>
          <t>equip_weapon</t>
        </is>
      </c>
      <c r="G144" s="2" t="inlineStr">
        <is>
          <t>purple</t>
        </is>
      </c>
      <c r="H144" s="2" t="inlineStr">
        <is>
          <t>史诗/紫</t>
        </is>
      </c>
      <c r="I144" s="2" t="inlineStr"/>
      <c r="J144" s="3" t="inlineStr"/>
      <c r="K144" s="3" t="inlineStr">
        <is>
          <t>弓身覆有永不消融的霜华，据传出自上古冰神遗藏。</t>
        </is>
      </c>
      <c r="L144" s="4" t="n">
        <v>16000</v>
      </c>
      <c r="M144" s="4" t="n">
        <v>150</v>
      </c>
      <c r="N144" s="2" t="inlineStr">
        <is>
          <t>是</t>
        </is>
      </c>
      <c r="O144" s="4" t="n">
        <v>0</v>
      </c>
      <c r="P144" s="4" t="n">
        <v>0</v>
      </c>
      <c r="Q144" s="4" t="n">
        <v>44</v>
      </c>
      <c r="R144" s="4" t="n">
        <v>0</v>
      </c>
      <c r="S144" s="4" t="n">
        <v>22</v>
      </c>
      <c r="T144" s="4" t="n">
        <v>14</v>
      </c>
      <c r="U144" s="4" t="n">
        <v>0</v>
      </c>
      <c r="V144" s="5">
        <f>SUM(O144:U144)</f>
        <v/>
      </c>
      <c r="W144" s="6">
        <f>O144*'强度系数说明'!$B$7+P144*'强度系数说明'!$B$8+Q144*'强度系数说明'!$B$9+R144*'强度系数说明'!$B$10+S144*'强度系数说明'!$B$11+T144*'强度系数说明'!$B$12+U144*'强度系数说明'!$B$13</f>
        <v/>
      </c>
      <c r="X144" s="7">
        <f>SUMPRODUCT((O144:U144&gt;0)*O144:U144)</f>
        <v/>
      </c>
      <c r="Y144" s="2" t="inlineStr">
        <is>
          <t>否</t>
        </is>
      </c>
      <c r="Z144" s="2" t="inlineStr"/>
      <c r="AA144" s="4" t="inlineStr"/>
      <c r="AB144" s="4" t="inlineStr"/>
      <c r="AC144" s="3" t="inlineStr"/>
      <c r="AD144" s="3" t="inlineStr"/>
      <c r="AE144" s="3" t="inlineStr">
        <is>
          <t>{"agility":22,"force":44,"luck":14}</t>
        </is>
      </c>
      <c r="AF144" s="3" t="inlineStr">
        <is>
          <t>data/item_templates.yaml:L5092</t>
        </is>
      </c>
    </row>
    <row r="145">
      <c r="A145" s="2" t="n">
        <v>144</v>
      </c>
      <c r="B145" s="2" t="inlineStr">
        <is>
          <t>equip_jinshejian</t>
        </is>
      </c>
      <c r="C145" s="2" t="inlineStr">
        <is>
          <t>金蛇剑</t>
        </is>
      </c>
      <c r="D145" s="2" t="inlineStr">
        <is>
          <t>weapon</t>
        </is>
      </c>
      <c r="E145" s="2" t="inlineStr">
        <is>
          <t>武器</t>
        </is>
      </c>
      <c r="F145" s="2" t="inlineStr">
        <is>
          <t>equip_weapon</t>
        </is>
      </c>
      <c r="G145" s="2" t="inlineStr">
        <is>
          <t>purple</t>
        </is>
      </c>
      <c r="H145" s="2" t="inlineStr">
        <is>
          <t>史诗/紫</t>
        </is>
      </c>
      <c r="I145" s="2" t="inlineStr"/>
      <c r="J145" s="3" t="inlineStr"/>
      <c r="K145" s="3" t="inlineStr">
        <is>
          <t>剑身如蛇般柔韧，传说是以千年金蛇筋骨铸成。</t>
        </is>
      </c>
      <c r="L145" s="4" t="n">
        <v>16000</v>
      </c>
      <c r="M145" s="4" t="n">
        <v>150</v>
      </c>
      <c r="N145" s="2" t="inlineStr">
        <is>
          <t>是</t>
        </is>
      </c>
      <c r="O145" s="4" t="n">
        <v>0</v>
      </c>
      <c r="P145" s="4" t="n">
        <v>0</v>
      </c>
      <c r="Q145" s="4" t="n">
        <v>45</v>
      </c>
      <c r="R145" s="4" t="n">
        <v>0</v>
      </c>
      <c r="S145" s="4" t="n">
        <v>20</v>
      </c>
      <c r="T145" s="4" t="n">
        <v>15</v>
      </c>
      <c r="U145" s="4" t="n">
        <v>0</v>
      </c>
      <c r="V145" s="5">
        <f>SUM(O145:U145)</f>
        <v/>
      </c>
      <c r="W145" s="6">
        <f>O145*'强度系数说明'!$B$7+P145*'强度系数说明'!$B$8+Q145*'强度系数说明'!$B$9+R145*'强度系数说明'!$B$10+S145*'强度系数说明'!$B$11+T145*'强度系数说明'!$B$12+U145*'强度系数说明'!$B$13</f>
        <v/>
      </c>
      <c r="X145" s="7">
        <f>SUMPRODUCT((O145:U145&gt;0)*O145:U145)</f>
        <v/>
      </c>
      <c r="Y145" s="2" t="inlineStr">
        <is>
          <t>否</t>
        </is>
      </c>
      <c r="Z145" s="2" t="inlineStr"/>
      <c r="AA145" s="4" t="inlineStr"/>
      <c r="AB145" s="4" t="inlineStr"/>
      <c r="AC145" s="3" t="inlineStr"/>
      <c r="AD145" s="3" t="inlineStr"/>
      <c r="AE145" s="3" t="inlineStr">
        <is>
          <t>{"agility":20,"force":45,"luck":15}</t>
        </is>
      </c>
      <c r="AF145" s="3" t="inlineStr">
        <is>
          <t>data/item_templates.yaml:L5106</t>
        </is>
      </c>
    </row>
    <row r="146">
      <c r="A146" s="2" t="n">
        <v>145</v>
      </c>
      <c r="B146" s="2" t="inlineStr">
        <is>
          <t>equip_duomingfeidao</t>
        </is>
      </c>
      <c r="C146" s="2" t="inlineStr">
        <is>
          <t>夺命飞刀</t>
        </is>
      </c>
      <c r="D146" s="2" t="inlineStr">
        <is>
          <t>weapon</t>
        </is>
      </c>
      <c r="E146" s="2" t="inlineStr">
        <is>
          <t>武器</t>
        </is>
      </c>
      <c r="F146" s="2" t="inlineStr">
        <is>
          <t>equip_weapon</t>
        </is>
      </c>
      <c r="G146" s="2" t="inlineStr">
        <is>
          <t>purple</t>
        </is>
      </c>
      <c r="H146" s="2" t="inlineStr">
        <is>
          <t>史诗/紫</t>
        </is>
      </c>
      <c r="I146" s="2" t="inlineStr"/>
      <c r="J146" s="3" t="inlineStr"/>
      <c r="K146" s="3" t="inlineStr">
        <is>
          <t>江湖传说中的夺命暗器，据说出自"飞刀门"的独门铸造。</t>
        </is>
      </c>
      <c r="L146" s="4" t="n">
        <v>16000</v>
      </c>
      <c r="M146" s="4" t="n">
        <v>150</v>
      </c>
      <c r="N146" s="2" t="inlineStr">
        <is>
          <t>是</t>
        </is>
      </c>
      <c r="O146" s="4" t="n">
        <v>0</v>
      </c>
      <c r="P146" s="4" t="n">
        <v>0</v>
      </c>
      <c r="Q146" s="4" t="n">
        <v>38</v>
      </c>
      <c r="R146" s="4" t="n">
        <v>0</v>
      </c>
      <c r="S146" s="4" t="n">
        <v>27</v>
      </c>
      <c r="T146" s="4" t="n">
        <v>16</v>
      </c>
      <c r="U146" s="4" t="n">
        <v>0</v>
      </c>
      <c r="V146" s="5">
        <f>SUM(O146:U146)</f>
        <v/>
      </c>
      <c r="W146" s="6">
        <f>O146*'强度系数说明'!$B$7+P146*'强度系数说明'!$B$8+Q146*'强度系数说明'!$B$9+R146*'强度系数说明'!$B$10+S146*'强度系数说明'!$B$11+T146*'强度系数说明'!$B$12+U146*'强度系数说明'!$B$13</f>
        <v/>
      </c>
      <c r="X146" s="7">
        <f>SUMPRODUCT((O146:U146&gt;0)*O146:U146)</f>
        <v/>
      </c>
      <c r="Y146" s="2" t="inlineStr">
        <is>
          <t>否</t>
        </is>
      </c>
      <c r="Z146" s="2" t="inlineStr"/>
      <c r="AA146" s="4" t="inlineStr"/>
      <c r="AB146" s="4" t="inlineStr"/>
      <c r="AC146" s="3" t="inlineStr"/>
      <c r="AD146" s="3" t="inlineStr"/>
      <c r="AE146" s="3" t="inlineStr">
        <is>
          <t>{"agility":27,"force":38,"luck":16}</t>
        </is>
      </c>
      <c r="AF146" s="3" t="inlineStr">
        <is>
          <t>data/item_templates.yaml:L5120</t>
        </is>
      </c>
    </row>
    <row r="147">
      <c r="A147" s="2" t="n">
        <v>146</v>
      </c>
      <c r="B147" s="2" t="inlineStr">
        <is>
          <t>equip_ziweiruanjian</t>
        </is>
      </c>
      <c r="C147" s="2" t="inlineStr">
        <is>
          <t>紫薇软剑</t>
        </is>
      </c>
      <c r="D147" s="2" t="inlineStr">
        <is>
          <t>weapon</t>
        </is>
      </c>
      <c r="E147" s="2" t="inlineStr">
        <is>
          <t>武器</t>
        </is>
      </c>
      <c r="F147" s="2" t="inlineStr">
        <is>
          <t>equip_weapon</t>
        </is>
      </c>
      <c r="G147" s="2" t="inlineStr">
        <is>
          <t>purple</t>
        </is>
      </c>
      <c r="H147" s="2" t="inlineStr">
        <is>
          <t>史诗/紫</t>
        </is>
      </c>
      <c r="I147" s="2" t="inlineStr"/>
      <c r="J147" s="3" t="inlineStr"/>
      <c r="K147" s="3" t="inlineStr">
        <is>
          <t>剑身长约三尺紫光闪烁，极其柔软发出一片如烟如雾的紫气。断金如泥，锐不可当，剑柄上用金丝盘着两个篆文乃是“紫薇”两字。</t>
        </is>
      </c>
      <c r="L147" s="4" t="n">
        <v>16000</v>
      </c>
      <c r="M147" s="4" t="n">
        <v>150</v>
      </c>
      <c r="N147" s="2" t="inlineStr">
        <is>
          <t>是</t>
        </is>
      </c>
      <c r="O147" s="4" t="n">
        <v>0</v>
      </c>
      <c r="P147" s="4" t="n">
        <v>0</v>
      </c>
      <c r="Q147" s="4" t="n">
        <v>46</v>
      </c>
      <c r="R147" s="4" t="n">
        <v>0</v>
      </c>
      <c r="S147" s="4" t="n">
        <v>22</v>
      </c>
      <c r="T147" s="4" t="n">
        <v>13</v>
      </c>
      <c r="U147" s="4" t="n">
        <v>0</v>
      </c>
      <c r="V147" s="5">
        <f>SUM(O147:U147)</f>
        <v/>
      </c>
      <c r="W147" s="6">
        <f>O147*'强度系数说明'!$B$7+P147*'强度系数说明'!$B$8+Q147*'强度系数说明'!$B$9+R147*'强度系数说明'!$B$10+S147*'强度系数说明'!$B$11+T147*'强度系数说明'!$B$12+U147*'强度系数说明'!$B$13</f>
        <v/>
      </c>
      <c r="X147" s="7">
        <f>SUMPRODUCT((O147:U147&gt;0)*O147:U147)</f>
        <v/>
      </c>
      <c r="Y147" s="2" t="inlineStr">
        <is>
          <t>否</t>
        </is>
      </c>
      <c r="Z147" s="2" t="inlineStr"/>
      <c r="AA147" s="4" t="inlineStr"/>
      <c r="AB147" s="4" t="inlineStr"/>
      <c r="AC147" s="3" t="inlineStr"/>
      <c r="AD147" s="3" t="inlineStr"/>
      <c r="AE147" s="3" t="inlineStr">
        <is>
          <t>{"agility":22,"force":46,"luck":13}</t>
        </is>
      </c>
      <c r="AF147" s="3" t="inlineStr">
        <is>
          <t>data/item_templates.yaml:L5134</t>
        </is>
      </c>
    </row>
    <row r="148">
      <c r="A148" s="2" t="n">
        <v>147</v>
      </c>
      <c r="B148" s="2" t="inlineStr">
        <is>
          <t>equip_yuxiao</t>
        </is>
      </c>
      <c r="C148" s="2" t="inlineStr">
        <is>
          <t>玉箫</t>
        </is>
      </c>
      <c r="D148" s="2" t="inlineStr">
        <is>
          <t>weapon</t>
        </is>
      </c>
      <c r="E148" s="2" t="inlineStr">
        <is>
          <t>武器</t>
        </is>
      </c>
      <c r="F148" s="2" t="inlineStr">
        <is>
          <t>equip_weapon</t>
        </is>
      </c>
      <c r="G148" s="2" t="inlineStr">
        <is>
          <t>purple</t>
        </is>
      </c>
      <c r="H148" s="2" t="inlineStr">
        <is>
          <t>史诗/紫</t>
        </is>
      </c>
      <c r="I148" s="2" t="inlineStr"/>
      <c r="J148" s="3" t="inlineStr"/>
      <c r="K148" s="3" t="inlineStr">
        <is>
          <t>以昆仑玉雕刻的乐器，相传是某位琴魔的心爱之物。</t>
        </is>
      </c>
      <c r="L148" s="4" t="n">
        <v>16000</v>
      </c>
      <c r="M148" s="4" t="n">
        <v>150</v>
      </c>
      <c r="N148" s="2" t="inlineStr">
        <is>
          <t>是</t>
        </is>
      </c>
      <c r="O148" s="4" t="n">
        <v>85</v>
      </c>
      <c r="P148" s="4" t="n">
        <v>0</v>
      </c>
      <c r="Q148" s="4" t="n">
        <v>36</v>
      </c>
      <c r="R148" s="4" t="n">
        <v>29</v>
      </c>
      <c r="S148" s="4" t="n">
        <v>0</v>
      </c>
      <c r="T148" s="4" t="n">
        <v>13</v>
      </c>
      <c r="U148" s="4" t="n">
        <v>0</v>
      </c>
      <c r="V148" s="5">
        <f>SUM(O148:U148)</f>
        <v/>
      </c>
      <c r="W148" s="6">
        <f>O148*'强度系数说明'!$B$7+P148*'强度系数说明'!$B$8+Q148*'强度系数说明'!$B$9+R148*'强度系数说明'!$B$10+S148*'强度系数说明'!$B$11+T148*'强度系数说明'!$B$12+U148*'强度系数说明'!$B$13</f>
        <v/>
      </c>
      <c r="X148" s="7">
        <f>SUMPRODUCT((O148:U148&gt;0)*O148:U148)</f>
        <v/>
      </c>
      <c r="Y148" s="2" t="inlineStr">
        <is>
          <t>否</t>
        </is>
      </c>
      <c r="Z148" s="2" t="inlineStr"/>
      <c r="AA148" s="4" t="inlineStr"/>
      <c r="AB148" s="4" t="inlineStr"/>
      <c r="AC148" s="3" t="inlineStr"/>
      <c r="AD148" s="3" t="inlineStr"/>
      <c r="AE148" s="3" t="inlineStr">
        <is>
          <t>{"force":36,"hp":85,"intellect":29,"luck":13}</t>
        </is>
      </c>
      <c r="AF148" s="3" t="inlineStr">
        <is>
          <t>data/item_templates.yaml:L5148</t>
        </is>
      </c>
    </row>
    <row r="149">
      <c r="A149" s="2" t="n">
        <v>148</v>
      </c>
      <c r="B149" s="2" t="inlineStr">
        <is>
          <t>equip_jinlun</t>
        </is>
      </c>
      <c r="C149" s="2" t="inlineStr">
        <is>
          <t>金轮</t>
        </is>
      </c>
      <c r="D149" s="2" t="inlineStr">
        <is>
          <t>weapon</t>
        </is>
      </c>
      <c r="E149" s="2" t="inlineStr">
        <is>
          <t>武器</t>
        </is>
      </c>
      <c r="F149" s="2" t="inlineStr">
        <is>
          <t>equip_weapon</t>
        </is>
      </c>
      <c r="G149" s="2" t="inlineStr">
        <is>
          <t>purple</t>
        </is>
      </c>
      <c r="H149" s="2" t="inlineStr">
        <is>
          <t>史诗/紫</t>
        </is>
      </c>
      <c r="I149" s="2" t="inlineStr"/>
      <c r="J149" s="3" t="inlineStr"/>
      <c r="K149" s="3" t="inlineStr">
        <is>
          <t>以黄金铸成的法轮，据传源自西域密宗高僧的法器。</t>
        </is>
      </c>
      <c r="L149" s="4" t="n">
        <v>16000</v>
      </c>
      <c r="M149" s="4" t="n">
        <v>150</v>
      </c>
      <c r="N149" s="2" t="inlineStr">
        <is>
          <t>是</t>
        </is>
      </c>
      <c r="O149" s="4" t="n">
        <v>280</v>
      </c>
      <c r="P149" s="4" t="n">
        <v>8</v>
      </c>
      <c r="Q149" s="4" t="n">
        <v>69</v>
      </c>
      <c r="R149" s="4" t="n">
        <v>0</v>
      </c>
      <c r="S149" s="4" t="n">
        <v>0</v>
      </c>
      <c r="T149" s="4" t="n">
        <v>0</v>
      </c>
      <c r="U149" s="4" t="n">
        <v>0</v>
      </c>
      <c r="V149" s="5">
        <f>SUM(O149:U149)</f>
        <v/>
      </c>
      <c r="W149" s="6">
        <f>O149*'强度系数说明'!$B$7+P149*'强度系数说明'!$B$8+Q149*'强度系数说明'!$B$9+R149*'强度系数说明'!$B$10+S149*'强度系数说明'!$B$11+T149*'强度系数说明'!$B$12+U149*'强度系数说明'!$B$13</f>
        <v/>
      </c>
      <c r="X149" s="7">
        <f>SUMPRODUCT((O149:U149&gt;0)*O149:U149)</f>
        <v/>
      </c>
      <c r="Y149" s="2" t="inlineStr">
        <is>
          <t>否</t>
        </is>
      </c>
      <c r="Z149" s="2" t="inlineStr"/>
      <c r="AA149" s="4" t="inlineStr"/>
      <c r="AB149" s="4" t="inlineStr"/>
      <c r="AC149" s="3" t="inlineStr"/>
      <c r="AD149" s="3" t="inlineStr"/>
      <c r="AE149" s="3" t="inlineStr">
        <is>
          <t>{"defense":8,"force":69,"hp":280}</t>
        </is>
      </c>
      <c r="AF149" s="3" t="inlineStr">
        <is>
          <t>data/item_templates.yaml:L5163</t>
        </is>
      </c>
    </row>
    <row r="150">
      <c r="A150" s="2" t="n">
        <v>149</v>
      </c>
      <c r="B150" s="2" t="inlineStr">
        <is>
          <t>equip_xuedao</t>
        </is>
      </c>
      <c r="C150" s="2" t="inlineStr">
        <is>
          <t>血刀</t>
        </is>
      </c>
      <c r="D150" s="2" t="inlineStr">
        <is>
          <t>weapon</t>
        </is>
      </c>
      <c r="E150" s="2" t="inlineStr">
        <is>
          <t>武器</t>
        </is>
      </c>
      <c r="F150" s="2" t="inlineStr">
        <is>
          <t>equip_weapon</t>
        </is>
      </c>
      <c r="G150" s="2" t="inlineStr">
        <is>
          <t>purple</t>
        </is>
      </c>
      <c r="H150" s="2" t="inlineStr">
        <is>
          <t>史诗/紫</t>
        </is>
      </c>
      <c r="I150" s="2" t="inlineStr"/>
      <c r="J150" s="3" t="inlineStr"/>
      <c r="K150" s="3" t="inlineStr">
        <is>
          <t>刀身暗红如染血，传说以九十九人之血淬炼而成。</t>
        </is>
      </c>
      <c r="L150" s="4" t="n">
        <v>16000</v>
      </c>
      <c r="M150" s="4" t="n">
        <v>150</v>
      </c>
      <c r="N150" s="2" t="inlineStr">
        <is>
          <t>是</t>
        </is>
      </c>
      <c r="O150" s="4" t="n">
        <v>170</v>
      </c>
      <c r="P150" s="4" t="n">
        <v>0</v>
      </c>
      <c r="Q150" s="4" t="n">
        <v>63</v>
      </c>
      <c r="R150" s="4" t="n">
        <v>0</v>
      </c>
      <c r="S150" s="4" t="n">
        <v>17</v>
      </c>
      <c r="T150" s="4" t="n">
        <v>0</v>
      </c>
      <c r="U150" s="4" t="n">
        <v>0</v>
      </c>
      <c r="V150" s="5">
        <f>SUM(O150:U150)</f>
        <v/>
      </c>
      <c r="W150" s="6">
        <f>O150*'强度系数说明'!$B$7+P150*'强度系数说明'!$B$8+Q150*'强度系数说明'!$B$9+R150*'强度系数说明'!$B$10+S150*'强度系数说明'!$B$11+T150*'强度系数说明'!$B$12+U150*'强度系数说明'!$B$13</f>
        <v/>
      </c>
      <c r="X150" s="7">
        <f>SUMPRODUCT((O150:U150&gt;0)*O150:U150)</f>
        <v/>
      </c>
      <c r="Y150" s="2" t="inlineStr">
        <is>
          <t>否</t>
        </is>
      </c>
      <c r="Z150" s="2" t="inlineStr"/>
      <c r="AA150" s="4" t="inlineStr"/>
      <c r="AB150" s="4" t="inlineStr"/>
      <c r="AC150" s="3" t="inlineStr"/>
      <c r="AD150" s="3" t="inlineStr"/>
      <c r="AE150" s="3" t="inlineStr">
        <is>
          <t>{"agility":17,"force":63,"hp":170}</t>
        </is>
      </c>
      <c r="AF150" s="3" t="inlineStr">
        <is>
          <t>data/item_templates.yaml:L5177</t>
        </is>
      </c>
    </row>
    <row r="151">
      <c r="A151" s="2" t="n">
        <v>150</v>
      </c>
      <c r="B151" s="2" t="inlineStr">
        <is>
          <t>equip_yuanyangdao</t>
        </is>
      </c>
      <c r="C151" s="2" t="inlineStr">
        <is>
          <t>鸳鸯刀</t>
        </is>
      </c>
      <c r="D151" s="2" t="inlineStr">
        <is>
          <t>weapon</t>
        </is>
      </c>
      <c r="E151" s="2" t="inlineStr">
        <is>
          <t>武器</t>
        </is>
      </c>
      <c r="F151" s="2" t="inlineStr">
        <is>
          <t>equip_weapon</t>
        </is>
      </c>
      <c r="G151" s="2" t="inlineStr">
        <is>
          <t>purple</t>
        </is>
      </c>
      <c r="H151" s="2" t="inlineStr">
        <is>
          <t>史诗/紫</t>
        </is>
      </c>
      <c r="I151" s="2" t="inlineStr"/>
      <c r="J151" s="3" t="inlineStr"/>
      <c r="K151" s="3" t="inlineStr">
        <is>
          <t>成双成对的鸳鸯刀，相传是某对侠侣的定情之物。</t>
        </is>
      </c>
      <c r="L151" s="4" t="n">
        <v>16000</v>
      </c>
      <c r="M151" s="4" t="n">
        <v>150</v>
      </c>
      <c r="N151" s="2" t="inlineStr">
        <is>
          <t>是</t>
        </is>
      </c>
      <c r="O151" s="4" t="n">
        <v>0</v>
      </c>
      <c r="P151" s="4" t="n">
        <v>0</v>
      </c>
      <c r="Q151" s="4" t="n">
        <v>49</v>
      </c>
      <c r="R151" s="4" t="n">
        <v>0</v>
      </c>
      <c r="S151" s="4" t="n">
        <v>20</v>
      </c>
      <c r="T151" s="4" t="n">
        <v>13</v>
      </c>
      <c r="U151" s="4" t="n">
        <v>0</v>
      </c>
      <c r="V151" s="5">
        <f>SUM(O151:U151)</f>
        <v/>
      </c>
      <c r="W151" s="6">
        <f>O151*'强度系数说明'!$B$7+P151*'强度系数说明'!$B$8+Q151*'强度系数说明'!$B$9+R151*'强度系数说明'!$B$10+S151*'强度系数说明'!$B$11+T151*'强度系数说明'!$B$12+U151*'强度系数说明'!$B$13</f>
        <v/>
      </c>
      <c r="X151" s="7">
        <f>SUMPRODUCT((O151:U151&gt;0)*O151:U151)</f>
        <v/>
      </c>
      <c r="Y151" s="2" t="inlineStr">
        <is>
          <t>否</t>
        </is>
      </c>
      <c r="Z151" s="2" t="inlineStr"/>
      <c r="AA151" s="4" t="inlineStr"/>
      <c r="AB151" s="4" t="inlineStr"/>
      <c r="AC151" s="3" t="inlineStr"/>
      <c r="AD151" s="3" t="inlineStr"/>
      <c r="AE151" s="3" t="inlineStr">
        <is>
          <t>{"agility":20,"force":49,"luck":13}</t>
        </is>
      </c>
      <c r="AF151" s="3" t="inlineStr">
        <is>
          <t>data/item_templates.yaml:L5191</t>
        </is>
      </c>
    </row>
    <row r="152">
      <c r="A152" s="2" t="n">
        <v>151</v>
      </c>
      <c r="B152" s="2" t="inlineStr">
        <is>
          <t>equip_jinshezui</t>
        </is>
      </c>
      <c r="C152" s="2" t="inlineStr">
        <is>
          <t>金蛇锥</t>
        </is>
      </c>
      <c r="D152" s="2" t="inlineStr">
        <is>
          <t>weapon</t>
        </is>
      </c>
      <c r="E152" s="2" t="inlineStr">
        <is>
          <t>武器</t>
        </is>
      </c>
      <c r="F152" s="2" t="inlineStr">
        <is>
          <t>equip_weapon</t>
        </is>
      </c>
      <c r="G152" s="2" t="inlineStr">
        <is>
          <t>purple</t>
        </is>
      </c>
      <c r="H152" s="2" t="inlineStr">
        <is>
          <t>史诗/紫</t>
        </is>
      </c>
      <c r="I152" s="2" t="inlineStr"/>
      <c r="J152" s="3" t="inlineStr"/>
      <c r="K152" s="3" t="inlineStr">
        <is>
          <t>锥身如蛇盘绕，是西域某刺客组织的标志性暗器。</t>
        </is>
      </c>
      <c r="L152" s="4" t="n">
        <v>16000</v>
      </c>
      <c r="M152" s="4" t="n">
        <v>150</v>
      </c>
      <c r="N152" s="2" t="inlineStr">
        <is>
          <t>是</t>
        </is>
      </c>
      <c r="O152" s="4" t="n">
        <v>0</v>
      </c>
      <c r="P152" s="4" t="n">
        <v>0</v>
      </c>
      <c r="Q152" s="4" t="n">
        <v>43</v>
      </c>
      <c r="R152" s="4" t="n">
        <v>0</v>
      </c>
      <c r="S152" s="4" t="n">
        <v>27</v>
      </c>
      <c r="T152" s="4" t="n">
        <v>12</v>
      </c>
      <c r="U152" s="4" t="n">
        <v>0</v>
      </c>
      <c r="V152" s="5">
        <f>SUM(O152:U152)</f>
        <v/>
      </c>
      <c r="W152" s="6">
        <f>O152*'强度系数说明'!$B$7+P152*'强度系数说明'!$B$8+Q152*'强度系数说明'!$B$9+R152*'强度系数说明'!$B$10+S152*'强度系数说明'!$B$11+T152*'强度系数说明'!$B$12+U152*'强度系数说明'!$B$13</f>
        <v/>
      </c>
      <c r="X152" s="7">
        <f>SUMPRODUCT((O152:U152&gt;0)*O152:U152)</f>
        <v/>
      </c>
      <c r="Y152" s="2" t="inlineStr">
        <is>
          <t>否</t>
        </is>
      </c>
      <c r="Z152" s="2" t="inlineStr"/>
      <c r="AA152" s="4" t="inlineStr"/>
      <c r="AB152" s="4" t="inlineStr"/>
      <c r="AC152" s="3" t="inlineStr"/>
      <c r="AD152" s="3" t="inlineStr"/>
      <c r="AE152" s="3" t="inlineStr">
        <is>
          <t>{"agility":27,"force":43,"luck":12}</t>
        </is>
      </c>
      <c r="AF152" s="3" t="inlineStr">
        <is>
          <t>data/item_templates.yaml:L5205</t>
        </is>
      </c>
    </row>
    <row r="153">
      <c r="A153" s="2" t="n">
        <v>152</v>
      </c>
      <c r="B153" s="2" t="inlineStr">
        <is>
          <t>equip_wuqiaojian</t>
        </is>
      </c>
      <c r="C153" s="2" t="inlineStr">
        <is>
          <t>乌鞘剑</t>
        </is>
      </c>
      <c r="D153" s="2" t="inlineStr">
        <is>
          <t>weapon</t>
        </is>
      </c>
      <c r="E153" s="2" t="inlineStr">
        <is>
          <t>武器</t>
        </is>
      </c>
      <c r="F153" s="2" t="inlineStr">
        <is>
          <t>equip_weapon</t>
        </is>
      </c>
      <c r="G153" s="2" t="inlineStr">
        <is>
          <t>purple</t>
        </is>
      </c>
      <c r="H153" s="2" t="inlineStr">
        <is>
          <t>史诗/紫</t>
        </is>
      </c>
      <c r="I153" s="2" t="inlineStr"/>
      <c r="J153" s="3" t="inlineStr"/>
      <c r="K153" s="3" t="inlineStr">
        <is>
          <t>剑入乌木鞘中，剑身雪亮如霜，来历不详。</t>
        </is>
      </c>
      <c r="L153" s="4" t="n">
        <v>16000</v>
      </c>
      <c r="M153" s="4" t="n">
        <v>150</v>
      </c>
      <c r="N153" s="2" t="inlineStr">
        <is>
          <t>是</t>
        </is>
      </c>
      <c r="O153" s="4" t="n">
        <v>0</v>
      </c>
      <c r="P153" s="4" t="n">
        <v>0</v>
      </c>
      <c r="Q153" s="4" t="n">
        <v>53</v>
      </c>
      <c r="R153" s="4" t="n">
        <v>0</v>
      </c>
      <c r="S153" s="4" t="n">
        <v>16</v>
      </c>
      <c r="T153" s="4" t="n">
        <v>12</v>
      </c>
      <c r="U153" s="4" t="n">
        <v>0</v>
      </c>
      <c r="V153" s="5">
        <f>SUM(O153:U153)</f>
        <v/>
      </c>
      <c r="W153" s="6">
        <f>O153*'强度系数说明'!$B$7+P153*'强度系数说明'!$B$8+Q153*'强度系数说明'!$B$9+R153*'强度系数说明'!$B$10+S153*'强度系数说明'!$B$11+T153*'强度系数说明'!$B$12+U153*'强度系数说明'!$B$13</f>
        <v/>
      </c>
      <c r="X153" s="7">
        <f>SUMPRODUCT((O153:U153&gt;0)*O153:U153)</f>
        <v/>
      </c>
      <c r="Y153" s="2" t="inlineStr">
        <is>
          <t>否</t>
        </is>
      </c>
      <c r="Z153" s="2" t="inlineStr"/>
      <c r="AA153" s="4" t="inlineStr"/>
      <c r="AB153" s="4" t="inlineStr"/>
      <c r="AC153" s="3" t="inlineStr"/>
      <c r="AD153" s="3" t="inlineStr"/>
      <c r="AE153" s="3" t="inlineStr">
        <is>
          <t>{"agility":16,"force":53,"luck":12}</t>
        </is>
      </c>
      <c r="AF153" s="3" t="inlineStr">
        <is>
          <t>data/item_templates.yaml:L5219</t>
        </is>
      </c>
    </row>
    <row r="154">
      <c r="A154" s="2" t="n">
        <v>153</v>
      </c>
      <c r="B154" s="2" t="inlineStr">
        <is>
          <t>equip_biyudao</t>
        </is>
      </c>
      <c r="C154" s="2" t="inlineStr">
        <is>
          <t>碧玉刀</t>
        </is>
      </c>
      <c r="D154" s="2" t="inlineStr">
        <is>
          <t>weapon</t>
        </is>
      </c>
      <c r="E154" s="2" t="inlineStr">
        <is>
          <t>武器</t>
        </is>
      </c>
      <c r="F154" s="2" t="inlineStr">
        <is>
          <t>equip_weapon</t>
        </is>
      </c>
      <c r="G154" s="2" t="inlineStr">
        <is>
          <t>purple</t>
        </is>
      </c>
      <c r="H154" s="2" t="inlineStr">
        <is>
          <t>史诗/紫</t>
        </is>
      </c>
      <c r="I154" s="2" t="inlineStr"/>
      <c r="J154" s="3" t="inlineStr"/>
      <c r="K154" s="3" t="inlineStr">
        <is>
          <t>刀柄以碧玉雕成，据传是某位富家公子的佩刀。</t>
        </is>
      </c>
      <c r="L154" s="4" t="n">
        <v>16000</v>
      </c>
      <c r="M154" s="4" t="n">
        <v>150</v>
      </c>
      <c r="N154" s="2" t="inlineStr">
        <is>
          <t>是</t>
        </is>
      </c>
      <c r="O154" s="4" t="n">
        <v>0</v>
      </c>
      <c r="P154" s="4" t="n">
        <v>0</v>
      </c>
      <c r="Q154" s="4" t="n">
        <v>48</v>
      </c>
      <c r="R154" s="4" t="n">
        <v>0</v>
      </c>
      <c r="S154" s="4" t="n">
        <v>20</v>
      </c>
      <c r="T154" s="4" t="n">
        <v>13</v>
      </c>
      <c r="U154" s="4" t="n">
        <v>0</v>
      </c>
      <c r="V154" s="5">
        <f>SUM(O154:U154)</f>
        <v/>
      </c>
      <c r="W154" s="6">
        <f>O154*'强度系数说明'!$B$7+P154*'强度系数说明'!$B$8+Q154*'强度系数说明'!$B$9+R154*'强度系数说明'!$B$10+S154*'强度系数说明'!$B$11+T154*'强度系数说明'!$B$12+U154*'强度系数说明'!$B$13</f>
        <v/>
      </c>
      <c r="X154" s="7">
        <f>SUMPRODUCT((O154:U154&gt;0)*O154:U154)</f>
        <v/>
      </c>
      <c r="Y154" s="2" t="inlineStr">
        <is>
          <t>否</t>
        </is>
      </c>
      <c r="Z154" s="2" t="inlineStr"/>
      <c r="AA154" s="4" t="inlineStr"/>
      <c r="AB154" s="4" t="inlineStr"/>
      <c r="AC154" s="3" t="inlineStr"/>
      <c r="AD154" s="3" t="inlineStr"/>
      <c r="AE154" s="3" t="inlineStr">
        <is>
          <t>{"agility":20,"force":48,"luck":13}</t>
        </is>
      </c>
      <c r="AF154" s="3" t="inlineStr">
        <is>
          <t>data/item_templates.yaml:L5233</t>
        </is>
      </c>
    </row>
    <row r="155">
      <c r="A155" s="2" t="n">
        <v>154</v>
      </c>
      <c r="B155" s="2" t="inlineStr">
        <is>
          <t>equip_libiegou</t>
        </is>
      </c>
      <c r="C155" s="2" t="inlineStr">
        <is>
          <t>离别钩</t>
        </is>
      </c>
      <c r="D155" s="2" t="inlineStr">
        <is>
          <t>weapon</t>
        </is>
      </c>
      <c r="E155" s="2" t="inlineStr">
        <is>
          <t>武器</t>
        </is>
      </c>
      <c r="F155" s="2" t="inlineStr">
        <is>
          <t>equip_weapon</t>
        </is>
      </c>
      <c r="G155" s="2" t="inlineStr">
        <is>
          <t>purple</t>
        </is>
      </c>
      <c r="H155" s="2" t="inlineStr">
        <is>
          <t>史诗/紫</t>
        </is>
      </c>
      <c r="I155" s="2" t="inlineStr"/>
      <c r="J155" s="3" t="inlineStr"/>
      <c r="K155" s="3" t="inlineStr">
        <is>
          <t>钩刃形如弯月，传说是某位浪子临别时所铸，寄托离情。</t>
        </is>
      </c>
      <c r="L155" s="4" t="n">
        <v>16000</v>
      </c>
      <c r="M155" s="4" t="n">
        <v>150</v>
      </c>
      <c r="N155" s="2" t="inlineStr">
        <is>
          <t>是</t>
        </is>
      </c>
      <c r="O155" s="4" t="n">
        <v>0</v>
      </c>
      <c r="P155" s="4" t="n">
        <v>0</v>
      </c>
      <c r="Q155" s="4" t="n">
        <v>50</v>
      </c>
      <c r="R155" s="4" t="n">
        <v>0</v>
      </c>
      <c r="S155" s="4" t="n">
        <v>17</v>
      </c>
      <c r="T155" s="4" t="n">
        <v>13</v>
      </c>
      <c r="U155" s="4" t="n">
        <v>0</v>
      </c>
      <c r="V155" s="5">
        <f>SUM(O155:U155)</f>
        <v/>
      </c>
      <c r="W155" s="6">
        <f>O155*'强度系数说明'!$B$7+P155*'强度系数说明'!$B$8+Q155*'强度系数说明'!$B$9+R155*'强度系数说明'!$B$10+S155*'强度系数说明'!$B$11+T155*'强度系数说明'!$B$12+U155*'强度系数说明'!$B$13</f>
        <v/>
      </c>
      <c r="X155" s="7">
        <f>SUMPRODUCT((O155:U155&gt;0)*O155:U155)</f>
        <v/>
      </c>
      <c r="Y155" s="2" t="inlineStr">
        <is>
          <t>否</t>
        </is>
      </c>
      <c r="Z155" s="2" t="inlineStr"/>
      <c r="AA155" s="4" t="inlineStr"/>
      <c r="AB155" s="4" t="inlineStr"/>
      <c r="AC155" s="3" t="inlineStr"/>
      <c r="AD155" s="3" t="inlineStr"/>
      <c r="AE155" s="3" t="inlineStr">
        <is>
          <t>{"agility":17,"force":50,"luck":13}</t>
        </is>
      </c>
      <c r="AF155" s="3" t="inlineStr">
        <is>
          <t>data/item_templates.yaml:L5247</t>
        </is>
      </c>
    </row>
    <row r="156">
      <c r="A156" s="2" t="n">
        <v>155</v>
      </c>
      <c r="B156" s="2" t="inlineStr">
        <is>
          <t>equip_duoqinghuan</t>
        </is>
      </c>
      <c r="C156" s="2" t="inlineStr">
        <is>
          <t>多情环</t>
        </is>
      </c>
      <c r="D156" s="2" t="inlineStr">
        <is>
          <t>weapon</t>
        </is>
      </c>
      <c r="E156" s="2" t="inlineStr">
        <is>
          <t>武器</t>
        </is>
      </c>
      <c r="F156" s="2" t="inlineStr">
        <is>
          <t>equip_weapon</t>
        </is>
      </c>
      <c r="G156" s="2" t="inlineStr">
        <is>
          <t>purple</t>
        </is>
      </c>
      <c r="H156" s="2" t="inlineStr">
        <is>
          <t>史诗/紫</t>
        </is>
      </c>
      <c r="I156" s="2" t="inlineStr"/>
      <c r="J156" s="3" t="inlineStr"/>
      <c r="K156" s="3" t="inlineStr">
        <is>
          <t>环环相扣的奇门兵器，据传是某位痴情剑客的遗物。</t>
        </is>
      </c>
      <c r="L156" s="4" t="n">
        <v>16000</v>
      </c>
      <c r="M156" s="4" t="n">
        <v>150</v>
      </c>
      <c r="N156" s="2" t="inlineStr">
        <is>
          <t>是</t>
        </is>
      </c>
      <c r="O156" s="4" t="n">
        <v>96</v>
      </c>
      <c r="P156" s="4" t="n">
        <v>0</v>
      </c>
      <c r="Q156" s="4" t="n">
        <v>40</v>
      </c>
      <c r="R156" s="4" t="n">
        <v>26</v>
      </c>
      <c r="S156" s="4" t="n">
        <v>0</v>
      </c>
      <c r="T156" s="4" t="n">
        <v>12</v>
      </c>
      <c r="U156" s="4" t="n">
        <v>0</v>
      </c>
      <c r="V156" s="5">
        <f>SUM(O156:U156)</f>
        <v/>
      </c>
      <c r="W156" s="6">
        <f>O156*'强度系数说明'!$B$7+P156*'强度系数说明'!$B$8+Q156*'强度系数说明'!$B$9+R156*'强度系数说明'!$B$10+S156*'强度系数说明'!$B$11+T156*'强度系数说明'!$B$12+U156*'强度系数说明'!$B$13</f>
        <v/>
      </c>
      <c r="X156" s="7">
        <f>SUMPRODUCT((O156:U156&gt;0)*O156:U156)</f>
        <v/>
      </c>
      <c r="Y156" s="2" t="inlineStr">
        <is>
          <t>否</t>
        </is>
      </c>
      <c r="Z156" s="2" t="inlineStr"/>
      <c r="AA156" s="4" t="inlineStr"/>
      <c r="AB156" s="4" t="inlineStr"/>
      <c r="AC156" s="3" t="inlineStr"/>
      <c r="AD156" s="3" t="inlineStr"/>
      <c r="AE156" s="3" t="inlineStr">
        <is>
          <t>{"force":40,"hp":96,"intellect":26,"luck":12}</t>
        </is>
      </c>
      <c r="AF156" s="3" t="inlineStr">
        <is>
          <t>data/item_templates.yaml:L5261</t>
        </is>
      </c>
    </row>
    <row r="157">
      <c r="A157" s="2" t="n">
        <v>156</v>
      </c>
      <c r="B157" s="2" t="inlineStr">
        <is>
          <t>equip_xiuhuazhen</t>
        </is>
      </c>
      <c r="C157" s="2" t="inlineStr">
        <is>
          <t>绣花针</t>
        </is>
      </c>
      <c r="D157" s="2" t="inlineStr">
        <is>
          <t>weapon</t>
        </is>
      </c>
      <c r="E157" s="2" t="inlineStr">
        <is>
          <t>武器</t>
        </is>
      </c>
      <c r="F157" s="2" t="inlineStr">
        <is>
          <t>equip_weapon</t>
        </is>
      </c>
      <c r="G157" s="2" t="inlineStr">
        <is>
          <t>purple</t>
        </is>
      </c>
      <c r="H157" s="2" t="inlineStr">
        <is>
          <t>史诗/紫</t>
        </is>
      </c>
      <c r="I157" s="2" t="inlineStr"/>
      <c r="J157" s="3" t="inlineStr"/>
      <c r="K157" s="3" t="inlineStr">
        <is>
          <t>细如绣针的暗器，传说是某位女侠的独门兵刃。</t>
        </is>
      </c>
      <c r="L157" s="4" t="n">
        <v>16000</v>
      </c>
      <c r="M157" s="4" t="n">
        <v>150</v>
      </c>
      <c r="N157" s="2" t="inlineStr">
        <is>
          <t>是</t>
        </is>
      </c>
      <c r="O157" s="4" t="n">
        <v>0</v>
      </c>
      <c r="P157" s="4" t="n">
        <v>0</v>
      </c>
      <c r="Q157" s="4" t="n">
        <v>42</v>
      </c>
      <c r="R157" s="4" t="n">
        <v>0</v>
      </c>
      <c r="S157" s="4" t="n">
        <v>29</v>
      </c>
      <c r="T157" s="4" t="n">
        <v>11</v>
      </c>
      <c r="U157" s="4" t="n">
        <v>0</v>
      </c>
      <c r="V157" s="5">
        <f>SUM(O157:U157)</f>
        <v/>
      </c>
      <c r="W157" s="6">
        <f>O157*'强度系数说明'!$B$7+P157*'强度系数说明'!$B$8+Q157*'强度系数说明'!$B$9+R157*'强度系数说明'!$B$10+S157*'强度系数说明'!$B$11+T157*'强度系数说明'!$B$12+U157*'强度系数说明'!$B$13</f>
        <v/>
      </c>
      <c r="X157" s="7">
        <f>SUMPRODUCT((O157:U157&gt;0)*O157:U157)</f>
        <v/>
      </c>
      <c r="Y157" s="2" t="inlineStr">
        <is>
          <t>否</t>
        </is>
      </c>
      <c r="Z157" s="2" t="inlineStr"/>
      <c r="AA157" s="4" t="inlineStr"/>
      <c r="AB157" s="4" t="inlineStr"/>
      <c r="AC157" s="3" t="inlineStr"/>
      <c r="AD157" s="3" t="inlineStr"/>
      <c r="AE157" s="3" t="inlineStr">
        <is>
          <t>{"agility":29,"force":42,"luck":11}</t>
        </is>
      </c>
      <c r="AF157" s="3" t="inlineStr">
        <is>
          <t>data/item_templates.yaml:L5276</t>
        </is>
      </c>
    </row>
    <row r="158">
      <c r="A158" s="2" t="n">
        <v>157</v>
      </c>
      <c r="B158" s="2" t="inlineStr">
        <is>
          <t>equip_yitianjian</t>
        </is>
      </c>
      <c r="C158" s="2" t="inlineStr">
        <is>
          <t>倚天剑</t>
        </is>
      </c>
      <c r="D158" s="2" t="inlineStr">
        <is>
          <t>weapon</t>
        </is>
      </c>
      <c r="E158" s="2" t="inlineStr">
        <is>
          <t>武器</t>
        </is>
      </c>
      <c r="F158" s="2" t="inlineStr">
        <is>
          <t>equip_weapon</t>
        </is>
      </c>
      <c r="G158" s="2" t="inlineStr">
        <is>
          <t>orange</t>
        </is>
      </c>
      <c r="H158" s="2" t="inlineStr">
        <is>
          <t>传说/橙</t>
        </is>
      </c>
      <c r="I158" s="2" t="inlineStr"/>
      <c r="J158" s="3" t="inlineStr"/>
      <c r="K158" s="3" t="inlineStr">
        <is>
          <t>传说中的神兵之一，与屠龙刀齐名，"倚天不出，谁与争锋"。</t>
        </is>
      </c>
      <c r="L158" s="4" t="n">
        <v>52000</v>
      </c>
      <c r="M158" s="4" t="n">
        <v>200</v>
      </c>
      <c r="N158" s="2" t="inlineStr">
        <is>
          <t>是</t>
        </is>
      </c>
      <c r="O158" s="4" t="n">
        <v>518</v>
      </c>
      <c r="P158" s="4" t="n">
        <v>3</v>
      </c>
      <c r="Q158" s="4" t="n">
        <v>41</v>
      </c>
      <c r="R158" s="4" t="n">
        <v>24</v>
      </c>
      <c r="S158" s="4" t="n">
        <v>14</v>
      </c>
      <c r="T158" s="4" t="n">
        <v>5</v>
      </c>
      <c r="U158" s="4" t="n">
        <v>0</v>
      </c>
      <c r="V158" s="5">
        <f>SUM(O158:U158)</f>
        <v/>
      </c>
      <c r="W158" s="6">
        <f>O158*'强度系数说明'!$B$7+P158*'强度系数说明'!$B$8+Q158*'强度系数说明'!$B$9+R158*'强度系数说明'!$B$10+S158*'强度系数说明'!$B$11+T158*'强度系数说明'!$B$12+U158*'强度系数说明'!$B$13</f>
        <v/>
      </c>
      <c r="X158" s="7">
        <f>SUMPRODUCT((O158:U158&gt;0)*O158:U158)</f>
        <v/>
      </c>
      <c r="Y158" s="2" t="inlineStr">
        <is>
          <t>否</t>
        </is>
      </c>
      <c r="Z158" s="2" t="inlineStr"/>
      <c r="AA158" s="4" t="inlineStr"/>
      <c r="AB158" s="4" t="inlineStr"/>
      <c r="AC158" s="3" t="inlineStr"/>
      <c r="AD158" s="3" t="inlineStr"/>
      <c r="AE158" s="3" t="inlineStr">
        <is>
          <t>{"agility":14,"defense":3,"force":41,"hp":518,"intellect":24,"luck":5}</t>
        </is>
      </c>
      <c r="AF158" s="3" t="inlineStr">
        <is>
          <t>data/item_templates.yaml:L5292</t>
        </is>
      </c>
    </row>
    <row r="159">
      <c r="A159" s="2" t="n">
        <v>158</v>
      </c>
      <c r="B159" s="2" t="inlineStr">
        <is>
          <t>equip_tuwujian</t>
        </is>
      </c>
      <c r="C159" s="2" t="inlineStr">
        <is>
          <t>屠巫剑</t>
        </is>
      </c>
      <c r="D159" s="2" t="inlineStr">
        <is>
          <t>weapon</t>
        </is>
      </c>
      <c r="E159" s="2" t="inlineStr">
        <is>
          <t>武器</t>
        </is>
      </c>
      <c r="F159" s="2" t="inlineStr">
        <is>
          <t>equip_weapon</t>
        </is>
      </c>
      <c r="G159" s="2" t="inlineStr">
        <is>
          <t>orange</t>
        </is>
      </c>
      <c r="H159" s="2" t="inlineStr">
        <is>
          <t>传说/橙</t>
        </is>
      </c>
      <c r="I159" s="2" t="inlineStr"/>
      <c r="J159" s="3" t="inlineStr"/>
      <c r="K159" s="3" t="inlineStr">
        <is>
          <t>剑身赤金如烬，刃纹似符火游走。相传此剑专破巫祝妖术，出鞘时有焚符断咒之声。</t>
        </is>
      </c>
      <c r="L159" s="4" t="n">
        <v>52000</v>
      </c>
      <c r="M159" s="4" t="n">
        <v>200</v>
      </c>
      <c r="N159" s="2" t="inlineStr">
        <is>
          <t>是</t>
        </is>
      </c>
      <c r="O159" s="4" t="n">
        <v>514</v>
      </c>
      <c r="P159" s="4" t="n">
        <v>3</v>
      </c>
      <c r="Q159" s="4" t="n">
        <v>40</v>
      </c>
      <c r="R159" s="4" t="n">
        <v>22</v>
      </c>
      <c r="S159" s="4" t="n">
        <v>15</v>
      </c>
      <c r="T159" s="4" t="n">
        <v>3</v>
      </c>
      <c r="U159" s="4" t="n">
        <v>0</v>
      </c>
      <c r="V159" s="5">
        <f>SUM(O159:U159)</f>
        <v/>
      </c>
      <c r="W159" s="6">
        <f>O159*'强度系数说明'!$B$7+P159*'强度系数说明'!$B$8+Q159*'强度系数说明'!$B$9+R159*'强度系数说明'!$B$10+S159*'强度系数说明'!$B$11+T159*'强度系数说明'!$B$12+U159*'强度系数说明'!$B$13</f>
        <v/>
      </c>
      <c r="X159" s="7">
        <f>SUMPRODUCT((O159:U159&gt;0)*O159:U159)</f>
        <v/>
      </c>
      <c r="Y159" s="2" t="inlineStr">
        <is>
          <t>否</t>
        </is>
      </c>
      <c r="Z159" s="2" t="inlineStr"/>
      <c r="AA159" s="4" t="inlineStr"/>
      <c r="AB159" s="4" t="inlineStr"/>
      <c r="AC159" s="3" t="inlineStr"/>
      <c r="AD159" s="3" t="inlineStr"/>
      <c r="AE159" s="3" t="inlineStr">
        <is>
          <t>{"agility":15,"defense":3,"force":40,"hp":514,"intellect":22,"luck":3}</t>
        </is>
      </c>
      <c r="AF159" s="3" t="inlineStr">
        <is>
          <t>data/item_templates.yaml:L5309</t>
        </is>
      </c>
    </row>
    <row r="160">
      <c r="A160" s="2" t="n">
        <v>159</v>
      </c>
      <c r="B160" s="2" t="inlineStr">
        <is>
          <t>equip_fangtianhuaji</t>
        </is>
      </c>
      <c r="C160" s="2" t="inlineStr">
        <is>
          <t>方天画戟</t>
        </is>
      </c>
      <c r="D160" s="2" t="inlineStr">
        <is>
          <t>weapon</t>
        </is>
      </c>
      <c r="E160" s="2" t="inlineStr">
        <is>
          <t>武器</t>
        </is>
      </c>
      <c r="F160" s="2" t="inlineStr">
        <is>
          <t>equip_weapon</t>
        </is>
      </c>
      <c r="G160" s="2" t="inlineStr">
        <is>
          <t>orange</t>
        </is>
      </c>
      <c r="H160" s="2" t="inlineStr">
        <is>
          <t>传说/橙</t>
        </is>
      </c>
      <c r="I160" s="2" t="inlineStr"/>
      <c r="J160" s="3" t="inlineStr"/>
      <c r="K160" s="3" t="inlineStr">
        <is>
          <t>仿吕布方天画戟所铸的神兵，戟身绘有繁复图案。</t>
        </is>
      </c>
      <c r="L160" s="4" t="n">
        <v>52000</v>
      </c>
      <c r="M160" s="4" t="n">
        <v>200</v>
      </c>
      <c r="N160" s="2" t="inlineStr">
        <is>
          <t>是</t>
        </is>
      </c>
      <c r="O160" s="4" t="n">
        <v>650</v>
      </c>
      <c r="P160" s="4" t="n">
        <v>12</v>
      </c>
      <c r="Q160" s="4" t="n">
        <v>50</v>
      </c>
      <c r="R160" s="4" t="n">
        <v>0</v>
      </c>
      <c r="S160" s="4" t="n">
        <v>10</v>
      </c>
      <c r="T160" s="4" t="n">
        <v>0</v>
      </c>
      <c r="U160" s="4" t="n">
        <v>24</v>
      </c>
      <c r="V160" s="5">
        <f>SUM(O160:U160)</f>
        <v/>
      </c>
      <c r="W160" s="6">
        <f>O160*'强度系数说明'!$B$7+P160*'强度系数说明'!$B$8+Q160*'强度系数说明'!$B$9+R160*'强度系数说明'!$B$10+S160*'强度系数说明'!$B$11+T160*'强度系数说明'!$B$12+U160*'强度系数说明'!$B$13</f>
        <v/>
      </c>
      <c r="X160" s="7">
        <f>SUMPRODUCT((O160:U160&gt;0)*O160:U160)</f>
        <v/>
      </c>
      <c r="Y160" s="2" t="inlineStr">
        <is>
          <t>否</t>
        </is>
      </c>
      <c r="Z160" s="2" t="inlineStr"/>
      <c r="AA160" s="4" t="inlineStr"/>
      <c r="AB160" s="4" t="inlineStr"/>
      <c r="AC160" s="3" t="inlineStr"/>
      <c r="AD160" s="3" t="inlineStr"/>
      <c r="AE160" s="3" t="inlineStr">
        <is>
          <t>{"agility":10,"defense":12,"force":50,"hp":650,"troop_capacity":24}</t>
        </is>
      </c>
      <c r="AF160" s="3" t="inlineStr">
        <is>
          <t>data/item_templates.yaml:L5326</t>
        </is>
      </c>
    </row>
    <row r="161">
      <c r="A161" s="2" t="n">
        <v>160</v>
      </c>
      <c r="B161" s="2" t="inlineStr">
        <is>
          <t>equip_xuanyuanjian</t>
        </is>
      </c>
      <c r="C161" s="2" t="inlineStr">
        <is>
          <t>轩辕剑</t>
        </is>
      </c>
      <c r="D161" s="2" t="inlineStr">
        <is>
          <t>weapon</t>
        </is>
      </c>
      <c r="E161" s="2" t="inlineStr">
        <is>
          <t>武器</t>
        </is>
      </c>
      <c r="F161" s="2" t="inlineStr">
        <is>
          <t>equip_weapon</t>
        </is>
      </c>
      <c r="G161" s="2" t="inlineStr">
        <is>
          <t>orange</t>
        </is>
      </c>
      <c r="H161" s="2" t="inlineStr">
        <is>
          <t>传说/橙</t>
        </is>
      </c>
      <c r="I161" s="2" t="inlineStr"/>
      <c r="J161" s="3" t="inlineStr"/>
      <c r="K161" s="3" t="inlineStr">
        <is>
          <t>相传为黄帝轩辕所铸的圣剑，是华夏始祖的象征之物。</t>
        </is>
      </c>
      <c r="L161" s="4" t="n">
        <v>52000</v>
      </c>
      <c r="M161" s="4" t="n">
        <v>200</v>
      </c>
      <c r="N161" s="2" t="inlineStr">
        <is>
          <t>是</t>
        </is>
      </c>
      <c r="O161" s="4" t="n">
        <v>538</v>
      </c>
      <c r="P161" s="4" t="n">
        <v>7</v>
      </c>
      <c r="Q161" s="4" t="n">
        <v>33</v>
      </c>
      <c r="R161" s="4" t="n">
        <v>29</v>
      </c>
      <c r="S161" s="4" t="n">
        <v>0</v>
      </c>
      <c r="T161" s="4" t="n">
        <v>14</v>
      </c>
      <c r="U161" s="4" t="n">
        <v>0</v>
      </c>
      <c r="V161" s="5">
        <f>SUM(O161:U161)</f>
        <v/>
      </c>
      <c r="W161" s="6">
        <f>O161*'强度系数说明'!$B$7+P161*'强度系数说明'!$B$8+Q161*'强度系数说明'!$B$9+R161*'强度系数说明'!$B$10+S161*'强度系数说明'!$B$11+T161*'强度系数说明'!$B$12+U161*'强度系数说明'!$B$13</f>
        <v/>
      </c>
      <c r="X161" s="7">
        <f>SUMPRODUCT((O161:U161&gt;0)*O161:U161)</f>
        <v/>
      </c>
      <c r="Y161" s="2" t="inlineStr">
        <is>
          <t>否</t>
        </is>
      </c>
      <c r="Z161" s="2" t="inlineStr"/>
      <c r="AA161" s="4" t="inlineStr"/>
      <c r="AB161" s="4" t="inlineStr"/>
      <c r="AC161" s="3" t="inlineStr"/>
      <c r="AD161" s="3" t="inlineStr"/>
      <c r="AE161" s="3" t="inlineStr">
        <is>
          <t>{"defense":7,"force":33,"hp":538,"intellect":29,"luck":14}</t>
        </is>
      </c>
      <c r="AF161" s="3" t="inlineStr">
        <is>
          <t>data/item_templates.yaml:L5342</t>
        </is>
      </c>
    </row>
    <row r="162">
      <c r="A162" s="2" t="n">
        <v>161</v>
      </c>
      <c r="B162" s="2" t="inlineStr">
        <is>
          <t>equip_panlonggun</t>
        </is>
      </c>
      <c r="C162" s="2" t="inlineStr">
        <is>
          <t>盘龙棍</t>
        </is>
      </c>
      <c r="D162" s="2" t="inlineStr">
        <is>
          <t>weapon</t>
        </is>
      </c>
      <c r="E162" s="2" t="inlineStr">
        <is>
          <t>武器</t>
        </is>
      </c>
      <c r="F162" s="2" t="inlineStr">
        <is>
          <t>equip_weapon</t>
        </is>
      </c>
      <c r="G162" s="2" t="inlineStr">
        <is>
          <t>orange</t>
        </is>
      </c>
      <c r="H162" s="2" t="inlineStr">
        <is>
          <t>传说/橙</t>
        </is>
      </c>
      <c r="I162" s="2" t="inlineStr"/>
      <c r="J162" s="3" t="inlineStr"/>
      <c r="K162" s="3" t="inlineStr">
        <is>
          <t>棍身盘龙雕刻栩栩如生，据传是丐帮某代帮主的法杖。</t>
        </is>
      </c>
      <c r="L162" s="4" t="n">
        <v>52000</v>
      </c>
      <c r="M162" s="4" t="n">
        <v>200</v>
      </c>
      <c r="N162" s="2" t="inlineStr">
        <is>
          <t>是</t>
        </is>
      </c>
      <c r="O162" s="4" t="n">
        <v>680</v>
      </c>
      <c r="P162" s="4" t="n">
        <v>12</v>
      </c>
      <c r="Q162" s="4" t="n">
        <v>48</v>
      </c>
      <c r="R162" s="4" t="n">
        <v>0</v>
      </c>
      <c r="S162" s="4" t="n">
        <v>12</v>
      </c>
      <c r="T162" s="4" t="n">
        <v>8</v>
      </c>
      <c r="U162" s="4" t="n">
        <v>0</v>
      </c>
      <c r="V162" s="5">
        <f>SUM(O162:U162)</f>
        <v/>
      </c>
      <c r="W162" s="6">
        <f>O162*'强度系数说明'!$B$7+P162*'强度系数说明'!$B$8+Q162*'强度系数说明'!$B$9+R162*'强度系数说明'!$B$10+S162*'强度系数说明'!$B$11+T162*'强度系数说明'!$B$12+U162*'强度系数说明'!$B$13</f>
        <v/>
      </c>
      <c r="X162" s="7">
        <f>SUMPRODUCT((O162:U162&gt;0)*O162:U162)</f>
        <v/>
      </c>
      <c r="Y162" s="2" t="inlineStr">
        <is>
          <t>否</t>
        </is>
      </c>
      <c r="Z162" s="2" t="inlineStr"/>
      <c r="AA162" s="4" t="inlineStr"/>
      <c r="AB162" s="4" t="inlineStr"/>
      <c r="AC162" s="3" t="inlineStr"/>
      <c r="AD162" s="3" t="inlineStr"/>
      <c r="AE162" s="3" t="inlineStr">
        <is>
          <t>{"agility":12,"defense":12,"force":48,"hp":680,"luck":8}</t>
        </is>
      </c>
      <c r="AF162" s="3" t="inlineStr">
        <is>
          <t>data/item_templates.yaml:L5358</t>
        </is>
      </c>
    </row>
    <row r="163">
      <c r="A163" s="2" t="n">
        <v>162</v>
      </c>
      <c r="B163" s="2" t="inlineStr">
        <is>
          <t>equip_zhuxianjian</t>
        </is>
      </c>
      <c r="C163" s="2" t="inlineStr">
        <is>
          <t>诛仙剑</t>
        </is>
      </c>
      <c r="D163" s="2" t="inlineStr">
        <is>
          <t>weapon</t>
        </is>
      </c>
      <c r="E163" s="2" t="inlineStr">
        <is>
          <t>武器</t>
        </is>
      </c>
      <c r="F163" s="2" t="inlineStr">
        <is>
          <t>equip_weapon</t>
        </is>
      </c>
      <c r="G163" s="2" t="inlineStr">
        <is>
          <t>orange</t>
        </is>
      </c>
      <c r="H163" s="2" t="inlineStr">
        <is>
          <t>传说/橙</t>
        </is>
      </c>
      <c r="I163" s="2" t="inlineStr"/>
      <c r="J163" s="3" t="inlineStr"/>
      <c r="K163" s="3" t="inlineStr">
        <is>
          <t>传说中诛杀万仙的神剑，出自上古剑仙的遗藏。</t>
        </is>
      </c>
      <c r="L163" s="4" t="n">
        <v>52000</v>
      </c>
      <c r="M163" s="4" t="n">
        <v>200</v>
      </c>
      <c r="N163" s="2" t="inlineStr">
        <is>
          <t>是</t>
        </is>
      </c>
      <c r="O163" s="4" t="n">
        <v>530</v>
      </c>
      <c r="P163" s="4" t="n">
        <v>5</v>
      </c>
      <c r="Q163" s="4" t="n">
        <v>36</v>
      </c>
      <c r="R163" s="4" t="n">
        <v>28</v>
      </c>
      <c r="S163" s="4" t="n">
        <v>7</v>
      </c>
      <c r="T163" s="4" t="n">
        <v>5</v>
      </c>
      <c r="U163" s="4" t="n">
        <v>0</v>
      </c>
      <c r="V163" s="5">
        <f>SUM(O163:U163)</f>
        <v/>
      </c>
      <c r="W163" s="6">
        <f>O163*'强度系数说明'!$B$7+P163*'强度系数说明'!$B$8+Q163*'强度系数说明'!$B$9+R163*'强度系数说明'!$B$10+S163*'强度系数说明'!$B$11+T163*'强度系数说明'!$B$12+U163*'强度系数说明'!$B$13</f>
        <v/>
      </c>
      <c r="X163" s="7">
        <f>SUMPRODUCT((O163:U163&gt;0)*O163:U163)</f>
        <v/>
      </c>
      <c r="Y163" s="2" t="inlineStr">
        <is>
          <t>否</t>
        </is>
      </c>
      <c r="Z163" s="2" t="inlineStr"/>
      <c r="AA163" s="4" t="inlineStr"/>
      <c r="AB163" s="4" t="inlineStr"/>
      <c r="AC163" s="3" t="inlineStr"/>
      <c r="AD163" s="3" t="inlineStr"/>
      <c r="AE163" s="3" t="inlineStr">
        <is>
          <t>{"agility":7,"defense":5,"force":36,"hp":530,"intellect":28,"luck":5}</t>
        </is>
      </c>
      <c r="AF163" s="3" t="inlineStr">
        <is>
          <t>data/item_templates.yaml:L5374</t>
        </is>
      </c>
    </row>
    <row r="164">
      <c r="A164" s="2" t="n">
        <v>163</v>
      </c>
      <c r="B164" s="2" t="inlineStr">
        <is>
          <t>equip_qiankunshengong</t>
        </is>
      </c>
      <c r="C164" s="2" t="inlineStr">
        <is>
          <t>乾坤神弓</t>
        </is>
      </c>
      <c r="D164" s="2" t="inlineStr">
        <is>
          <t>weapon</t>
        </is>
      </c>
      <c r="E164" s="2" t="inlineStr">
        <is>
          <t>武器</t>
        </is>
      </c>
      <c r="F164" s="2" t="inlineStr">
        <is>
          <t>equip_weapon</t>
        </is>
      </c>
      <c r="G164" s="2" t="inlineStr">
        <is>
          <t>orange</t>
        </is>
      </c>
      <c r="H164" s="2" t="inlineStr">
        <is>
          <t>传说/橙</t>
        </is>
      </c>
      <c r="I164" s="2" t="inlineStr"/>
      <c r="J164" s="3" t="inlineStr"/>
      <c r="K164" s="3" t="inlineStr">
        <is>
          <t>以乾坤二气铸成的神弓，据传可射日月星辰。</t>
        </is>
      </c>
      <c r="L164" s="4" t="n">
        <v>52000</v>
      </c>
      <c r="M164" s="4" t="n">
        <v>200</v>
      </c>
      <c r="N164" s="2" t="inlineStr">
        <is>
          <t>是</t>
        </is>
      </c>
      <c r="O164" s="4" t="n">
        <v>555</v>
      </c>
      <c r="P164" s="4" t="n">
        <v>7</v>
      </c>
      <c r="Q164" s="4" t="n">
        <v>36</v>
      </c>
      <c r="R164" s="4" t="n">
        <v>9</v>
      </c>
      <c r="S164" s="4" t="n">
        <v>25</v>
      </c>
      <c r="T164" s="4" t="n">
        <v>9</v>
      </c>
      <c r="U164" s="4" t="n">
        <v>0</v>
      </c>
      <c r="V164" s="5">
        <f>SUM(O164:U164)</f>
        <v/>
      </c>
      <c r="W164" s="6">
        <f>O164*'强度系数说明'!$B$7+P164*'强度系数说明'!$B$8+Q164*'强度系数说明'!$B$9+R164*'强度系数说明'!$B$10+S164*'强度系数说明'!$B$11+T164*'强度系数说明'!$B$12+U164*'强度系数说明'!$B$13</f>
        <v/>
      </c>
      <c r="X164" s="7">
        <f>SUMPRODUCT((O164:U164&gt;0)*O164:U164)</f>
        <v/>
      </c>
      <c r="Y164" s="2" t="inlineStr">
        <is>
          <t>否</t>
        </is>
      </c>
      <c r="Z164" s="2" t="inlineStr"/>
      <c r="AA164" s="4" t="inlineStr"/>
      <c r="AB164" s="4" t="inlineStr"/>
      <c r="AC164" s="3" t="inlineStr"/>
      <c r="AD164" s="3" t="inlineStr"/>
      <c r="AE164" s="3" t="inlineStr">
        <is>
          <t>{"agility":25,"defense":7,"force":36,"hp":555,"intellect":9,"luck":9}</t>
        </is>
      </c>
      <c r="AF164" s="3" t="inlineStr">
        <is>
          <t>data/item_templates.yaml:L5391</t>
        </is>
      </c>
    </row>
    <row r="165">
      <c r="A165" s="2" t="n">
        <v>164</v>
      </c>
      <c r="B165" s="2" t="inlineStr">
        <is>
          <t>equip_xuantiechongjian</t>
        </is>
      </c>
      <c r="C165" s="2" t="inlineStr">
        <is>
          <t>玄铁重剑</t>
        </is>
      </c>
      <c r="D165" s="2" t="inlineStr">
        <is>
          <t>weapon</t>
        </is>
      </c>
      <c r="E165" s="2" t="inlineStr">
        <is>
          <t>武器</t>
        </is>
      </c>
      <c r="F165" s="2" t="inlineStr">
        <is>
          <t>equip_weapon</t>
        </is>
      </c>
      <c r="G165" s="2" t="inlineStr">
        <is>
          <t>orange</t>
        </is>
      </c>
      <c r="H165" s="2" t="inlineStr">
        <is>
          <t>传说/橙</t>
        </is>
      </c>
      <c r="I165" s="2" t="inlineStr"/>
      <c r="J165" s="3" t="inlineStr"/>
      <c r="K165" s="3" t="inlineStr">
        <is>
          <t>以玄铁铸成的重剑，剑身无锋，"重剑无锋，大巧不工"。</t>
        </is>
      </c>
      <c r="L165" s="4" t="n">
        <v>52000</v>
      </c>
      <c r="M165" s="4" t="n">
        <v>200</v>
      </c>
      <c r="N165" s="2" t="inlineStr">
        <is>
          <t>是</t>
        </is>
      </c>
      <c r="O165" s="4" t="n">
        <v>760</v>
      </c>
      <c r="P165" s="4" t="n">
        <v>15</v>
      </c>
      <c r="Q165" s="4" t="n">
        <v>58</v>
      </c>
      <c r="R165" s="4" t="n">
        <v>0</v>
      </c>
      <c r="S165" s="4" t="n">
        <v>8</v>
      </c>
      <c r="T165" s="4" t="n">
        <v>0</v>
      </c>
      <c r="U165" s="4" t="n">
        <v>0</v>
      </c>
      <c r="V165" s="5">
        <f>SUM(O165:U165)</f>
        <v/>
      </c>
      <c r="W165" s="6">
        <f>O165*'强度系数说明'!$B$7+P165*'强度系数说明'!$B$8+Q165*'强度系数说明'!$B$9+R165*'强度系数说明'!$B$10+S165*'强度系数说明'!$B$11+T165*'强度系数说明'!$B$12+U165*'强度系数说明'!$B$13</f>
        <v/>
      </c>
      <c r="X165" s="7">
        <f>SUMPRODUCT((O165:U165&gt;0)*O165:U165)</f>
        <v/>
      </c>
      <c r="Y165" s="2" t="inlineStr">
        <is>
          <t>否</t>
        </is>
      </c>
      <c r="Z165" s="2" t="inlineStr"/>
      <c r="AA165" s="4" t="inlineStr"/>
      <c r="AB165" s="4" t="inlineStr"/>
      <c r="AC165" s="3" t="inlineStr"/>
      <c r="AD165" s="3" t="inlineStr"/>
      <c r="AE165" s="3" t="inlineStr">
        <is>
          <t>{"agility":8,"defense":15,"force":58,"hp":760}</t>
        </is>
      </c>
      <c r="AF165" s="3" t="inlineStr">
        <is>
          <t>data/item_templates.yaml:L5408</t>
        </is>
      </c>
    </row>
    <row r="166">
      <c r="A166" s="2" t="n">
        <v>165</v>
      </c>
      <c r="B166" s="2" t="inlineStr">
        <is>
          <t>equip_dagoubang</t>
        </is>
      </c>
      <c r="C166" s="2" t="inlineStr">
        <is>
          <t>打狗棒</t>
        </is>
      </c>
      <c r="D166" s="2" t="inlineStr">
        <is>
          <t>weapon</t>
        </is>
      </c>
      <c r="E166" s="2" t="inlineStr">
        <is>
          <t>武器</t>
        </is>
      </c>
      <c r="F166" s="2" t="inlineStr">
        <is>
          <t>equip_weapon</t>
        </is>
      </c>
      <c r="G166" s="2" t="inlineStr">
        <is>
          <t>orange</t>
        </is>
      </c>
      <c r="H166" s="2" t="inlineStr">
        <is>
          <t>传说/橙</t>
        </is>
      </c>
      <c r="I166" s="2" t="inlineStr"/>
      <c r="J166" s="3" t="inlineStr"/>
      <c r="K166" s="3" t="inlineStr">
        <is>
          <t>丐帮历代帮主的信物，以翠竹削成，其貌不扬却地位尊崇。</t>
        </is>
      </c>
      <c r="L166" s="4" t="n">
        <v>52000</v>
      </c>
      <c r="M166" s="4" t="n">
        <v>200</v>
      </c>
      <c r="N166" s="2" t="inlineStr">
        <is>
          <t>是</t>
        </is>
      </c>
      <c r="O166" s="4" t="n">
        <v>567</v>
      </c>
      <c r="P166" s="4" t="n">
        <v>9</v>
      </c>
      <c r="Q166" s="4" t="n">
        <v>37</v>
      </c>
      <c r="R166" s="4" t="n">
        <v>0</v>
      </c>
      <c r="S166" s="4" t="n">
        <v>21</v>
      </c>
      <c r="T166" s="4" t="n">
        <v>14</v>
      </c>
      <c r="U166" s="4" t="n">
        <v>0</v>
      </c>
      <c r="V166" s="5">
        <f>SUM(O166:U166)</f>
        <v/>
      </c>
      <c r="W166" s="6">
        <f>O166*'强度系数说明'!$B$7+P166*'强度系数说明'!$B$8+Q166*'强度系数说明'!$B$9+R166*'强度系数说明'!$B$10+S166*'强度系数说明'!$B$11+T166*'强度系数说明'!$B$12+U166*'强度系数说明'!$B$13</f>
        <v/>
      </c>
      <c r="X166" s="7">
        <f>SUMPRODUCT((O166:U166&gt;0)*O166:U166)</f>
        <v/>
      </c>
      <c r="Y166" s="2" t="inlineStr">
        <is>
          <t>否</t>
        </is>
      </c>
      <c r="Z166" s="2" t="inlineStr"/>
      <c r="AA166" s="4" t="inlineStr"/>
      <c r="AB166" s="4" t="inlineStr"/>
      <c r="AC166" s="3" t="inlineStr"/>
      <c r="AD166" s="3" t="inlineStr"/>
      <c r="AE166" s="3" t="inlineStr">
        <is>
          <t>{"agility":21,"defense":9,"force":37,"hp":567,"luck":14}</t>
        </is>
      </c>
      <c r="AF166" s="3" t="inlineStr">
        <is>
          <t>data/item_templates.yaml:L5423</t>
        </is>
      </c>
    </row>
    <row r="167">
      <c r="A167" s="2" t="n">
        <v>166</v>
      </c>
      <c r="B167" s="2" t="inlineStr">
        <is>
          <t>equip_xiaolifeidao</t>
        </is>
      </c>
      <c r="C167" s="2" t="inlineStr">
        <is>
          <t>小李飞刀</t>
        </is>
      </c>
      <c r="D167" s="2" t="inlineStr">
        <is>
          <t>weapon</t>
        </is>
      </c>
      <c r="E167" s="2" t="inlineStr">
        <is>
          <t>武器</t>
        </is>
      </c>
      <c r="F167" s="2" t="inlineStr">
        <is>
          <t>equip_weapon</t>
        </is>
      </c>
      <c r="G167" s="2" t="inlineStr">
        <is>
          <t>orange</t>
        </is>
      </c>
      <c r="H167" s="2" t="inlineStr">
        <is>
          <t>传说/橙</t>
        </is>
      </c>
      <c r="I167" s="2" t="inlineStr"/>
      <c r="J167" s="3" t="inlineStr"/>
      <c r="K167" s="3" t="inlineStr">
        <is>
          <t>传说中"例无虚发"的神奇飞刀，出自飞刀世家李氏。</t>
        </is>
      </c>
      <c r="L167" s="4" t="n">
        <v>52000</v>
      </c>
      <c r="M167" s="4" t="n">
        <v>200</v>
      </c>
      <c r="N167" s="2" t="inlineStr">
        <is>
          <t>是</t>
        </is>
      </c>
      <c r="O167" s="4" t="n">
        <v>585</v>
      </c>
      <c r="P167" s="4" t="n">
        <v>0</v>
      </c>
      <c r="Q167" s="4" t="n">
        <v>36</v>
      </c>
      <c r="R167" s="4" t="n">
        <v>7</v>
      </c>
      <c r="S167" s="4" t="n">
        <v>22</v>
      </c>
      <c r="T167" s="4" t="n">
        <v>15</v>
      </c>
      <c r="U167" s="4" t="n">
        <v>0</v>
      </c>
      <c r="V167" s="5">
        <f>SUM(O167:U167)</f>
        <v/>
      </c>
      <c r="W167" s="6">
        <f>O167*'强度系数说明'!$B$7+P167*'强度系数说明'!$B$8+Q167*'强度系数说明'!$B$9+R167*'强度系数说明'!$B$10+S167*'强度系数说明'!$B$11+T167*'强度系数说明'!$B$12+U167*'强度系数说明'!$B$13</f>
        <v/>
      </c>
      <c r="X167" s="7">
        <f>SUMPRODUCT((O167:U167&gt;0)*O167:U167)</f>
        <v/>
      </c>
      <c r="Y167" s="2" t="inlineStr">
        <is>
          <t>否</t>
        </is>
      </c>
      <c r="Z167" s="2" t="inlineStr"/>
      <c r="AA167" s="4" t="inlineStr"/>
      <c r="AB167" s="4" t="inlineStr"/>
      <c r="AC167" s="3" t="inlineStr"/>
      <c r="AD167" s="3" t="inlineStr"/>
      <c r="AE167" s="3" t="inlineStr">
        <is>
          <t>{"agility":22,"force":36,"hp":585,"intellect":7,"luck":15}</t>
        </is>
      </c>
      <c r="AF167" s="3" t="inlineStr">
        <is>
          <t>data/item_templates.yaml:L5439</t>
        </is>
      </c>
    </row>
    <row r="168">
      <c r="A168" s="2" t="n">
        <v>167</v>
      </c>
      <c r="B168" s="2" t="inlineStr">
        <is>
          <t>equip_kongquelin</t>
        </is>
      </c>
      <c r="C168" s="2" t="inlineStr">
        <is>
          <t>孔雀翎</t>
        </is>
      </c>
      <c r="D168" s="2" t="inlineStr">
        <is>
          <t>weapon</t>
        </is>
      </c>
      <c r="E168" s="2" t="inlineStr">
        <is>
          <t>武器</t>
        </is>
      </c>
      <c r="F168" s="2" t="inlineStr">
        <is>
          <t>equip_weapon</t>
        </is>
      </c>
      <c r="G168" s="2" t="inlineStr">
        <is>
          <t>orange</t>
        </is>
      </c>
      <c r="H168" s="2" t="inlineStr">
        <is>
          <t>传说/橙</t>
        </is>
      </c>
      <c r="I168" s="2" t="inlineStr"/>
      <c r="J168" s="3" t="inlineStr"/>
      <c r="K168" s="3" t="inlineStr">
        <is>
          <t>暗器之王，据传以孔雀尾羽铸成，华美而致命。</t>
        </is>
      </c>
      <c r="L168" s="4" t="n">
        <v>52000</v>
      </c>
      <c r="M168" s="4" t="n">
        <v>200</v>
      </c>
      <c r="N168" s="2" t="inlineStr">
        <is>
          <t>是</t>
        </is>
      </c>
      <c r="O168" s="4" t="n">
        <v>610</v>
      </c>
      <c r="P168" s="4" t="n">
        <v>0</v>
      </c>
      <c r="Q168" s="4" t="n">
        <v>36</v>
      </c>
      <c r="R168" s="4" t="n">
        <v>9</v>
      </c>
      <c r="S168" s="4" t="n">
        <v>23</v>
      </c>
      <c r="T168" s="4" t="n">
        <v>14</v>
      </c>
      <c r="U168" s="4" t="n">
        <v>0</v>
      </c>
      <c r="V168" s="5">
        <f>SUM(O168:U168)</f>
        <v/>
      </c>
      <c r="W168" s="6">
        <f>O168*'强度系数说明'!$B$7+P168*'强度系数说明'!$B$8+Q168*'强度系数说明'!$B$9+R168*'强度系数说明'!$B$10+S168*'强度系数说明'!$B$11+T168*'强度系数说明'!$B$12+U168*'强度系数说明'!$B$13</f>
        <v/>
      </c>
      <c r="X168" s="7">
        <f>SUMPRODUCT((O168:U168&gt;0)*O168:U168)</f>
        <v/>
      </c>
      <c r="Y168" s="2" t="inlineStr">
        <is>
          <t>否</t>
        </is>
      </c>
      <c r="Z168" s="2" t="inlineStr"/>
      <c r="AA168" s="4" t="inlineStr"/>
      <c r="AB168" s="4" t="inlineStr"/>
      <c r="AC168" s="3" t="inlineStr"/>
      <c r="AD168" s="3" t="inlineStr"/>
      <c r="AE168" s="3" t="inlineStr">
        <is>
          <t>{"agility":23,"force":36,"hp":610,"intellect":9,"luck":14}</t>
        </is>
      </c>
      <c r="AF168" s="3" t="inlineStr">
        <is>
          <t>data/item_templates.yaml:L5455</t>
        </is>
      </c>
    </row>
    <row r="169">
      <c r="A169" s="2" t="n">
        <v>168</v>
      </c>
      <c r="B169" s="2" t="inlineStr">
        <is>
          <t>equip_tianyamingyuedao</t>
        </is>
      </c>
      <c r="C169" s="2" t="inlineStr">
        <is>
          <t>天涯明月刀</t>
        </is>
      </c>
      <c r="D169" s="2" t="inlineStr">
        <is>
          <t>weapon</t>
        </is>
      </c>
      <c r="E169" s="2" t="inlineStr">
        <is>
          <t>武器</t>
        </is>
      </c>
      <c r="F169" s="2" t="inlineStr">
        <is>
          <t>equip_weapon</t>
        </is>
      </c>
      <c r="G169" s="2" t="inlineStr">
        <is>
          <t>orange</t>
        </is>
      </c>
      <c r="H169" s="2" t="inlineStr">
        <is>
          <t>传说/橙</t>
        </is>
      </c>
      <c r="I169" s="2" t="inlineStr"/>
      <c r="J169" s="3" t="inlineStr"/>
      <c r="K169" s="3" t="inlineStr">
        <is>
          <t>刀名取自"天涯明月"，相传是某位孤独刀客的佩刀。</t>
        </is>
      </c>
      <c r="L169" s="4" t="n">
        <v>52000</v>
      </c>
      <c r="M169" s="4" t="n">
        <v>200</v>
      </c>
      <c r="N169" s="2" t="inlineStr">
        <is>
          <t>是</t>
        </is>
      </c>
      <c r="O169" s="4" t="n">
        <v>680</v>
      </c>
      <c r="P169" s="4" t="n">
        <v>10</v>
      </c>
      <c r="Q169" s="4" t="n">
        <v>58</v>
      </c>
      <c r="R169" s="4" t="n">
        <v>0</v>
      </c>
      <c r="S169" s="4" t="n">
        <v>18</v>
      </c>
      <c r="T169" s="4" t="n">
        <v>0</v>
      </c>
      <c r="U169" s="4" t="n">
        <v>0</v>
      </c>
      <c r="V169" s="5">
        <f>SUM(O169:U169)</f>
        <v/>
      </c>
      <c r="W169" s="6">
        <f>O169*'强度系数说明'!$B$7+P169*'强度系数说明'!$B$8+Q169*'强度系数说明'!$B$9+R169*'强度系数说明'!$B$10+S169*'强度系数说明'!$B$11+T169*'强度系数说明'!$B$12+U169*'强度系数说明'!$B$13</f>
        <v/>
      </c>
      <c r="X169" s="7">
        <f>SUMPRODUCT((O169:U169&gt;0)*O169:U169)</f>
        <v/>
      </c>
      <c r="Y169" s="2" t="inlineStr">
        <is>
          <t>否</t>
        </is>
      </c>
      <c r="Z169" s="2" t="inlineStr"/>
      <c r="AA169" s="4" t="inlineStr"/>
      <c r="AB169" s="4" t="inlineStr"/>
      <c r="AC169" s="3" t="inlineStr"/>
      <c r="AD169" s="3" t="inlineStr"/>
      <c r="AE169" s="3" t="inlineStr">
        <is>
          <t>{"agility":18,"defense":10,"force":58,"hp":680}</t>
        </is>
      </c>
      <c r="AF169" s="3" t="inlineStr">
        <is>
          <t>data/item_templates.yaml:L5471</t>
        </is>
      </c>
    </row>
    <row r="170">
      <c r="A170" s="2" t="n">
        <v>169</v>
      </c>
      <c r="B170" s="2" t="inlineStr">
        <is>
          <t>equip_yuanyuewandao</t>
        </is>
      </c>
      <c r="C170" s="2" t="inlineStr">
        <is>
          <t>圆月弯刀</t>
        </is>
      </c>
      <c r="D170" s="2" t="inlineStr">
        <is>
          <t>weapon</t>
        </is>
      </c>
      <c r="E170" s="2" t="inlineStr">
        <is>
          <t>武器</t>
        </is>
      </c>
      <c r="F170" s="2" t="inlineStr">
        <is>
          <t>equip_weapon</t>
        </is>
      </c>
      <c r="G170" s="2" t="inlineStr">
        <is>
          <t>orange</t>
        </is>
      </c>
      <c r="H170" s="2" t="inlineStr">
        <is>
          <t>传说/橙</t>
        </is>
      </c>
      <c r="I170" s="2" t="inlineStr"/>
      <c r="J170" s="3" t="inlineStr"/>
      <c r="K170" s="3" t="inlineStr">
        <is>
          <t>刀身弯如圆月，上面刻着七个字：小楼昨夜听春雨。</t>
        </is>
      </c>
      <c r="L170" s="4" t="n">
        <v>52000</v>
      </c>
      <c r="M170" s="4" t="n">
        <v>200</v>
      </c>
      <c r="N170" s="2" t="inlineStr">
        <is>
          <t>是</t>
        </is>
      </c>
      <c r="O170" s="4" t="n">
        <v>577</v>
      </c>
      <c r="P170" s="4" t="n">
        <v>9</v>
      </c>
      <c r="Q170" s="4" t="n">
        <v>44</v>
      </c>
      <c r="R170" s="4" t="n">
        <v>0</v>
      </c>
      <c r="S170" s="4" t="n">
        <v>21</v>
      </c>
      <c r="T170" s="4" t="n">
        <v>11</v>
      </c>
      <c r="U170" s="4" t="n">
        <v>0</v>
      </c>
      <c r="V170" s="5">
        <f>SUM(O170:U170)</f>
        <v/>
      </c>
      <c r="W170" s="6">
        <f>O170*'强度系数说明'!$B$7+P170*'强度系数说明'!$B$8+Q170*'强度系数说明'!$B$9+R170*'强度系数说明'!$B$10+S170*'强度系数说明'!$B$11+T170*'强度系数说明'!$B$12+U170*'强度系数说明'!$B$13</f>
        <v/>
      </c>
      <c r="X170" s="7">
        <f>SUMPRODUCT((O170:U170&gt;0)*O170:U170)</f>
        <v/>
      </c>
      <c r="Y170" s="2" t="inlineStr">
        <is>
          <t>否</t>
        </is>
      </c>
      <c r="Z170" s="2" t="inlineStr"/>
      <c r="AA170" s="4" t="inlineStr"/>
      <c r="AB170" s="4" t="inlineStr"/>
      <c r="AC170" s="3" t="inlineStr"/>
      <c r="AD170" s="3" t="inlineStr"/>
      <c r="AE170" s="3" t="inlineStr">
        <is>
          <t>{"agility":21,"defense":9,"force":44,"hp":577,"luck":11}</t>
        </is>
      </c>
      <c r="AF170" s="3" t="inlineStr">
        <is>
          <t>data/item_templates.yaml:L5486</t>
        </is>
      </c>
    </row>
    <row r="171">
      <c r="A171" s="2" t="n">
        <v>170</v>
      </c>
      <c r="B171" s="2" t="inlineStr">
        <is>
          <t>equip_changshengjian</t>
        </is>
      </c>
      <c r="C171" s="2" t="inlineStr">
        <is>
          <t>长生剑</t>
        </is>
      </c>
      <c r="D171" s="2" t="inlineStr">
        <is>
          <t>weapon</t>
        </is>
      </c>
      <c r="E171" s="2" t="inlineStr">
        <is>
          <t>武器</t>
        </is>
      </c>
      <c r="F171" s="2" t="inlineStr">
        <is>
          <t>equip_weapon</t>
        </is>
      </c>
      <c r="G171" s="2" t="inlineStr">
        <is>
          <t>orange</t>
        </is>
      </c>
      <c r="H171" s="2" t="inlineStr">
        <is>
          <t>传说/橙</t>
        </is>
      </c>
      <c r="I171" s="2" t="inlineStr"/>
      <c r="J171" s="3" t="inlineStr"/>
      <c r="K171" s="3" t="inlineStr">
        <is>
          <t>剑名长生，传说是某位追求长生的剑仙所铸。</t>
        </is>
      </c>
      <c r="L171" s="4" t="n">
        <v>52000</v>
      </c>
      <c r="M171" s="4" t="n">
        <v>200</v>
      </c>
      <c r="N171" s="2" t="inlineStr">
        <is>
          <t>是</t>
        </is>
      </c>
      <c r="O171" s="4" t="n">
        <v>533</v>
      </c>
      <c r="P171" s="4" t="n">
        <v>10</v>
      </c>
      <c r="Q171" s="4" t="n">
        <v>32</v>
      </c>
      <c r="R171" s="4" t="n">
        <v>27</v>
      </c>
      <c r="S171" s="4" t="n">
        <v>0</v>
      </c>
      <c r="T171" s="4" t="n">
        <v>12</v>
      </c>
      <c r="U171" s="4" t="n">
        <v>0</v>
      </c>
      <c r="V171" s="5">
        <f>SUM(O171:U171)</f>
        <v/>
      </c>
      <c r="W171" s="6">
        <f>O171*'强度系数说明'!$B$7+P171*'强度系数说明'!$B$8+Q171*'强度系数说明'!$B$9+R171*'强度系数说明'!$B$10+S171*'强度系数说明'!$B$11+T171*'强度系数说明'!$B$12+U171*'强度系数说明'!$B$13</f>
        <v/>
      </c>
      <c r="X171" s="7">
        <f>SUMPRODUCT((O171:U171&gt;0)*O171:U171)</f>
        <v/>
      </c>
      <c r="Y171" s="2" t="inlineStr">
        <is>
          <t>否</t>
        </is>
      </c>
      <c r="Z171" s="2" t="inlineStr"/>
      <c r="AA171" s="4" t="inlineStr"/>
      <c r="AB171" s="4" t="inlineStr"/>
      <c r="AC171" s="3" t="inlineStr"/>
      <c r="AD171" s="3" t="inlineStr"/>
      <c r="AE171" s="3" t="inlineStr">
        <is>
          <t>{"defense":10,"force":32,"hp":533,"intellect":27,"luck":12}</t>
        </is>
      </c>
      <c r="AF171" s="3" t="inlineStr">
        <is>
          <t>data/item_templates.yaml:L5502</t>
        </is>
      </c>
    </row>
    <row r="172">
      <c r="A172" s="2" t="n">
        <v>171</v>
      </c>
      <c r="B172" s="2" t="inlineStr">
        <is>
          <t>equip_zhuyuye</t>
        </is>
      </c>
      <c r="C172" s="2" t="inlineStr">
        <is>
          <t>茱萸叶</t>
        </is>
      </c>
      <c r="D172" s="2" t="inlineStr">
        <is>
          <t>ornament</t>
        </is>
      </c>
      <c r="E172" s="2" t="inlineStr">
        <is>
          <t>饰品</t>
        </is>
      </c>
      <c r="F172" s="2" t="inlineStr">
        <is>
          <t>equip_ornament</t>
        </is>
      </c>
      <c r="G172" s="2" t="inlineStr">
        <is>
          <t>purple</t>
        </is>
      </c>
      <c r="H172" s="2" t="inlineStr">
        <is>
          <t>史诗/紫</t>
        </is>
      </c>
      <c r="I172" s="2" t="inlineStr"/>
      <c r="J172" s="3" t="inlineStr"/>
      <c r="K172" s="3" t="inlineStr">
        <is>
          <t>佩戴茱萸叶，象征着防止灾祸和祈求健康平安。</t>
        </is>
      </c>
      <c r="L172" s="4" t="n">
        <v>0</v>
      </c>
      <c r="M172" s="4" t="n">
        <v>150</v>
      </c>
      <c r="N172" s="2" t="inlineStr">
        <is>
          <t>否</t>
        </is>
      </c>
      <c r="O172" s="4" t="n">
        <v>320</v>
      </c>
      <c r="P172" s="4" t="n">
        <v>14</v>
      </c>
      <c r="Q172" s="4" t="n">
        <v>21</v>
      </c>
      <c r="R172" s="4" t="n">
        <v>0</v>
      </c>
      <c r="S172" s="4" t="n">
        <v>0</v>
      </c>
      <c r="T172" s="4" t="n">
        <v>22</v>
      </c>
      <c r="U172" s="4" t="n">
        <v>0</v>
      </c>
      <c r="V172" s="5">
        <f>SUM(O172:U172)</f>
        <v/>
      </c>
      <c r="W172" s="6">
        <f>O172*'强度系数说明'!$B$7+P172*'强度系数说明'!$B$8+Q172*'强度系数说明'!$B$9+R172*'强度系数说明'!$B$10+S172*'强度系数说明'!$B$11+T172*'强度系数说明'!$B$12+U172*'强度系数说明'!$B$13</f>
        <v/>
      </c>
      <c r="X172" s="7">
        <f>SUMPRODUCT((O172:U172&gt;0)*O172:U172)</f>
        <v/>
      </c>
      <c r="Y172" s="2" t="inlineStr">
        <is>
          <t>否</t>
        </is>
      </c>
      <c r="Z172" s="2" t="inlineStr"/>
      <c r="AA172" s="4" t="inlineStr"/>
      <c r="AB172" s="4" t="inlineStr"/>
      <c r="AC172" s="3" t="inlineStr"/>
      <c r="AD172" s="3" t="inlineStr"/>
      <c r="AE172" s="3" t="inlineStr">
        <is>
          <t>{"defense":14,"force":21,"hp":320,"luck":22}</t>
        </is>
      </c>
      <c r="AF172" s="3" t="inlineStr">
        <is>
          <t>data/item_templates.yaml:L5522</t>
        </is>
      </c>
    </row>
    <row r="173">
      <c r="A173" s="2" t="n">
        <v>172</v>
      </c>
      <c r="B173" s="2" t="inlineStr">
        <is>
          <t>equip_tongling</t>
        </is>
      </c>
      <c r="C173" s="2" t="inlineStr">
        <is>
          <t>铜铃</t>
        </is>
      </c>
      <c r="D173" s="2" t="inlineStr">
        <is>
          <t>ornament</t>
        </is>
      </c>
      <c r="E173" s="2" t="inlineStr">
        <is>
          <t>饰品</t>
        </is>
      </c>
      <c r="F173" s="2" t="inlineStr">
        <is>
          <t>equip_ornament</t>
        </is>
      </c>
      <c r="G173" s="2" t="inlineStr">
        <is>
          <t>green</t>
        </is>
      </c>
      <c r="H173" s="2" t="inlineStr">
        <is>
          <t>优良/绿</t>
        </is>
      </c>
      <c r="I173" s="2" t="inlineStr"/>
      <c r="J173" s="3" t="inlineStr"/>
      <c r="K173" s="3" t="inlineStr">
        <is>
          <t>道观门前悬挂的风铃，铃音清脆可驱邪避厄。</t>
        </is>
      </c>
      <c r="L173" s="4" t="n">
        <v>2000</v>
      </c>
      <c r="M173" s="4" t="n">
        <v>75</v>
      </c>
      <c r="N173" s="2" t="inlineStr">
        <is>
          <t>是</t>
        </is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10</v>
      </c>
      <c r="T173" s="4" t="n">
        <v>20</v>
      </c>
      <c r="U173" s="4" t="n">
        <v>0</v>
      </c>
      <c r="V173" s="5">
        <f>SUM(O173:U173)</f>
        <v/>
      </c>
      <c r="W173" s="6">
        <f>O173*'强度系数说明'!$B$7+P173*'强度系数说明'!$B$8+Q173*'强度系数说明'!$B$9+R173*'强度系数说明'!$B$10+S173*'强度系数说明'!$B$11+T173*'强度系数说明'!$B$12+U173*'强度系数说明'!$B$13</f>
        <v/>
      </c>
      <c r="X173" s="7">
        <f>SUMPRODUCT((O173:U173&gt;0)*O173:U173)</f>
        <v/>
      </c>
      <c r="Y173" s="2" t="inlineStr">
        <is>
          <t>否</t>
        </is>
      </c>
      <c r="Z173" s="2" t="inlineStr"/>
      <c r="AA173" s="4" t="inlineStr"/>
      <c r="AB173" s="4" t="inlineStr"/>
      <c r="AC173" s="3" t="inlineStr"/>
      <c r="AD173" s="3" t="inlineStr"/>
      <c r="AE173" s="3" t="inlineStr">
        <is>
          <t>{"agility":10,"luck":20}</t>
        </is>
      </c>
      <c r="AF173" s="3" t="inlineStr">
        <is>
          <t>data/item_templates.yaml:L5541</t>
        </is>
      </c>
    </row>
    <row r="174">
      <c r="A174" s="2" t="n">
        <v>173</v>
      </c>
      <c r="B174" s="2" t="inlineStr">
        <is>
          <t>equip_yupei</t>
        </is>
      </c>
      <c r="C174" s="2" t="inlineStr">
        <is>
          <t>玉佩</t>
        </is>
      </c>
      <c r="D174" s="2" t="inlineStr">
        <is>
          <t>ornament</t>
        </is>
      </c>
      <c r="E174" s="2" t="inlineStr">
        <is>
          <t>饰品</t>
        </is>
      </c>
      <c r="F174" s="2" t="inlineStr">
        <is>
          <t>equip_ornament</t>
        </is>
      </c>
      <c r="G174" s="2" t="inlineStr">
        <is>
          <t>green</t>
        </is>
      </c>
      <c r="H174" s="2" t="inlineStr">
        <is>
          <t>优良/绿</t>
        </is>
      </c>
      <c r="I174" s="2" t="inlineStr"/>
      <c r="J174" s="3" t="inlineStr"/>
      <c r="K174" s="3" t="inlineStr">
        <is>
          <t>温润的随身玉佩，是江南大户人家子弟的常见饰物。</t>
        </is>
      </c>
      <c r="L174" s="4" t="n">
        <v>2000</v>
      </c>
      <c r="M174" s="4" t="n">
        <v>75</v>
      </c>
      <c r="N174" s="2" t="inlineStr">
        <is>
          <t>是</t>
        </is>
      </c>
      <c r="O174" s="4" t="n">
        <v>50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100</v>
      </c>
      <c r="V174" s="5">
        <f>SUM(O174:U174)</f>
        <v/>
      </c>
      <c r="W174" s="6">
        <f>O174*'强度系数说明'!$B$7+P174*'强度系数说明'!$B$8+Q174*'强度系数说明'!$B$9+R174*'强度系数说明'!$B$10+S174*'强度系数说明'!$B$11+T174*'强度系数说明'!$B$12+U174*'强度系数说明'!$B$13</f>
        <v/>
      </c>
      <c r="X174" s="7">
        <f>SUMPRODUCT((O174:U174&gt;0)*O174:U174)</f>
        <v/>
      </c>
      <c r="Y174" s="2" t="inlineStr">
        <is>
          <t>否</t>
        </is>
      </c>
      <c r="Z174" s="2" t="inlineStr"/>
      <c r="AA174" s="4" t="inlineStr"/>
      <c r="AB174" s="4" t="inlineStr"/>
      <c r="AC174" s="3" t="inlineStr"/>
      <c r="AD174" s="3" t="inlineStr"/>
      <c r="AE174" s="3" t="inlineStr">
        <is>
          <t>{"hp":50,"troop_capacity":100}</t>
        </is>
      </c>
      <c r="AF174" s="3" t="inlineStr">
        <is>
          <t>data/item_templates.yaml:L5554</t>
        </is>
      </c>
    </row>
    <row r="175">
      <c r="A175" s="2" t="n">
        <v>174</v>
      </c>
      <c r="B175" s="2" t="inlineStr">
        <is>
          <t>equip_hushenfu</t>
        </is>
      </c>
      <c r="C175" s="2" t="inlineStr">
        <is>
          <t>护身符</t>
        </is>
      </c>
      <c r="D175" s="2" t="inlineStr">
        <is>
          <t>ornament</t>
        </is>
      </c>
      <c r="E175" s="2" t="inlineStr">
        <is>
          <t>饰品</t>
        </is>
      </c>
      <c r="F175" s="2" t="inlineStr">
        <is>
          <t>equip_ornament</t>
        </is>
      </c>
      <c r="G175" s="2" t="inlineStr">
        <is>
          <t>green</t>
        </is>
      </c>
      <c r="H175" s="2" t="inlineStr">
        <is>
          <t>优良/绿</t>
        </is>
      </c>
      <c r="I175" s="2" t="inlineStr"/>
      <c r="J175" s="3" t="inlineStr"/>
      <c r="K175" s="3" t="inlineStr">
        <is>
          <t>寺庙高僧开光的平安符，以黄纸朱砂绘制。</t>
        </is>
      </c>
      <c r="L175" s="4" t="n">
        <v>2000</v>
      </c>
      <c r="M175" s="4" t="n">
        <v>75</v>
      </c>
      <c r="N175" s="2" t="inlineStr">
        <is>
          <t>是</t>
        </is>
      </c>
      <c r="O175" s="4" t="n">
        <v>100</v>
      </c>
      <c r="P175" s="4" t="n">
        <v>15</v>
      </c>
      <c r="Q175" s="4" t="n">
        <v>5</v>
      </c>
      <c r="R175" s="4" t="n">
        <v>0</v>
      </c>
      <c r="S175" s="4" t="n">
        <v>0</v>
      </c>
      <c r="T175" s="4" t="n">
        <v>5</v>
      </c>
      <c r="U175" s="4" t="n">
        <v>0</v>
      </c>
      <c r="V175" s="5">
        <f>SUM(O175:U175)</f>
        <v/>
      </c>
      <c r="W175" s="6">
        <f>O175*'强度系数说明'!$B$7+P175*'强度系数说明'!$B$8+Q175*'强度系数说明'!$B$9+R175*'强度系数说明'!$B$10+S175*'强度系数说明'!$B$11+T175*'强度系数说明'!$B$12+U175*'强度系数说明'!$B$13</f>
        <v/>
      </c>
      <c r="X175" s="7">
        <f>SUMPRODUCT((O175:U175&gt;0)*O175:U175)</f>
        <v/>
      </c>
      <c r="Y175" s="2" t="inlineStr">
        <is>
          <t>否</t>
        </is>
      </c>
      <c r="Z175" s="2" t="inlineStr"/>
      <c r="AA175" s="4" t="inlineStr"/>
      <c r="AB175" s="4" t="inlineStr"/>
      <c r="AC175" s="3" t="inlineStr"/>
      <c r="AD175" s="3" t="inlineStr"/>
      <c r="AE175" s="3" t="inlineStr">
        <is>
          <t>{"defense":15,"force":5,"hp":100,"luck":5}</t>
        </is>
      </c>
      <c r="AF175" s="3" t="inlineStr">
        <is>
          <t>data/item_templates.yaml:L5567</t>
        </is>
      </c>
    </row>
    <row r="176">
      <c r="A176" s="2" t="n">
        <v>175</v>
      </c>
      <c r="B176" s="2" t="inlineStr">
        <is>
          <t>equip_taomupai</t>
        </is>
      </c>
      <c r="C176" s="2" t="inlineStr">
        <is>
          <t>桃木牌</t>
        </is>
      </c>
      <c r="D176" s="2" t="inlineStr">
        <is>
          <t>ornament</t>
        </is>
      </c>
      <c r="E176" s="2" t="inlineStr">
        <is>
          <t>饰品</t>
        </is>
      </c>
      <c r="F176" s="2" t="inlineStr">
        <is>
          <t>equip_ornament</t>
        </is>
      </c>
      <c r="G176" s="2" t="inlineStr">
        <is>
          <t>green</t>
        </is>
      </c>
      <c r="H176" s="2" t="inlineStr">
        <is>
          <t>优良/绿</t>
        </is>
      </c>
      <c r="I176" s="2" t="inlineStr"/>
      <c r="J176" s="3" t="inlineStr"/>
      <c r="K176" s="3" t="inlineStr">
        <is>
          <t>以桃木雕刻的辟邪牌，据传源自茅山道士的法器。</t>
        </is>
      </c>
      <c r="L176" s="4" t="n">
        <v>2000</v>
      </c>
      <c r="M176" s="4" t="n">
        <v>75</v>
      </c>
      <c r="N176" s="2" t="inlineStr">
        <is>
          <t>是</t>
        </is>
      </c>
      <c r="O176" s="4" t="n">
        <v>0</v>
      </c>
      <c r="P176" s="4" t="n">
        <v>20</v>
      </c>
      <c r="Q176" s="4" t="n">
        <v>0</v>
      </c>
      <c r="R176" s="4" t="n">
        <v>5</v>
      </c>
      <c r="S176" s="4" t="n">
        <v>0</v>
      </c>
      <c r="T176" s="4" t="n">
        <v>10</v>
      </c>
      <c r="U176" s="4" t="n">
        <v>0</v>
      </c>
      <c r="V176" s="5">
        <f>SUM(O176:U176)</f>
        <v/>
      </c>
      <c r="W176" s="6">
        <f>O176*'强度系数说明'!$B$7+P176*'强度系数说明'!$B$8+Q176*'强度系数说明'!$B$9+R176*'强度系数说明'!$B$10+S176*'强度系数说明'!$B$11+T176*'强度系数说明'!$B$12+U176*'强度系数说明'!$B$13</f>
        <v/>
      </c>
      <c r="X176" s="7">
        <f>SUMPRODUCT((O176:U176&gt;0)*O176:U176)</f>
        <v/>
      </c>
      <c r="Y176" s="2" t="inlineStr">
        <is>
          <t>否</t>
        </is>
      </c>
      <c r="Z176" s="2" t="inlineStr"/>
      <c r="AA176" s="4" t="inlineStr"/>
      <c r="AB176" s="4" t="inlineStr"/>
      <c r="AC176" s="3" t="inlineStr"/>
      <c r="AD176" s="3" t="inlineStr"/>
      <c r="AE176" s="3" t="inlineStr">
        <is>
          <t>{"defense":20,"intellect":5,"luck":10}</t>
        </is>
      </c>
      <c r="AF176" s="3" t="inlineStr">
        <is>
          <t>data/item_templates.yaml:L5582</t>
        </is>
      </c>
    </row>
    <row r="177">
      <c r="A177" s="2" t="n">
        <v>176</v>
      </c>
      <c r="B177" s="2" t="inlineStr">
        <is>
          <t>equip_fudai</t>
        </is>
      </c>
      <c r="C177" s="2" t="inlineStr">
        <is>
          <t>福袋</t>
        </is>
      </c>
      <c r="D177" s="2" t="inlineStr">
        <is>
          <t>ornament</t>
        </is>
      </c>
      <c r="E177" s="2" t="inlineStr">
        <is>
          <t>饰品</t>
        </is>
      </c>
      <c r="F177" s="2" t="inlineStr">
        <is>
          <t>equip_ornament</t>
        </is>
      </c>
      <c r="G177" s="2" t="inlineStr">
        <is>
          <t>green</t>
        </is>
      </c>
      <c r="H177" s="2" t="inlineStr">
        <is>
          <t>优良/绿</t>
        </is>
      </c>
      <c r="I177" s="2" t="inlineStr"/>
      <c r="J177" s="3" t="inlineStr"/>
      <c r="K177" s="3" t="inlineStr">
        <is>
          <t>绣有"福"字的红布袋，装着平安符与铜钱，是民间习俗之物。</t>
        </is>
      </c>
      <c r="L177" s="4" t="n">
        <v>2000</v>
      </c>
      <c r="M177" s="4" t="n">
        <v>75</v>
      </c>
      <c r="N177" s="2" t="inlineStr">
        <is>
          <t>是</t>
        </is>
      </c>
      <c r="O177" s="4" t="n">
        <v>100</v>
      </c>
      <c r="P177" s="4" t="n">
        <v>5</v>
      </c>
      <c r="Q177" s="4" t="n">
        <v>0</v>
      </c>
      <c r="R177" s="4" t="n">
        <v>0</v>
      </c>
      <c r="S177" s="4" t="n">
        <v>0</v>
      </c>
      <c r="T177" s="4" t="n">
        <v>20</v>
      </c>
      <c r="U177" s="4" t="n">
        <v>0</v>
      </c>
      <c r="V177" s="5">
        <f>SUM(O177:U177)</f>
        <v/>
      </c>
      <c r="W177" s="6">
        <f>O177*'强度系数说明'!$B$7+P177*'强度系数说明'!$B$8+Q177*'强度系数说明'!$B$9+R177*'强度系数说明'!$B$10+S177*'强度系数说明'!$B$11+T177*'强度系数说明'!$B$12+U177*'强度系数说明'!$B$13</f>
        <v/>
      </c>
      <c r="X177" s="7">
        <f>SUMPRODUCT((O177:U177&gt;0)*O177:U177)</f>
        <v/>
      </c>
      <c r="Y177" s="2" t="inlineStr">
        <is>
          <t>否</t>
        </is>
      </c>
      <c r="Z177" s="2" t="inlineStr"/>
      <c r="AA177" s="4" t="inlineStr"/>
      <c r="AB177" s="4" t="inlineStr"/>
      <c r="AC177" s="3" t="inlineStr"/>
      <c r="AD177" s="3" t="inlineStr"/>
      <c r="AE177" s="3" t="inlineStr">
        <is>
          <t>{"defense":5,"hp":100,"luck":20}</t>
        </is>
      </c>
      <c r="AF177" s="3" t="inlineStr">
        <is>
          <t>data/item_templates.yaml:L5596</t>
        </is>
      </c>
    </row>
    <row r="178">
      <c r="A178" s="2" t="n">
        <v>177</v>
      </c>
      <c r="B178" s="2" t="inlineStr">
        <is>
          <t>equip_tiehufu</t>
        </is>
      </c>
      <c r="C178" s="2" t="inlineStr">
        <is>
          <t>铁护符</t>
        </is>
      </c>
      <c r="D178" s="2" t="inlineStr">
        <is>
          <t>ornament</t>
        </is>
      </c>
      <c r="E178" s="2" t="inlineStr">
        <is>
          <t>饰品</t>
        </is>
      </c>
      <c r="F178" s="2" t="inlineStr">
        <is>
          <t>equip_ornament</t>
        </is>
      </c>
      <c r="G178" s="2" t="inlineStr">
        <is>
          <t>green</t>
        </is>
      </c>
      <c r="H178" s="2" t="inlineStr">
        <is>
          <t>优良/绿</t>
        </is>
      </c>
      <c r="I178" s="2" t="inlineStr"/>
      <c r="J178" s="3" t="inlineStr"/>
      <c r="K178" s="3" t="inlineStr">
        <is>
          <t>以精铁铸成的护身符，是军中将士的护身之物。</t>
        </is>
      </c>
      <c r="L178" s="4" t="n">
        <v>2000</v>
      </c>
      <c r="M178" s="4" t="n">
        <v>75</v>
      </c>
      <c r="N178" s="2" t="inlineStr">
        <is>
          <t>是</t>
        </is>
      </c>
      <c r="O178" s="4" t="n">
        <v>200</v>
      </c>
      <c r="P178" s="4" t="n">
        <v>20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5">
        <f>SUM(O178:U178)</f>
        <v/>
      </c>
      <c r="W178" s="6">
        <f>O178*'强度系数说明'!$B$7+P178*'强度系数说明'!$B$8+Q178*'强度系数说明'!$B$9+R178*'强度系数说明'!$B$10+S178*'强度系数说明'!$B$11+T178*'强度系数说明'!$B$12+U178*'强度系数说明'!$B$13</f>
        <v/>
      </c>
      <c r="X178" s="7">
        <f>SUMPRODUCT((O178:U178&gt;0)*O178:U178)</f>
        <v/>
      </c>
      <c r="Y178" s="2" t="inlineStr">
        <is>
          <t>否</t>
        </is>
      </c>
      <c r="Z178" s="2" t="inlineStr"/>
      <c r="AA178" s="4" t="inlineStr"/>
      <c r="AB178" s="4" t="inlineStr"/>
      <c r="AC178" s="3" t="inlineStr"/>
      <c r="AD178" s="3" t="inlineStr"/>
      <c r="AE178" s="3" t="inlineStr">
        <is>
          <t>{"defense":20,"hp":200}</t>
        </is>
      </c>
      <c r="AF178" s="3" t="inlineStr">
        <is>
          <t>data/item_templates.yaml:L5610</t>
        </is>
      </c>
    </row>
    <row r="179">
      <c r="A179" s="2" t="n">
        <v>178</v>
      </c>
      <c r="B179" s="2" t="inlineStr">
        <is>
          <t>equip_tanmunianzhu</t>
        </is>
      </c>
      <c r="C179" s="2" t="inlineStr">
        <is>
          <t>檀木念珠</t>
        </is>
      </c>
      <c r="D179" s="2" t="inlineStr">
        <is>
          <t>ornament</t>
        </is>
      </c>
      <c r="E179" s="2" t="inlineStr">
        <is>
          <t>饰品</t>
        </is>
      </c>
      <c r="F179" s="2" t="inlineStr">
        <is>
          <t>equip_ornament</t>
        </is>
      </c>
      <c r="G179" s="2" t="inlineStr">
        <is>
          <t>green</t>
        </is>
      </c>
      <c r="H179" s="2" t="inlineStr">
        <is>
          <t>优良/绿</t>
        </is>
      </c>
      <c r="I179" s="2" t="inlineStr"/>
      <c r="J179" s="3" t="inlineStr"/>
      <c r="K179" s="3" t="inlineStr">
        <is>
          <t>以檀香木制成的佛珠，是僧人日常修持之物。</t>
        </is>
      </c>
      <c r="L179" s="4" t="n">
        <v>2000</v>
      </c>
      <c r="M179" s="4" t="n">
        <v>75</v>
      </c>
      <c r="N179" s="2" t="inlineStr">
        <is>
          <t>是</t>
        </is>
      </c>
      <c r="O179" s="4" t="n">
        <v>0</v>
      </c>
      <c r="P179" s="4" t="n">
        <v>5</v>
      </c>
      <c r="Q179" s="4" t="n">
        <v>5</v>
      </c>
      <c r="R179" s="4" t="n">
        <v>15</v>
      </c>
      <c r="S179" s="4" t="n">
        <v>0</v>
      </c>
      <c r="T179" s="4" t="n">
        <v>10</v>
      </c>
      <c r="U179" s="4" t="n">
        <v>20</v>
      </c>
      <c r="V179" s="5">
        <f>SUM(O179:U179)</f>
        <v/>
      </c>
      <c r="W179" s="6">
        <f>O179*'强度系数说明'!$B$7+P179*'强度系数说明'!$B$8+Q179*'强度系数说明'!$B$9+R179*'强度系数说明'!$B$10+S179*'强度系数说明'!$B$11+T179*'强度系数说明'!$B$12+U179*'强度系数说明'!$B$13</f>
        <v/>
      </c>
      <c r="X179" s="7">
        <f>SUMPRODUCT((O179:U179&gt;0)*O179:U179)</f>
        <v/>
      </c>
      <c r="Y179" s="2" t="inlineStr">
        <is>
          <t>否</t>
        </is>
      </c>
      <c r="Z179" s="2" t="inlineStr"/>
      <c r="AA179" s="4" t="inlineStr"/>
      <c r="AB179" s="4" t="inlineStr"/>
      <c r="AC179" s="3" t="inlineStr"/>
      <c r="AD179" s="3" t="inlineStr"/>
      <c r="AE179" s="3" t="inlineStr">
        <is>
          <t>{"defense":5,"force":5,"intellect":15,"luck":10,"troop_capacity":20}</t>
        </is>
      </c>
      <c r="AF179" s="3" t="inlineStr">
        <is>
          <t>data/item_templates.yaml:L5623</t>
        </is>
      </c>
    </row>
    <row r="180">
      <c r="A180" s="2" t="n">
        <v>179</v>
      </c>
      <c r="B180" s="2" t="inlineStr">
        <is>
          <t>equip_yiqiyaopai</t>
        </is>
      </c>
      <c r="C180" s="2" t="inlineStr">
        <is>
          <t>义气腰牌</t>
        </is>
      </c>
      <c r="D180" s="2" t="inlineStr">
        <is>
          <t>ornament</t>
        </is>
      </c>
      <c r="E180" s="2" t="inlineStr">
        <is>
          <t>饰品</t>
        </is>
      </c>
      <c r="F180" s="2" t="inlineStr">
        <is>
          <t>equip_ornament</t>
        </is>
      </c>
      <c r="G180" s="2" t="inlineStr">
        <is>
          <t>green</t>
        </is>
      </c>
      <c r="H180" s="2" t="inlineStr">
        <is>
          <t>优良/绿</t>
        </is>
      </c>
      <c r="I180" s="2" t="inlineStr"/>
      <c r="J180" s="3" t="inlineStr"/>
      <c r="K180" s="3" t="inlineStr">
        <is>
          <t>江湖义气堂的信物，佩戴者可在各地驿站通行。</t>
        </is>
      </c>
      <c r="L180" s="4" t="n">
        <v>2000</v>
      </c>
      <c r="M180" s="4" t="n">
        <v>75</v>
      </c>
      <c r="N180" s="2" t="inlineStr">
        <is>
          <t>是</t>
        </is>
      </c>
      <c r="O180" s="4" t="n">
        <v>100</v>
      </c>
      <c r="P180" s="4" t="n">
        <v>5</v>
      </c>
      <c r="Q180" s="4" t="n">
        <v>25</v>
      </c>
      <c r="R180" s="4" t="n">
        <v>0</v>
      </c>
      <c r="S180" s="4" t="n">
        <v>0</v>
      </c>
      <c r="T180" s="4" t="n">
        <v>0</v>
      </c>
      <c r="U180" s="4" t="n">
        <v>0</v>
      </c>
      <c r="V180" s="5">
        <f>SUM(O180:U180)</f>
        <v/>
      </c>
      <c r="W180" s="6">
        <f>O180*'强度系数说明'!$B$7+P180*'强度系数说明'!$B$8+Q180*'强度系数说明'!$B$9+R180*'强度系数说明'!$B$10+S180*'强度系数说明'!$B$11+T180*'强度系数说明'!$B$12+U180*'强度系数说明'!$B$13</f>
        <v/>
      </c>
      <c r="X180" s="7">
        <f>SUMPRODUCT((O180:U180&gt;0)*O180:U180)</f>
        <v/>
      </c>
      <c r="Y180" s="2" t="inlineStr">
        <is>
          <t>否</t>
        </is>
      </c>
      <c r="Z180" s="2" t="inlineStr"/>
      <c r="AA180" s="4" t="inlineStr"/>
      <c r="AB180" s="4" t="inlineStr"/>
      <c r="AC180" s="3" t="inlineStr"/>
      <c r="AD180" s="3" t="inlineStr"/>
      <c r="AE180" s="3" t="inlineStr">
        <is>
          <t>{"defense":5,"force":25,"hp":100}</t>
        </is>
      </c>
      <c r="AF180" s="3" t="inlineStr">
        <is>
          <t>data/item_templates.yaml:L5639</t>
        </is>
      </c>
    </row>
    <row r="181">
      <c r="A181" s="2" t="n">
        <v>180</v>
      </c>
      <c r="B181" s="2" t="inlineStr">
        <is>
          <t>equip_longwenyupei</t>
        </is>
      </c>
      <c r="C181" s="2" t="inlineStr">
        <is>
          <t>龙纹玉佩</t>
        </is>
      </c>
      <c r="D181" s="2" t="inlineStr">
        <is>
          <t>ornament</t>
        </is>
      </c>
      <c r="E181" s="2" t="inlineStr">
        <is>
          <t>饰品</t>
        </is>
      </c>
      <c r="F181" s="2" t="inlineStr">
        <is>
          <t>equip_ornament</t>
        </is>
      </c>
      <c r="G181" s="2" t="inlineStr">
        <is>
          <t>blue</t>
        </is>
      </c>
      <c r="H181" s="2" t="inlineStr">
        <is>
          <t>稀有/蓝</t>
        </is>
      </c>
      <c r="I181" s="2" t="inlineStr"/>
      <c r="J181" s="3" t="inlineStr"/>
      <c r="K181" s="3" t="inlineStr">
        <is>
          <t>雕有龙纹的上等玉佩，据传是某位王爷的旧物。</t>
        </is>
      </c>
      <c r="L181" s="4" t="n">
        <v>6000</v>
      </c>
      <c r="M181" s="4" t="n">
        <v>100</v>
      </c>
      <c r="N181" s="2" t="inlineStr">
        <is>
          <t>是</t>
        </is>
      </c>
      <c r="O181" s="4" t="n">
        <v>100</v>
      </c>
      <c r="P181" s="4" t="n">
        <v>0</v>
      </c>
      <c r="Q181" s="4" t="n">
        <v>12</v>
      </c>
      <c r="R181" s="4" t="n">
        <v>0</v>
      </c>
      <c r="S181" s="4" t="n">
        <v>0</v>
      </c>
      <c r="T181" s="4" t="n">
        <v>15</v>
      </c>
      <c r="U181" s="4" t="n">
        <v>50</v>
      </c>
      <c r="V181" s="5">
        <f>SUM(O181:U181)</f>
        <v/>
      </c>
      <c r="W181" s="6">
        <f>O181*'强度系数说明'!$B$7+P181*'强度系数说明'!$B$8+Q181*'强度系数说明'!$B$9+R181*'强度系数说明'!$B$10+S181*'强度系数说明'!$B$11+T181*'强度系数说明'!$B$12+U181*'强度系数说明'!$B$13</f>
        <v/>
      </c>
      <c r="X181" s="7">
        <f>SUMPRODUCT((O181:U181&gt;0)*O181:U181)</f>
        <v/>
      </c>
      <c r="Y181" s="2" t="inlineStr">
        <is>
          <t>否</t>
        </is>
      </c>
      <c r="Z181" s="2" t="inlineStr"/>
      <c r="AA181" s="4" t="inlineStr"/>
      <c r="AB181" s="4" t="inlineStr"/>
      <c r="AC181" s="3" t="inlineStr"/>
      <c r="AD181" s="3" t="inlineStr"/>
      <c r="AE181" s="3" t="inlineStr">
        <is>
          <t>{"force":12,"hp":100,"luck":15,"troop_capacity":50}</t>
        </is>
      </c>
      <c r="AF181" s="3" t="inlineStr">
        <is>
          <t>data/item_templates.yaml:L5655</t>
        </is>
      </c>
    </row>
    <row r="182">
      <c r="A182" s="2" t="n">
        <v>181</v>
      </c>
      <c r="B182" s="2" t="inlineStr">
        <is>
          <t>equip_fengyuzan</t>
        </is>
      </c>
      <c r="C182" s="2" t="inlineStr">
        <is>
          <t>凤羽簪</t>
        </is>
      </c>
      <c r="D182" s="2" t="inlineStr">
        <is>
          <t>ornament</t>
        </is>
      </c>
      <c r="E182" s="2" t="inlineStr">
        <is>
          <t>饰品</t>
        </is>
      </c>
      <c r="F182" s="2" t="inlineStr">
        <is>
          <t>equip_ornament</t>
        </is>
      </c>
      <c r="G182" s="2" t="inlineStr">
        <is>
          <t>blue</t>
        </is>
      </c>
      <c r="H182" s="2" t="inlineStr">
        <is>
          <t>稀有/蓝</t>
        </is>
      </c>
      <c r="I182" s="2" t="inlineStr"/>
      <c r="J182" s="3" t="inlineStr"/>
      <c r="K182" s="3" t="inlineStr">
        <is>
          <t>以凤凰羽毛装饰的发簪，是宫廷贵妃的饰物。</t>
        </is>
      </c>
      <c r="L182" s="4" t="n">
        <v>6000</v>
      </c>
      <c r="M182" s="4" t="n">
        <v>100</v>
      </c>
      <c r="N182" s="2" t="inlineStr">
        <is>
          <t>是</t>
        </is>
      </c>
      <c r="O182" s="4" t="n">
        <v>100</v>
      </c>
      <c r="P182" s="4" t="n">
        <v>0</v>
      </c>
      <c r="Q182" s="4" t="n">
        <v>0</v>
      </c>
      <c r="R182" s="4" t="n">
        <v>15</v>
      </c>
      <c r="S182" s="4" t="n">
        <v>0</v>
      </c>
      <c r="T182" s="4" t="n">
        <v>20</v>
      </c>
      <c r="U182" s="4" t="n">
        <v>0</v>
      </c>
      <c r="V182" s="5">
        <f>SUM(O182:U182)</f>
        <v/>
      </c>
      <c r="W182" s="6">
        <f>O182*'强度系数说明'!$B$7+P182*'强度系数说明'!$B$8+Q182*'强度系数说明'!$B$9+R182*'强度系数说明'!$B$10+S182*'强度系数说明'!$B$11+T182*'强度系数说明'!$B$12+U182*'强度系数说明'!$B$13</f>
        <v/>
      </c>
      <c r="X182" s="7">
        <f>SUMPRODUCT((O182:U182&gt;0)*O182:U182)</f>
        <v/>
      </c>
      <c r="Y182" s="2" t="inlineStr">
        <is>
          <t>否</t>
        </is>
      </c>
      <c r="Z182" s="2" t="inlineStr"/>
      <c r="AA182" s="4" t="inlineStr"/>
      <c r="AB182" s="4" t="inlineStr"/>
      <c r="AC182" s="3" t="inlineStr"/>
      <c r="AD182" s="3" t="inlineStr"/>
      <c r="AE182" s="3" t="inlineStr">
        <is>
          <t>{"hp":100,"intellect":15,"luck":20}</t>
        </is>
      </c>
      <c r="AF182" s="3" t="inlineStr">
        <is>
          <t>data/item_templates.yaml:L5670</t>
        </is>
      </c>
    </row>
    <row r="183">
      <c r="A183" s="2" t="n">
        <v>182</v>
      </c>
      <c r="B183" s="2" t="inlineStr">
        <is>
          <t>equip_huyaxianglian</t>
        </is>
      </c>
      <c r="C183" s="2" t="inlineStr">
        <is>
          <t>虎牙项链</t>
        </is>
      </c>
      <c r="D183" s="2" t="inlineStr">
        <is>
          <t>ornament</t>
        </is>
      </c>
      <c r="E183" s="2" t="inlineStr">
        <is>
          <t>饰品</t>
        </is>
      </c>
      <c r="F183" s="2" t="inlineStr">
        <is>
          <t>equip_ornament</t>
        </is>
      </c>
      <c r="G183" s="2" t="inlineStr">
        <is>
          <t>blue</t>
        </is>
      </c>
      <c r="H183" s="2" t="inlineStr">
        <is>
          <t>稀有/蓝</t>
        </is>
      </c>
      <c r="I183" s="2" t="inlineStr"/>
      <c r="J183" s="3" t="inlineStr"/>
      <c r="K183" s="3" t="inlineStr">
        <is>
          <t>以猛虎獠牙串成的项链，是猎虎人的战利品。</t>
        </is>
      </c>
      <c r="L183" s="4" t="n">
        <v>6000</v>
      </c>
      <c r="M183" s="4" t="n">
        <v>100</v>
      </c>
      <c r="N183" s="2" t="inlineStr">
        <is>
          <t>是</t>
        </is>
      </c>
      <c r="O183" s="4" t="n">
        <v>250</v>
      </c>
      <c r="P183" s="4" t="n">
        <v>0</v>
      </c>
      <c r="Q183" s="4" t="n">
        <v>20</v>
      </c>
      <c r="R183" s="4" t="n">
        <v>0</v>
      </c>
      <c r="S183" s="4" t="n">
        <v>15</v>
      </c>
      <c r="T183" s="4" t="n">
        <v>0</v>
      </c>
      <c r="U183" s="4" t="n">
        <v>0</v>
      </c>
      <c r="V183" s="5">
        <f>SUM(O183:U183)</f>
        <v/>
      </c>
      <c r="W183" s="6">
        <f>O183*'强度系数说明'!$B$7+P183*'强度系数说明'!$B$8+Q183*'强度系数说明'!$B$9+R183*'强度系数说明'!$B$10+S183*'强度系数说明'!$B$11+T183*'强度系数说明'!$B$12+U183*'强度系数说明'!$B$13</f>
        <v/>
      </c>
      <c r="X183" s="7">
        <f>SUMPRODUCT((O183:U183&gt;0)*O183:U183)</f>
        <v/>
      </c>
      <c r="Y183" s="2" t="inlineStr">
        <is>
          <t>否</t>
        </is>
      </c>
      <c r="Z183" s="2" t="inlineStr"/>
      <c r="AA183" s="4" t="inlineStr"/>
      <c r="AB183" s="4" t="inlineStr"/>
      <c r="AC183" s="3" t="inlineStr"/>
      <c r="AD183" s="3" t="inlineStr"/>
      <c r="AE183" s="3" t="inlineStr">
        <is>
          <t>{"agility":15,"force":20,"hp":250}</t>
        </is>
      </c>
      <c r="AF183" s="3" t="inlineStr">
        <is>
          <t>data/item_templates.yaml:L5684</t>
        </is>
      </c>
    </row>
    <row r="184">
      <c r="A184" s="2" t="n">
        <v>183</v>
      </c>
      <c r="B184" s="2" t="inlineStr">
        <is>
          <t>equip_linghuzhui</t>
        </is>
      </c>
      <c r="C184" s="2" t="inlineStr">
        <is>
          <t>灵狐坠</t>
        </is>
      </c>
      <c r="D184" s="2" t="inlineStr">
        <is>
          <t>ornament</t>
        </is>
      </c>
      <c r="E184" s="2" t="inlineStr">
        <is>
          <t>饰品</t>
        </is>
      </c>
      <c r="F184" s="2" t="inlineStr">
        <is>
          <t>equip_ornament</t>
        </is>
      </c>
      <c r="G184" s="2" t="inlineStr">
        <is>
          <t>blue</t>
        </is>
      </c>
      <c r="H184" s="2" t="inlineStr">
        <is>
          <t>稀有/蓝</t>
        </is>
      </c>
      <c r="I184" s="2" t="inlineStr"/>
      <c r="J184" s="3" t="inlineStr"/>
      <c r="K184" s="3" t="inlineStr">
        <is>
          <t>以狐狸形玉石雕成的坠饰，传说出自涂山狐族。</t>
        </is>
      </c>
      <c r="L184" s="4" t="n">
        <v>6000</v>
      </c>
      <c r="M184" s="4" t="n">
        <v>100</v>
      </c>
      <c r="N184" s="2" t="inlineStr">
        <is>
          <t>是</t>
        </is>
      </c>
      <c r="O184" s="4" t="n">
        <v>150</v>
      </c>
      <c r="P184" s="4" t="n">
        <v>0</v>
      </c>
      <c r="Q184" s="4" t="n">
        <v>0</v>
      </c>
      <c r="R184" s="4" t="n">
        <v>25</v>
      </c>
      <c r="S184" s="4" t="n">
        <v>15</v>
      </c>
      <c r="T184" s="4" t="n">
        <v>0</v>
      </c>
      <c r="U184" s="4" t="n">
        <v>0</v>
      </c>
      <c r="V184" s="5">
        <f>SUM(O184:U184)</f>
        <v/>
      </c>
      <c r="W184" s="6">
        <f>O184*'强度系数说明'!$B$7+P184*'强度系数说明'!$B$8+Q184*'强度系数说明'!$B$9+R184*'强度系数说明'!$B$10+S184*'强度系数说明'!$B$11+T184*'强度系数说明'!$B$12+U184*'强度系数说明'!$B$13</f>
        <v/>
      </c>
      <c r="X184" s="7">
        <f>SUMPRODUCT((O184:U184&gt;0)*O184:U184)</f>
        <v/>
      </c>
      <c r="Y184" s="2" t="inlineStr">
        <is>
          <t>否</t>
        </is>
      </c>
      <c r="Z184" s="2" t="inlineStr"/>
      <c r="AA184" s="4" t="inlineStr"/>
      <c r="AB184" s="4" t="inlineStr"/>
      <c r="AC184" s="3" t="inlineStr"/>
      <c r="AD184" s="3" t="inlineStr"/>
      <c r="AE184" s="3" t="inlineStr">
        <is>
          <t>{"agility":15,"hp":150,"intellect":25}</t>
        </is>
      </c>
      <c r="AF184" s="3" t="inlineStr">
        <is>
          <t>data/item_templates.yaml:L5698</t>
        </is>
      </c>
    </row>
    <row r="185">
      <c r="A185" s="2" t="n">
        <v>184</v>
      </c>
      <c r="B185" s="2" t="inlineStr">
        <is>
          <t>equip_xingshashouchuan</t>
        </is>
      </c>
      <c r="C185" s="2" t="inlineStr">
        <is>
          <t>星砂手串</t>
        </is>
      </c>
      <c r="D185" s="2" t="inlineStr">
        <is>
          <t>ornament</t>
        </is>
      </c>
      <c r="E185" s="2" t="inlineStr">
        <is>
          <t>饰品</t>
        </is>
      </c>
      <c r="F185" s="2" t="inlineStr">
        <is>
          <t>equip_ornament</t>
        </is>
      </c>
      <c r="G185" s="2" t="inlineStr">
        <is>
          <t>blue</t>
        </is>
      </c>
      <c r="H185" s="2" t="inlineStr">
        <is>
          <t>稀有/蓝</t>
        </is>
      </c>
      <c r="I185" s="2" t="inlineStr"/>
      <c r="J185" s="3" t="inlineStr"/>
      <c r="K185" s="3" t="inlineStr">
        <is>
          <t>以沙漠流星石串成的手链，是西域商人带来的奇物。</t>
        </is>
      </c>
      <c r="L185" s="4" t="n">
        <v>6000</v>
      </c>
      <c r="M185" s="4" t="n">
        <v>100</v>
      </c>
      <c r="N185" s="2" t="inlineStr">
        <is>
          <t>是</t>
        </is>
      </c>
      <c r="O185" s="4" t="n">
        <v>150</v>
      </c>
      <c r="P185" s="4" t="n">
        <v>0</v>
      </c>
      <c r="Q185" s="4" t="n">
        <v>0</v>
      </c>
      <c r="R185" s="4" t="n">
        <v>16</v>
      </c>
      <c r="S185" s="4" t="n">
        <v>0</v>
      </c>
      <c r="T185" s="4" t="n">
        <v>20</v>
      </c>
      <c r="U185" s="4" t="n">
        <v>0</v>
      </c>
      <c r="V185" s="5">
        <f>SUM(O185:U185)</f>
        <v/>
      </c>
      <c r="W185" s="6">
        <f>O185*'强度系数说明'!$B$7+P185*'强度系数说明'!$B$8+Q185*'强度系数说明'!$B$9+R185*'强度系数说明'!$B$10+S185*'强度系数说明'!$B$11+T185*'强度系数说明'!$B$12+U185*'强度系数说明'!$B$13</f>
        <v/>
      </c>
      <c r="X185" s="7">
        <f>SUMPRODUCT((O185:U185&gt;0)*O185:U185)</f>
        <v/>
      </c>
      <c r="Y185" s="2" t="inlineStr">
        <is>
          <t>否</t>
        </is>
      </c>
      <c r="Z185" s="2" t="inlineStr"/>
      <c r="AA185" s="4" t="inlineStr"/>
      <c r="AB185" s="4" t="inlineStr"/>
      <c r="AC185" s="3" t="inlineStr"/>
      <c r="AD185" s="3" t="inlineStr"/>
      <c r="AE185" s="3" t="inlineStr">
        <is>
          <t>{"hp":150,"intellect":16,"luck":20}</t>
        </is>
      </c>
      <c r="AF185" s="3" t="inlineStr">
        <is>
          <t>data/item_templates.yaml:L5712</t>
        </is>
      </c>
    </row>
    <row r="186">
      <c r="A186" s="2" t="n">
        <v>185</v>
      </c>
      <c r="B186" s="2" t="inlineStr">
        <is>
          <t>equip_xueyuzhuo</t>
        </is>
      </c>
      <c r="C186" s="2" t="inlineStr">
        <is>
          <t>血玉镯</t>
        </is>
      </c>
      <c r="D186" s="2" t="inlineStr">
        <is>
          <t>ornament</t>
        </is>
      </c>
      <c r="E186" s="2" t="inlineStr">
        <is>
          <t>饰品</t>
        </is>
      </c>
      <c r="F186" s="2" t="inlineStr">
        <is>
          <t>equip_ornament</t>
        </is>
      </c>
      <c r="G186" s="2" t="inlineStr">
        <is>
          <t>blue</t>
        </is>
      </c>
      <c r="H186" s="2" t="inlineStr">
        <is>
          <t>稀有/蓝</t>
        </is>
      </c>
      <c r="I186" s="2" t="inlineStr"/>
      <c r="J186" s="3" t="inlineStr"/>
      <c r="K186" s="3" t="inlineStr">
        <is>
          <t>以血玉雕成的手镯，据传玉中封存着某位将军的精血。</t>
        </is>
      </c>
      <c r="L186" s="4" t="n">
        <v>6000</v>
      </c>
      <c r="M186" s="4" t="n">
        <v>100</v>
      </c>
      <c r="N186" s="2" t="inlineStr">
        <is>
          <t>是</t>
        </is>
      </c>
      <c r="O186" s="4" t="n">
        <v>200</v>
      </c>
      <c r="P186" s="4" t="n">
        <v>0</v>
      </c>
      <c r="Q186" s="4" t="n">
        <v>20</v>
      </c>
      <c r="R186" s="4" t="n">
        <v>0</v>
      </c>
      <c r="S186" s="4" t="n">
        <v>18</v>
      </c>
      <c r="T186" s="4" t="n">
        <v>0</v>
      </c>
      <c r="U186" s="4" t="n">
        <v>0</v>
      </c>
      <c r="V186" s="5">
        <f>SUM(O186:U186)</f>
        <v/>
      </c>
      <c r="W186" s="6">
        <f>O186*'强度系数说明'!$B$7+P186*'强度系数说明'!$B$8+Q186*'强度系数说明'!$B$9+R186*'强度系数说明'!$B$10+S186*'强度系数说明'!$B$11+T186*'强度系数说明'!$B$12+U186*'强度系数说明'!$B$13</f>
        <v/>
      </c>
      <c r="X186" s="7">
        <f>SUMPRODUCT((O186:U186&gt;0)*O186:U186)</f>
        <v/>
      </c>
      <c r="Y186" s="2" t="inlineStr">
        <is>
          <t>否</t>
        </is>
      </c>
      <c r="Z186" s="2" t="inlineStr"/>
      <c r="AA186" s="4" t="inlineStr"/>
      <c r="AB186" s="4" t="inlineStr"/>
      <c r="AC186" s="3" t="inlineStr"/>
      <c r="AD186" s="3" t="inlineStr"/>
      <c r="AE186" s="3" t="inlineStr">
        <is>
          <t>{"agility":18,"force":20,"hp":200}</t>
        </is>
      </c>
      <c r="AF186" s="3" t="inlineStr">
        <is>
          <t>data/item_templates.yaml:L5726</t>
        </is>
      </c>
    </row>
    <row r="187">
      <c r="A187" s="2" t="n">
        <v>186</v>
      </c>
      <c r="B187" s="2" t="inlineStr">
        <is>
          <t>equip_xuantiejie</t>
        </is>
      </c>
      <c r="C187" s="2" t="inlineStr">
        <is>
          <t>玄铁戒</t>
        </is>
      </c>
      <c r="D187" s="2" t="inlineStr">
        <is>
          <t>ornament</t>
        </is>
      </c>
      <c r="E187" s="2" t="inlineStr">
        <is>
          <t>饰品</t>
        </is>
      </c>
      <c r="F187" s="2" t="inlineStr">
        <is>
          <t>equip_ornament</t>
        </is>
      </c>
      <c r="G187" s="2" t="inlineStr">
        <is>
          <t>blue</t>
        </is>
      </c>
      <c r="H187" s="2" t="inlineStr">
        <is>
          <t>稀有/蓝</t>
        </is>
      </c>
      <c r="I187" s="2" t="inlineStr"/>
      <c r="J187" s="3" t="inlineStr"/>
      <c r="K187" s="3" t="inlineStr">
        <is>
          <t>以玄铁铸成的戒指，是某位隐世铁匠的心血之作。</t>
        </is>
      </c>
      <c r="L187" s="4" t="n">
        <v>6000</v>
      </c>
      <c r="M187" s="4" t="n">
        <v>100</v>
      </c>
      <c r="N187" s="2" t="inlineStr">
        <is>
          <t>是</t>
        </is>
      </c>
      <c r="O187" s="4" t="n">
        <v>500</v>
      </c>
      <c r="P187" s="4" t="n">
        <v>15</v>
      </c>
      <c r="Q187" s="4" t="n">
        <v>15</v>
      </c>
      <c r="R187" s="4" t="n">
        <v>0</v>
      </c>
      <c r="S187" s="4" t="n">
        <v>0</v>
      </c>
      <c r="T187" s="4" t="n">
        <v>0</v>
      </c>
      <c r="U187" s="4" t="n">
        <v>0</v>
      </c>
      <c r="V187" s="5">
        <f>SUM(O187:U187)</f>
        <v/>
      </c>
      <c r="W187" s="6">
        <f>O187*'强度系数说明'!$B$7+P187*'强度系数说明'!$B$8+Q187*'强度系数说明'!$B$9+R187*'强度系数说明'!$B$10+S187*'强度系数说明'!$B$11+T187*'强度系数说明'!$B$12+U187*'强度系数说明'!$B$13</f>
        <v/>
      </c>
      <c r="X187" s="7">
        <f>SUMPRODUCT((O187:U187&gt;0)*O187:U187)</f>
        <v/>
      </c>
      <c r="Y187" s="2" t="inlineStr">
        <is>
          <t>否</t>
        </is>
      </c>
      <c r="Z187" s="2" t="inlineStr"/>
      <c r="AA187" s="4" t="inlineStr"/>
      <c r="AB187" s="4" t="inlineStr"/>
      <c r="AC187" s="3" t="inlineStr"/>
      <c r="AD187" s="3" t="inlineStr"/>
      <c r="AE187" s="3" t="inlineStr">
        <is>
          <t>{"defense":15,"force":15,"hp":500}</t>
        </is>
      </c>
      <c r="AF187" s="3" t="inlineStr">
        <is>
          <t>data/item_templates.yaml:L5740</t>
        </is>
      </c>
    </row>
    <row r="188">
      <c r="A188" s="2" t="n">
        <v>187</v>
      </c>
      <c r="B188" s="2" t="inlineStr">
        <is>
          <t>equip_liuyunpei</t>
        </is>
      </c>
      <c r="C188" s="2" t="inlineStr">
        <is>
          <t>流云佩</t>
        </is>
      </c>
      <c r="D188" s="2" t="inlineStr">
        <is>
          <t>ornament</t>
        </is>
      </c>
      <c r="E188" s="2" t="inlineStr">
        <is>
          <t>饰品</t>
        </is>
      </c>
      <c r="F188" s="2" t="inlineStr">
        <is>
          <t>equip_ornament</t>
        </is>
      </c>
      <c r="G188" s="2" t="inlineStr">
        <is>
          <t>blue</t>
        </is>
      </c>
      <c r="H188" s="2" t="inlineStr">
        <is>
          <t>稀有/蓝</t>
        </is>
      </c>
      <c r="I188" s="2" t="inlineStr"/>
      <c r="J188" s="3" t="inlineStr"/>
      <c r="K188" s="3" t="inlineStr">
        <is>
          <t>雕有流云纹路的玉佩，是逍遥派弟子的标志饰物。</t>
        </is>
      </c>
      <c r="L188" s="4" t="n">
        <v>6000</v>
      </c>
      <c r="M188" s="4" t="n">
        <v>100</v>
      </c>
      <c r="N188" s="2" t="inlineStr">
        <is>
          <t>是</t>
        </is>
      </c>
      <c r="O188" s="4" t="n">
        <v>150</v>
      </c>
      <c r="P188" s="4" t="n">
        <v>0</v>
      </c>
      <c r="Q188" s="4" t="n">
        <v>0</v>
      </c>
      <c r="R188" s="4" t="n">
        <v>9</v>
      </c>
      <c r="S188" s="4" t="n">
        <v>15</v>
      </c>
      <c r="T188" s="4" t="n">
        <v>15</v>
      </c>
      <c r="U188" s="4" t="n">
        <v>0</v>
      </c>
      <c r="V188" s="5">
        <f>SUM(O188:U188)</f>
        <v/>
      </c>
      <c r="W188" s="6">
        <f>O188*'强度系数说明'!$B$7+P188*'强度系数说明'!$B$8+Q188*'强度系数说明'!$B$9+R188*'强度系数说明'!$B$10+S188*'强度系数说明'!$B$11+T188*'强度系数说明'!$B$12+U188*'强度系数说明'!$B$13</f>
        <v/>
      </c>
      <c r="X188" s="7">
        <f>SUMPRODUCT((O188:U188&gt;0)*O188:U188)</f>
        <v/>
      </c>
      <c r="Y188" s="2" t="inlineStr">
        <is>
          <t>否</t>
        </is>
      </c>
      <c r="Z188" s="2" t="inlineStr"/>
      <c r="AA188" s="4" t="inlineStr"/>
      <c r="AB188" s="4" t="inlineStr"/>
      <c r="AC188" s="3" t="inlineStr"/>
      <c r="AD188" s="3" t="inlineStr"/>
      <c r="AE188" s="3" t="inlineStr">
        <is>
          <t>{"agility":15,"hp":150,"intellect":9,"luck":15}</t>
        </is>
      </c>
      <c r="AF188" s="3" t="inlineStr">
        <is>
          <t>data/item_templates.yaml:L5754</t>
        </is>
      </c>
    </row>
    <row r="189">
      <c r="A189" s="2" t="n">
        <v>188</v>
      </c>
      <c r="B189" s="2" t="inlineStr">
        <is>
          <t>equip_qilinzui</t>
        </is>
      </c>
      <c r="C189" s="2" t="inlineStr">
        <is>
          <t>麒麟坠</t>
        </is>
      </c>
      <c r="D189" s="2" t="inlineStr">
        <is>
          <t>ornament</t>
        </is>
      </c>
      <c r="E189" s="2" t="inlineStr">
        <is>
          <t>饰品</t>
        </is>
      </c>
      <c r="F189" s="2" t="inlineStr">
        <is>
          <t>equip_ornament</t>
        </is>
      </c>
      <c r="G189" s="2" t="inlineStr">
        <is>
          <t>purple</t>
        </is>
      </c>
      <c r="H189" s="2" t="inlineStr">
        <is>
          <t>史诗/紫</t>
        </is>
      </c>
      <c r="I189" s="2" t="inlineStr">
        <is>
          <t>qilin_set</t>
        </is>
      </c>
      <c r="J189" s="3" t="inlineStr">
        <is>
          <t>麒麟套装</t>
        </is>
      </c>
      <c r="K189" s="3" t="inlineStr">
        <is>
          <t>以麒麟形玉石雕成的坠饰，是麒麟卫的身份标识。</t>
        </is>
      </c>
      <c r="L189" s="4" t="n">
        <v>16000</v>
      </c>
      <c r="M189" s="4" t="n">
        <v>150</v>
      </c>
      <c r="N189" s="2" t="inlineStr">
        <is>
          <t>是</t>
        </is>
      </c>
      <c r="O189" s="4" t="n">
        <v>235</v>
      </c>
      <c r="P189" s="4" t="n">
        <v>0</v>
      </c>
      <c r="Q189" s="4" t="n">
        <v>24</v>
      </c>
      <c r="R189" s="4" t="n">
        <v>6</v>
      </c>
      <c r="S189" s="4" t="n">
        <v>0</v>
      </c>
      <c r="T189" s="4" t="n">
        <v>28</v>
      </c>
      <c r="U189" s="4" t="n">
        <v>0</v>
      </c>
      <c r="V189" s="5">
        <f>SUM(O189:U189)</f>
        <v/>
      </c>
      <c r="W189" s="6">
        <f>O189*'强度系数说明'!$B$7+P189*'强度系数说明'!$B$8+Q189*'强度系数说明'!$B$9+R189*'强度系数说明'!$B$10+S189*'强度系数说明'!$B$11+T189*'强度系数说明'!$B$12+U189*'强度系数说明'!$B$13</f>
        <v/>
      </c>
      <c r="X189" s="7">
        <f>SUMPRODUCT((O189:U189&gt;0)*O189:U189)</f>
        <v/>
      </c>
      <c r="Y189" s="2" t="inlineStr">
        <is>
          <t>否</t>
        </is>
      </c>
      <c r="Z189" s="2" t="inlineStr"/>
      <c r="AA189" s="4" t="inlineStr"/>
      <c r="AB189" s="4" t="inlineStr"/>
      <c r="AC189" s="3" t="inlineStr"/>
      <c r="AD189" s="3" t="inlineStr">
        <is>
          <t>{"bonus":{"agility":18,"force":38,"hp":420,"luck":30},"pieces":4}</t>
        </is>
      </c>
      <c r="AE189" s="3" t="inlineStr">
        <is>
          <t>{"force":24,"hp":235,"intellect":6,"luck":28,"set_bonus":{"bonus":{"agility":18,"force":38,"hp":420,"luck":30},"pieces":4},"set_description":"麒麟套装","set_key":"qilin_set"}</t>
        </is>
      </c>
      <c r="AF189" s="3" t="inlineStr">
        <is>
          <t>data/item_templates.yaml:L5771</t>
        </is>
      </c>
    </row>
    <row r="190">
      <c r="A190" s="2" t="n">
        <v>189</v>
      </c>
      <c r="B190" s="2" t="inlineStr">
        <is>
          <t>equip_fenghuangyu</t>
        </is>
      </c>
      <c r="C190" s="2" t="inlineStr">
        <is>
          <t>凤凰羽</t>
        </is>
      </c>
      <c r="D190" s="2" t="inlineStr">
        <is>
          <t>ornament</t>
        </is>
      </c>
      <c r="E190" s="2" t="inlineStr">
        <is>
          <t>饰品</t>
        </is>
      </c>
      <c r="F190" s="2" t="inlineStr">
        <is>
          <t>equip_ornament</t>
        </is>
      </c>
      <c r="G190" s="2" t="inlineStr">
        <is>
          <t>purple</t>
        </is>
      </c>
      <c r="H190" s="2" t="inlineStr">
        <is>
          <t>史诗/紫</t>
        </is>
      </c>
      <c r="I190" s="2" t="inlineStr">
        <is>
          <t>fengling_set</t>
        </is>
      </c>
      <c r="J190" s="3" t="inlineStr">
        <is>
          <t>凤翎套装</t>
        </is>
      </c>
      <c r="K190" s="3" t="inlineStr">
        <is>
          <t>传说中凤凰脱落的羽毛，通体金红，价值连城。</t>
        </is>
      </c>
      <c r="L190" s="4" t="n">
        <v>16000</v>
      </c>
      <c r="M190" s="4" t="n">
        <v>150</v>
      </c>
      <c r="N190" s="2" t="inlineStr">
        <is>
          <t>是</t>
        </is>
      </c>
      <c r="O190" s="4" t="n">
        <v>87</v>
      </c>
      <c r="P190" s="4" t="n">
        <v>10</v>
      </c>
      <c r="Q190" s="4" t="n">
        <v>0</v>
      </c>
      <c r="R190" s="4" t="n">
        <v>29</v>
      </c>
      <c r="S190" s="4" t="n">
        <v>0</v>
      </c>
      <c r="T190" s="4" t="n">
        <v>19</v>
      </c>
      <c r="U190" s="4" t="n">
        <v>0</v>
      </c>
      <c r="V190" s="5">
        <f>SUM(O190:U190)</f>
        <v/>
      </c>
      <c r="W190" s="6">
        <f>O190*'强度系数说明'!$B$7+P190*'强度系数说明'!$B$8+Q190*'强度系数说明'!$B$9+R190*'强度系数说明'!$B$10+S190*'强度系数说明'!$B$11+T190*'强度系数说明'!$B$12+U190*'强度系数说明'!$B$13</f>
        <v/>
      </c>
      <c r="X190" s="7">
        <f>SUMPRODUCT((O190:U190&gt;0)*O190:U190)</f>
        <v/>
      </c>
      <c r="Y190" s="2" t="inlineStr">
        <is>
          <t>否</t>
        </is>
      </c>
      <c r="Z190" s="2" t="inlineStr"/>
      <c r="AA190" s="4" t="inlineStr"/>
      <c r="AB190" s="4" t="inlineStr"/>
      <c r="AC190" s="3" t="inlineStr"/>
      <c r="AD190" s="3" t="inlineStr">
        <is>
          <t>{"bonus":{"intellect":60,"luck":30},"pieces":3}</t>
        </is>
      </c>
      <c r="AE190" s="3" t="inlineStr">
        <is>
          <t>{"defense":10,"hp":87,"intellect":29,"luck":19,"set_bonus":{"bonus":{"intellect":60,"luck":30},"pieces":3},"set_description":"凤翎套装","set_key":"fengling_set"}</t>
        </is>
      </c>
      <c r="AF190" s="3" t="inlineStr">
        <is>
          <t>data/item_templates.yaml:L5794</t>
        </is>
      </c>
    </row>
    <row r="191">
      <c r="A191" s="2" t="n">
        <v>190</v>
      </c>
      <c r="B191" s="2" t="inlineStr">
        <is>
          <t>equip_longjingzhu</t>
        </is>
      </c>
      <c r="C191" s="2" t="inlineStr">
        <is>
          <t>龙睛珠</t>
        </is>
      </c>
      <c r="D191" s="2" t="inlineStr">
        <is>
          <t>ornament</t>
        </is>
      </c>
      <c r="E191" s="2" t="inlineStr">
        <is>
          <t>饰品</t>
        </is>
      </c>
      <c r="F191" s="2" t="inlineStr">
        <is>
          <t>equip_ornament</t>
        </is>
      </c>
      <c r="G191" s="2" t="inlineStr">
        <is>
          <t>purple</t>
        </is>
      </c>
      <c r="H191" s="2" t="inlineStr">
        <is>
          <t>史诗/紫</t>
        </is>
      </c>
      <c r="I191" s="2" t="inlineStr"/>
      <c r="J191" s="3" t="inlineStr"/>
      <c r="K191" s="3" t="inlineStr">
        <is>
          <t>据传是真龙眼中凝结的宝珠，内有流光转动。</t>
        </is>
      </c>
      <c r="L191" s="4" t="n">
        <v>16000</v>
      </c>
      <c r="M191" s="4" t="n">
        <v>150</v>
      </c>
      <c r="N191" s="2" t="inlineStr">
        <is>
          <t>是</t>
        </is>
      </c>
      <c r="O191" s="4" t="n">
        <v>229</v>
      </c>
      <c r="P191" s="4" t="n">
        <v>0</v>
      </c>
      <c r="Q191" s="4" t="n">
        <v>19</v>
      </c>
      <c r="R191" s="4" t="n">
        <v>0</v>
      </c>
      <c r="S191" s="4" t="n">
        <v>22</v>
      </c>
      <c r="T191" s="4" t="n">
        <v>18</v>
      </c>
      <c r="U191" s="4" t="n">
        <v>0</v>
      </c>
      <c r="V191" s="5">
        <f>SUM(O191:U191)</f>
        <v/>
      </c>
      <c r="W191" s="6">
        <f>O191*'强度系数说明'!$B$7+P191*'强度系数说明'!$B$8+Q191*'强度系数说明'!$B$9+R191*'强度系数说明'!$B$10+S191*'强度系数说明'!$B$11+T191*'强度系数说明'!$B$12+U191*'强度系数说明'!$B$13</f>
        <v/>
      </c>
      <c r="X191" s="7">
        <f>SUMPRODUCT((O191:U191&gt;0)*O191:U191)</f>
        <v/>
      </c>
      <c r="Y191" s="2" t="inlineStr">
        <is>
          <t>否</t>
        </is>
      </c>
      <c r="Z191" s="2" t="inlineStr"/>
      <c r="AA191" s="4" t="inlineStr"/>
      <c r="AB191" s="4" t="inlineStr"/>
      <c r="AC191" s="3" t="inlineStr"/>
      <c r="AD191" s="3" t="inlineStr"/>
      <c r="AE191" s="3" t="inlineStr">
        <is>
          <t>{"agility":22,"force":19,"hp":229,"luck":18}</t>
        </is>
      </c>
      <c r="AF191" s="3" t="inlineStr">
        <is>
          <t>data/item_templates.yaml:L5815</t>
        </is>
      </c>
    </row>
    <row r="192">
      <c r="A192" s="2" t="n">
        <v>191</v>
      </c>
      <c r="B192" s="2" t="inlineStr">
        <is>
          <t>equip_xuanwuyufu</t>
        </is>
      </c>
      <c r="C192" s="2" t="inlineStr">
        <is>
          <t>玄武玉符</t>
        </is>
      </c>
      <c r="D192" s="2" t="inlineStr">
        <is>
          <t>ornament</t>
        </is>
      </c>
      <c r="E192" s="2" t="inlineStr">
        <is>
          <t>饰品</t>
        </is>
      </c>
      <c r="F192" s="2" t="inlineStr">
        <is>
          <t>equip_ornament</t>
        </is>
      </c>
      <c r="G192" s="2" t="inlineStr">
        <is>
          <t>purple</t>
        </is>
      </c>
      <c r="H192" s="2" t="inlineStr">
        <is>
          <t>史诗/紫</t>
        </is>
      </c>
      <c r="I192" s="2" t="inlineStr"/>
      <c r="J192" s="3" t="inlineStr"/>
      <c r="K192" s="3" t="inlineStr">
        <is>
          <t>以玄武形雕刻的玉符，是玄武山庄弟子的信物。</t>
        </is>
      </c>
      <c r="L192" s="4" t="n">
        <v>16000</v>
      </c>
      <c r="M192" s="4" t="n">
        <v>150</v>
      </c>
      <c r="N192" s="2" t="inlineStr">
        <is>
          <t>是</t>
        </is>
      </c>
      <c r="O192" s="4" t="n">
        <v>286</v>
      </c>
      <c r="P192" s="4" t="n">
        <v>22</v>
      </c>
      <c r="Q192" s="4" t="n">
        <v>25</v>
      </c>
      <c r="R192" s="4" t="n">
        <v>14</v>
      </c>
      <c r="S192" s="4" t="n">
        <v>0</v>
      </c>
      <c r="T192" s="4" t="n">
        <v>0</v>
      </c>
      <c r="U192" s="4" t="n">
        <v>0</v>
      </c>
      <c r="V192" s="5">
        <f>SUM(O192:U192)</f>
        <v/>
      </c>
      <c r="W192" s="6">
        <f>O192*'强度系数说明'!$B$7+P192*'强度系数说明'!$B$8+Q192*'强度系数说明'!$B$9+R192*'强度系数说明'!$B$10+S192*'强度系数说明'!$B$11+T192*'强度系数说明'!$B$12+U192*'强度系数说明'!$B$13</f>
        <v/>
      </c>
      <c r="X192" s="7">
        <f>SUMPRODUCT((O192:U192&gt;0)*O192:U192)</f>
        <v/>
      </c>
      <c r="Y192" s="2" t="inlineStr">
        <is>
          <t>否</t>
        </is>
      </c>
      <c r="Z192" s="2" t="inlineStr"/>
      <c r="AA192" s="4" t="inlineStr"/>
      <c r="AB192" s="4" t="inlineStr"/>
      <c r="AC192" s="3" t="inlineStr"/>
      <c r="AD192" s="3" t="inlineStr"/>
      <c r="AE192" s="3" t="inlineStr">
        <is>
          <t>{"defense":22,"force":25,"hp":286,"intellect":14}</t>
        </is>
      </c>
      <c r="AF192" s="3" t="inlineStr">
        <is>
          <t>data/item_templates.yaml:L5830</t>
        </is>
      </c>
    </row>
    <row r="193">
      <c r="A193" s="2" t="n">
        <v>192</v>
      </c>
      <c r="B193" s="2" t="inlineStr">
        <is>
          <t>equip_tianjiyupei</t>
        </is>
      </c>
      <c r="C193" s="2" t="inlineStr">
        <is>
          <t>天机玉佩</t>
        </is>
      </c>
      <c r="D193" s="2" t="inlineStr">
        <is>
          <t>ornament</t>
        </is>
      </c>
      <c r="E193" s="2" t="inlineStr">
        <is>
          <t>饰品</t>
        </is>
      </c>
      <c r="F193" s="2" t="inlineStr">
        <is>
          <t>equip_ornament</t>
        </is>
      </c>
      <c r="G193" s="2" t="inlineStr">
        <is>
          <t>purple</t>
        </is>
      </c>
      <c r="H193" s="2" t="inlineStr">
        <is>
          <t>史诗/紫</t>
        </is>
      </c>
      <c r="I193" s="2" t="inlineStr"/>
      <c r="J193" s="3" t="inlineStr"/>
      <c r="K193" s="3" t="inlineStr">
        <is>
          <t>刻有八卦图案的玉佩，是天机门传承之物。</t>
        </is>
      </c>
      <c r="L193" s="4" t="n">
        <v>16000</v>
      </c>
      <c r="M193" s="4" t="n">
        <v>150</v>
      </c>
      <c r="N193" s="2" t="inlineStr">
        <is>
          <t>是</t>
        </is>
      </c>
      <c r="O193" s="4" t="n">
        <v>184</v>
      </c>
      <c r="P193" s="4" t="n">
        <v>0</v>
      </c>
      <c r="Q193" s="4" t="n">
        <v>7</v>
      </c>
      <c r="R193" s="4" t="n">
        <v>26</v>
      </c>
      <c r="S193" s="4" t="n">
        <v>0</v>
      </c>
      <c r="T193" s="4" t="n">
        <v>22</v>
      </c>
      <c r="U193" s="4" t="n">
        <v>0</v>
      </c>
      <c r="V193" s="5">
        <f>SUM(O193:U193)</f>
        <v/>
      </c>
      <c r="W193" s="6">
        <f>O193*'强度系数说明'!$B$7+P193*'强度系数说明'!$B$8+Q193*'强度系数说明'!$B$9+R193*'强度系数说明'!$B$10+S193*'强度系数说明'!$B$11+T193*'强度系数说明'!$B$12+U193*'强度系数说明'!$B$13</f>
        <v/>
      </c>
      <c r="X193" s="7">
        <f>SUMPRODUCT((O193:U193&gt;0)*O193:U193)</f>
        <v/>
      </c>
      <c r="Y193" s="2" t="inlineStr">
        <is>
          <t>否</t>
        </is>
      </c>
      <c r="Z193" s="2" t="inlineStr"/>
      <c r="AA193" s="4" t="inlineStr"/>
      <c r="AB193" s="4" t="inlineStr"/>
      <c r="AC193" s="3" t="inlineStr"/>
      <c r="AD193" s="3" t="inlineStr"/>
      <c r="AE193" s="3" t="inlineStr">
        <is>
          <t>{"force":7,"hp":184,"intellect":26,"luck":22}</t>
        </is>
      </c>
      <c r="AF193" s="3" t="inlineStr">
        <is>
          <t>data/item_templates.yaml:L5845</t>
        </is>
      </c>
    </row>
    <row r="194">
      <c r="A194" s="2" t="n">
        <v>193</v>
      </c>
      <c r="B194" s="2" t="inlineStr">
        <is>
          <t>equip_pojunhufu</t>
        </is>
      </c>
      <c r="C194" s="2" t="inlineStr">
        <is>
          <t>破军虎符</t>
        </is>
      </c>
      <c r="D194" s="2" t="inlineStr">
        <is>
          <t>ornament</t>
        </is>
      </c>
      <c r="E194" s="2" t="inlineStr">
        <is>
          <t>饰品</t>
        </is>
      </c>
      <c r="F194" s="2" t="inlineStr">
        <is>
          <t>equip_ornament</t>
        </is>
      </c>
      <c r="G194" s="2" t="inlineStr">
        <is>
          <t>purple</t>
        </is>
      </c>
      <c r="H194" s="2" t="inlineStr">
        <is>
          <t>史诗/紫</t>
        </is>
      </c>
      <c r="I194" s="2" t="inlineStr"/>
      <c r="J194" s="3" t="inlineStr"/>
      <c r="K194" s="3" t="inlineStr">
        <is>
          <t>仿古代虎符铸造的令牌，据传曾是某位将军的兵符。</t>
        </is>
      </c>
      <c r="L194" s="4" t="n">
        <v>16000</v>
      </c>
      <c r="M194" s="4" t="n">
        <v>150</v>
      </c>
      <c r="N194" s="2" t="inlineStr">
        <is>
          <t>是</t>
        </is>
      </c>
      <c r="O194" s="4" t="n">
        <v>267</v>
      </c>
      <c r="P194" s="4" t="n">
        <v>0</v>
      </c>
      <c r="Q194" s="4" t="n">
        <v>31</v>
      </c>
      <c r="R194" s="4" t="n">
        <v>9</v>
      </c>
      <c r="S194" s="4" t="n">
        <v>22</v>
      </c>
      <c r="T194" s="4" t="n">
        <v>0</v>
      </c>
      <c r="U194" s="4" t="n">
        <v>0</v>
      </c>
      <c r="V194" s="5">
        <f>SUM(O194:U194)</f>
        <v/>
      </c>
      <c r="W194" s="6">
        <f>O194*'强度系数说明'!$B$7+P194*'强度系数说明'!$B$8+Q194*'强度系数说明'!$B$9+R194*'强度系数说明'!$B$10+S194*'强度系数说明'!$B$11+T194*'强度系数说明'!$B$12+U194*'强度系数说明'!$B$13</f>
        <v/>
      </c>
      <c r="X194" s="7">
        <f>SUMPRODUCT((O194:U194&gt;0)*O194:U194)</f>
        <v/>
      </c>
      <c r="Y194" s="2" t="inlineStr">
        <is>
          <t>否</t>
        </is>
      </c>
      <c r="Z194" s="2" t="inlineStr"/>
      <c r="AA194" s="4" t="inlineStr"/>
      <c r="AB194" s="4" t="inlineStr"/>
      <c r="AC194" s="3" t="inlineStr"/>
      <c r="AD194" s="3" t="inlineStr"/>
      <c r="AE194" s="3" t="inlineStr">
        <is>
          <t>{"agility":22,"force":31,"hp":267,"intellect":9}</t>
        </is>
      </c>
      <c r="AF194" s="3" t="inlineStr">
        <is>
          <t>data/item_templates.yaml:L5860</t>
        </is>
      </c>
    </row>
    <row r="195">
      <c r="A195" s="2" t="n">
        <v>194</v>
      </c>
      <c r="B195" s="2" t="inlineStr">
        <is>
          <t>equip_guiyuanzhu</t>
        </is>
      </c>
      <c r="C195" s="2" t="inlineStr">
        <is>
          <t>归元珠</t>
        </is>
      </c>
      <c r="D195" s="2" t="inlineStr">
        <is>
          <t>ornament</t>
        </is>
      </c>
      <c r="E195" s="2" t="inlineStr">
        <is>
          <t>饰品</t>
        </is>
      </c>
      <c r="F195" s="2" t="inlineStr">
        <is>
          <t>equip_ornament</t>
        </is>
      </c>
      <c r="G195" s="2" t="inlineStr">
        <is>
          <t>purple</t>
        </is>
      </c>
      <c r="H195" s="2" t="inlineStr">
        <is>
          <t>史诗/紫</t>
        </is>
      </c>
      <c r="I195" s="2" t="inlineStr"/>
      <c r="J195" s="3" t="inlineStr"/>
      <c r="K195" s="3" t="inlineStr">
        <is>
          <t>传说可使真气归元的宝珠，是道门至宝。</t>
        </is>
      </c>
      <c r="L195" s="4" t="n">
        <v>16000</v>
      </c>
      <c r="M195" s="4" t="n">
        <v>150</v>
      </c>
      <c r="N195" s="2" t="inlineStr">
        <is>
          <t>是</t>
        </is>
      </c>
      <c r="O195" s="4" t="n">
        <v>297</v>
      </c>
      <c r="P195" s="4" t="n">
        <v>0</v>
      </c>
      <c r="Q195" s="4" t="n">
        <v>4</v>
      </c>
      <c r="R195" s="4" t="n">
        <v>23</v>
      </c>
      <c r="S195" s="4" t="n">
        <v>0</v>
      </c>
      <c r="T195" s="4" t="n">
        <v>26</v>
      </c>
      <c r="U195" s="4" t="n">
        <v>0</v>
      </c>
      <c r="V195" s="5">
        <f>SUM(O195:U195)</f>
        <v/>
      </c>
      <c r="W195" s="6">
        <f>O195*'强度系数说明'!$B$7+P195*'强度系数说明'!$B$8+Q195*'强度系数说明'!$B$9+R195*'强度系数说明'!$B$10+S195*'强度系数说明'!$B$11+T195*'强度系数说明'!$B$12+U195*'强度系数说明'!$B$13</f>
        <v/>
      </c>
      <c r="X195" s="7">
        <f>SUMPRODUCT((O195:U195&gt;0)*O195:U195)</f>
        <v/>
      </c>
      <c r="Y195" s="2" t="inlineStr">
        <is>
          <t>否</t>
        </is>
      </c>
      <c r="Z195" s="2" t="inlineStr"/>
      <c r="AA195" s="4" t="inlineStr"/>
      <c r="AB195" s="4" t="inlineStr"/>
      <c r="AC195" s="3" t="inlineStr"/>
      <c r="AD195" s="3" t="inlineStr"/>
      <c r="AE195" s="3" t="inlineStr">
        <is>
          <t>{"force":4,"hp":297,"intellect":23,"luck":26}</t>
        </is>
      </c>
      <c r="AF195" s="3" t="inlineStr">
        <is>
          <t>data/item_templates.yaml:L5875</t>
        </is>
      </c>
    </row>
    <row r="196">
      <c r="A196" s="2" t="n">
        <v>195</v>
      </c>
      <c r="B196" s="2" t="inlineStr">
        <is>
          <t>equip_shenghuoling</t>
        </is>
      </c>
      <c r="C196" s="2" t="inlineStr">
        <is>
          <t>圣火令</t>
        </is>
      </c>
      <c r="D196" s="2" t="inlineStr">
        <is>
          <t>ornament</t>
        </is>
      </c>
      <c r="E196" s="2" t="inlineStr">
        <is>
          <t>饰品</t>
        </is>
      </c>
      <c r="F196" s="2" t="inlineStr">
        <is>
          <t>equip_ornament</t>
        </is>
      </c>
      <c r="G196" s="2" t="inlineStr">
        <is>
          <t>purple</t>
        </is>
      </c>
      <c r="H196" s="2" t="inlineStr">
        <is>
          <t>史诗/紫</t>
        </is>
      </c>
      <c r="I196" s="2" t="inlineStr"/>
      <c r="J196" s="3" t="inlineStr"/>
      <c r="K196" s="3" t="inlineStr">
        <is>
          <t>明教的至高圣物，据传可召唤圣火降世。</t>
        </is>
      </c>
      <c r="L196" s="4" t="n">
        <v>16000</v>
      </c>
      <c r="M196" s="4" t="n">
        <v>150</v>
      </c>
      <c r="N196" s="2" t="inlineStr">
        <is>
          <t>是</t>
        </is>
      </c>
      <c r="O196" s="4" t="n">
        <v>261</v>
      </c>
      <c r="P196" s="4" t="n">
        <v>0</v>
      </c>
      <c r="Q196" s="4" t="n">
        <v>14</v>
      </c>
      <c r="R196" s="4" t="n">
        <v>17</v>
      </c>
      <c r="S196" s="4" t="n">
        <v>0</v>
      </c>
      <c r="T196" s="4" t="n">
        <v>22</v>
      </c>
      <c r="U196" s="4" t="n">
        <v>0</v>
      </c>
      <c r="V196" s="5">
        <f>SUM(O196:U196)</f>
        <v/>
      </c>
      <c r="W196" s="6">
        <f>O196*'强度系数说明'!$B$7+P196*'强度系数说明'!$B$8+Q196*'强度系数说明'!$B$9+R196*'强度系数说明'!$B$10+S196*'强度系数说明'!$B$11+T196*'强度系数说明'!$B$12+U196*'强度系数说明'!$B$13</f>
        <v/>
      </c>
      <c r="X196" s="7">
        <f>SUMPRODUCT((O196:U196&gt;0)*O196:U196)</f>
        <v/>
      </c>
      <c r="Y196" s="2" t="inlineStr">
        <is>
          <t>否</t>
        </is>
      </c>
      <c r="Z196" s="2" t="inlineStr"/>
      <c r="AA196" s="4" t="inlineStr"/>
      <c r="AB196" s="4" t="inlineStr"/>
      <c r="AC196" s="3" t="inlineStr"/>
      <c r="AD196" s="3" t="inlineStr"/>
      <c r="AE196" s="3" t="inlineStr">
        <is>
          <t>{"force":14,"hp":261,"intellect":17,"luck":22}</t>
        </is>
      </c>
      <c r="AF196" s="3" t="inlineStr">
        <is>
          <t>data/item_templates.yaml:L5890</t>
        </is>
      </c>
    </row>
    <row r="197">
      <c r="A197" s="2" t="n">
        <v>196</v>
      </c>
      <c r="B197" s="2" t="inlineStr">
        <is>
          <t>equip_heshibi</t>
        </is>
      </c>
      <c r="C197" s="2" t="inlineStr">
        <is>
          <t>和氏璧</t>
        </is>
      </c>
      <c r="D197" s="2" t="inlineStr">
        <is>
          <t>ornament</t>
        </is>
      </c>
      <c r="E197" s="2" t="inlineStr">
        <is>
          <t>饰品</t>
        </is>
      </c>
      <c r="F197" s="2" t="inlineStr">
        <is>
          <t>equip_ornament</t>
        </is>
      </c>
      <c r="G197" s="2" t="inlineStr">
        <is>
          <t>orange</t>
        </is>
      </c>
      <c r="H197" s="2" t="inlineStr">
        <is>
          <t>传说/橙</t>
        </is>
      </c>
      <c r="I197" s="2" t="inlineStr"/>
      <c r="J197" s="3" t="inlineStr"/>
      <c r="K197" s="3" t="inlineStr">
        <is>
          <t>相传为卞和所献的绝世美玉，历经多朝流传至今。</t>
        </is>
      </c>
      <c r="L197" s="4" t="n">
        <v>52000</v>
      </c>
      <c r="M197" s="4" t="n">
        <v>200</v>
      </c>
      <c r="N197" s="2" t="inlineStr">
        <is>
          <t>是</t>
        </is>
      </c>
      <c r="O197" s="4" t="n">
        <v>290</v>
      </c>
      <c r="P197" s="4" t="n">
        <v>7</v>
      </c>
      <c r="Q197" s="4" t="n">
        <v>0</v>
      </c>
      <c r="R197" s="4" t="n">
        <v>32</v>
      </c>
      <c r="S197" s="4" t="n">
        <v>0</v>
      </c>
      <c r="T197" s="4" t="n">
        <v>25</v>
      </c>
      <c r="U197" s="4" t="n">
        <v>0</v>
      </c>
      <c r="V197" s="5">
        <f>SUM(O197:U197)</f>
        <v/>
      </c>
      <c r="W197" s="6">
        <f>O197*'强度系数说明'!$B$7+P197*'强度系数说明'!$B$8+Q197*'强度系数说明'!$B$9+R197*'强度系数说明'!$B$10+S197*'强度系数说明'!$B$11+T197*'强度系数说明'!$B$12+U197*'强度系数说明'!$B$13</f>
        <v/>
      </c>
      <c r="X197" s="7">
        <f>SUMPRODUCT((O197:U197&gt;0)*O197:U197)</f>
        <v/>
      </c>
      <c r="Y197" s="2" t="inlineStr">
        <is>
          <t>否</t>
        </is>
      </c>
      <c r="Z197" s="2" t="inlineStr"/>
      <c r="AA197" s="4" t="inlineStr"/>
      <c r="AB197" s="4" t="inlineStr"/>
      <c r="AC197" s="3" t="inlineStr"/>
      <c r="AD197" s="3" t="inlineStr"/>
      <c r="AE197" s="3" t="inlineStr">
        <is>
          <t>{"defense":7,"hp":290,"intellect":32,"luck":25}</t>
        </is>
      </c>
      <c r="AF197" s="3" t="inlineStr">
        <is>
          <t>data/item_templates.yaml:L5907</t>
        </is>
      </c>
    </row>
    <row r="198">
      <c r="A198" s="2" t="n">
        <v>197</v>
      </c>
      <c r="B198" s="2" t="inlineStr">
        <is>
          <t>equip_chuanguoyuxi</t>
        </is>
      </c>
      <c r="C198" s="2" t="inlineStr">
        <is>
          <t>传国玉玺</t>
        </is>
      </c>
      <c r="D198" s="2" t="inlineStr">
        <is>
          <t>ornament</t>
        </is>
      </c>
      <c r="E198" s="2" t="inlineStr">
        <is>
          <t>饰品</t>
        </is>
      </c>
      <c r="F198" s="2" t="inlineStr">
        <is>
          <t>equip_ornament</t>
        </is>
      </c>
      <c r="G198" s="2" t="inlineStr">
        <is>
          <t>orange</t>
        </is>
      </c>
      <c r="H198" s="2" t="inlineStr">
        <is>
          <t>传说/橙</t>
        </is>
      </c>
      <c r="I198" s="2" t="inlineStr"/>
      <c r="J198" s="3" t="inlineStr"/>
      <c r="K198" s="3" t="inlineStr">
        <is>
          <t>仿秦始皇传国玉玺所铸，象征至高权威。</t>
        </is>
      </c>
      <c r="L198" s="4" t="n">
        <v>52000</v>
      </c>
      <c r="M198" s="4" t="n">
        <v>200</v>
      </c>
      <c r="N198" s="2" t="inlineStr">
        <is>
          <t>是</t>
        </is>
      </c>
      <c r="O198" s="4" t="n">
        <v>350</v>
      </c>
      <c r="P198" s="4" t="n">
        <v>5</v>
      </c>
      <c r="Q198" s="4" t="n">
        <v>16</v>
      </c>
      <c r="R198" s="4" t="n">
        <v>16</v>
      </c>
      <c r="S198" s="4" t="n">
        <v>0</v>
      </c>
      <c r="T198" s="4" t="n">
        <v>15</v>
      </c>
      <c r="U198" s="4" t="n">
        <v>200</v>
      </c>
      <c r="V198" s="5">
        <f>SUM(O198:U198)</f>
        <v/>
      </c>
      <c r="W198" s="6">
        <f>O198*'强度系数说明'!$B$7+P198*'强度系数说明'!$B$8+Q198*'强度系数说明'!$B$9+R198*'强度系数说明'!$B$10+S198*'强度系数说明'!$B$11+T198*'强度系数说明'!$B$12+U198*'强度系数说明'!$B$13</f>
        <v/>
      </c>
      <c r="X198" s="7">
        <f>SUMPRODUCT((O198:U198&gt;0)*O198:U198)</f>
        <v/>
      </c>
      <c r="Y198" s="2" t="inlineStr">
        <is>
          <t>否</t>
        </is>
      </c>
      <c r="Z198" s="2" t="inlineStr"/>
      <c r="AA198" s="4" t="inlineStr"/>
      <c r="AB198" s="4" t="inlineStr"/>
      <c r="AC198" s="3" t="inlineStr"/>
      <c r="AD198" s="3" t="inlineStr"/>
      <c r="AE198" s="3" t="inlineStr">
        <is>
          <t>{"defense":5,"force":16,"hp":350,"intellect":16,"luck":15,"troop_capacity":200}</t>
        </is>
      </c>
      <c r="AF198" s="3" t="inlineStr">
        <is>
          <t>data/item_templates.yaml:L5922</t>
        </is>
      </c>
    </row>
    <row r="199">
      <c r="A199" s="2" t="n">
        <v>198</v>
      </c>
      <c r="B199" s="2" t="inlineStr">
        <is>
          <t>equip_qiankunzhu</t>
        </is>
      </c>
      <c r="C199" s="2" t="inlineStr">
        <is>
          <t>乾坤珠</t>
        </is>
      </c>
      <c r="D199" s="2" t="inlineStr">
        <is>
          <t>ornament</t>
        </is>
      </c>
      <c r="E199" s="2" t="inlineStr">
        <is>
          <t>饰品</t>
        </is>
      </c>
      <c r="F199" s="2" t="inlineStr">
        <is>
          <t>equip_ornament</t>
        </is>
      </c>
      <c r="G199" s="2" t="inlineStr">
        <is>
          <t>orange</t>
        </is>
      </c>
      <c r="H199" s="2" t="inlineStr">
        <is>
          <t>传说/橙</t>
        </is>
      </c>
      <c r="I199" s="2" t="inlineStr"/>
      <c r="J199" s="3" t="inlineStr"/>
      <c r="K199" s="3" t="inlineStr">
        <is>
          <t>据传内藏乾坤二气的宝珠，是上古仙人的遗物。</t>
        </is>
      </c>
      <c r="L199" s="4" t="n">
        <v>52000</v>
      </c>
      <c r="M199" s="4" t="n">
        <v>200</v>
      </c>
      <c r="N199" s="2" t="inlineStr">
        <is>
          <t>是</t>
        </is>
      </c>
      <c r="O199" s="4" t="n">
        <v>271</v>
      </c>
      <c r="P199" s="4" t="n">
        <v>20</v>
      </c>
      <c r="Q199" s="4" t="n">
        <v>15</v>
      </c>
      <c r="R199" s="4" t="n">
        <v>10</v>
      </c>
      <c r="S199" s="4" t="n">
        <v>15</v>
      </c>
      <c r="T199" s="4" t="n">
        <v>10</v>
      </c>
      <c r="U199" s="4" t="n">
        <v>0</v>
      </c>
      <c r="V199" s="5">
        <f>SUM(O199:U199)</f>
        <v/>
      </c>
      <c r="W199" s="6">
        <f>O199*'强度系数说明'!$B$7+P199*'强度系数说明'!$B$8+Q199*'强度系数说明'!$B$9+R199*'强度系数说明'!$B$10+S199*'强度系数说明'!$B$11+T199*'强度系数说明'!$B$12+U199*'强度系数说明'!$B$13</f>
        <v/>
      </c>
      <c r="X199" s="7">
        <f>SUMPRODUCT((O199:U199&gt;0)*O199:U199)</f>
        <v/>
      </c>
      <c r="Y199" s="2" t="inlineStr">
        <is>
          <t>否</t>
        </is>
      </c>
      <c r="Z199" s="2" t="inlineStr"/>
      <c r="AA199" s="4" t="inlineStr"/>
      <c r="AB199" s="4" t="inlineStr"/>
      <c r="AC199" s="3" t="inlineStr"/>
      <c r="AD199" s="3" t="inlineStr"/>
      <c r="AE199" s="3" t="inlineStr">
        <is>
          <t>{"agility":15,"defense":20,"force":15,"hp":271,"intellect":10,"luck":10}</t>
        </is>
      </c>
      <c r="AF199" s="3" t="inlineStr">
        <is>
          <t>data/item_templates.yaml:L5939</t>
        </is>
      </c>
    </row>
    <row r="200">
      <c r="A200" s="2" t="n">
        <v>199</v>
      </c>
      <c r="B200" s="2" t="inlineStr">
        <is>
          <t>equip_businiaoyu</t>
        </is>
      </c>
      <c r="C200" s="2" t="inlineStr">
        <is>
          <t>不死鸟羽</t>
        </is>
      </c>
      <c r="D200" s="2" t="inlineStr">
        <is>
          <t>ornament</t>
        </is>
      </c>
      <c r="E200" s="2" t="inlineStr">
        <is>
          <t>饰品</t>
        </is>
      </c>
      <c r="F200" s="2" t="inlineStr">
        <is>
          <t>equip_ornament</t>
        </is>
      </c>
      <c r="G200" s="2" t="inlineStr">
        <is>
          <t>orange</t>
        </is>
      </c>
      <c r="H200" s="2" t="inlineStr">
        <is>
          <t>传说/橙</t>
        </is>
      </c>
      <c r="I200" s="2" t="inlineStr"/>
      <c r="J200" s="3" t="inlineStr"/>
      <c r="K200" s="3" t="inlineStr">
        <is>
          <t>传说中不死鸟脱落的羽毛，据说可使人涅槃重生。</t>
        </is>
      </c>
      <c r="L200" s="4" t="n">
        <v>52000</v>
      </c>
      <c r="M200" s="4" t="n">
        <v>200</v>
      </c>
      <c r="N200" s="2" t="inlineStr">
        <is>
          <t>是</t>
        </is>
      </c>
      <c r="O200" s="4" t="n">
        <v>315</v>
      </c>
      <c r="P200" s="4" t="n">
        <v>0</v>
      </c>
      <c r="Q200" s="4" t="n">
        <v>35</v>
      </c>
      <c r="R200" s="4" t="n">
        <v>0</v>
      </c>
      <c r="S200" s="4" t="n">
        <v>35</v>
      </c>
      <c r="T200" s="4" t="n">
        <v>0</v>
      </c>
      <c r="U200" s="4" t="n">
        <v>0</v>
      </c>
      <c r="V200" s="5">
        <f>SUM(O200:U200)</f>
        <v/>
      </c>
      <c r="W200" s="6">
        <f>O200*'强度系数说明'!$B$7+P200*'强度系数说明'!$B$8+Q200*'强度系数说明'!$B$9+R200*'强度系数说明'!$B$10+S200*'强度系数说明'!$B$11+T200*'强度系数说明'!$B$12+U200*'强度系数说明'!$B$13</f>
        <v/>
      </c>
      <c r="X200" s="7">
        <f>SUMPRODUCT((O200:U200&gt;0)*O200:U200)</f>
        <v/>
      </c>
      <c r="Y200" s="2" t="inlineStr">
        <is>
          <t>否</t>
        </is>
      </c>
      <c r="Z200" s="2" t="inlineStr"/>
      <c r="AA200" s="4" t="inlineStr"/>
      <c r="AB200" s="4" t="inlineStr"/>
      <c r="AC200" s="3" t="inlineStr"/>
      <c r="AD200" s="3" t="inlineStr"/>
      <c r="AE200" s="3" t="inlineStr">
        <is>
          <t>{"agility":35,"force":35,"hp":315}</t>
        </is>
      </c>
      <c r="AF200" s="3" t="inlineStr">
        <is>
          <t>data/item_templates.yaml:L5956</t>
        </is>
      </c>
    </row>
    <row r="201">
      <c r="A201" s="2" t="n">
        <v>200</v>
      </c>
      <c r="B201" s="2" t="inlineStr">
        <is>
          <t>equip_jianghuling</t>
        </is>
      </c>
      <c r="C201" s="2" t="inlineStr">
        <is>
          <t>江湖令</t>
        </is>
      </c>
      <c r="D201" s="2" t="inlineStr">
        <is>
          <t>ornament</t>
        </is>
      </c>
      <c r="E201" s="2" t="inlineStr">
        <is>
          <t>饰品</t>
        </is>
      </c>
      <c r="F201" s="2" t="inlineStr">
        <is>
          <t>equip_ornament</t>
        </is>
      </c>
      <c r="G201" s="2" t="inlineStr">
        <is>
          <t>orange</t>
        </is>
      </c>
      <c r="H201" s="2" t="inlineStr">
        <is>
          <t>传说/橙</t>
        </is>
      </c>
      <c r="I201" s="2" t="inlineStr"/>
      <c r="J201" s="3" t="inlineStr"/>
      <c r="K201" s="3" t="inlineStr">
        <is>
          <t>武林盟主的信物，持此令者可号令江湖。</t>
        </is>
      </c>
      <c r="L201" s="4" t="n">
        <v>52000</v>
      </c>
      <c r="M201" s="4" t="n">
        <v>200</v>
      </c>
      <c r="N201" s="2" t="inlineStr">
        <is>
          <t>是</t>
        </is>
      </c>
      <c r="O201" s="4" t="n">
        <v>350</v>
      </c>
      <c r="P201" s="4" t="n">
        <v>0</v>
      </c>
      <c r="Q201" s="4" t="n">
        <v>20</v>
      </c>
      <c r="R201" s="4" t="n">
        <v>20</v>
      </c>
      <c r="S201" s="4" t="n">
        <v>30</v>
      </c>
      <c r="T201" s="4" t="n">
        <v>0</v>
      </c>
      <c r="U201" s="4" t="n">
        <v>100</v>
      </c>
      <c r="V201" s="5">
        <f>SUM(O201:U201)</f>
        <v/>
      </c>
      <c r="W201" s="6">
        <f>O201*'强度系数说明'!$B$7+P201*'强度系数说明'!$B$8+Q201*'强度系数说明'!$B$9+R201*'强度系数说明'!$B$10+S201*'强度系数说明'!$B$11+T201*'强度系数说明'!$B$12+U201*'强度系数说明'!$B$13</f>
        <v/>
      </c>
      <c r="X201" s="7">
        <f>SUMPRODUCT((O201:U201&gt;0)*O201:U201)</f>
        <v/>
      </c>
      <c r="Y201" s="2" t="inlineStr">
        <is>
          <t>否</t>
        </is>
      </c>
      <c r="Z201" s="2" t="inlineStr"/>
      <c r="AA201" s="4" t="inlineStr"/>
      <c r="AB201" s="4" t="inlineStr"/>
      <c r="AC201" s="3" t="inlineStr"/>
      <c r="AD201" s="3" t="inlineStr"/>
      <c r="AE201" s="3" t="inlineStr">
        <is>
          <t>{"agility":30,"force":20,"hp":350,"intellect":20,"troop_capacity":100}</t>
        </is>
      </c>
      <c r="AF201" s="3" t="inlineStr">
        <is>
          <t>data/item_templates.yaml:L5970</t>
        </is>
      </c>
    </row>
    <row r="202">
      <c r="A202" s="2" t="n">
        <v>201</v>
      </c>
      <c r="B202" s="2" t="inlineStr">
        <is>
          <t>equip_shangshanfaeling</t>
        </is>
      </c>
      <c r="C202" s="2" t="inlineStr">
        <is>
          <t>赏善罚恶令</t>
        </is>
      </c>
      <c r="D202" s="2" t="inlineStr">
        <is>
          <t>ornament</t>
        </is>
      </c>
      <c r="E202" s="2" t="inlineStr">
        <is>
          <t>饰品</t>
        </is>
      </c>
      <c r="F202" s="2" t="inlineStr">
        <is>
          <t>equip_ornament</t>
        </is>
      </c>
      <c r="G202" s="2" t="inlineStr">
        <is>
          <t>orange</t>
        </is>
      </c>
      <c r="H202" s="2" t="inlineStr">
        <is>
          <t>传说/橙</t>
        </is>
      </c>
      <c r="I202" s="2" t="inlineStr"/>
      <c r="J202" s="3" t="inlineStr"/>
      <c r="K202" s="3" t="inlineStr">
        <is>
          <t>六扇门的执法令牌，见令如见官，可赏善罚恶。</t>
        </is>
      </c>
      <c r="L202" s="4" t="n">
        <v>52000</v>
      </c>
      <c r="M202" s="4" t="n">
        <v>200</v>
      </c>
      <c r="N202" s="2" t="inlineStr">
        <is>
          <t>是</t>
        </is>
      </c>
      <c r="O202" s="4" t="n">
        <v>273</v>
      </c>
      <c r="P202" s="4" t="n">
        <v>7</v>
      </c>
      <c r="Q202" s="4" t="n">
        <v>21</v>
      </c>
      <c r="R202" s="4" t="n">
        <v>18</v>
      </c>
      <c r="S202" s="4" t="n">
        <v>0</v>
      </c>
      <c r="T202" s="4" t="n">
        <v>22</v>
      </c>
      <c r="U202" s="4" t="n">
        <v>0</v>
      </c>
      <c r="V202" s="5">
        <f>SUM(O202:U202)</f>
        <v/>
      </c>
      <c r="W202" s="6">
        <f>O202*'强度系数说明'!$B$7+P202*'强度系数说明'!$B$8+Q202*'强度系数说明'!$B$9+R202*'强度系数说明'!$B$10+S202*'强度系数说明'!$B$11+T202*'强度系数说明'!$B$12+U202*'强度系数说明'!$B$13</f>
        <v/>
      </c>
      <c r="X202" s="7">
        <f>SUMPRODUCT((O202:U202&gt;0)*O202:U202)</f>
        <v/>
      </c>
      <c r="Y202" s="2" t="inlineStr">
        <is>
          <t>否</t>
        </is>
      </c>
      <c r="Z202" s="2" t="inlineStr"/>
      <c r="AA202" s="4" t="inlineStr"/>
      <c r="AB202" s="4" t="inlineStr"/>
      <c r="AC202" s="3" t="inlineStr"/>
      <c r="AD202" s="3" t="inlineStr"/>
      <c r="AE202" s="3" t="inlineStr">
        <is>
          <t>{"defense":7,"force":21,"hp":273,"intellect":18,"luck":22}</t>
        </is>
      </c>
      <c r="AF202" s="3" t="inlineStr">
        <is>
          <t>data/item_templates.yaml:L5986</t>
        </is>
      </c>
    </row>
    <row r="203">
      <c r="A203" s="2" t="n">
        <v>202</v>
      </c>
      <c r="B203" s="2" t="inlineStr">
        <is>
          <t>equip_taotieding</t>
        </is>
      </c>
      <c r="C203" s="2" t="inlineStr">
        <is>
          <t>饕餮鼎</t>
        </is>
      </c>
      <c r="D203" s="2" t="inlineStr">
        <is>
          <t>device</t>
        </is>
      </c>
      <c r="E203" s="2" t="inlineStr">
        <is>
          <t>器械</t>
        </is>
      </c>
      <c r="F203" s="2" t="inlineStr">
        <is>
          <t>equip_device</t>
        </is>
      </c>
      <c r="G203" s="2" t="inlineStr">
        <is>
          <t>purple</t>
        </is>
      </c>
      <c r="H203" s="2" t="inlineStr">
        <is>
          <t>史诗/紫</t>
        </is>
      </c>
      <c r="I203" s="2" t="inlineStr"/>
      <c r="J203" s="3" t="inlineStr"/>
      <c r="K203" s="3" t="inlineStr">
        <is>
          <t>鼎身上的饕餮图案而得名，象征着权力和财富，常用于祭祀或重要场合。</t>
        </is>
      </c>
      <c r="L203" s="4" t="n">
        <v>0</v>
      </c>
      <c r="M203" s="4" t="n">
        <v>150</v>
      </c>
      <c r="N203" s="2" t="inlineStr">
        <is>
          <t>是</t>
        </is>
      </c>
      <c r="O203" s="4" t="n">
        <v>500</v>
      </c>
      <c r="P203" s="4" t="n">
        <v>15</v>
      </c>
      <c r="Q203" s="4" t="n">
        <v>18</v>
      </c>
      <c r="R203" s="4" t="n">
        <v>25</v>
      </c>
      <c r="S203" s="4" t="n">
        <v>0</v>
      </c>
      <c r="T203" s="4" t="n">
        <v>10</v>
      </c>
      <c r="U203" s="4" t="n">
        <v>0</v>
      </c>
      <c r="V203" s="5">
        <f>SUM(O203:U203)</f>
        <v/>
      </c>
      <c r="W203" s="6">
        <f>O203*'强度系数说明'!$B$7+P203*'强度系数说明'!$B$8+Q203*'强度系数说明'!$B$9+R203*'强度系数说明'!$B$10+S203*'强度系数说明'!$B$11+T203*'强度系数说明'!$B$12+U203*'强度系数说明'!$B$13</f>
        <v/>
      </c>
      <c r="X203" s="7">
        <f>SUMPRODUCT((O203:U203&gt;0)*O203:U203)</f>
        <v/>
      </c>
      <c r="Y203" s="2" t="inlineStr">
        <is>
          <t>否</t>
        </is>
      </c>
      <c r="Z203" s="2" t="inlineStr"/>
      <c r="AA203" s="4" t="inlineStr"/>
      <c r="AB203" s="4" t="inlineStr"/>
      <c r="AC203" s="3" t="inlineStr"/>
      <c r="AD203" s="3" t="inlineStr"/>
      <c r="AE203" s="3" t="inlineStr">
        <is>
          <t>{"defense":15,"force":18,"hp":500,"intellect":25,"luck":10}</t>
        </is>
      </c>
      <c r="AF203" s="3" t="inlineStr">
        <is>
          <t>data/item_templates.yaml:L6006</t>
        </is>
      </c>
    </row>
    <row r="204">
      <c r="A204" s="2" t="n">
        <v>203</v>
      </c>
      <c r="B204" s="2" t="inlineStr">
        <is>
          <t>equip_taomujian</t>
        </is>
      </c>
      <c r="C204" s="2" t="inlineStr">
        <is>
          <t>桃木剑</t>
        </is>
      </c>
      <c r="D204" s="2" t="inlineStr">
        <is>
          <t>ornament</t>
        </is>
      </c>
      <c r="E204" s="2" t="inlineStr">
        <is>
          <t>饰品</t>
        </is>
      </c>
      <c r="F204" s="2" t="inlineStr">
        <is>
          <t>equip_ornament</t>
        </is>
      </c>
      <c r="G204" s="2" t="inlineStr">
        <is>
          <t>green</t>
        </is>
      </c>
      <c r="H204" s="2" t="inlineStr">
        <is>
          <t>优良/绿</t>
        </is>
      </c>
      <c r="I204" s="2" t="inlineStr"/>
      <c r="J204" s="3" t="inlineStr"/>
      <c r="K204" s="3" t="inlineStr">
        <is>
          <t>以桃木制成的辟邪法器，常为文士与道门弟子所用。</t>
        </is>
      </c>
      <c r="L204" s="4" t="n">
        <v>2000</v>
      </c>
      <c r="M204" s="4" t="n">
        <v>75</v>
      </c>
      <c r="N204" s="2" t="inlineStr">
        <is>
          <t>是</t>
        </is>
      </c>
      <c r="O204" s="4" t="n">
        <v>0</v>
      </c>
      <c r="P204" s="4" t="n">
        <v>10</v>
      </c>
      <c r="Q204" s="4" t="n">
        <v>0</v>
      </c>
      <c r="R204" s="4" t="n">
        <v>15</v>
      </c>
      <c r="S204" s="4" t="n">
        <v>0</v>
      </c>
      <c r="T204" s="4" t="n">
        <v>5</v>
      </c>
      <c r="U204" s="4" t="n">
        <v>0</v>
      </c>
      <c r="V204" s="5">
        <f>SUM(O204:U204)</f>
        <v/>
      </c>
      <c r="W204" s="6">
        <f>O204*'强度系数说明'!$B$7+P204*'强度系数说明'!$B$8+Q204*'强度系数说明'!$B$9+R204*'强度系数说明'!$B$10+S204*'强度系数说明'!$B$11+T204*'强度系数说明'!$B$12+U204*'强度系数说明'!$B$13</f>
        <v/>
      </c>
      <c r="X204" s="7">
        <f>SUMPRODUCT((O204:U204&gt;0)*O204:U204)</f>
        <v/>
      </c>
      <c r="Y204" s="2" t="inlineStr">
        <is>
          <t>否</t>
        </is>
      </c>
      <c r="Z204" s="2" t="inlineStr"/>
      <c r="AA204" s="4" t="inlineStr"/>
      <c r="AB204" s="4" t="inlineStr"/>
      <c r="AC204" s="3" t="inlineStr"/>
      <c r="AD204" s="3" t="inlineStr"/>
      <c r="AE204" s="3" t="inlineStr">
        <is>
          <t>{"defense":10,"intellect":15,"luck":5}</t>
        </is>
      </c>
      <c r="AF204" s="3" t="inlineStr">
        <is>
          <t>data/item_templates.yaml:L6026</t>
        </is>
      </c>
    </row>
    <row r="205">
      <c r="A205" s="2" t="n">
        <v>204</v>
      </c>
      <c r="B205" s="2" t="inlineStr">
        <is>
          <t>equip_tongjing</t>
        </is>
      </c>
      <c r="C205" s="2" t="inlineStr">
        <is>
          <t>铜镜</t>
        </is>
      </c>
      <c r="D205" s="2" t="inlineStr">
        <is>
          <t>ornament</t>
        </is>
      </c>
      <c r="E205" s="2" t="inlineStr">
        <is>
          <t>饰品</t>
        </is>
      </c>
      <c r="F205" s="2" t="inlineStr">
        <is>
          <t>equip_ornament</t>
        </is>
      </c>
      <c r="G205" s="2" t="inlineStr">
        <is>
          <t>green</t>
        </is>
      </c>
      <c r="H205" s="2" t="inlineStr">
        <is>
          <t>优良/绿</t>
        </is>
      </c>
      <c r="I205" s="2" t="inlineStr"/>
      <c r="J205" s="3" t="inlineStr"/>
      <c r="K205" s="3" t="inlineStr">
        <is>
          <t>常见的铜镜器物，可用以照面亦可镇邪。</t>
        </is>
      </c>
      <c r="L205" s="4" t="n">
        <v>2000</v>
      </c>
      <c r="M205" s="4" t="n">
        <v>75</v>
      </c>
      <c r="N205" s="2" t="inlineStr">
        <is>
          <t>是</t>
        </is>
      </c>
      <c r="O205" s="4" t="n">
        <v>500</v>
      </c>
      <c r="P205" s="4" t="n">
        <v>20</v>
      </c>
      <c r="Q205" s="4" t="n">
        <v>0</v>
      </c>
      <c r="R205" s="4" t="n">
        <v>5</v>
      </c>
      <c r="S205" s="4" t="n">
        <v>0</v>
      </c>
      <c r="T205" s="4" t="n">
        <v>0</v>
      </c>
      <c r="U205" s="4" t="n">
        <v>0</v>
      </c>
      <c r="V205" s="5">
        <f>SUM(O205:U205)</f>
        <v/>
      </c>
      <c r="W205" s="6">
        <f>O205*'强度系数说明'!$B$7+P205*'强度系数说明'!$B$8+Q205*'强度系数说明'!$B$9+R205*'强度系数说明'!$B$10+S205*'强度系数说明'!$B$11+T205*'强度系数说明'!$B$12+U205*'强度系数说明'!$B$13</f>
        <v/>
      </c>
      <c r="X205" s="7">
        <f>SUMPRODUCT((O205:U205&gt;0)*O205:U205)</f>
        <v/>
      </c>
      <c r="Y205" s="2" t="inlineStr">
        <is>
          <t>否</t>
        </is>
      </c>
      <c r="Z205" s="2" t="inlineStr"/>
      <c r="AA205" s="4" t="inlineStr"/>
      <c r="AB205" s="4" t="inlineStr"/>
      <c r="AC205" s="3" t="inlineStr"/>
      <c r="AD205" s="3" t="inlineStr"/>
      <c r="AE205" s="3" t="inlineStr">
        <is>
          <t>{"defense":20,"hp":500,"intellect":5}</t>
        </is>
      </c>
      <c r="AF205" s="3" t="inlineStr">
        <is>
          <t>data/item_templates.yaml:L6040</t>
        </is>
      </c>
    </row>
    <row r="206">
      <c r="A206" s="2" t="n">
        <v>205</v>
      </c>
      <c r="B206" s="2" t="inlineStr">
        <is>
          <t>equip_luopan</t>
        </is>
      </c>
      <c r="C206" s="2" t="inlineStr">
        <is>
          <t>罗盘</t>
        </is>
      </c>
      <c r="D206" s="2" t="inlineStr">
        <is>
          <t>ornament</t>
        </is>
      </c>
      <c r="E206" s="2" t="inlineStr">
        <is>
          <t>饰品</t>
        </is>
      </c>
      <c r="F206" s="2" t="inlineStr">
        <is>
          <t>equip_ornament</t>
        </is>
      </c>
      <c r="G206" s="2" t="inlineStr">
        <is>
          <t>green</t>
        </is>
      </c>
      <c r="H206" s="2" t="inlineStr">
        <is>
          <t>优良/绿</t>
        </is>
      </c>
      <c r="I206" s="2" t="inlineStr"/>
      <c r="J206" s="3" t="inlineStr"/>
      <c r="K206" s="3" t="inlineStr">
        <is>
          <t>用于辨别方位与风水格局的器物，是术数之士的随身之物。</t>
        </is>
      </c>
      <c r="L206" s="4" t="n">
        <v>2000</v>
      </c>
      <c r="M206" s="4" t="n">
        <v>75</v>
      </c>
      <c r="N206" s="2" t="inlineStr">
        <is>
          <t>是</t>
        </is>
      </c>
      <c r="O206" s="4" t="n">
        <v>0</v>
      </c>
      <c r="P206" s="4" t="n">
        <v>0</v>
      </c>
      <c r="Q206" s="4" t="n">
        <v>0</v>
      </c>
      <c r="R206" s="4" t="n">
        <v>20</v>
      </c>
      <c r="S206" s="4" t="n">
        <v>5</v>
      </c>
      <c r="T206" s="4" t="n">
        <v>5</v>
      </c>
      <c r="U206" s="4" t="n">
        <v>0</v>
      </c>
      <c r="V206" s="5">
        <f>SUM(O206:U206)</f>
        <v/>
      </c>
      <c r="W206" s="6">
        <f>O206*'强度系数说明'!$B$7+P206*'强度系数说明'!$B$8+Q206*'强度系数说明'!$B$9+R206*'强度系数说明'!$B$10+S206*'强度系数说明'!$B$11+T206*'强度系数说明'!$B$12+U206*'强度系数说明'!$B$13</f>
        <v/>
      </c>
      <c r="X206" s="7">
        <f>SUMPRODUCT((O206:U206&gt;0)*O206:U206)</f>
        <v/>
      </c>
      <c r="Y206" s="2" t="inlineStr">
        <is>
          <t>否</t>
        </is>
      </c>
      <c r="Z206" s="2" t="inlineStr"/>
      <c r="AA206" s="4" t="inlineStr"/>
      <c r="AB206" s="4" t="inlineStr"/>
      <c r="AC206" s="3" t="inlineStr"/>
      <c r="AD206" s="3" t="inlineStr"/>
      <c r="AE206" s="3" t="inlineStr">
        <is>
          <t>{"agility":5,"intellect":20,"luck":5}</t>
        </is>
      </c>
      <c r="AF206" s="3" t="inlineStr">
        <is>
          <t>data/item_templates.yaml:L6054</t>
        </is>
      </c>
    </row>
    <row r="207">
      <c r="A207" s="2" t="n">
        <v>206</v>
      </c>
      <c r="B207" s="2" t="inlineStr">
        <is>
          <t>equip_zhujian</t>
        </is>
      </c>
      <c r="C207" s="2" t="inlineStr">
        <is>
          <t>竹简</t>
        </is>
      </c>
      <c r="D207" s="2" t="inlineStr">
        <is>
          <t>ornament</t>
        </is>
      </c>
      <c r="E207" s="2" t="inlineStr">
        <is>
          <t>饰品</t>
        </is>
      </c>
      <c r="F207" s="2" t="inlineStr">
        <is>
          <t>equip_ornament</t>
        </is>
      </c>
      <c r="G207" s="2" t="inlineStr">
        <is>
          <t>green</t>
        </is>
      </c>
      <c r="H207" s="2" t="inlineStr">
        <is>
          <t>优良/绿</t>
        </is>
      </c>
      <c r="I207" s="2" t="inlineStr"/>
      <c r="J207" s="3" t="inlineStr"/>
      <c r="K207" s="3" t="inlineStr">
        <is>
          <t>记载典籍的竹简，墨迹犹新，似仍留有旧主的气息。</t>
        </is>
      </c>
      <c r="L207" s="4" t="n">
        <v>2000</v>
      </c>
      <c r="M207" s="4" t="n">
        <v>75</v>
      </c>
      <c r="N207" s="2" t="inlineStr">
        <is>
          <t>是</t>
        </is>
      </c>
      <c r="O207" s="4" t="n">
        <v>0</v>
      </c>
      <c r="P207" s="4" t="n">
        <v>5</v>
      </c>
      <c r="Q207" s="4" t="n">
        <v>0</v>
      </c>
      <c r="R207" s="4" t="n">
        <v>30</v>
      </c>
      <c r="S207" s="4" t="n">
        <v>0</v>
      </c>
      <c r="T207" s="4" t="n">
        <v>0</v>
      </c>
      <c r="U207" s="4" t="n">
        <v>0</v>
      </c>
      <c r="V207" s="5">
        <f>SUM(O207:U207)</f>
        <v/>
      </c>
      <c r="W207" s="6">
        <f>O207*'强度系数说明'!$B$7+P207*'强度系数说明'!$B$8+Q207*'强度系数说明'!$B$9+R207*'强度系数说明'!$B$10+S207*'强度系数说明'!$B$11+T207*'强度系数说明'!$B$12+U207*'强度系数说明'!$B$13</f>
        <v/>
      </c>
      <c r="X207" s="7">
        <f>SUMPRODUCT((O207:U207&gt;0)*O207:U207)</f>
        <v/>
      </c>
      <c r="Y207" s="2" t="inlineStr">
        <is>
          <t>否</t>
        </is>
      </c>
      <c r="Z207" s="2" t="inlineStr"/>
      <c r="AA207" s="4" t="inlineStr"/>
      <c r="AB207" s="4" t="inlineStr"/>
      <c r="AC207" s="3" t="inlineStr"/>
      <c r="AD207" s="3" t="inlineStr"/>
      <c r="AE207" s="3" t="inlineStr">
        <is>
          <t>{"defense":5,"intellect":30}</t>
        </is>
      </c>
      <c r="AF207" s="3" t="inlineStr">
        <is>
          <t>data/item_templates.yaml:L6068</t>
        </is>
      </c>
    </row>
    <row r="208">
      <c r="A208" s="2" t="n">
        <v>207</v>
      </c>
      <c r="B208" s="2" t="inlineStr">
        <is>
          <t>equip_moyuyan</t>
        </is>
      </c>
      <c r="C208" s="2" t="inlineStr">
        <is>
          <t>墨玉砚</t>
        </is>
      </c>
      <c r="D208" s="2" t="inlineStr">
        <is>
          <t>ornament</t>
        </is>
      </c>
      <c r="E208" s="2" t="inlineStr">
        <is>
          <t>饰品</t>
        </is>
      </c>
      <c r="F208" s="2" t="inlineStr">
        <is>
          <t>equip_ornament</t>
        </is>
      </c>
      <c r="G208" s="2" t="inlineStr">
        <is>
          <t>green</t>
        </is>
      </c>
      <c r="H208" s="2" t="inlineStr">
        <is>
          <t>优良/绿</t>
        </is>
      </c>
      <c r="I208" s="2" t="inlineStr"/>
      <c r="J208" s="3" t="inlineStr"/>
      <c r="K208" s="3" t="inlineStr">
        <is>
          <t>以墨玉雕成的砚台，质地温润，是文士案头的雅物。</t>
        </is>
      </c>
      <c r="L208" s="4" t="n">
        <v>2000</v>
      </c>
      <c r="M208" s="4" t="n">
        <v>75</v>
      </c>
      <c r="N208" s="2" t="inlineStr">
        <is>
          <t>是</t>
        </is>
      </c>
      <c r="O208" s="4" t="n">
        <v>200</v>
      </c>
      <c r="P208" s="4" t="n">
        <v>5</v>
      </c>
      <c r="Q208" s="4" t="n">
        <v>0</v>
      </c>
      <c r="R208" s="4" t="n">
        <v>25</v>
      </c>
      <c r="S208" s="4" t="n">
        <v>0</v>
      </c>
      <c r="T208" s="4" t="n">
        <v>0</v>
      </c>
      <c r="U208" s="4" t="n">
        <v>0</v>
      </c>
      <c r="V208" s="5">
        <f>SUM(O208:U208)</f>
        <v/>
      </c>
      <c r="W208" s="6">
        <f>O208*'强度系数说明'!$B$7+P208*'强度系数说明'!$B$8+Q208*'强度系数说明'!$B$9+R208*'强度系数说明'!$B$10+S208*'强度系数说明'!$B$11+T208*'强度系数说明'!$B$12+U208*'强度系数说明'!$B$13</f>
        <v/>
      </c>
      <c r="X208" s="7">
        <f>SUMPRODUCT((O208:U208&gt;0)*O208:U208)</f>
        <v/>
      </c>
      <c r="Y208" s="2" t="inlineStr">
        <is>
          <t>否</t>
        </is>
      </c>
      <c r="Z208" s="2" t="inlineStr"/>
      <c r="AA208" s="4" t="inlineStr"/>
      <c r="AB208" s="4" t="inlineStr"/>
      <c r="AC208" s="3" t="inlineStr"/>
      <c r="AD208" s="3" t="inlineStr"/>
      <c r="AE208" s="3" t="inlineStr">
        <is>
          <t>{"defense":5,"hp":200,"intellect":25}</t>
        </is>
      </c>
      <c r="AF208" s="3" t="inlineStr">
        <is>
          <t>data/item_templates.yaml:L6081</t>
        </is>
      </c>
    </row>
    <row r="209">
      <c r="A209" s="2" t="n">
        <v>208</v>
      </c>
      <c r="B209" s="2" t="inlineStr">
        <is>
          <t>equip_qingtongsuanchou</t>
        </is>
      </c>
      <c r="C209" s="2" t="inlineStr">
        <is>
          <t>青铜算筹</t>
        </is>
      </c>
      <c r="D209" s="2" t="inlineStr">
        <is>
          <t>ornament</t>
        </is>
      </c>
      <c r="E209" s="2" t="inlineStr">
        <is>
          <t>饰品</t>
        </is>
      </c>
      <c r="F209" s="2" t="inlineStr">
        <is>
          <t>equip_ornament</t>
        </is>
      </c>
      <c r="G209" s="2" t="inlineStr">
        <is>
          <t>green</t>
        </is>
      </c>
      <c r="H209" s="2" t="inlineStr">
        <is>
          <t>优良/绿</t>
        </is>
      </c>
      <c r="I209" s="2" t="inlineStr"/>
      <c r="J209" s="3" t="inlineStr"/>
      <c r="K209" s="3" t="inlineStr">
        <is>
          <t>青铜制的算筹，适合推演算术与机关术，是匠门入门之物。</t>
        </is>
      </c>
      <c r="L209" s="4" t="n">
        <v>2000</v>
      </c>
      <c r="M209" s="4" t="n">
        <v>75</v>
      </c>
      <c r="N209" s="2" t="inlineStr">
        <is>
          <t>是</t>
        </is>
      </c>
      <c r="O209" s="4" t="n">
        <v>0</v>
      </c>
      <c r="P209" s="4" t="n">
        <v>0</v>
      </c>
      <c r="Q209" s="4" t="n">
        <v>0</v>
      </c>
      <c r="R209" s="4" t="n">
        <v>20</v>
      </c>
      <c r="S209" s="4" t="n">
        <v>0</v>
      </c>
      <c r="T209" s="4" t="n">
        <v>15</v>
      </c>
      <c r="U209" s="4" t="n">
        <v>0</v>
      </c>
      <c r="V209" s="5">
        <f>SUM(O209:U209)</f>
        <v/>
      </c>
      <c r="W209" s="6">
        <f>O209*'强度系数说明'!$B$7+P209*'强度系数说明'!$B$8+Q209*'强度系数说明'!$B$9+R209*'强度系数说明'!$B$10+S209*'强度系数说明'!$B$11+T209*'强度系数说明'!$B$12+U209*'强度系数说明'!$B$13</f>
        <v/>
      </c>
      <c r="X209" s="7">
        <f>SUMPRODUCT((O209:U209&gt;0)*O209:U209)</f>
        <v/>
      </c>
      <c r="Y209" s="2" t="inlineStr">
        <is>
          <t>否</t>
        </is>
      </c>
      <c r="Z209" s="2" t="inlineStr"/>
      <c r="AA209" s="4" t="inlineStr"/>
      <c r="AB209" s="4" t="inlineStr"/>
      <c r="AC209" s="3" t="inlineStr"/>
      <c r="AD209" s="3" t="inlineStr"/>
      <c r="AE209" s="3" t="inlineStr">
        <is>
          <t>{"intellect":20,"luck":15}</t>
        </is>
      </c>
      <c r="AF209" s="3" t="inlineStr">
        <is>
          <t>data/item_templates.yaml:L6095</t>
        </is>
      </c>
    </row>
    <row r="210">
      <c r="A210" s="2" t="n">
        <v>209</v>
      </c>
      <c r="B210" s="2" t="inlineStr">
        <is>
          <t>equip_xiaoxingjiguanshu</t>
        </is>
      </c>
      <c r="C210" s="2" t="inlineStr">
        <is>
          <t>小型机关鼠</t>
        </is>
      </c>
      <c r="D210" s="2" t="inlineStr">
        <is>
          <t>device</t>
        </is>
      </c>
      <c r="E210" s="2" t="inlineStr">
        <is>
          <t>器械</t>
        </is>
      </c>
      <c r="F210" s="2" t="inlineStr">
        <is>
          <t>equip_device</t>
        </is>
      </c>
      <c r="G210" s="2" t="inlineStr">
        <is>
          <t>green</t>
        </is>
      </c>
      <c r="H210" s="2" t="inlineStr">
        <is>
          <t>优良/绿</t>
        </is>
      </c>
      <c r="I210" s="2" t="inlineStr"/>
      <c r="J210" s="3" t="inlineStr"/>
      <c r="K210" s="3" t="inlineStr">
        <is>
          <t>鲁班传人所制的入门之作，以铜丝为须，机簧为心，可自行奔走。</t>
        </is>
      </c>
      <c r="L210" s="4" t="n">
        <v>2000</v>
      </c>
      <c r="M210" s="4" t="n">
        <v>75</v>
      </c>
      <c r="N210" s="2" t="inlineStr">
        <is>
          <t>是</t>
        </is>
      </c>
      <c r="O210" s="4" t="n">
        <v>800</v>
      </c>
      <c r="P210" s="4" t="n">
        <v>0</v>
      </c>
      <c r="Q210" s="4" t="n">
        <v>15</v>
      </c>
      <c r="R210" s="4" t="n">
        <v>0</v>
      </c>
      <c r="S210" s="4" t="n">
        <v>15</v>
      </c>
      <c r="T210" s="4" t="n">
        <v>0</v>
      </c>
      <c r="U210" s="4" t="n">
        <v>0</v>
      </c>
      <c r="V210" s="5">
        <f>SUM(O210:U210)</f>
        <v/>
      </c>
      <c r="W210" s="6">
        <f>O210*'强度系数说明'!$B$7+P210*'强度系数说明'!$B$8+Q210*'强度系数说明'!$B$9+R210*'强度系数说明'!$B$10+S210*'强度系数说明'!$B$11+T210*'强度系数说明'!$B$12+U210*'强度系数说明'!$B$13</f>
        <v/>
      </c>
      <c r="X210" s="7">
        <f>SUMPRODUCT((O210:U210&gt;0)*O210:U210)</f>
        <v/>
      </c>
      <c r="Y210" s="2" t="inlineStr">
        <is>
          <t>否</t>
        </is>
      </c>
      <c r="Z210" s="2" t="inlineStr"/>
      <c r="AA210" s="4" t="inlineStr"/>
      <c r="AB210" s="4" t="inlineStr"/>
      <c r="AC210" s="3" t="inlineStr"/>
      <c r="AD210" s="3" t="inlineStr"/>
      <c r="AE210" s="3" t="inlineStr">
        <is>
          <t>{"agility":15,"force":15,"hp":800}</t>
        </is>
      </c>
      <c r="AF210" s="3" t="inlineStr">
        <is>
          <t>data/item_templates.yaml:L6108</t>
        </is>
      </c>
    </row>
    <row r="211">
      <c r="A211" s="2" t="n">
        <v>210</v>
      </c>
      <c r="B211" s="2" t="inlineStr">
        <is>
          <t>equip_tongchanjiguan</t>
        </is>
      </c>
      <c r="C211" s="2" t="inlineStr">
        <is>
          <t>铜蝉机关</t>
        </is>
      </c>
      <c r="D211" s="2" t="inlineStr">
        <is>
          <t>device</t>
        </is>
      </c>
      <c r="E211" s="2" t="inlineStr">
        <is>
          <t>器械</t>
        </is>
      </c>
      <c r="F211" s="2" t="inlineStr">
        <is>
          <t>equip_device</t>
        </is>
      </c>
      <c r="G211" s="2" t="inlineStr">
        <is>
          <t>green</t>
        </is>
      </c>
      <c r="H211" s="2" t="inlineStr">
        <is>
          <t>优良/绿</t>
        </is>
      </c>
      <c r="I211" s="2" t="inlineStr"/>
      <c r="J211" s="3" t="inlineStr"/>
      <c r="K211" s="3" t="inlineStr">
        <is>
          <t>战国时期的墨家遗物，薄翼振动时发出蝉鸣，可传声数里之外。</t>
        </is>
      </c>
      <c r="L211" s="4" t="n">
        <v>2000</v>
      </c>
      <c r="M211" s="4" t="n">
        <v>75</v>
      </c>
      <c r="N211" s="2" t="inlineStr">
        <is>
          <t>是</t>
        </is>
      </c>
      <c r="O211" s="4" t="n">
        <v>200</v>
      </c>
      <c r="P211" s="4" t="n">
        <v>0</v>
      </c>
      <c r="Q211" s="4" t="n">
        <v>15</v>
      </c>
      <c r="R211" s="4" t="n">
        <v>5</v>
      </c>
      <c r="S211" s="4" t="n">
        <v>18</v>
      </c>
      <c r="T211" s="4" t="n">
        <v>0</v>
      </c>
      <c r="U211" s="4" t="n">
        <v>0</v>
      </c>
      <c r="V211" s="5">
        <f>SUM(O211:U211)</f>
        <v/>
      </c>
      <c r="W211" s="6">
        <f>O211*'强度系数说明'!$B$7+P211*'强度系数说明'!$B$8+Q211*'强度系数说明'!$B$9+R211*'强度系数说明'!$B$10+S211*'强度系数说明'!$B$11+T211*'强度系数说明'!$B$12+U211*'强度系数说明'!$B$13</f>
        <v/>
      </c>
      <c r="X211" s="7">
        <f>SUMPRODUCT((O211:U211&gt;0)*O211:U211)</f>
        <v/>
      </c>
      <c r="Y211" s="2" t="inlineStr">
        <is>
          <t>否</t>
        </is>
      </c>
      <c r="Z211" s="2" t="inlineStr"/>
      <c r="AA211" s="4" t="inlineStr"/>
      <c r="AB211" s="4" t="inlineStr"/>
      <c r="AC211" s="3" t="inlineStr"/>
      <c r="AD211" s="3" t="inlineStr"/>
      <c r="AE211" s="3" t="inlineStr">
        <is>
          <t>{"agility":18,"force":15,"hp":200,"intellect":5}</t>
        </is>
      </c>
      <c r="AF211" s="3" t="inlineStr">
        <is>
          <t>data/item_templates.yaml:L6122</t>
        </is>
      </c>
    </row>
    <row r="212">
      <c r="A212" s="2" t="n">
        <v>211</v>
      </c>
      <c r="B212" s="2" t="inlineStr">
        <is>
          <t>equip_zhaoyaojing</t>
        </is>
      </c>
      <c r="C212" s="2" t="inlineStr">
        <is>
          <t>照妖镜</t>
        </is>
      </c>
      <c r="D212" s="2" t="inlineStr">
        <is>
          <t>ornament</t>
        </is>
      </c>
      <c r="E212" s="2" t="inlineStr">
        <is>
          <t>饰品</t>
        </is>
      </c>
      <c r="F212" s="2" t="inlineStr">
        <is>
          <t>equip_ornament</t>
        </is>
      </c>
      <c r="G212" s="2" t="inlineStr">
        <is>
          <t>blue</t>
        </is>
      </c>
      <c r="H212" s="2" t="inlineStr">
        <is>
          <t>稀有/蓝</t>
        </is>
      </c>
      <c r="I212" s="2" t="inlineStr"/>
      <c r="J212" s="3" t="inlineStr"/>
      <c r="K212" s="3" t="inlineStr">
        <is>
          <t>据说可照出妖邪真形的宝镜，镜面寒光摄人。</t>
        </is>
      </c>
      <c r="L212" s="4" t="n">
        <v>6000</v>
      </c>
      <c r="M212" s="4" t="n">
        <v>100</v>
      </c>
      <c r="N212" s="2" t="inlineStr">
        <is>
          <t>是</t>
        </is>
      </c>
      <c r="O212" s="4" t="n">
        <v>500</v>
      </c>
      <c r="P212" s="4" t="n">
        <v>0</v>
      </c>
      <c r="Q212" s="4" t="n">
        <v>25</v>
      </c>
      <c r="R212" s="4" t="n">
        <v>0</v>
      </c>
      <c r="S212" s="4" t="n">
        <v>0</v>
      </c>
      <c r="T212" s="4" t="n">
        <v>15</v>
      </c>
      <c r="U212" s="4" t="n">
        <v>0</v>
      </c>
      <c r="V212" s="5">
        <f>SUM(O212:U212)</f>
        <v/>
      </c>
      <c r="W212" s="6">
        <f>O212*'强度系数说明'!$B$7+P212*'强度系数说明'!$B$8+Q212*'强度系数说明'!$B$9+R212*'强度系数说明'!$B$10+S212*'强度系数说明'!$B$11+T212*'强度系数说明'!$B$12+U212*'强度系数说明'!$B$13</f>
        <v/>
      </c>
      <c r="X212" s="7">
        <f>SUMPRODUCT((O212:U212&gt;0)*O212:U212)</f>
        <v/>
      </c>
      <c r="Y212" s="2" t="inlineStr">
        <is>
          <t>否</t>
        </is>
      </c>
      <c r="Z212" s="2" t="inlineStr"/>
      <c r="AA212" s="4" t="inlineStr"/>
      <c r="AB212" s="4" t="inlineStr"/>
      <c r="AC212" s="3" t="inlineStr"/>
      <c r="AD212" s="3" t="inlineStr"/>
      <c r="AE212" s="3" t="inlineStr">
        <is>
          <t>{"force":25,"hp":500,"luck":15}</t>
        </is>
      </c>
      <c r="AF212" s="3" t="inlineStr">
        <is>
          <t>data/item_templates.yaml:L6139</t>
        </is>
      </c>
    </row>
    <row r="213">
      <c r="A213" s="2" t="n">
        <v>212</v>
      </c>
      <c r="B213" s="2" t="inlineStr">
        <is>
          <t>equip_qiankunquan</t>
        </is>
      </c>
      <c r="C213" s="2" t="inlineStr">
        <is>
          <t>乾坤圈</t>
        </is>
      </c>
      <c r="D213" s="2" t="inlineStr">
        <is>
          <t>ornament</t>
        </is>
      </c>
      <c r="E213" s="2" t="inlineStr">
        <is>
          <t>饰品</t>
        </is>
      </c>
      <c r="F213" s="2" t="inlineStr">
        <is>
          <t>equip_ornament</t>
        </is>
      </c>
      <c r="G213" s="2" t="inlineStr">
        <is>
          <t>blue</t>
        </is>
      </c>
      <c r="H213" s="2" t="inlineStr">
        <is>
          <t>稀有/蓝</t>
        </is>
      </c>
      <c r="I213" s="2" t="inlineStr"/>
      <c r="J213" s="3" t="inlineStr"/>
      <c r="K213" s="3" t="inlineStr">
        <is>
          <t>乾坤之力凝成的法器圆环，攻守兼备。</t>
        </is>
      </c>
      <c r="L213" s="4" t="n">
        <v>6000</v>
      </c>
      <c r="M213" s="4" t="n">
        <v>100</v>
      </c>
      <c r="N213" s="2" t="inlineStr">
        <is>
          <t>是</t>
        </is>
      </c>
      <c r="O213" s="4" t="n">
        <v>0</v>
      </c>
      <c r="P213" s="4" t="n">
        <v>10</v>
      </c>
      <c r="Q213" s="4" t="n">
        <v>25</v>
      </c>
      <c r="R213" s="4" t="n">
        <v>0</v>
      </c>
      <c r="S213" s="4" t="n">
        <v>12</v>
      </c>
      <c r="T213" s="4" t="n">
        <v>0</v>
      </c>
      <c r="U213" s="4" t="n">
        <v>0</v>
      </c>
      <c r="V213" s="5">
        <f>SUM(O213:U213)</f>
        <v/>
      </c>
      <c r="W213" s="6">
        <f>O213*'强度系数说明'!$B$7+P213*'强度系数说明'!$B$8+Q213*'强度系数说明'!$B$9+R213*'强度系数说明'!$B$10+S213*'强度系数说明'!$B$11+T213*'强度系数说明'!$B$12+U213*'强度系数说明'!$B$13</f>
        <v/>
      </c>
      <c r="X213" s="7">
        <f>SUMPRODUCT((O213:U213&gt;0)*O213:U213)</f>
        <v/>
      </c>
      <c r="Y213" s="2" t="inlineStr">
        <is>
          <t>否</t>
        </is>
      </c>
      <c r="Z213" s="2" t="inlineStr"/>
      <c r="AA213" s="4" t="inlineStr"/>
      <c r="AB213" s="4" t="inlineStr"/>
      <c r="AC213" s="3" t="inlineStr"/>
      <c r="AD213" s="3" t="inlineStr"/>
      <c r="AE213" s="3" t="inlineStr">
        <is>
          <t>{"agility":12,"defense":10,"force":25}</t>
        </is>
      </c>
      <c r="AF213" s="3" t="inlineStr">
        <is>
          <t>data/item_templates.yaml:L6153</t>
        </is>
      </c>
    </row>
    <row r="214">
      <c r="A214" s="2" t="n">
        <v>213</v>
      </c>
      <c r="B214" s="2" t="inlineStr">
        <is>
          <t>equip_tianjiluopan</t>
        </is>
      </c>
      <c r="C214" s="2" t="inlineStr">
        <is>
          <t>天机罗盘</t>
        </is>
      </c>
      <c r="D214" s="2" t="inlineStr">
        <is>
          <t>ornament</t>
        </is>
      </c>
      <c r="E214" s="2" t="inlineStr">
        <is>
          <t>饰品</t>
        </is>
      </c>
      <c r="F214" s="2" t="inlineStr">
        <is>
          <t>equip_ornament</t>
        </is>
      </c>
      <c r="G214" s="2" t="inlineStr">
        <is>
          <t>blue</t>
        </is>
      </c>
      <c r="H214" s="2" t="inlineStr">
        <is>
          <t>稀有/蓝</t>
        </is>
      </c>
      <c r="I214" s="2" t="inlineStr"/>
      <c r="J214" s="3" t="inlineStr"/>
      <c r="K214" s="3" t="inlineStr">
        <is>
          <t>天机门秘制罗盘，可推演天机，指针转动间暗合星象。</t>
        </is>
      </c>
      <c r="L214" s="4" t="n">
        <v>6000</v>
      </c>
      <c r="M214" s="4" t="n">
        <v>100</v>
      </c>
      <c r="N214" s="2" t="inlineStr">
        <is>
          <t>是</t>
        </is>
      </c>
      <c r="O214" s="4" t="n">
        <v>0</v>
      </c>
      <c r="P214" s="4" t="n">
        <v>0</v>
      </c>
      <c r="Q214" s="4" t="n">
        <v>0</v>
      </c>
      <c r="R214" s="4" t="n">
        <v>25</v>
      </c>
      <c r="S214" s="4" t="n">
        <v>5</v>
      </c>
      <c r="T214" s="4" t="n">
        <v>20</v>
      </c>
      <c r="U214" s="4" t="n">
        <v>0</v>
      </c>
      <c r="V214" s="5">
        <f>SUM(O214:U214)</f>
        <v/>
      </c>
      <c r="W214" s="6">
        <f>O214*'强度系数说明'!$B$7+P214*'强度系数说明'!$B$8+Q214*'强度系数说明'!$B$9+R214*'强度系数说明'!$B$10+S214*'强度系数说明'!$B$11+T214*'强度系数说明'!$B$12+U214*'强度系数说明'!$B$13</f>
        <v/>
      </c>
      <c r="X214" s="7">
        <f>SUMPRODUCT((O214:U214&gt;0)*O214:U214)</f>
        <v/>
      </c>
      <c r="Y214" s="2" t="inlineStr">
        <is>
          <t>否</t>
        </is>
      </c>
      <c r="Z214" s="2" t="inlineStr"/>
      <c r="AA214" s="4" t="inlineStr"/>
      <c r="AB214" s="4" t="inlineStr"/>
      <c r="AC214" s="3" t="inlineStr"/>
      <c r="AD214" s="3" t="inlineStr"/>
      <c r="AE214" s="3" t="inlineStr">
        <is>
          <t>{"agility":5,"intellect":25,"luck":20}</t>
        </is>
      </c>
      <c r="AF214" s="3" t="inlineStr">
        <is>
          <t>data/item_templates.yaml:L6167</t>
        </is>
      </c>
    </row>
    <row r="215">
      <c r="A215" s="2" t="n">
        <v>214</v>
      </c>
      <c r="B215" s="2" t="inlineStr">
        <is>
          <t>equip_lingwenyubi</t>
        </is>
      </c>
      <c r="C215" s="2" t="inlineStr">
        <is>
          <t>灵纹玉笔</t>
        </is>
      </c>
      <c r="D215" s="2" t="inlineStr">
        <is>
          <t>ornament</t>
        </is>
      </c>
      <c r="E215" s="2" t="inlineStr">
        <is>
          <t>饰品</t>
        </is>
      </c>
      <c r="F215" s="2" t="inlineStr">
        <is>
          <t>equip_ornament</t>
        </is>
      </c>
      <c r="G215" s="2" t="inlineStr">
        <is>
          <t>blue</t>
        </is>
      </c>
      <c r="H215" s="2" t="inlineStr">
        <is>
          <t>稀有/蓝</t>
        </is>
      </c>
      <c r="I215" s="2" t="inlineStr"/>
      <c r="J215" s="3" t="inlineStr"/>
      <c r="K215" s="3" t="inlineStr">
        <is>
          <t>雕刻灵纹的玉笔，可书符画阵，是文修与术士的趁手器物。</t>
        </is>
      </c>
      <c r="L215" s="4" t="n">
        <v>6000</v>
      </c>
      <c r="M215" s="4" t="n">
        <v>100</v>
      </c>
      <c r="N215" s="2" t="inlineStr">
        <is>
          <t>是</t>
        </is>
      </c>
      <c r="O215" s="4" t="n">
        <v>200</v>
      </c>
      <c r="P215" s="4" t="n">
        <v>0</v>
      </c>
      <c r="Q215" s="4" t="n">
        <v>0</v>
      </c>
      <c r="R215" s="4" t="n">
        <v>25</v>
      </c>
      <c r="S215" s="4" t="n">
        <v>0</v>
      </c>
      <c r="T215" s="4" t="n">
        <v>15</v>
      </c>
      <c r="U215" s="4" t="n">
        <v>0</v>
      </c>
      <c r="V215" s="5">
        <f>SUM(O215:U215)</f>
        <v/>
      </c>
      <c r="W215" s="6">
        <f>O215*'强度系数说明'!$B$7+P215*'强度系数说明'!$B$8+Q215*'强度系数说明'!$B$9+R215*'强度系数说明'!$B$10+S215*'强度系数说明'!$B$11+T215*'强度系数说明'!$B$12+U215*'强度系数说明'!$B$13</f>
        <v/>
      </c>
      <c r="X215" s="7">
        <f>SUMPRODUCT((O215:U215&gt;0)*O215:U215)</f>
        <v/>
      </c>
      <c r="Y215" s="2" t="inlineStr">
        <is>
          <t>否</t>
        </is>
      </c>
      <c r="Z215" s="2" t="inlineStr"/>
      <c r="AA215" s="4" t="inlineStr"/>
      <c r="AB215" s="4" t="inlineStr"/>
      <c r="AC215" s="3" t="inlineStr"/>
      <c r="AD215" s="3" t="inlineStr"/>
      <c r="AE215" s="3" t="inlineStr">
        <is>
          <t>{"hp":200,"intellect":25,"luck":15}</t>
        </is>
      </c>
      <c r="AF215" s="3" t="inlineStr">
        <is>
          <t>data/item_templates.yaml:L6181</t>
        </is>
      </c>
    </row>
    <row r="216">
      <c r="A216" s="2" t="n">
        <v>215</v>
      </c>
      <c r="B216" s="2" t="inlineStr">
        <is>
          <t>equip_guanxingdeng</t>
        </is>
      </c>
      <c r="C216" s="2" t="inlineStr">
        <is>
          <t>观星灯</t>
        </is>
      </c>
      <c r="D216" s="2" t="inlineStr">
        <is>
          <t>ornament</t>
        </is>
      </c>
      <c r="E216" s="2" t="inlineStr">
        <is>
          <t>饰品</t>
        </is>
      </c>
      <c r="F216" s="2" t="inlineStr">
        <is>
          <t>equip_ornament</t>
        </is>
      </c>
      <c r="G216" s="2" t="inlineStr">
        <is>
          <t>blue</t>
        </is>
      </c>
      <c r="H216" s="2" t="inlineStr">
        <is>
          <t>稀有/蓝</t>
        </is>
      </c>
      <c r="I216" s="2" t="inlineStr"/>
      <c r="J216" s="3" t="inlineStr"/>
      <c r="K216" s="3" t="inlineStr">
        <is>
          <t>点燃后可观星推演的法灯，灯火不灭，光晕如星。</t>
        </is>
      </c>
      <c r="L216" s="4" t="n">
        <v>6000</v>
      </c>
      <c r="M216" s="4" t="n">
        <v>100</v>
      </c>
      <c r="N216" s="2" t="inlineStr">
        <is>
          <t>是</t>
        </is>
      </c>
      <c r="O216" s="4" t="n">
        <v>100</v>
      </c>
      <c r="P216" s="4" t="n">
        <v>0</v>
      </c>
      <c r="Q216" s="4" t="n">
        <v>0</v>
      </c>
      <c r="R216" s="4" t="n">
        <v>10</v>
      </c>
      <c r="S216" s="4" t="n">
        <v>0</v>
      </c>
      <c r="T216" s="4" t="n">
        <v>30</v>
      </c>
      <c r="U216" s="4" t="n">
        <v>0</v>
      </c>
      <c r="V216" s="5">
        <f>SUM(O216:U216)</f>
        <v/>
      </c>
      <c r="W216" s="6">
        <f>O216*'强度系数说明'!$B$7+P216*'强度系数说明'!$B$8+Q216*'强度系数说明'!$B$9+R216*'强度系数说明'!$B$10+S216*'强度系数说明'!$B$11+T216*'强度系数说明'!$B$12+U216*'强度系数说明'!$B$13</f>
        <v/>
      </c>
      <c r="X216" s="7">
        <f>SUMPRODUCT((O216:U216&gt;0)*O216:U216)</f>
        <v/>
      </c>
      <c r="Y216" s="2" t="inlineStr">
        <is>
          <t>否</t>
        </is>
      </c>
      <c r="Z216" s="2" t="inlineStr"/>
      <c r="AA216" s="4" t="inlineStr"/>
      <c r="AB216" s="4" t="inlineStr"/>
      <c r="AC216" s="3" t="inlineStr"/>
      <c r="AD216" s="3" t="inlineStr"/>
      <c r="AE216" s="3" t="inlineStr">
        <is>
          <t>{"hp":100,"intellect":10,"luck":30}</t>
        </is>
      </c>
      <c r="AF216" s="3" t="inlineStr">
        <is>
          <t>data/item_templates.yaml:L6195</t>
        </is>
      </c>
    </row>
    <row r="217">
      <c r="A217" s="2" t="n">
        <v>216</v>
      </c>
      <c r="B217" s="2" t="inlineStr">
        <is>
          <t>equip_jixiemao</t>
        </is>
      </c>
      <c r="C217" s="2" t="inlineStr">
        <is>
          <t>机械猫</t>
        </is>
      </c>
      <c r="D217" s="2" t="inlineStr">
        <is>
          <t>device</t>
        </is>
      </c>
      <c r="E217" s="2" t="inlineStr">
        <is>
          <t>器械</t>
        </is>
      </c>
      <c r="F217" s="2" t="inlineStr">
        <is>
          <t>equip_device</t>
        </is>
      </c>
      <c r="G217" s="2" t="inlineStr">
        <is>
          <t>blue</t>
        </is>
      </c>
      <c r="H217" s="2" t="inlineStr">
        <is>
          <t>稀有/蓝</t>
        </is>
      </c>
      <c r="I217" s="2" t="inlineStr"/>
      <c r="J217" s="3" t="inlineStr"/>
      <c r="K217" s="3" t="inlineStr">
        <is>
          <t>相传为鲁班暮年所制，以精铜为骨，绢丝为毛，栩栩如生，能自行走动觅食。</t>
        </is>
      </c>
      <c r="L217" s="4" t="n">
        <v>6000</v>
      </c>
      <c r="M217" s="4" t="n">
        <v>100</v>
      </c>
      <c r="N217" s="2" t="inlineStr">
        <is>
          <t>是</t>
        </is>
      </c>
      <c r="O217" s="4" t="n">
        <v>500</v>
      </c>
      <c r="P217" s="4" t="n">
        <v>0</v>
      </c>
      <c r="Q217" s="4" t="n">
        <v>25</v>
      </c>
      <c r="R217" s="4" t="n">
        <v>10</v>
      </c>
      <c r="S217" s="4" t="n">
        <v>10</v>
      </c>
      <c r="T217" s="4" t="n">
        <v>0</v>
      </c>
      <c r="U217" s="4" t="n">
        <v>0</v>
      </c>
      <c r="V217" s="5">
        <f>SUM(O217:U217)</f>
        <v/>
      </c>
      <c r="W217" s="6">
        <f>O217*'强度系数说明'!$B$7+P217*'强度系数说明'!$B$8+Q217*'强度系数说明'!$B$9+R217*'强度系数说明'!$B$10+S217*'强度系数说明'!$B$11+T217*'强度系数说明'!$B$12+U217*'强度系数说明'!$B$13</f>
        <v/>
      </c>
      <c r="X217" s="7">
        <f>SUMPRODUCT((O217:U217&gt;0)*O217:U217)</f>
        <v/>
      </c>
      <c r="Y217" s="2" t="inlineStr">
        <is>
          <t>否</t>
        </is>
      </c>
      <c r="Z217" s="2" t="inlineStr"/>
      <c r="AA217" s="4" t="inlineStr"/>
      <c r="AB217" s="4" t="inlineStr"/>
      <c r="AC217" s="3" t="inlineStr"/>
      <c r="AD217" s="3" t="inlineStr"/>
      <c r="AE217" s="3" t="inlineStr">
        <is>
          <t>{"agility":10,"force":25,"hp":500,"intellect":10}</t>
        </is>
      </c>
      <c r="AF217" s="3" t="inlineStr">
        <is>
          <t>data/item_templates.yaml:L6209</t>
        </is>
      </c>
    </row>
    <row r="218">
      <c r="A218" s="2" t="n">
        <v>217</v>
      </c>
      <c r="B218" s="2" t="inlineStr">
        <is>
          <t>equip_jiguanchuniao</t>
        </is>
      </c>
      <c r="C218" s="2" t="inlineStr">
        <is>
          <t>机关雏鸟</t>
        </is>
      </c>
      <c r="D218" s="2" t="inlineStr">
        <is>
          <t>device</t>
        </is>
      </c>
      <c r="E218" s="2" t="inlineStr">
        <is>
          <t>器械</t>
        </is>
      </c>
      <c r="F218" s="2" t="inlineStr">
        <is>
          <t>equip_device</t>
        </is>
      </c>
      <c r="G218" s="2" t="inlineStr">
        <is>
          <t>blue</t>
        </is>
      </c>
      <c r="H218" s="2" t="inlineStr">
        <is>
          <t>稀有/蓝</t>
        </is>
      </c>
      <c r="I218" s="2" t="inlineStr"/>
      <c r="J218" s="3" t="inlineStr"/>
      <c r="K218" s="3" t="inlineStr">
        <is>
          <t>墨家弟子仿飞禽所造，翅以薄铜片制成，可借风力滑翔数里。</t>
        </is>
      </c>
      <c r="L218" s="4" t="n">
        <v>6000</v>
      </c>
      <c r="M218" s="4" t="n">
        <v>100</v>
      </c>
      <c r="N218" s="2" t="inlineStr">
        <is>
          <t>是</t>
        </is>
      </c>
      <c r="O218" s="4" t="n">
        <v>500</v>
      </c>
      <c r="P218" s="4" t="n">
        <v>0</v>
      </c>
      <c r="Q218" s="4" t="n">
        <v>15</v>
      </c>
      <c r="R218" s="4" t="n">
        <v>0</v>
      </c>
      <c r="S218" s="4" t="n">
        <v>30</v>
      </c>
      <c r="T218" s="4" t="n">
        <v>0</v>
      </c>
      <c r="U218" s="4" t="n">
        <v>0</v>
      </c>
      <c r="V218" s="5">
        <f>SUM(O218:U218)</f>
        <v/>
      </c>
      <c r="W218" s="6">
        <f>O218*'强度系数说明'!$B$7+P218*'强度系数说明'!$B$8+Q218*'强度系数说明'!$B$9+R218*'强度系数说明'!$B$10+S218*'强度系数说明'!$B$11+T218*'强度系数说明'!$B$12+U218*'强度系数说明'!$B$13</f>
        <v/>
      </c>
      <c r="X218" s="7">
        <f>SUMPRODUCT((O218:U218&gt;0)*O218:U218)</f>
        <v/>
      </c>
      <c r="Y218" s="2" t="inlineStr">
        <is>
          <t>否</t>
        </is>
      </c>
      <c r="Z218" s="2" t="inlineStr"/>
      <c r="AA218" s="4" t="inlineStr"/>
      <c r="AB218" s="4" t="inlineStr"/>
      <c r="AC218" s="3" t="inlineStr"/>
      <c r="AD218" s="3" t="inlineStr"/>
      <c r="AE218" s="3" t="inlineStr">
        <is>
          <t>{"agility":30,"force":15,"hp":500}</t>
        </is>
      </c>
      <c r="AF218" s="3" t="inlineStr">
        <is>
          <t>data/item_templates.yaml:L6224</t>
        </is>
      </c>
    </row>
    <row r="219">
      <c r="A219" s="2" t="n">
        <v>218</v>
      </c>
      <c r="B219" s="2" t="inlineStr">
        <is>
          <t>equip_kuileimuren</t>
        </is>
      </c>
      <c r="C219" s="2" t="inlineStr">
        <is>
          <t>傀儡木人</t>
        </is>
      </c>
      <c r="D219" s="2" t="inlineStr">
        <is>
          <t>device</t>
        </is>
      </c>
      <c r="E219" s="2" t="inlineStr">
        <is>
          <t>器械</t>
        </is>
      </c>
      <c r="F219" s="2" t="inlineStr">
        <is>
          <t>equip_device</t>
        </is>
      </c>
      <c r="G219" s="2" t="inlineStr">
        <is>
          <t>blue</t>
        </is>
      </c>
      <c r="H219" s="2" t="inlineStr">
        <is>
          <t>稀有/蓝</t>
        </is>
      </c>
      <c r="I219" s="2" t="inlineStr"/>
      <c r="J219" s="3" t="inlineStr"/>
      <c r="K219" s="3" t="inlineStr">
        <is>
          <t>以桐木雕刻的简易木偶，内含简单机括，是练习傀儡术的常用器物。</t>
        </is>
      </c>
      <c r="L219" s="4" t="n">
        <v>6000</v>
      </c>
      <c r="M219" s="4" t="n">
        <v>100</v>
      </c>
      <c r="N219" s="2" t="inlineStr">
        <is>
          <t>是</t>
        </is>
      </c>
      <c r="O219" s="4" t="n">
        <v>150</v>
      </c>
      <c r="P219" s="4" t="n">
        <v>5</v>
      </c>
      <c r="Q219" s="4" t="n">
        <v>20</v>
      </c>
      <c r="R219" s="4" t="n">
        <v>25</v>
      </c>
      <c r="S219" s="4" t="n">
        <v>0</v>
      </c>
      <c r="T219" s="4" t="n">
        <v>0</v>
      </c>
      <c r="U219" s="4" t="n">
        <v>0</v>
      </c>
      <c r="V219" s="5">
        <f>SUM(O219:U219)</f>
        <v/>
      </c>
      <c r="W219" s="6">
        <f>O219*'强度系数说明'!$B$7+P219*'强度系数说明'!$B$8+Q219*'强度系数说明'!$B$9+R219*'强度系数说明'!$B$10+S219*'强度系数说明'!$B$11+T219*'强度系数说明'!$B$12+U219*'强度系数说明'!$B$13</f>
        <v/>
      </c>
      <c r="X219" s="7">
        <f>SUMPRODUCT((O219:U219&gt;0)*O219:U219)</f>
        <v/>
      </c>
      <c r="Y219" s="2" t="inlineStr">
        <is>
          <t>否</t>
        </is>
      </c>
      <c r="Z219" s="2" t="inlineStr"/>
      <c r="AA219" s="4" t="inlineStr"/>
      <c r="AB219" s="4" t="inlineStr"/>
      <c r="AC219" s="3" t="inlineStr"/>
      <c r="AD219" s="3" t="inlineStr"/>
      <c r="AE219" s="3" t="inlineStr">
        <is>
          <t>{"defense":5,"force":20,"hp":150,"intellect":25}</t>
        </is>
      </c>
      <c r="AF219" s="3" t="inlineStr">
        <is>
          <t>data/item_templates.yaml:L6238</t>
        </is>
      </c>
    </row>
    <row r="220">
      <c r="A220" s="2" t="n">
        <v>219</v>
      </c>
      <c r="B220" s="2" t="inlineStr">
        <is>
          <t>equip_qingji</t>
        </is>
      </c>
      <c r="C220" s="2" t="inlineStr">
        <is>
          <t>庆忌</t>
        </is>
      </c>
      <c r="D220" s="2" t="inlineStr">
        <is>
          <t>device</t>
        </is>
      </c>
      <c r="E220" s="2" t="inlineStr">
        <is>
          <t>器械</t>
        </is>
      </c>
      <c r="F220" s="2" t="inlineStr">
        <is>
          <t>equip_device</t>
        </is>
      </c>
      <c r="G220" s="2" t="inlineStr">
        <is>
          <t>blue</t>
        </is>
      </c>
      <c r="H220" s="2" t="inlineStr">
        <is>
          <t>稀有/蓝</t>
        </is>
      </c>
      <c r="I220" s="2" t="inlineStr"/>
      <c r="J220" s="3" t="inlineStr"/>
      <c r="K220" s="3" t="inlineStr">
        <is>
          <t>庆忌者，其状若人，其长四寸，衣黄衣，冠黄冠，戴黄盖，乘小马，好急驰。</t>
        </is>
      </c>
      <c r="L220" s="4" t="n">
        <v>6000</v>
      </c>
      <c r="M220" s="4" t="n">
        <v>100</v>
      </c>
      <c r="N220" s="2" t="inlineStr">
        <is>
          <t>是</t>
        </is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35</v>
      </c>
      <c r="T220" s="4" t="n">
        <v>12</v>
      </c>
      <c r="U220" s="4" t="n">
        <v>0</v>
      </c>
      <c r="V220" s="5">
        <f>SUM(O220:U220)</f>
        <v/>
      </c>
      <c r="W220" s="6">
        <f>O220*'强度系数说明'!$B$7+P220*'强度系数说明'!$B$8+Q220*'强度系数说明'!$B$9+R220*'强度系数说明'!$B$10+S220*'强度系数说明'!$B$11+T220*'强度系数说明'!$B$12+U220*'强度系数说明'!$B$13</f>
        <v/>
      </c>
      <c r="X220" s="7">
        <f>SUMPRODUCT((O220:U220&gt;0)*O220:U220)</f>
        <v/>
      </c>
      <c r="Y220" s="2" t="inlineStr">
        <is>
          <t>否</t>
        </is>
      </c>
      <c r="Z220" s="2" t="inlineStr"/>
      <c r="AA220" s="4" t="inlineStr"/>
      <c r="AB220" s="4" t="inlineStr"/>
      <c r="AC220" s="3" t="inlineStr"/>
      <c r="AD220" s="3" t="inlineStr"/>
      <c r="AE220" s="3" t="inlineStr">
        <is>
          <t>{"agility":35,"luck":12}</t>
        </is>
      </c>
      <c r="AF220" s="3" t="inlineStr">
        <is>
          <t>data/item_templates.yaml:L6253</t>
        </is>
      </c>
    </row>
    <row r="221">
      <c r="A221" s="2" t="n">
        <v>220</v>
      </c>
      <c r="B221" s="2" t="inlineStr">
        <is>
          <t>equip_baguajing</t>
        </is>
      </c>
      <c r="C221" s="2" t="inlineStr">
        <is>
          <t>八卦镜</t>
        </is>
      </c>
      <c r="D221" s="2" t="inlineStr">
        <is>
          <t>ornament</t>
        </is>
      </c>
      <c r="E221" s="2" t="inlineStr">
        <is>
          <t>饰品</t>
        </is>
      </c>
      <c r="F221" s="2" t="inlineStr">
        <is>
          <t>equip_ornament</t>
        </is>
      </c>
      <c r="G221" s="2" t="inlineStr">
        <is>
          <t>purple</t>
        </is>
      </c>
      <c r="H221" s="2" t="inlineStr">
        <is>
          <t>史诗/紫</t>
        </is>
      </c>
      <c r="I221" s="2" t="inlineStr"/>
      <c r="J221" s="3" t="inlineStr"/>
      <c r="K221" s="3" t="inlineStr">
        <is>
          <t>按先天八卦方位铸造的铜镜，背刻河图洛书，是道门镇宅之宝。</t>
        </is>
      </c>
      <c r="L221" s="4" t="n">
        <v>16000</v>
      </c>
      <c r="M221" s="4" t="n">
        <v>150</v>
      </c>
      <c r="N221" s="2" t="inlineStr">
        <is>
          <t>是</t>
        </is>
      </c>
      <c r="O221" s="4" t="n">
        <v>500</v>
      </c>
      <c r="P221" s="4" t="n">
        <v>0</v>
      </c>
      <c r="Q221" s="4" t="n">
        <v>0</v>
      </c>
      <c r="R221" s="4" t="n">
        <v>30</v>
      </c>
      <c r="S221" s="4" t="n">
        <v>0</v>
      </c>
      <c r="T221" s="4" t="n">
        <v>30</v>
      </c>
      <c r="U221" s="4" t="n">
        <v>0</v>
      </c>
      <c r="V221" s="5">
        <f>SUM(O221:U221)</f>
        <v/>
      </c>
      <c r="W221" s="6">
        <f>O221*'强度系数说明'!$B$7+P221*'强度系数说明'!$B$8+Q221*'强度系数说明'!$B$9+R221*'强度系数说明'!$B$10+S221*'强度系数说明'!$B$11+T221*'强度系数说明'!$B$12+U221*'强度系数说明'!$B$13</f>
        <v/>
      </c>
      <c r="X221" s="7">
        <f>SUMPRODUCT((O221:U221&gt;0)*O221:U221)</f>
        <v/>
      </c>
      <c r="Y221" s="2" t="inlineStr">
        <is>
          <t>否</t>
        </is>
      </c>
      <c r="Z221" s="2" t="inlineStr"/>
      <c r="AA221" s="4" t="inlineStr"/>
      <c r="AB221" s="4" t="inlineStr"/>
      <c r="AC221" s="3" t="inlineStr"/>
      <c r="AD221" s="3" t="inlineStr"/>
      <c r="AE221" s="3" t="inlineStr">
        <is>
          <t>{"hp":500,"intellect":30,"luck":30}</t>
        </is>
      </c>
      <c r="AF221" s="3" t="inlineStr">
        <is>
          <t>data/item_templates.yaml:L6268</t>
        </is>
      </c>
    </row>
    <row r="222">
      <c r="A222" s="2" t="n">
        <v>221</v>
      </c>
      <c r="B222" s="2" t="inlineStr">
        <is>
          <t>equip_hunyuansan</t>
        </is>
      </c>
      <c r="C222" s="2" t="inlineStr">
        <is>
          <t>混元伞</t>
        </is>
      </c>
      <c r="D222" s="2" t="inlineStr">
        <is>
          <t>ornament</t>
        </is>
      </c>
      <c r="E222" s="2" t="inlineStr">
        <is>
          <t>饰品</t>
        </is>
      </c>
      <c r="F222" s="2" t="inlineStr">
        <is>
          <t>equip_ornament</t>
        </is>
      </c>
      <c r="G222" s="2" t="inlineStr">
        <is>
          <t>purple</t>
        </is>
      </c>
      <c r="H222" s="2" t="inlineStr">
        <is>
          <t>史诗/紫</t>
        </is>
      </c>
      <c r="I222" s="2" t="inlineStr"/>
      <c r="J222" s="3" t="inlineStr"/>
      <c r="K222" s="3" t="inlineStr">
        <is>
          <t>混元宝伞，可护身御敌，伞骨隐有符纹流转。</t>
        </is>
      </c>
      <c r="L222" s="4" t="n">
        <v>16000</v>
      </c>
      <c r="M222" s="4" t="n">
        <v>150</v>
      </c>
      <c r="N222" s="2" t="inlineStr">
        <is>
          <t>是</t>
        </is>
      </c>
      <c r="O222" s="4" t="n">
        <v>800</v>
      </c>
      <c r="P222" s="4" t="n">
        <v>14</v>
      </c>
      <c r="Q222" s="4" t="n">
        <v>42</v>
      </c>
      <c r="R222" s="4" t="n">
        <v>0</v>
      </c>
      <c r="S222" s="4" t="n">
        <v>0</v>
      </c>
      <c r="T222" s="4" t="n">
        <v>5</v>
      </c>
      <c r="U222" s="4" t="n">
        <v>0</v>
      </c>
      <c r="V222" s="5">
        <f>SUM(O222:U222)</f>
        <v/>
      </c>
      <c r="W222" s="6">
        <f>O222*'强度系数说明'!$B$7+P222*'强度系数说明'!$B$8+Q222*'强度系数说明'!$B$9+R222*'强度系数说明'!$B$10+S222*'强度系数说明'!$B$11+T222*'强度系数说明'!$B$12+U222*'强度系数说明'!$B$13</f>
        <v/>
      </c>
      <c r="X222" s="7">
        <f>SUMPRODUCT((O222:U222&gt;0)*O222:U222)</f>
        <v/>
      </c>
      <c r="Y222" s="2" t="inlineStr">
        <is>
          <t>否</t>
        </is>
      </c>
      <c r="Z222" s="2" t="inlineStr"/>
      <c r="AA222" s="4" t="inlineStr"/>
      <c r="AB222" s="4" t="inlineStr"/>
      <c r="AC222" s="3" t="inlineStr"/>
      <c r="AD222" s="3" t="inlineStr"/>
      <c r="AE222" s="3" t="inlineStr">
        <is>
          <t>{"defense":14,"force":42,"hp":800,"luck":5}</t>
        </is>
      </c>
      <c r="AF222" s="3" t="inlineStr">
        <is>
          <t>data/item_templates.yaml:L6282</t>
        </is>
      </c>
    </row>
    <row r="223">
      <c r="A223" s="2" t="n">
        <v>222</v>
      </c>
      <c r="B223" s="2" t="inlineStr">
        <is>
          <t>equip_zijinhulu</t>
        </is>
      </c>
      <c r="C223" s="2" t="inlineStr">
        <is>
          <t>紫金葫芦</t>
        </is>
      </c>
      <c r="D223" s="2" t="inlineStr">
        <is>
          <t>ornament</t>
        </is>
      </c>
      <c r="E223" s="2" t="inlineStr">
        <is>
          <t>饰品</t>
        </is>
      </c>
      <c r="F223" s="2" t="inlineStr">
        <is>
          <t>equip_ornament</t>
        </is>
      </c>
      <c r="G223" s="2" t="inlineStr">
        <is>
          <t>purple</t>
        </is>
      </c>
      <c r="H223" s="2" t="inlineStr">
        <is>
          <t>史诗/紫</t>
        </is>
      </c>
      <c r="I223" s="2" t="inlineStr"/>
      <c r="J223" s="3" t="inlineStr"/>
      <c r="K223" s="3" t="inlineStr">
        <is>
          <t>传说是太上老君炼丹所用的葫芦，内里自成天地。</t>
        </is>
      </c>
      <c r="L223" s="4" t="n">
        <v>16000</v>
      </c>
      <c r="M223" s="4" t="n">
        <v>150</v>
      </c>
      <c r="N223" s="2" t="inlineStr">
        <is>
          <t>是</t>
        </is>
      </c>
      <c r="O223" s="4" t="n">
        <v>225</v>
      </c>
      <c r="P223" s="4" t="n">
        <v>20</v>
      </c>
      <c r="Q223" s="4" t="n">
        <v>0</v>
      </c>
      <c r="R223" s="4" t="n">
        <v>37</v>
      </c>
      <c r="S223" s="4" t="n">
        <v>0</v>
      </c>
      <c r="T223" s="4" t="n">
        <v>0</v>
      </c>
      <c r="U223" s="4" t="n">
        <v>0</v>
      </c>
      <c r="V223" s="5">
        <f>SUM(O223:U223)</f>
        <v/>
      </c>
      <c r="W223" s="6">
        <f>O223*'强度系数说明'!$B$7+P223*'强度系数说明'!$B$8+Q223*'强度系数说明'!$B$9+R223*'强度系数说明'!$B$10+S223*'强度系数说明'!$B$11+T223*'强度系数说明'!$B$12+U223*'强度系数说明'!$B$13</f>
        <v/>
      </c>
      <c r="X223" s="7">
        <f>SUMPRODUCT((O223:U223&gt;0)*O223:U223)</f>
        <v/>
      </c>
      <c r="Y223" s="2" t="inlineStr">
        <is>
          <t>否</t>
        </is>
      </c>
      <c r="Z223" s="2" t="inlineStr"/>
      <c r="AA223" s="4" t="inlineStr"/>
      <c r="AB223" s="4" t="inlineStr"/>
      <c r="AC223" s="3" t="inlineStr"/>
      <c r="AD223" s="3" t="inlineStr"/>
      <c r="AE223" s="3" t="inlineStr">
        <is>
          <t>{"defense":20,"hp":225,"intellect":37}</t>
        </is>
      </c>
      <c r="AF223" s="3" t="inlineStr">
        <is>
          <t>data/item_templates.yaml:L6297</t>
        </is>
      </c>
    </row>
    <row r="224">
      <c r="A224" s="2" t="n">
        <v>223</v>
      </c>
      <c r="B224" s="2" t="inlineStr">
        <is>
          <t>equip_tianyinguqin</t>
        </is>
      </c>
      <c r="C224" s="2" t="inlineStr">
        <is>
          <t>天音古琴</t>
        </is>
      </c>
      <c r="D224" s="2" t="inlineStr">
        <is>
          <t>ornament</t>
        </is>
      </c>
      <c r="E224" s="2" t="inlineStr">
        <is>
          <t>饰品</t>
        </is>
      </c>
      <c r="F224" s="2" t="inlineStr">
        <is>
          <t>equip_ornament</t>
        </is>
      </c>
      <c r="G224" s="2" t="inlineStr">
        <is>
          <t>purple</t>
        </is>
      </c>
      <c r="H224" s="2" t="inlineStr">
        <is>
          <t>史诗/紫</t>
        </is>
      </c>
      <c r="I224" s="2" t="inlineStr"/>
      <c r="J224" s="3" t="inlineStr"/>
      <c r="K224" s="3" t="inlineStr">
        <is>
          <t>伏羲以梧桐木斫制的古琴，琴弦为凤凰尾羽所化。</t>
        </is>
      </c>
      <c r="L224" s="4" t="n">
        <v>16000</v>
      </c>
      <c r="M224" s="4" t="n">
        <v>150</v>
      </c>
      <c r="N224" s="2" t="inlineStr">
        <is>
          <t>是</t>
        </is>
      </c>
      <c r="O224" s="4" t="n">
        <v>300</v>
      </c>
      <c r="P224" s="4" t="n">
        <v>0</v>
      </c>
      <c r="Q224" s="4" t="n">
        <v>0</v>
      </c>
      <c r="R224" s="4" t="n">
        <v>40</v>
      </c>
      <c r="S224" s="4" t="n">
        <v>0</v>
      </c>
      <c r="T224" s="4" t="n">
        <v>17</v>
      </c>
      <c r="U224" s="4" t="n">
        <v>0</v>
      </c>
      <c r="V224" s="5">
        <f>SUM(O224:U224)</f>
        <v/>
      </c>
      <c r="W224" s="6">
        <f>O224*'强度系数说明'!$B$7+P224*'强度系数说明'!$B$8+Q224*'强度系数说明'!$B$9+R224*'强度系数说明'!$B$10+S224*'强度系数说明'!$B$11+T224*'强度系数说明'!$B$12+U224*'强度系数说明'!$B$13</f>
        <v/>
      </c>
      <c r="X224" s="7">
        <f>SUMPRODUCT((O224:U224&gt;0)*O224:U224)</f>
        <v/>
      </c>
      <c r="Y224" s="2" t="inlineStr">
        <is>
          <t>否</t>
        </is>
      </c>
      <c r="Z224" s="2" t="inlineStr"/>
      <c r="AA224" s="4" t="inlineStr"/>
      <c r="AB224" s="4" t="inlineStr"/>
      <c r="AC224" s="3" t="inlineStr"/>
      <c r="AD224" s="3" t="inlineStr"/>
      <c r="AE224" s="3" t="inlineStr">
        <is>
          <t>{"hp":300,"intellect":40,"luck":17}</t>
        </is>
      </c>
      <c r="AF224" s="3" t="inlineStr">
        <is>
          <t>data/item_templates.yaml:L6311</t>
        </is>
      </c>
    </row>
    <row r="225">
      <c r="A225" s="2" t="n">
        <v>224</v>
      </c>
      <c r="B225" s="2" t="inlineStr">
        <is>
          <t>equip_xuanmingdeng</t>
        </is>
      </c>
      <c r="C225" s="2" t="inlineStr">
        <is>
          <t>玄冥灯</t>
        </is>
      </c>
      <c r="D225" s="2" t="inlineStr">
        <is>
          <t>ornament</t>
        </is>
      </c>
      <c r="E225" s="2" t="inlineStr">
        <is>
          <t>饰品</t>
        </is>
      </c>
      <c r="F225" s="2" t="inlineStr">
        <is>
          <t>equip_ornament</t>
        </is>
      </c>
      <c r="G225" s="2" t="inlineStr">
        <is>
          <t>purple</t>
        </is>
      </c>
      <c r="H225" s="2" t="inlineStr">
        <is>
          <t>史诗/紫</t>
        </is>
      </c>
      <c r="I225" s="2" t="inlineStr"/>
      <c r="J225" s="3" t="inlineStr"/>
      <c r="K225" s="3" t="inlineStr">
        <is>
          <t>传说是冥府判官的引魂灯，灯火永不熄灭。</t>
        </is>
      </c>
      <c r="L225" s="4" t="n">
        <v>16000</v>
      </c>
      <c r="M225" s="4" t="n">
        <v>150</v>
      </c>
      <c r="N225" s="2" t="inlineStr">
        <is>
          <t>是</t>
        </is>
      </c>
      <c r="O225" s="4" t="n">
        <v>256</v>
      </c>
      <c r="P225" s="4" t="n">
        <v>13</v>
      </c>
      <c r="Q225" s="4" t="n">
        <v>0</v>
      </c>
      <c r="R225" s="4" t="n">
        <v>43</v>
      </c>
      <c r="S225" s="4" t="n">
        <v>0</v>
      </c>
      <c r="T225" s="4" t="n">
        <v>4</v>
      </c>
      <c r="U225" s="4" t="n">
        <v>0</v>
      </c>
      <c r="V225" s="5">
        <f>SUM(O225:U225)</f>
        <v/>
      </c>
      <c r="W225" s="6">
        <f>O225*'强度系数说明'!$B$7+P225*'强度系数说明'!$B$8+Q225*'强度系数说明'!$B$9+R225*'强度系数说明'!$B$10+S225*'强度系数说明'!$B$11+T225*'强度系数说明'!$B$12+U225*'强度系数说明'!$B$13</f>
        <v/>
      </c>
      <c r="X225" s="7">
        <f>SUMPRODUCT((O225:U225&gt;0)*O225:U225)</f>
        <v/>
      </c>
      <c r="Y225" s="2" t="inlineStr">
        <is>
          <t>否</t>
        </is>
      </c>
      <c r="Z225" s="2" t="inlineStr"/>
      <c r="AA225" s="4" t="inlineStr"/>
      <c r="AB225" s="4" t="inlineStr"/>
      <c r="AC225" s="3" t="inlineStr"/>
      <c r="AD225" s="3" t="inlineStr"/>
      <c r="AE225" s="3" t="inlineStr">
        <is>
          <t>{"defense":13,"hp":256,"intellect":43,"luck":4}</t>
        </is>
      </c>
      <c r="AF225" s="3" t="inlineStr">
        <is>
          <t>data/item_templates.yaml:L6325</t>
        </is>
      </c>
    </row>
    <row r="226">
      <c r="A226" s="2" t="n">
        <v>225</v>
      </c>
      <c r="B226" s="2" t="inlineStr">
        <is>
          <t>equip_jiguanxiong</t>
        </is>
      </c>
      <c r="C226" s="2" t="inlineStr">
        <is>
          <t>机关熊</t>
        </is>
      </c>
      <c r="D226" s="2" t="inlineStr">
        <is>
          <t>device</t>
        </is>
      </c>
      <c r="E226" s="2" t="inlineStr">
        <is>
          <t>器械</t>
        </is>
      </c>
      <c r="F226" s="2" t="inlineStr">
        <is>
          <t>equip_device</t>
        </is>
      </c>
      <c r="G226" s="2" t="inlineStr">
        <is>
          <t>purple</t>
        </is>
      </c>
      <c r="H226" s="2" t="inlineStr">
        <is>
          <t>史诗/紫</t>
        </is>
      </c>
      <c r="I226" s="2" t="inlineStr"/>
      <c r="J226" s="3" t="inlineStr"/>
      <c r="K226" s="3" t="inlineStr">
        <is>
          <t>蜀中工匠依照山中黑熊制作，内藏齿轮发条，力大无穷。</t>
        </is>
      </c>
      <c r="L226" s="4" t="n">
        <v>16000</v>
      </c>
      <c r="M226" s="4" t="n">
        <v>150</v>
      </c>
      <c r="N226" s="2" t="inlineStr">
        <is>
          <t>是</t>
        </is>
      </c>
      <c r="O226" s="4" t="n">
        <v>800</v>
      </c>
      <c r="P226" s="4" t="n">
        <v>15</v>
      </c>
      <c r="Q226" s="4" t="n">
        <v>45</v>
      </c>
      <c r="R226" s="4" t="n">
        <v>0</v>
      </c>
      <c r="S226" s="4" t="n">
        <v>0</v>
      </c>
      <c r="T226" s="4" t="n">
        <v>0</v>
      </c>
      <c r="U226" s="4" t="n">
        <v>0</v>
      </c>
      <c r="V226" s="5">
        <f>SUM(O226:U226)</f>
        <v/>
      </c>
      <c r="W226" s="6">
        <f>O226*'强度系数说明'!$B$7+P226*'强度系数说明'!$B$8+Q226*'强度系数说明'!$B$9+R226*'强度系数说明'!$B$10+S226*'强度系数说明'!$B$11+T226*'强度系数说明'!$B$12+U226*'强度系数说明'!$B$13</f>
        <v/>
      </c>
      <c r="X226" s="7">
        <f>SUMPRODUCT((O226:U226&gt;0)*O226:U226)</f>
        <v/>
      </c>
      <c r="Y226" s="2" t="inlineStr">
        <is>
          <t>否</t>
        </is>
      </c>
      <c r="Z226" s="2" t="inlineStr"/>
      <c r="AA226" s="4" t="inlineStr"/>
      <c r="AB226" s="4" t="inlineStr"/>
      <c r="AC226" s="3" t="inlineStr"/>
      <c r="AD226" s="3" t="inlineStr"/>
      <c r="AE226" s="3" t="inlineStr">
        <is>
          <t>{"defense":15,"force":45,"hp":800}</t>
        </is>
      </c>
      <c r="AF226" s="3" t="inlineStr">
        <is>
          <t>data/item_templates.yaml:L6340</t>
        </is>
      </c>
    </row>
    <row r="227">
      <c r="A227" s="2" t="n">
        <v>226</v>
      </c>
      <c r="B227" s="2" t="inlineStr">
        <is>
          <t>equip_muniuliuma</t>
        </is>
      </c>
      <c r="C227" s="2" t="inlineStr">
        <is>
          <t>木牛流马</t>
        </is>
      </c>
      <c r="D227" s="2" t="inlineStr">
        <is>
          <t>device</t>
        </is>
      </c>
      <c r="E227" s="2" t="inlineStr">
        <is>
          <t>器械</t>
        </is>
      </c>
      <c r="F227" s="2" t="inlineStr">
        <is>
          <t>equip_device</t>
        </is>
      </c>
      <c r="G227" s="2" t="inlineStr">
        <is>
          <t>purple</t>
        </is>
      </c>
      <c r="H227" s="2" t="inlineStr">
        <is>
          <t>史诗/紫</t>
        </is>
      </c>
      <c r="I227" s="2" t="inlineStr"/>
      <c r="J227" s="3" t="inlineStr"/>
      <c r="K227" s="3" t="inlineStr">
        <is>
          <t>诸葛武侯北伐时所创，不食草料而能行走，曾运粮于蜀道险峻之处。</t>
        </is>
      </c>
      <c r="L227" s="4" t="n">
        <v>16000</v>
      </c>
      <c r="M227" s="4" t="n">
        <v>150</v>
      </c>
      <c r="N227" s="2" t="inlineStr">
        <is>
          <t>是</t>
        </is>
      </c>
      <c r="O227" s="4" t="n">
        <v>300</v>
      </c>
      <c r="P227" s="4" t="n">
        <v>0</v>
      </c>
      <c r="Q227" s="4" t="n">
        <v>0</v>
      </c>
      <c r="R227" s="4" t="n">
        <v>34</v>
      </c>
      <c r="S227" s="4" t="n">
        <v>13</v>
      </c>
      <c r="T227" s="4" t="n">
        <v>11</v>
      </c>
      <c r="U227" s="4" t="n">
        <v>0</v>
      </c>
      <c r="V227" s="5">
        <f>SUM(O227:U227)</f>
        <v/>
      </c>
      <c r="W227" s="6">
        <f>O227*'强度系数说明'!$B$7+P227*'强度系数说明'!$B$8+Q227*'强度系数说明'!$B$9+R227*'强度系数说明'!$B$10+S227*'强度系数说明'!$B$11+T227*'强度系数说明'!$B$12+U227*'强度系数说明'!$B$13</f>
        <v/>
      </c>
      <c r="X227" s="7">
        <f>SUMPRODUCT((O227:U227&gt;0)*O227:U227)</f>
        <v/>
      </c>
      <c r="Y227" s="2" t="inlineStr">
        <is>
          <t>否</t>
        </is>
      </c>
      <c r="Z227" s="2" t="inlineStr"/>
      <c r="AA227" s="4" t="inlineStr"/>
      <c r="AB227" s="4" t="inlineStr"/>
      <c r="AC227" s="3" t="inlineStr"/>
      <c r="AD227" s="3" t="inlineStr"/>
      <c r="AE227" s="3" t="inlineStr">
        <is>
          <t>{"agility":13,"hp":300,"intellect":34,"luck":11}</t>
        </is>
      </c>
      <c r="AF227" s="3" t="inlineStr">
        <is>
          <t>data/item_templates.yaml:L6354</t>
        </is>
      </c>
    </row>
    <row r="228">
      <c r="A228" s="2" t="n">
        <v>227</v>
      </c>
      <c r="B228" s="2" t="inlineStr">
        <is>
          <t>equip_kuileiren</t>
        </is>
      </c>
      <c r="C228" s="2" t="inlineStr">
        <is>
          <t>傀儡人</t>
        </is>
      </c>
      <c r="D228" s="2" t="inlineStr">
        <is>
          <t>device</t>
        </is>
      </c>
      <c r="E228" s="2" t="inlineStr">
        <is>
          <t>器械</t>
        </is>
      </c>
      <c r="F228" s="2" t="inlineStr">
        <is>
          <t>equip_device</t>
        </is>
      </c>
      <c r="G228" s="2" t="inlineStr">
        <is>
          <t>purple</t>
        </is>
      </c>
      <c r="H228" s="2" t="inlineStr">
        <is>
          <t>史诗/紫</t>
        </is>
      </c>
      <c r="I228" s="2" t="inlineStr"/>
      <c r="J228" s="3" t="inlineStr"/>
      <c r="K228" s="3" t="inlineStr">
        <is>
          <t>机关傀儡人，内藏机括与符纹，可攻可守，行止如生。</t>
        </is>
      </c>
      <c r="L228" s="4" t="n">
        <v>16000</v>
      </c>
      <c r="M228" s="4" t="n">
        <v>150</v>
      </c>
      <c r="N228" s="2" t="inlineStr">
        <is>
          <t>是</t>
        </is>
      </c>
      <c r="O228" s="4" t="n">
        <v>179</v>
      </c>
      <c r="P228" s="4" t="n">
        <v>10</v>
      </c>
      <c r="Q228" s="4" t="n">
        <v>0</v>
      </c>
      <c r="R228" s="4" t="n">
        <v>37</v>
      </c>
      <c r="S228" s="4" t="n">
        <v>13</v>
      </c>
      <c r="T228" s="4" t="n">
        <v>0</v>
      </c>
      <c r="U228" s="4" t="n">
        <v>0</v>
      </c>
      <c r="V228" s="5">
        <f>SUM(O228:U228)</f>
        <v/>
      </c>
      <c r="W228" s="6">
        <f>O228*'强度系数说明'!$B$7+P228*'强度系数说明'!$B$8+Q228*'强度系数说明'!$B$9+R228*'强度系数说明'!$B$10+S228*'强度系数说明'!$B$11+T228*'强度系数说明'!$B$12+U228*'强度系数说明'!$B$13</f>
        <v/>
      </c>
      <c r="X228" s="7">
        <f>SUMPRODUCT((O228:U228&gt;0)*O228:U228)</f>
        <v/>
      </c>
      <c r="Y228" s="2" t="inlineStr">
        <is>
          <t>否</t>
        </is>
      </c>
      <c r="Z228" s="2" t="inlineStr"/>
      <c r="AA228" s="4" t="inlineStr"/>
      <c r="AB228" s="4" t="inlineStr"/>
      <c r="AC228" s="3" t="inlineStr"/>
      <c r="AD228" s="3" t="inlineStr"/>
      <c r="AE228" s="3" t="inlineStr">
        <is>
          <t>{"agility":13,"defense":10,"hp":179,"intellect":37}</t>
        </is>
      </c>
      <c r="AF228" s="3" t="inlineStr">
        <is>
          <t>data/item_templates.yaml:L6369</t>
        </is>
      </c>
    </row>
    <row r="229">
      <c r="A229" s="2" t="n">
        <v>228</v>
      </c>
      <c r="B229" s="2" t="inlineStr">
        <is>
          <t>equip_xuanwujigui</t>
        </is>
      </c>
      <c r="C229" s="2" t="inlineStr">
        <is>
          <t>玄武机龟</t>
        </is>
      </c>
      <c r="D229" s="2" t="inlineStr">
        <is>
          <t>device</t>
        </is>
      </c>
      <c r="E229" s="2" t="inlineStr">
        <is>
          <t>器械</t>
        </is>
      </c>
      <c r="F229" s="2" t="inlineStr">
        <is>
          <t>equip_device</t>
        </is>
      </c>
      <c r="G229" s="2" t="inlineStr">
        <is>
          <t>purple</t>
        </is>
      </c>
      <c r="H229" s="2" t="inlineStr">
        <is>
          <t>史诗/紫</t>
        </is>
      </c>
      <c r="I229" s="2" t="inlineStr"/>
      <c r="J229" s="3" t="inlineStr"/>
      <c r="K229" s="3" t="inlineStr">
        <is>
          <t>以玄武为形的机关造物，龟壳刻有北方星宿图，据说可镇一方水土。</t>
        </is>
      </c>
      <c r="L229" s="4" t="n">
        <v>16000</v>
      </c>
      <c r="M229" s="4" t="n">
        <v>150</v>
      </c>
      <c r="N229" s="2" t="inlineStr">
        <is>
          <t>是</t>
        </is>
      </c>
      <c r="O229" s="4" t="n">
        <v>800</v>
      </c>
      <c r="P229" s="4" t="n">
        <v>45</v>
      </c>
      <c r="Q229" s="4" t="n">
        <v>0</v>
      </c>
      <c r="R229" s="4" t="n">
        <v>0</v>
      </c>
      <c r="S229" s="4" t="n">
        <v>0</v>
      </c>
      <c r="T229" s="4" t="n">
        <v>15</v>
      </c>
      <c r="U229" s="4" t="n">
        <v>0</v>
      </c>
      <c r="V229" s="5">
        <f>SUM(O229:U229)</f>
        <v/>
      </c>
      <c r="W229" s="6">
        <f>O229*'强度系数说明'!$B$7+P229*'强度系数说明'!$B$8+Q229*'强度系数说明'!$B$9+R229*'强度系数说明'!$B$10+S229*'强度系数说明'!$B$11+T229*'强度系数说明'!$B$12+U229*'强度系数说明'!$B$13</f>
        <v/>
      </c>
      <c r="X229" s="7">
        <f>SUMPRODUCT((O229:U229&gt;0)*O229:U229)</f>
        <v/>
      </c>
      <c r="Y229" s="2" t="inlineStr">
        <is>
          <t>否</t>
        </is>
      </c>
      <c r="Z229" s="2" t="inlineStr"/>
      <c r="AA229" s="4" t="inlineStr"/>
      <c r="AB229" s="4" t="inlineStr"/>
      <c r="AC229" s="3" t="inlineStr"/>
      <c r="AD229" s="3" t="inlineStr"/>
      <c r="AE229" s="3" t="inlineStr">
        <is>
          <t>{"defense":45,"hp":800,"luck":15}</t>
        </is>
      </c>
      <c r="AF229" s="3" t="inlineStr">
        <is>
          <t>data/item_templates.yaml:L6384</t>
        </is>
      </c>
    </row>
    <row r="230">
      <c r="A230" s="2" t="n">
        <v>229</v>
      </c>
      <c r="B230" s="2" t="inlineStr">
        <is>
          <t>equip_fengshenbang</t>
        </is>
      </c>
      <c r="C230" s="2" t="inlineStr">
        <is>
          <t>封神榜</t>
        </is>
      </c>
      <c r="D230" s="2" t="inlineStr">
        <is>
          <t>ornament</t>
        </is>
      </c>
      <c r="E230" s="2" t="inlineStr">
        <is>
          <t>饰品</t>
        </is>
      </c>
      <c r="F230" s="2" t="inlineStr">
        <is>
          <t>equip_ornament</t>
        </is>
      </c>
      <c r="G230" s="2" t="inlineStr">
        <is>
          <t>orange</t>
        </is>
      </c>
      <c r="H230" s="2" t="inlineStr">
        <is>
          <t>传说/橙</t>
        </is>
      </c>
      <c r="I230" s="2" t="inlineStr"/>
      <c r="J230" s="3" t="inlineStr"/>
      <c r="K230" s="3" t="inlineStr">
        <is>
          <t>姜子牙封神时所用的天书，记载三百六十五位正神之名。</t>
        </is>
      </c>
      <c r="L230" s="4" t="n">
        <v>52000</v>
      </c>
      <c r="M230" s="4" t="n">
        <v>200</v>
      </c>
      <c r="N230" s="2" t="inlineStr">
        <is>
          <t>是</t>
        </is>
      </c>
      <c r="O230" s="4" t="n">
        <v>350</v>
      </c>
      <c r="P230" s="4" t="n">
        <v>5</v>
      </c>
      <c r="Q230" s="4" t="n">
        <v>0</v>
      </c>
      <c r="R230" s="4" t="n">
        <v>45</v>
      </c>
      <c r="S230" s="4" t="n">
        <v>0</v>
      </c>
      <c r="T230" s="4" t="n">
        <v>20</v>
      </c>
      <c r="U230" s="4" t="n">
        <v>0</v>
      </c>
      <c r="V230" s="5">
        <f>SUM(O230:U230)</f>
        <v/>
      </c>
      <c r="W230" s="6">
        <f>O230*'强度系数说明'!$B$7+P230*'强度系数说明'!$B$8+Q230*'强度系数说明'!$B$9+R230*'强度系数说明'!$B$10+S230*'强度系数说明'!$B$11+T230*'强度系数说明'!$B$12+U230*'强度系数说明'!$B$13</f>
        <v/>
      </c>
      <c r="X230" s="7">
        <f>SUMPRODUCT((O230:U230&gt;0)*O230:U230)</f>
        <v/>
      </c>
      <c r="Y230" s="2" t="inlineStr">
        <is>
          <t>否</t>
        </is>
      </c>
      <c r="Z230" s="2" t="inlineStr"/>
      <c r="AA230" s="4" t="inlineStr"/>
      <c r="AB230" s="4" t="inlineStr"/>
      <c r="AC230" s="3" t="inlineStr"/>
      <c r="AD230" s="3" t="inlineStr"/>
      <c r="AE230" s="3" t="inlineStr">
        <is>
          <t>{"defense":5,"hp":350,"intellect":45,"luck":20}</t>
        </is>
      </c>
      <c r="AF230" s="3" t="inlineStr">
        <is>
          <t>data/item_templates.yaml:L6400</t>
        </is>
      </c>
    </row>
    <row r="231">
      <c r="A231" s="2" t="n">
        <v>230</v>
      </c>
      <c r="B231" s="2" t="inlineStr">
        <is>
          <t>equip_shanheshejitu</t>
        </is>
      </c>
      <c r="C231" s="2" t="inlineStr">
        <is>
          <t>山河社稷图</t>
        </is>
      </c>
      <c r="D231" s="2" t="inlineStr">
        <is>
          <t>ornament</t>
        </is>
      </c>
      <c r="E231" s="2" t="inlineStr">
        <is>
          <t>饰品</t>
        </is>
      </c>
      <c r="F231" s="2" t="inlineStr">
        <is>
          <t>equip_ornament</t>
        </is>
      </c>
      <c r="G231" s="2" t="inlineStr">
        <is>
          <t>orange</t>
        </is>
      </c>
      <c r="H231" s="2" t="inlineStr">
        <is>
          <t>传说/橙</t>
        </is>
      </c>
      <c r="I231" s="2" t="inlineStr"/>
      <c r="J231" s="3" t="inlineStr"/>
      <c r="K231" s="3" t="inlineStr">
        <is>
          <t>女娲娘娘的至宝，图中自成一界，山川河流一应俱全。</t>
        </is>
      </c>
      <c r="L231" s="4" t="n">
        <v>52000</v>
      </c>
      <c r="M231" s="4" t="n">
        <v>200</v>
      </c>
      <c r="N231" s="2" t="inlineStr">
        <is>
          <t>是</t>
        </is>
      </c>
      <c r="O231" s="4" t="n">
        <v>350</v>
      </c>
      <c r="P231" s="4" t="n">
        <v>0</v>
      </c>
      <c r="Q231" s="4" t="n">
        <v>0</v>
      </c>
      <c r="R231" s="4" t="n">
        <v>45</v>
      </c>
      <c r="S231" s="4" t="n">
        <v>15</v>
      </c>
      <c r="T231" s="4" t="n">
        <v>10</v>
      </c>
      <c r="U231" s="4" t="n">
        <v>0</v>
      </c>
      <c r="V231" s="5">
        <f>SUM(O231:U231)</f>
        <v/>
      </c>
      <c r="W231" s="6">
        <f>O231*'强度系数说明'!$B$7+P231*'强度系数说明'!$B$8+Q231*'强度系数说明'!$B$9+R231*'强度系数说明'!$B$10+S231*'强度系数说明'!$B$11+T231*'强度系数说明'!$B$12+U231*'强度系数说明'!$B$13</f>
        <v/>
      </c>
      <c r="X231" s="7">
        <f>SUMPRODUCT((O231:U231&gt;0)*O231:U231)</f>
        <v/>
      </c>
      <c r="Y231" s="2" t="inlineStr">
        <is>
          <t>否</t>
        </is>
      </c>
      <c r="Z231" s="2" t="inlineStr"/>
      <c r="AA231" s="4" t="inlineStr"/>
      <c r="AB231" s="4" t="inlineStr"/>
      <c r="AC231" s="3" t="inlineStr"/>
      <c r="AD231" s="3" t="inlineStr"/>
      <c r="AE231" s="3" t="inlineStr">
        <is>
          <t>{"agility":15,"hp":350,"intellect":45,"luck":10}</t>
        </is>
      </c>
      <c r="AF231" s="3" t="inlineStr">
        <is>
          <t>data/item_templates.yaml:L6415</t>
        </is>
      </c>
    </row>
    <row r="232">
      <c r="A232" s="2" t="n">
        <v>231</v>
      </c>
      <c r="B232" s="2" t="inlineStr">
        <is>
          <t>equip_zhoutianxingpan</t>
        </is>
      </c>
      <c r="C232" s="2" t="inlineStr">
        <is>
          <t>周天星盘</t>
        </is>
      </c>
      <c r="D232" s="2" t="inlineStr">
        <is>
          <t>ornament</t>
        </is>
      </c>
      <c r="E232" s="2" t="inlineStr">
        <is>
          <t>饰品</t>
        </is>
      </c>
      <c r="F232" s="2" t="inlineStr">
        <is>
          <t>equip_ornament</t>
        </is>
      </c>
      <c r="G232" s="2" t="inlineStr">
        <is>
          <t>orange</t>
        </is>
      </c>
      <c r="H232" s="2" t="inlineStr">
        <is>
          <t>传说/橙</t>
        </is>
      </c>
      <c r="I232" s="2" t="inlineStr"/>
      <c r="J232" s="3" t="inlineStr"/>
      <c r="K232" s="3" t="inlineStr">
        <is>
          <t>周天星象凝聚的星盘，可推演命数与气运走向。</t>
        </is>
      </c>
      <c r="L232" s="4" t="n">
        <v>52000</v>
      </c>
      <c r="M232" s="4" t="n">
        <v>200</v>
      </c>
      <c r="N232" s="2" t="inlineStr">
        <is>
          <t>是</t>
        </is>
      </c>
      <c r="O232" s="4" t="n">
        <v>0</v>
      </c>
      <c r="P232" s="4" t="n">
        <v>30</v>
      </c>
      <c r="Q232" s="4" t="n">
        <v>0</v>
      </c>
      <c r="R232" s="4" t="n">
        <v>0</v>
      </c>
      <c r="S232" s="4" t="n">
        <v>10</v>
      </c>
      <c r="T232" s="4" t="n">
        <v>30</v>
      </c>
      <c r="U232" s="4" t="n">
        <v>0</v>
      </c>
      <c r="V232" s="5">
        <f>SUM(O232:U232)</f>
        <v/>
      </c>
      <c r="W232" s="6">
        <f>O232*'强度系数说明'!$B$7+P232*'强度系数说明'!$B$8+Q232*'强度系数说明'!$B$9+R232*'强度系数说明'!$B$10+S232*'强度系数说明'!$B$11+T232*'强度系数说明'!$B$12+U232*'强度系数说明'!$B$13</f>
        <v/>
      </c>
      <c r="X232" s="7">
        <f>SUMPRODUCT((O232:U232&gt;0)*O232:U232)</f>
        <v/>
      </c>
      <c r="Y232" s="2" t="inlineStr">
        <is>
          <t>否</t>
        </is>
      </c>
      <c r="Z232" s="2" t="inlineStr"/>
      <c r="AA232" s="4" t="inlineStr"/>
      <c r="AB232" s="4" t="inlineStr"/>
      <c r="AC232" s="3" t="inlineStr"/>
      <c r="AD232" s="3" t="inlineStr"/>
      <c r="AE232" s="3" t="inlineStr">
        <is>
          <t>{"agility":10,"defense":30,"luck":30}</t>
        </is>
      </c>
      <c r="AF232" s="3" t="inlineStr">
        <is>
          <t>data/item_templates.yaml:L6430</t>
        </is>
      </c>
    </row>
    <row r="233">
      <c r="A233" s="2" t="n">
        <v>232</v>
      </c>
      <c r="B233" s="2" t="inlineStr">
        <is>
          <t>equip_taiqingyuce</t>
        </is>
      </c>
      <c r="C233" s="2" t="inlineStr">
        <is>
          <t>太清玉册</t>
        </is>
      </c>
      <c r="D233" s="2" t="inlineStr">
        <is>
          <t>ornament</t>
        </is>
      </c>
      <c r="E233" s="2" t="inlineStr">
        <is>
          <t>饰品</t>
        </is>
      </c>
      <c r="F233" s="2" t="inlineStr">
        <is>
          <t>equip_ornament</t>
        </is>
      </c>
      <c r="G233" s="2" t="inlineStr">
        <is>
          <t>orange</t>
        </is>
      </c>
      <c r="H233" s="2" t="inlineStr">
        <is>
          <t>传说/橙</t>
        </is>
      </c>
      <c r="I233" s="2" t="inlineStr"/>
      <c r="J233" s="3" t="inlineStr"/>
      <c r="K233" s="3" t="inlineStr">
        <is>
          <t>太上老君亲书的道藏精要，以白玉为简，金粉为墨。</t>
        </is>
      </c>
      <c r="L233" s="4" t="n">
        <v>52000</v>
      </c>
      <c r="M233" s="4" t="n">
        <v>200</v>
      </c>
      <c r="N233" s="2" t="inlineStr">
        <is>
          <t>是</t>
        </is>
      </c>
      <c r="O233" s="4" t="n">
        <v>500</v>
      </c>
      <c r="P233" s="4" t="n">
        <v>0</v>
      </c>
      <c r="Q233" s="4" t="n">
        <v>0</v>
      </c>
      <c r="R233" s="4" t="n">
        <v>47</v>
      </c>
      <c r="S233" s="4" t="n">
        <v>0</v>
      </c>
      <c r="T233" s="4" t="n">
        <v>16</v>
      </c>
      <c r="U233" s="4" t="n">
        <v>0</v>
      </c>
      <c r="V233" s="5">
        <f>SUM(O233:U233)</f>
        <v/>
      </c>
      <c r="W233" s="6">
        <f>O233*'强度系数说明'!$B$7+P233*'强度系数说明'!$B$8+Q233*'强度系数说明'!$B$9+R233*'强度系数说明'!$B$10+S233*'强度系数说明'!$B$11+T233*'强度系数说明'!$B$12+U233*'强度系数说明'!$B$13</f>
        <v/>
      </c>
      <c r="X233" s="7">
        <f>SUMPRODUCT((O233:U233&gt;0)*O233:U233)</f>
        <v/>
      </c>
      <c r="Y233" s="2" t="inlineStr">
        <is>
          <t>否</t>
        </is>
      </c>
      <c r="Z233" s="2" t="inlineStr"/>
      <c r="AA233" s="4" t="inlineStr"/>
      <c r="AB233" s="4" t="inlineStr"/>
      <c r="AC233" s="3" t="inlineStr"/>
      <c r="AD233" s="3" t="inlineStr"/>
      <c r="AE233" s="3" t="inlineStr">
        <is>
          <t>{"hp":500,"intellect":47,"luck":16}</t>
        </is>
      </c>
      <c r="AF233" s="3" t="inlineStr">
        <is>
          <t>data/item_templates.yaml:L6444</t>
        </is>
      </c>
    </row>
    <row r="234">
      <c r="A234" s="2" t="n">
        <v>233</v>
      </c>
      <c r="B234" s="2" t="inlineStr">
        <is>
          <t>equip_feiyuan</t>
        </is>
      </c>
      <c r="C234" s="2" t="inlineStr">
        <is>
          <t>飞鸢</t>
        </is>
      </c>
      <c r="D234" s="2" t="inlineStr">
        <is>
          <t>device</t>
        </is>
      </c>
      <c r="E234" s="2" t="inlineStr">
        <is>
          <t>器械</t>
        </is>
      </c>
      <c r="F234" s="2" t="inlineStr">
        <is>
          <t>equip_device</t>
        </is>
      </c>
      <c r="G234" s="2" t="inlineStr">
        <is>
          <t>orange</t>
        </is>
      </c>
      <c r="H234" s="2" t="inlineStr">
        <is>
          <t>传说/橙</t>
        </is>
      </c>
      <c r="I234" s="2" t="inlineStr"/>
      <c r="J234" s="3" t="inlineStr"/>
      <c r="K234" s="3" t="inlineStr">
        <is>
          <t>墨子削竹木为鸢，三年而成，飞三日不下，是机关术的开山之作。</t>
        </is>
      </c>
      <c r="L234" s="4" t="n">
        <v>52000</v>
      </c>
      <c r="M234" s="4" t="n">
        <v>200</v>
      </c>
      <c r="N234" s="2" t="inlineStr">
        <is>
          <t>是</t>
        </is>
      </c>
      <c r="O234" s="4" t="n">
        <v>500</v>
      </c>
      <c r="P234" s="4" t="n">
        <v>0</v>
      </c>
      <c r="Q234" s="4" t="n">
        <v>0</v>
      </c>
      <c r="R234" s="4" t="n">
        <v>40</v>
      </c>
      <c r="S234" s="4" t="n">
        <v>20</v>
      </c>
      <c r="T234" s="4" t="n">
        <v>0</v>
      </c>
      <c r="U234" s="4" t="n">
        <v>0</v>
      </c>
      <c r="V234" s="5">
        <f>SUM(O234:U234)</f>
        <v/>
      </c>
      <c r="W234" s="6">
        <f>O234*'强度系数说明'!$B$7+P234*'强度系数说明'!$B$8+Q234*'强度系数说明'!$B$9+R234*'强度系数说明'!$B$10+S234*'强度系数说明'!$B$11+T234*'强度系数说明'!$B$12+U234*'强度系数说明'!$B$13</f>
        <v/>
      </c>
      <c r="X234" s="7">
        <f>SUMPRODUCT((O234:U234&gt;0)*O234:U234)</f>
        <v/>
      </c>
      <c r="Y234" s="2" t="inlineStr">
        <is>
          <t>否</t>
        </is>
      </c>
      <c r="Z234" s="2" t="inlineStr"/>
      <c r="AA234" s="4" t="inlineStr"/>
      <c r="AB234" s="4" t="inlineStr"/>
      <c r="AC234" s="3" t="inlineStr"/>
      <c r="AD234" s="3" t="inlineStr"/>
      <c r="AE234" s="3" t="inlineStr">
        <is>
          <t>{"agility":20,"hp":500,"intellect":40}</t>
        </is>
      </c>
      <c r="AF234" s="3" t="inlineStr">
        <is>
          <t>data/item_templates.yaml:L6458</t>
        </is>
      </c>
    </row>
    <row r="235">
      <c r="A235" s="2" t="n">
        <v>234</v>
      </c>
      <c r="B235" s="2" t="inlineStr">
        <is>
          <t>equip_chixiaojifeng</t>
        </is>
      </c>
      <c r="C235" s="2" t="inlineStr">
        <is>
          <t>赤霄机凤</t>
        </is>
      </c>
      <c r="D235" s="2" t="inlineStr">
        <is>
          <t>device</t>
        </is>
      </c>
      <c r="E235" s="2" t="inlineStr">
        <is>
          <t>器械</t>
        </is>
      </c>
      <c r="F235" s="2" t="inlineStr">
        <is>
          <t>equip_device</t>
        </is>
      </c>
      <c r="G235" s="2" t="inlineStr">
        <is>
          <t>orange</t>
        </is>
      </c>
      <c r="H235" s="2" t="inlineStr">
        <is>
          <t>传说/橙</t>
        </is>
      </c>
      <c r="I235" s="2" t="inlineStr"/>
      <c r="J235" s="3" t="inlineStr"/>
      <c r="K235" s="3" t="inlineStr">
        <is>
          <t>仿南方朱雀所制的机关神兽，以赤铜为羽，展翅时灿若朝霞。</t>
        </is>
      </c>
      <c r="L235" s="4" t="n">
        <v>52000</v>
      </c>
      <c r="M235" s="4" t="n">
        <v>200</v>
      </c>
      <c r="N235" s="2" t="inlineStr">
        <is>
          <t>是</t>
        </is>
      </c>
      <c r="O235" s="4" t="n">
        <v>300</v>
      </c>
      <c r="P235" s="4" t="n">
        <v>0</v>
      </c>
      <c r="Q235" s="4" t="n">
        <v>45</v>
      </c>
      <c r="R235" s="4" t="n">
        <v>0</v>
      </c>
      <c r="S235" s="4" t="n">
        <v>35</v>
      </c>
      <c r="T235" s="4" t="n">
        <v>10</v>
      </c>
      <c r="U235" s="4" t="n">
        <v>0</v>
      </c>
      <c r="V235" s="5">
        <f>SUM(O235:U235)</f>
        <v/>
      </c>
      <c r="W235" s="6">
        <f>O235*'强度系数说明'!$B$7+P235*'强度系数说明'!$B$8+Q235*'强度系数说明'!$B$9+R235*'强度系数说明'!$B$10+S235*'强度系数说明'!$B$11+T235*'强度系数说明'!$B$12+U235*'强度系数说明'!$B$13</f>
        <v/>
      </c>
      <c r="X235" s="7">
        <f>SUMPRODUCT((O235:U235&gt;0)*O235:U235)</f>
        <v/>
      </c>
      <c r="Y235" s="2" t="inlineStr">
        <is>
          <t>否</t>
        </is>
      </c>
      <c r="Z235" s="2" t="inlineStr"/>
      <c r="AA235" s="4" t="inlineStr"/>
      <c r="AB235" s="4" t="inlineStr"/>
      <c r="AC235" s="3" t="inlineStr"/>
      <c r="AD235" s="3" t="inlineStr"/>
      <c r="AE235" s="3" t="inlineStr">
        <is>
          <t>{"agility":35,"force":45,"hp":300,"luck":10}</t>
        </is>
      </c>
      <c r="AF235" s="3" t="inlineStr">
        <is>
          <t>data/item_templates.yaml:L6472</t>
        </is>
      </c>
    </row>
    <row r="236">
      <c r="A236" s="2" t="n">
        <v>235</v>
      </c>
      <c r="B236" s="2" t="inlineStr">
        <is>
          <t>equip_mojiajiguanren</t>
        </is>
      </c>
      <c r="C236" s="2" t="inlineStr">
        <is>
          <t>墨家机关人</t>
        </is>
      </c>
      <c r="D236" s="2" t="inlineStr">
        <is>
          <t>device</t>
        </is>
      </c>
      <c r="E236" s="2" t="inlineStr">
        <is>
          <t>器械</t>
        </is>
      </c>
      <c r="F236" s="2" t="inlineStr">
        <is>
          <t>equip_device</t>
        </is>
      </c>
      <c r="G236" s="2" t="inlineStr">
        <is>
          <t>orange</t>
        </is>
      </c>
      <c r="H236" s="2" t="inlineStr">
        <is>
          <t>传说/橙</t>
        </is>
      </c>
      <c r="I236" s="2" t="inlineStr"/>
      <c r="J236" s="3" t="inlineStr"/>
      <c r="K236" s="3" t="inlineStr">
        <is>
          <t>墨家巨子亲手打造的绝世之作，内藏百道机关，可攻可守，几近通灵。</t>
        </is>
      </c>
      <c r="L236" s="4" t="n">
        <v>52000</v>
      </c>
      <c r="M236" s="4" t="n">
        <v>200</v>
      </c>
      <c r="N236" s="2" t="inlineStr">
        <is>
          <t>是</t>
        </is>
      </c>
      <c r="O236" s="4" t="n">
        <v>800</v>
      </c>
      <c r="P236" s="4" t="n">
        <v>15</v>
      </c>
      <c r="Q236" s="4" t="n">
        <v>25</v>
      </c>
      <c r="R236" s="4" t="n">
        <v>25</v>
      </c>
      <c r="S236" s="4" t="n">
        <v>15</v>
      </c>
      <c r="T236" s="4" t="n">
        <v>10</v>
      </c>
      <c r="U236" s="4" t="n">
        <v>0</v>
      </c>
      <c r="V236" s="5">
        <f>SUM(O236:U236)</f>
        <v/>
      </c>
      <c r="W236" s="6">
        <f>O236*'强度系数说明'!$B$7+P236*'强度系数说明'!$B$8+Q236*'强度系数说明'!$B$9+R236*'强度系数说明'!$B$10+S236*'强度系数说明'!$B$11+T236*'强度系数说明'!$B$12+U236*'强度系数说明'!$B$13</f>
        <v/>
      </c>
      <c r="X236" s="7">
        <f>SUMPRODUCT((O236:U236&gt;0)*O236:U236)</f>
        <v/>
      </c>
      <c r="Y236" s="2" t="inlineStr">
        <is>
          <t>否</t>
        </is>
      </c>
      <c r="Z236" s="2" t="inlineStr"/>
      <c r="AA236" s="4" t="inlineStr"/>
      <c r="AB236" s="4" t="inlineStr"/>
      <c r="AC236" s="3" t="inlineStr"/>
      <c r="AD236" s="3" t="inlineStr"/>
      <c r="AE236" s="3" t="inlineStr">
        <is>
          <t>{"agility":15,"defense":15,"force":25,"hp":800,"intellect":25,"luck":10}</t>
        </is>
      </c>
      <c r="AF236" s="3" t="inlineStr">
        <is>
          <t>data/item_templates.yaml:L6487</t>
        </is>
      </c>
    </row>
    <row r="237">
      <c r="A237" s="2" t="n">
        <v>236</v>
      </c>
      <c r="B237" s="2" t="inlineStr">
        <is>
          <t>equip_zaohongma</t>
        </is>
      </c>
      <c r="C237" s="2" t="inlineStr">
        <is>
          <t>枣红马</t>
        </is>
      </c>
      <c r="D237" s="2" t="inlineStr">
        <is>
          <t>mount</t>
        </is>
      </c>
      <c r="E237" s="2" t="inlineStr">
        <is>
          <t>坐骑</t>
        </is>
      </c>
      <c r="F237" s="2" t="inlineStr">
        <is>
          <t>equip_mount</t>
        </is>
      </c>
      <c r="G237" s="2" t="inlineStr">
        <is>
          <t>black</t>
        </is>
      </c>
      <c r="H237" s="2" t="inlineStr">
        <is>
          <t>普通/白</t>
        </is>
      </c>
      <c r="I237" s="2" t="inlineStr"/>
      <c r="J237" s="3" t="inlineStr"/>
      <c r="K237" s="3" t="inlineStr">
        <is>
          <t>原马系统，体形高大,背脊宽厚,紫红鬃毛,四蹄粗壮，速度快且极能负重。</t>
        </is>
      </c>
      <c r="L237" s="4" t="n">
        <v>620</v>
      </c>
      <c r="M237" s="4" t="n">
        <v>75</v>
      </c>
      <c r="N237" s="2" t="inlineStr">
        <is>
          <t>是</t>
        </is>
      </c>
      <c r="O237" s="4" t="n">
        <v>50</v>
      </c>
      <c r="P237" s="4" t="n">
        <v>5</v>
      </c>
      <c r="Q237" s="4" t="n">
        <v>5</v>
      </c>
      <c r="R237" s="4" t="n">
        <v>0</v>
      </c>
      <c r="S237" s="4" t="n">
        <v>12</v>
      </c>
      <c r="T237" s="4" t="n">
        <v>0</v>
      </c>
      <c r="U237" s="4" t="n">
        <v>0</v>
      </c>
      <c r="V237" s="5">
        <f>SUM(O237:U237)</f>
        <v/>
      </c>
      <c r="W237" s="6">
        <f>O237*'强度系数说明'!$B$7+P237*'强度系数说明'!$B$8+Q237*'强度系数说明'!$B$9+R237*'强度系数说明'!$B$10+S237*'强度系数说明'!$B$11+T237*'强度系数说明'!$B$12+U237*'强度系数说明'!$B$13</f>
        <v/>
      </c>
      <c r="X237" s="7">
        <f>SUMPRODUCT((O237:U237&gt;0)*O237:U237)</f>
        <v/>
      </c>
      <c r="Y237" s="2" t="inlineStr">
        <is>
          <t>否</t>
        </is>
      </c>
      <c r="Z237" s="2" t="inlineStr"/>
      <c r="AA237" s="4" t="inlineStr"/>
      <c r="AB237" s="4" t="inlineStr"/>
      <c r="AC237" s="3" t="inlineStr"/>
      <c r="AD237" s="3" t="inlineStr"/>
      <c r="AE237" s="3" t="inlineStr">
        <is>
          <t>{"agility":12,"defense":5,"force":5,"hp":50}</t>
        </is>
      </c>
      <c r="AF237" s="3" t="inlineStr">
        <is>
          <t>data/item_templates.yaml:L6508</t>
        </is>
      </c>
    </row>
    <row r="238">
      <c r="A238" s="2" t="n">
        <v>237</v>
      </c>
      <c r="B238" s="2" t="inlineStr">
        <is>
          <t>equip_huangbiaoma</t>
        </is>
      </c>
      <c r="C238" s="2" t="inlineStr">
        <is>
          <t>黄膘马</t>
        </is>
      </c>
      <c r="D238" s="2" t="inlineStr">
        <is>
          <t>mount</t>
        </is>
      </c>
      <c r="E238" s="2" t="inlineStr">
        <is>
          <t>坐骑</t>
        </is>
      </c>
      <c r="F238" s="2" t="inlineStr">
        <is>
          <t>equip_mount</t>
        </is>
      </c>
      <c r="G238" s="2" t="inlineStr">
        <is>
          <t>black</t>
        </is>
      </c>
      <c r="H238" s="2" t="inlineStr">
        <is>
          <t>普通/白</t>
        </is>
      </c>
      <c r="I238" s="2" t="inlineStr"/>
      <c r="J238" s="3" t="inlineStr"/>
      <c r="K238" s="3" t="inlineStr">
        <is>
          <t>蒙古马系列，体形并非太高大，但四肢却有力，骨骼结实，经过调训后，在战场上临危不惧，是理想的战马。</t>
        </is>
      </c>
      <c r="L238" s="4" t="n">
        <v>975</v>
      </c>
      <c r="M238" s="4" t="n">
        <v>75</v>
      </c>
      <c r="N238" s="2" t="inlineStr">
        <is>
          <t>是</t>
        </is>
      </c>
      <c r="O238" s="4" t="n">
        <v>200</v>
      </c>
      <c r="P238" s="4" t="n">
        <v>10</v>
      </c>
      <c r="Q238" s="4" t="n">
        <v>0</v>
      </c>
      <c r="R238" s="4" t="n">
        <v>0</v>
      </c>
      <c r="S238" s="4" t="n">
        <v>15</v>
      </c>
      <c r="T238" s="4" t="n">
        <v>0</v>
      </c>
      <c r="U238" s="4" t="n">
        <v>0</v>
      </c>
      <c r="V238" s="5">
        <f>SUM(O238:U238)</f>
        <v/>
      </c>
      <c r="W238" s="6">
        <f>O238*'强度系数说明'!$B$7+P238*'强度系数说明'!$B$8+Q238*'强度系数说明'!$B$9+R238*'强度系数说明'!$B$10+S238*'强度系数说明'!$B$11+T238*'强度系数说明'!$B$12+U238*'强度系数说明'!$B$13</f>
        <v/>
      </c>
      <c r="X238" s="7">
        <f>SUMPRODUCT((O238:U238&gt;0)*O238:U238)</f>
        <v/>
      </c>
      <c r="Y238" s="2" t="inlineStr">
        <is>
          <t>否</t>
        </is>
      </c>
      <c r="Z238" s="2" t="inlineStr"/>
      <c r="AA238" s="4" t="inlineStr"/>
      <c r="AB238" s="4" t="inlineStr"/>
      <c r="AC238" s="3" t="inlineStr"/>
      <c r="AD238" s="3" t="inlineStr"/>
      <c r="AE238" s="3" t="inlineStr">
        <is>
          <t>{"agility":15,"defense":10,"hp":200}</t>
        </is>
      </c>
      <c r="AF238" s="3" t="inlineStr">
        <is>
          <t>data/item_templates.yaml:L6523</t>
        </is>
      </c>
    </row>
    <row r="239">
      <c r="A239" s="2" t="n">
        <v>238</v>
      </c>
      <c r="B239" s="2" t="inlineStr">
        <is>
          <t>equip_dawanma</t>
        </is>
      </c>
      <c r="C239" s="2" t="inlineStr">
        <is>
          <t>大宛马</t>
        </is>
      </c>
      <c r="D239" s="2" t="inlineStr">
        <is>
          <t>mount</t>
        </is>
      </c>
      <c r="E239" s="2" t="inlineStr">
        <is>
          <t>坐骑</t>
        </is>
      </c>
      <c r="F239" s="2" t="inlineStr">
        <is>
          <t>equip_mount</t>
        </is>
      </c>
      <c r="G239" s="2" t="inlineStr">
        <is>
          <t>green</t>
        </is>
      </c>
      <c r="H239" s="2" t="inlineStr">
        <is>
          <t>优良/绿</t>
        </is>
      </c>
      <c r="I239" s="2" t="inlineStr"/>
      <c r="J239" s="3" t="inlineStr"/>
      <c r="K239" s="3" t="inlineStr">
        <is>
          <t>产自中亚费尔干纳盆地的稀有马种，其纯血种也称为汗血马，耐力奇佳，但育种饲养难度极大。</t>
        </is>
      </c>
      <c r="L239" s="4" t="n">
        <v>1500</v>
      </c>
      <c r="M239" s="4" t="n">
        <v>100</v>
      </c>
      <c r="N239" s="2" t="inlineStr">
        <is>
          <t>是</t>
        </is>
      </c>
      <c r="O239" s="4" t="n">
        <v>200</v>
      </c>
      <c r="P239" s="4" t="n">
        <v>5</v>
      </c>
      <c r="Q239" s="4" t="n">
        <v>0</v>
      </c>
      <c r="R239" s="4" t="n">
        <v>0</v>
      </c>
      <c r="S239" s="4" t="n">
        <v>20</v>
      </c>
      <c r="T239" s="4" t="n">
        <v>0</v>
      </c>
      <c r="U239" s="4" t="n">
        <v>0</v>
      </c>
      <c r="V239" s="5">
        <f>SUM(O239:U239)</f>
        <v/>
      </c>
      <c r="W239" s="6">
        <f>O239*'强度系数说明'!$B$7+P239*'强度系数说明'!$B$8+Q239*'强度系数说明'!$B$9+R239*'强度系数说明'!$B$10+S239*'强度系数说明'!$B$11+T239*'强度系数说明'!$B$12+U239*'强度系数说明'!$B$13</f>
        <v/>
      </c>
      <c r="X239" s="7">
        <f>SUMPRODUCT((O239:U239&gt;0)*O239:U239)</f>
        <v/>
      </c>
      <c r="Y239" s="2" t="inlineStr">
        <is>
          <t>否</t>
        </is>
      </c>
      <c r="Z239" s="2" t="inlineStr"/>
      <c r="AA239" s="4" t="inlineStr"/>
      <c r="AB239" s="4" t="inlineStr"/>
      <c r="AC239" s="3" t="inlineStr"/>
      <c r="AD239" s="3" t="inlineStr"/>
      <c r="AE239" s="3" t="inlineStr">
        <is>
          <t>{"agility":20,"defense":5,"hp":200}</t>
        </is>
      </c>
      <c r="AF239" s="3" t="inlineStr">
        <is>
          <t>data/item_templates.yaml:L6537</t>
        </is>
      </c>
    </row>
    <row r="240">
      <c r="A240" s="2" t="n">
        <v>239</v>
      </c>
      <c r="B240" s="2" t="inlineStr">
        <is>
          <t>equip_qingcongma</t>
        </is>
      </c>
      <c r="C240" s="2" t="inlineStr">
        <is>
          <t>青骢马</t>
        </is>
      </c>
      <c r="D240" s="2" t="inlineStr">
        <is>
          <t>mount</t>
        </is>
      </c>
      <c r="E240" s="2" t="inlineStr">
        <is>
          <t>坐骑</t>
        </is>
      </c>
      <c r="F240" s="2" t="inlineStr">
        <is>
          <t>equip_mount</t>
        </is>
      </c>
      <c r="G240" s="2" t="inlineStr">
        <is>
          <t>black</t>
        </is>
      </c>
      <c r="H240" s="2" t="inlineStr">
        <is>
          <t>普通/白</t>
        </is>
      </c>
      <c r="I240" s="2" t="inlineStr"/>
      <c r="J240" s="3" t="inlineStr"/>
      <c r="K240" s="3" t="inlineStr">
        <is>
          <t>毛色青白相间的良驹，常见于江南水乡的驿站马厩。</t>
        </is>
      </c>
      <c r="L240" s="4" t="n">
        <v>800</v>
      </c>
      <c r="M240" s="4" t="n">
        <v>75</v>
      </c>
      <c r="N240" s="2" t="inlineStr">
        <is>
          <t>是</t>
        </is>
      </c>
      <c r="O240" s="4" t="n">
        <v>150</v>
      </c>
      <c r="P240" s="4" t="n">
        <v>5</v>
      </c>
      <c r="Q240" s="4" t="n">
        <v>5</v>
      </c>
      <c r="R240" s="4" t="n">
        <v>0</v>
      </c>
      <c r="S240" s="4" t="n">
        <v>12</v>
      </c>
      <c r="T240" s="4" t="n">
        <v>0</v>
      </c>
      <c r="U240" s="4" t="n">
        <v>0</v>
      </c>
      <c r="V240" s="5">
        <f>SUM(O240:U240)</f>
        <v/>
      </c>
      <c r="W240" s="6">
        <f>O240*'强度系数说明'!$B$7+P240*'强度系数说明'!$B$8+Q240*'强度系数说明'!$B$9+R240*'强度系数说明'!$B$10+S240*'强度系数说明'!$B$11+T240*'强度系数说明'!$B$12+U240*'强度系数说明'!$B$13</f>
        <v/>
      </c>
      <c r="X240" s="7">
        <f>SUMPRODUCT((O240:U240&gt;0)*O240:U240)</f>
        <v/>
      </c>
      <c r="Y240" s="2" t="inlineStr">
        <is>
          <t>否</t>
        </is>
      </c>
      <c r="Z240" s="2" t="inlineStr"/>
      <c r="AA240" s="4" t="inlineStr"/>
      <c r="AB240" s="4" t="inlineStr"/>
      <c r="AC240" s="3" t="inlineStr"/>
      <c r="AD240" s="3" t="inlineStr"/>
      <c r="AE240" s="3" t="inlineStr">
        <is>
          <t>{"agility":12,"defense":5,"force":5,"hp":150}</t>
        </is>
      </c>
      <c r="AF240" s="3" t="inlineStr">
        <is>
          <t>data/item_templates.yaml:L6555</t>
        </is>
      </c>
    </row>
    <row r="241">
      <c r="A241" s="2" t="n">
        <v>240</v>
      </c>
      <c r="B241" s="2" t="inlineStr">
        <is>
          <t>equip_xiaomaolv</t>
        </is>
      </c>
      <c r="C241" s="2" t="inlineStr">
        <is>
          <t>小毛驴</t>
        </is>
      </c>
      <c r="D241" s="2" t="inlineStr">
        <is>
          <t>mount</t>
        </is>
      </c>
      <c r="E241" s="2" t="inlineStr">
        <is>
          <t>坐骑</t>
        </is>
      </c>
      <c r="F241" s="2" t="inlineStr">
        <is>
          <t>equip_mount</t>
        </is>
      </c>
      <c r="G241" s="2" t="inlineStr">
        <is>
          <t>black</t>
        </is>
      </c>
      <c r="H241" s="2" t="inlineStr">
        <is>
          <t>普通/白</t>
        </is>
      </c>
      <c r="I241" s="2" t="inlineStr"/>
      <c r="J241" s="3" t="inlineStr"/>
      <c r="K241" s="3" t="inlineStr">
        <is>
          <t>农家常见的代步牲口，性情温顺，脚程稳健。</t>
        </is>
      </c>
      <c r="L241" s="4" t="n">
        <v>600</v>
      </c>
      <c r="M241" s="4" t="n">
        <v>75</v>
      </c>
      <c r="N241" s="2" t="inlineStr">
        <is>
          <t>是</t>
        </is>
      </c>
      <c r="O241" s="4" t="n">
        <v>80</v>
      </c>
      <c r="P241" s="4" t="n">
        <v>5</v>
      </c>
      <c r="Q241" s="4" t="n">
        <v>0</v>
      </c>
      <c r="R241" s="4" t="n">
        <v>0</v>
      </c>
      <c r="S241" s="4" t="n">
        <v>10</v>
      </c>
      <c r="T241" s="4" t="n">
        <v>5</v>
      </c>
      <c r="U241" s="4" t="n">
        <v>0</v>
      </c>
      <c r="V241" s="5">
        <f>SUM(O241:U241)</f>
        <v/>
      </c>
      <c r="W241" s="6">
        <f>O241*'强度系数说明'!$B$7+P241*'强度系数说明'!$B$8+Q241*'强度系数说明'!$B$9+R241*'强度系数说明'!$B$10+S241*'强度系数说明'!$B$11+T241*'强度系数说明'!$B$12+U241*'强度系数说明'!$B$13</f>
        <v/>
      </c>
      <c r="X241" s="7">
        <f>SUMPRODUCT((O241:U241&gt;0)*O241:U241)</f>
        <v/>
      </c>
      <c r="Y241" s="2" t="inlineStr">
        <is>
          <t>否</t>
        </is>
      </c>
      <c r="Z241" s="2" t="inlineStr"/>
      <c r="AA241" s="4" t="inlineStr"/>
      <c r="AB241" s="4" t="inlineStr"/>
      <c r="AC241" s="3" t="inlineStr"/>
      <c r="AD241" s="3" t="inlineStr"/>
      <c r="AE241" s="3" t="inlineStr">
        <is>
          <t>{"agility":10,"defense":5,"hp":80,"luck":5}</t>
        </is>
      </c>
      <c r="AF241" s="3" t="inlineStr">
        <is>
          <t>data/item_templates.yaml:L6570</t>
        </is>
      </c>
    </row>
    <row r="242">
      <c r="A242" s="2" t="n">
        <v>241</v>
      </c>
      <c r="B242" s="2" t="inlineStr">
        <is>
          <t>equip_xiliangma</t>
        </is>
      </c>
      <c r="C242" s="2" t="inlineStr">
        <is>
          <t>西凉马</t>
        </is>
      </c>
      <c r="D242" s="2" t="inlineStr">
        <is>
          <t>mount</t>
        </is>
      </c>
      <c r="E242" s="2" t="inlineStr">
        <is>
          <t>坐骑</t>
        </is>
      </c>
      <c r="F242" s="2" t="inlineStr">
        <is>
          <t>equip_mount</t>
        </is>
      </c>
      <c r="G242" s="2" t="inlineStr">
        <is>
          <t>green</t>
        </is>
      </c>
      <c r="H242" s="2" t="inlineStr">
        <is>
          <t>优良/绿</t>
        </is>
      </c>
      <c r="I242" s="2" t="inlineStr"/>
      <c r="J242" s="3" t="inlineStr"/>
      <c r="K242" s="3" t="inlineStr">
        <is>
          <t>产自西凉边塞的战马，历经风沙磨砺，耐力惊人。</t>
        </is>
      </c>
      <c r="L242" s="4" t="n">
        <v>2000</v>
      </c>
      <c r="M242" s="4" t="n">
        <v>100</v>
      </c>
      <c r="N242" s="2" t="inlineStr">
        <is>
          <t>是</t>
        </is>
      </c>
      <c r="O242" s="4" t="n">
        <v>200</v>
      </c>
      <c r="P242" s="4" t="n">
        <v>5</v>
      </c>
      <c r="Q242" s="4" t="n">
        <v>10</v>
      </c>
      <c r="R242" s="4" t="n">
        <v>0</v>
      </c>
      <c r="S242" s="4" t="n">
        <v>25</v>
      </c>
      <c r="T242" s="4" t="n">
        <v>0</v>
      </c>
      <c r="U242" s="4" t="n">
        <v>0</v>
      </c>
      <c r="V242" s="5">
        <f>SUM(O242:U242)</f>
        <v/>
      </c>
      <c r="W242" s="6">
        <f>O242*'强度系数说明'!$B$7+P242*'强度系数说明'!$B$8+Q242*'强度系数说明'!$B$9+R242*'强度系数说明'!$B$10+S242*'强度系数说明'!$B$11+T242*'强度系数说明'!$B$12+U242*'强度系数说明'!$B$13</f>
        <v/>
      </c>
      <c r="X242" s="7">
        <f>SUMPRODUCT((O242:U242&gt;0)*O242:U242)</f>
        <v/>
      </c>
      <c r="Y242" s="2" t="inlineStr">
        <is>
          <t>否</t>
        </is>
      </c>
      <c r="Z242" s="2" t="inlineStr"/>
      <c r="AA242" s="4" t="inlineStr"/>
      <c r="AB242" s="4" t="inlineStr"/>
      <c r="AC242" s="3" t="inlineStr"/>
      <c r="AD242" s="3" t="inlineStr"/>
      <c r="AE242" s="3" t="inlineStr">
        <is>
          <t>{"agility":25,"defense":5,"force":10,"hp":200}</t>
        </is>
      </c>
      <c r="AF242" s="3" t="inlineStr">
        <is>
          <t>data/item_templates.yaml:L6587</t>
        </is>
      </c>
    </row>
    <row r="243">
      <c r="A243" s="2" t="n">
        <v>242</v>
      </c>
      <c r="B243" s="2" t="inlineStr">
        <is>
          <t>equip_mengguma</t>
        </is>
      </c>
      <c r="C243" s="2" t="inlineStr">
        <is>
          <t>蒙古马</t>
        </is>
      </c>
      <c r="D243" s="2" t="inlineStr">
        <is>
          <t>mount</t>
        </is>
      </c>
      <c r="E243" s="2" t="inlineStr">
        <is>
          <t>坐骑</t>
        </is>
      </c>
      <c r="F243" s="2" t="inlineStr">
        <is>
          <t>equip_mount</t>
        </is>
      </c>
      <c r="G243" s="2" t="inlineStr">
        <is>
          <t>green</t>
        </is>
      </c>
      <c r="H243" s="2" t="inlineStr">
        <is>
          <t>优良/绿</t>
        </is>
      </c>
      <c r="I243" s="2" t="inlineStr"/>
      <c r="J243" s="3" t="inlineStr"/>
      <c r="K243" s="3" t="inlineStr">
        <is>
          <t>草原民族世代相传的马种，矮小精悍，耐寒耐饥。</t>
        </is>
      </c>
      <c r="L243" s="4" t="n">
        <v>2000</v>
      </c>
      <c r="M243" s="4" t="n">
        <v>100</v>
      </c>
      <c r="N243" s="2" t="inlineStr">
        <is>
          <t>是</t>
        </is>
      </c>
      <c r="O243" s="4" t="n">
        <v>250</v>
      </c>
      <c r="P243" s="4" t="n">
        <v>8</v>
      </c>
      <c r="Q243" s="4" t="n">
        <v>5</v>
      </c>
      <c r="R243" s="4" t="n">
        <v>0</v>
      </c>
      <c r="S243" s="4" t="n">
        <v>20</v>
      </c>
      <c r="T243" s="4" t="n">
        <v>0</v>
      </c>
      <c r="U243" s="4" t="n">
        <v>0</v>
      </c>
      <c r="V243" s="5">
        <f>SUM(O243:U243)</f>
        <v/>
      </c>
      <c r="W243" s="6">
        <f>O243*'强度系数说明'!$B$7+P243*'强度系数说明'!$B$8+Q243*'强度系数说明'!$B$9+R243*'强度系数说明'!$B$10+S243*'强度系数说明'!$B$11+T243*'强度系数说明'!$B$12+U243*'强度系数说明'!$B$13</f>
        <v/>
      </c>
      <c r="X243" s="7">
        <f>SUMPRODUCT((O243:U243&gt;0)*O243:U243)</f>
        <v/>
      </c>
      <c r="Y243" s="2" t="inlineStr">
        <is>
          <t>否</t>
        </is>
      </c>
      <c r="Z243" s="2" t="inlineStr"/>
      <c r="AA243" s="4" t="inlineStr"/>
      <c r="AB243" s="4" t="inlineStr"/>
      <c r="AC243" s="3" t="inlineStr"/>
      <c r="AD243" s="3" t="inlineStr"/>
      <c r="AE243" s="3" t="inlineStr">
        <is>
          <t>{"agility":20,"defense":8,"force":5,"hp":250}</t>
        </is>
      </c>
      <c r="AF243" s="3" t="inlineStr">
        <is>
          <t>data/item_templates.yaml:L6602</t>
        </is>
      </c>
    </row>
    <row r="244">
      <c r="A244" s="2" t="n">
        <v>243</v>
      </c>
      <c r="B244" s="2" t="inlineStr">
        <is>
          <t>equip_taxuema</t>
        </is>
      </c>
      <c r="C244" s="2" t="inlineStr">
        <is>
          <t>踏雪马</t>
        </is>
      </c>
      <c r="D244" s="2" t="inlineStr">
        <is>
          <t>mount</t>
        </is>
      </c>
      <c r="E244" s="2" t="inlineStr">
        <is>
          <t>坐骑</t>
        </is>
      </c>
      <c r="F244" s="2" t="inlineStr">
        <is>
          <t>equip_mount</t>
        </is>
      </c>
      <c r="G244" s="2" t="inlineStr">
        <is>
          <t>green</t>
        </is>
      </c>
      <c r="H244" s="2" t="inlineStr">
        <is>
          <t>优良/绿</t>
        </is>
      </c>
      <c r="I244" s="2" t="inlineStr"/>
      <c r="J244" s="3" t="inlineStr"/>
      <c r="K244" s="3" t="inlineStr">
        <is>
          <t>毛色雪白的骏马，据传可在雪地上飞奔如履平地。</t>
        </is>
      </c>
      <c r="L244" s="4" t="n">
        <v>2000</v>
      </c>
      <c r="M244" s="4" t="n">
        <v>100</v>
      </c>
      <c r="N244" s="2" t="inlineStr">
        <is>
          <t>是</t>
        </is>
      </c>
      <c r="O244" s="4" t="n">
        <v>0</v>
      </c>
      <c r="P244" s="4" t="n">
        <v>5</v>
      </c>
      <c r="Q244" s="4" t="n">
        <v>0</v>
      </c>
      <c r="R244" s="4" t="n">
        <v>0</v>
      </c>
      <c r="S244" s="4" t="n">
        <v>35</v>
      </c>
      <c r="T244" s="4" t="n">
        <v>0</v>
      </c>
      <c r="U244" s="4" t="n">
        <v>0</v>
      </c>
      <c r="V244" s="5">
        <f>SUM(O244:U244)</f>
        <v/>
      </c>
      <c r="W244" s="6">
        <f>O244*'强度系数说明'!$B$7+P244*'强度系数说明'!$B$8+Q244*'强度系数说明'!$B$9+R244*'强度系数说明'!$B$10+S244*'强度系数说明'!$B$11+T244*'强度系数说明'!$B$12+U244*'强度系数说明'!$B$13</f>
        <v/>
      </c>
      <c r="X244" s="7">
        <f>SUMPRODUCT((O244:U244&gt;0)*O244:U244)</f>
        <v/>
      </c>
      <c r="Y244" s="2" t="inlineStr">
        <is>
          <t>否</t>
        </is>
      </c>
      <c r="Z244" s="2" t="inlineStr"/>
      <c r="AA244" s="4" t="inlineStr"/>
      <c r="AB244" s="4" t="inlineStr"/>
      <c r="AC244" s="3" t="inlineStr"/>
      <c r="AD244" s="3" t="inlineStr"/>
      <c r="AE244" s="3" t="inlineStr">
        <is>
          <t>{"agility":35,"defense":5}</t>
        </is>
      </c>
      <c r="AF244" s="3" t="inlineStr">
        <is>
          <t>data/item_templates.yaml:L6617</t>
        </is>
      </c>
    </row>
    <row r="245">
      <c r="A245" s="2" t="n">
        <v>244</v>
      </c>
      <c r="B245" s="2" t="inlineStr">
        <is>
          <t>equip_qingzongma</t>
        </is>
      </c>
      <c r="C245" s="2" t="inlineStr">
        <is>
          <t>青鬃马</t>
        </is>
      </c>
      <c r="D245" s="2" t="inlineStr">
        <is>
          <t>mount</t>
        </is>
      </c>
      <c r="E245" s="2" t="inlineStr">
        <is>
          <t>坐骑</t>
        </is>
      </c>
      <c r="F245" s="2" t="inlineStr">
        <is>
          <t>equip_mount</t>
        </is>
      </c>
      <c r="G245" s="2" t="inlineStr">
        <is>
          <t>green</t>
        </is>
      </c>
      <c r="H245" s="2" t="inlineStr">
        <is>
          <t>优良/绿</t>
        </is>
      </c>
      <c r="I245" s="2" t="inlineStr"/>
      <c r="J245" s="3" t="inlineStr"/>
      <c r="K245" s="3" t="inlineStr">
        <is>
          <t>鬃毛青亮如丝的骏马，是官府驿站的上等马匹。</t>
        </is>
      </c>
      <c r="L245" s="4" t="n">
        <v>2000</v>
      </c>
      <c r="M245" s="4" t="n">
        <v>100</v>
      </c>
      <c r="N245" s="2" t="inlineStr">
        <is>
          <t>是</t>
        </is>
      </c>
      <c r="O245" s="4" t="n">
        <v>200</v>
      </c>
      <c r="P245" s="4" t="n">
        <v>10</v>
      </c>
      <c r="Q245" s="4" t="n">
        <v>0</v>
      </c>
      <c r="R245" s="4" t="n">
        <v>0</v>
      </c>
      <c r="S245" s="4" t="n">
        <v>25</v>
      </c>
      <c r="T245" s="4" t="n">
        <v>0</v>
      </c>
      <c r="U245" s="4" t="n">
        <v>0</v>
      </c>
      <c r="V245" s="5">
        <f>SUM(O245:U245)</f>
        <v/>
      </c>
      <c r="W245" s="6">
        <f>O245*'强度系数说明'!$B$7+P245*'强度系数说明'!$B$8+Q245*'强度系数说明'!$B$9+R245*'强度系数说明'!$B$10+S245*'强度系数说明'!$B$11+T245*'强度系数说明'!$B$12+U245*'强度系数说明'!$B$13</f>
        <v/>
      </c>
      <c r="X245" s="7">
        <f>SUMPRODUCT((O245:U245&gt;0)*O245:U245)</f>
        <v/>
      </c>
      <c r="Y245" s="2" t="inlineStr">
        <is>
          <t>否</t>
        </is>
      </c>
      <c r="Z245" s="2" t="inlineStr"/>
      <c r="AA245" s="4" t="inlineStr"/>
      <c r="AB245" s="4" t="inlineStr"/>
      <c r="AC245" s="3" t="inlineStr"/>
      <c r="AD245" s="3" t="inlineStr"/>
      <c r="AE245" s="3" t="inlineStr">
        <is>
          <t>{"agility":25,"defense":10,"hp":200}</t>
        </is>
      </c>
      <c r="AF245" s="3" t="inlineStr">
        <is>
          <t>data/item_templates.yaml:L6630</t>
        </is>
      </c>
    </row>
    <row r="246">
      <c r="A246" s="2" t="n">
        <v>245</v>
      </c>
      <c r="B246" s="2" t="inlineStr">
        <is>
          <t>equip_chibiao</t>
        </is>
      </c>
      <c r="C246" s="2" t="inlineStr">
        <is>
          <t>赤骠</t>
        </is>
      </c>
      <c r="D246" s="2" t="inlineStr">
        <is>
          <t>mount</t>
        </is>
      </c>
      <c r="E246" s="2" t="inlineStr">
        <is>
          <t>坐骑</t>
        </is>
      </c>
      <c r="F246" s="2" t="inlineStr">
        <is>
          <t>equip_mount</t>
        </is>
      </c>
      <c r="G246" s="2" t="inlineStr">
        <is>
          <t>green</t>
        </is>
      </c>
      <c r="H246" s="2" t="inlineStr">
        <is>
          <t>优良/绿</t>
        </is>
      </c>
      <c r="I246" s="2" t="inlineStr"/>
      <c r="J246" s="3" t="inlineStr"/>
      <c r="K246" s="3" t="inlineStr">
        <is>
          <t>通体枣红的战马，据传是某位将军征战沙场的坐骑。</t>
        </is>
      </c>
      <c r="L246" s="4" t="n">
        <v>2000</v>
      </c>
      <c r="M246" s="4" t="n">
        <v>100</v>
      </c>
      <c r="N246" s="2" t="inlineStr">
        <is>
          <t>是</t>
        </is>
      </c>
      <c r="O246" s="4" t="n">
        <v>250</v>
      </c>
      <c r="P246" s="4" t="n">
        <v>5</v>
      </c>
      <c r="Q246" s="4" t="n">
        <v>10</v>
      </c>
      <c r="R246" s="4" t="n">
        <v>0</v>
      </c>
      <c r="S246" s="4" t="n">
        <v>20</v>
      </c>
      <c r="T246" s="4" t="n">
        <v>0</v>
      </c>
      <c r="U246" s="4" t="n">
        <v>0</v>
      </c>
      <c r="V246" s="5">
        <f>SUM(O246:U246)</f>
        <v/>
      </c>
      <c r="W246" s="6">
        <f>O246*'强度系数说明'!$B$7+P246*'强度系数说明'!$B$8+Q246*'强度系数说明'!$B$9+R246*'强度系数说明'!$B$10+S246*'强度系数说明'!$B$11+T246*'强度系数说明'!$B$12+U246*'强度系数说明'!$B$13</f>
        <v/>
      </c>
      <c r="X246" s="7">
        <f>SUMPRODUCT((O246:U246&gt;0)*O246:U246)</f>
        <v/>
      </c>
      <c r="Y246" s="2" t="inlineStr">
        <is>
          <t>否</t>
        </is>
      </c>
      <c r="Z246" s="2" t="inlineStr"/>
      <c r="AA246" s="4" t="inlineStr"/>
      <c r="AB246" s="4" t="inlineStr"/>
      <c r="AC246" s="3" t="inlineStr"/>
      <c r="AD246" s="3" t="inlineStr"/>
      <c r="AE246" s="3" t="inlineStr">
        <is>
          <t>{"agility":20,"defense":5,"force":10,"hp":250}</t>
        </is>
      </c>
      <c r="AF246" s="3" t="inlineStr">
        <is>
          <t>data/item_templates.yaml:L6644</t>
        </is>
      </c>
    </row>
    <row r="247">
      <c r="A247" s="2" t="n">
        <v>246</v>
      </c>
      <c r="B247" s="2" t="inlineStr">
        <is>
          <t>equip_feiyunzui</t>
        </is>
      </c>
      <c r="C247" s="2" t="inlineStr">
        <is>
          <t>飞云锥</t>
        </is>
      </c>
      <c r="D247" s="2" t="inlineStr">
        <is>
          <t>mount</t>
        </is>
      </c>
      <c r="E247" s="2" t="inlineStr">
        <is>
          <t>坐骑</t>
        </is>
      </c>
      <c r="F247" s="2" t="inlineStr">
        <is>
          <t>equip_mount</t>
        </is>
      </c>
      <c r="G247" s="2" t="inlineStr">
        <is>
          <t>blue</t>
        </is>
      </c>
      <c r="H247" s="2" t="inlineStr">
        <is>
          <t>稀有/蓝</t>
        </is>
      </c>
      <c r="I247" s="2" t="inlineStr"/>
      <c r="J247" s="3" t="inlineStr"/>
      <c r="K247" s="3" t="inlineStr">
        <is>
          <t>奔跑时如云飞逝的骏马，是镖局押运的首选坐骑。</t>
        </is>
      </c>
      <c r="L247" s="4" t="n">
        <v>6000</v>
      </c>
      <c r="M247" s="4" t="n">
        <v>125</v>
      </c>
      <c r="N247" s="2" t="inlineStr">
        <is>
          <t>是</t>
        </is>
      </c>
      <c r="O247" s="4" t="n">
        <v>245</v>
      </c>
      <c r="P247" s="4" t="n">
        <v>10</v>
      </c>
      <c r="Q247" s="4" t="n">
        <v>5</v>
      </c>
      <c r="R247" s="4" t="n">
        <v>0</v>
      </c>
      <c r="S247" s="4" t="n">
        <v>40</v>
      </c>
      <c r="T247" s="4" t="n">
        <v>0</v>
      </c>
      <c r="U247" s="4" t="n">
        <v>0</v>
      </c>
      <c r="V247" s="5">
        <f>SUM(O247:U247)</f>
        <v/>
      </c>
      <c r="W247" s="6">
        <f>O247*'强度系数说明'!$B$7+P247*'强度系数说明'!$B$8+Q247*'强度系数说明'!$B$9+R247*'强度系数说明'!$B$10+S247*'强度系数说明'!$B$11+T247*'强度系数说明'!$B$12+U247*'强度系数说明'!$B$13</f>
        <v/>
      </c>
      <c r="X247" s="7">
        <f>SUMPRODUCT((O247:U247&gt;0)*O247:U247)</f>
        <v/>
      </c>
      <c r="Y247" s="2" t="inlineStr">
        <is>
          <t>否</t>
        </is>
      </c>
      <c r="Z247" s="2" t="inlineStr"/>
      <c r="AA247" s="4" t="inlineStr"/>
      <c r="AB247" s="4" t="inlineStr"/>
      <c r="AC247" s="3" t="inlineStr"/>
      <c r="AD247" s="3" t="inlineStr"/>
      <c r="AE247" s="3" t="inlineStr">
        <is>
          <t>{"agility":40,"defense":10,"force":5,"hp":245}</t>
        </is>
      </c>
      <c r="AF247" s="3" t="inlineStr">
        <is>
          <t>data/item_templates.yaml:L6661</t>
        </is>
      </c>
    </row>
    <row r="248">
      <c r="A248" s="2" t="n">
        <v>247</v>
      </c>
      <c r="B248" s="2" t="inlineStr">
        <is>
          <t>equip_zhaoyeyushizi</t>
        </is>
      </c>
      <c r="C248" s="2" t="inlineStr">
        <is>
          <t>照夜玉狮子</t>
        </is>
      </c>
      <c r="D248" s="2" t="inlineStr">
        <is>
          <t>mount</t>
        </is>
      </c>
      <c r="E248" s="2" t="inlineStr">
        <is>
          <t>坐骑</t>
        </is>
      </c>
      <c r="F248" s="2" t="inlineStr">
        <is>
          <t>equip_mount</t>
        </is>
      </c>
      <c r="G248" s="2" t="inlineStr">
        <is>
          <t>blue</t>
        </is>
      </c>
      <c r="H248" s="2" t="inlineStr">
        <is>
          <t>稀有/蓝</t>
        </is>
      </c>
      <c r="I248" s="2" t="inlineStr"/>
      <c r="J248" s="3" t="inlineStr"/>
      <c r="K248" s="3" t="inlineStr">
        <is>
          <t>通体雪白如狮子般威武的骏马，据传是赵云的坐骑遗种。</t>
        </is>
      </c>
      <c r="L248" s="4" t="n">
        <v>6000</v>
      </c>
      <c r="M248" s="4" t="n">
        <v>125</v>
      </c>
      <c r="N248" s="2" t="inlineStr">
        <is>
          <t>是</t>
        </is>
      </c>
      <c r="O248" s="4" t="n">
        <v>270</v>
      </c>
      <c r="P248" s="4" t="n">
        <v>15</v>
      </c>
      <c r="Q248" s="4" t="n">
        <v>13</v>
      </c>
      <c r="R248" s="4" t="n">
        <v>0</v>
      </c>
      <c r="S248" s="4" t="n">
        <v>33</v>
      </c>
      <c r="T248" s="4" t="n">
        <v>0</v>
      </c>
      <c r="U248" s="4" t="n">
        <v>0</v>
      </c>
      <c r="V248" s="5">
        <f>SUM(O248:U248)</f>
        <v/>
      </c>
      <c r="W248" s="6">
        <f>O248*'强度系数说明'!$B$7+P248*'强度系数说明'!$B$8+Q248*'强度系数说明'!$B$9+R248*'强度系数说明'!$B$10+S248*'强度系数说明'!$B$11+T248*'强度系数说明'!$B$12+U248*'强度系数说明'!$B$13</f>
        <v/>
      </c>
      <c r="X248" s="7">
        <f>SUMPRODUCT((O248:U248&gt;0)*O248:U248)</f>
        <v/>
      </c>
      <c r="Y248" s="2" t="inlineStr">
        <is>
          <t>否</t>
        </is>
      </c>
      <c r="Z248" s="2" t="inlineStr"/>
      <c r="AA248" s="4" t="inlineStr"/>
      <c r="AB248" s="4" t="inlineStr"/>
      <c r="AC248" s="3" t="inlineStr"/>
      <c r="AD248" s="3" t="inlineStr"/>
      <c r="AE248" s="3" t="inlineStr">
        <is>
          <t>{"agility":33,"defense":15,"force":13,"hp":270}</t>
        </is>
      </c>
      <c r="AF248" s="3" t="inlineStr">
        <is>
          <t>data/item_templates.yaml:L6676</t>
        </is>
      </c>
    </row>
    <row r="249">
      <c r="A249" s="2" t="n">
        <v>248</v>
      </c>
      <c r="B249" s="2" t="inlineStr">
        <is>
          <t>equip_juanmaochitu</t>
        </is>
      </c>
      <c r="C249" s="2" t="inlineStr">
        <is>
          <t>卷毛赤兔</t>
        </is>
      </c>
      <c r="D249" s="2" t="inlineStr">
        <is>
          <t>mount</t>
        </is>
      </c>
      <c r="E249" s="2" t="inlineStr">
        <is>
          <t>坐骑</t>
        </is>
      </c>
      <c r="F249" s="2" t="inlineStr">
        <is>
          <t>equip_mount</t>
        </is>
      </c>
      <c r="G249" s="2" t="inlineStr">
        <is>
          <t>blue</t>
        </is>
      </c>
      <c r="H249" s="2" t="inlineStr">
        <is>
          <t>稀有/蓝</t>
        </is>
      </c>
      <c r="I249" s="2" t="inlineStr"/>
      <c r="J249" s="3" t="inlineStr"/>
      <c r="K249" s="3" t="inlineStr">
        <is>
          <t>鬃毛卷曲的赤红骏马，据传与赤兔马同出一源。</t>
        </is>
      </c>
      <c r="L249" s="4" t="n">
        <v>6000</v>
      </c>
      <c r="M249" s="4" t="n">
        <v>125</v>
      </c>
      <c r="N249" s="2" t="inlineStr">
        <is>
          <t>是</t>
        </is>
      </c>
      <c r="O249" s="4" t="n">
        <v>300</v>
      </c>
      <c r="P249" s="4" t="n">
        <v>13</v>
      </c>
      <c r="Q249" s="4" t="n">
        <v>5</v>
      </c>
      <c r="R249" s="4" t="n">
        <v>0</v>
      </c>
      <c r="S249" s="4" t="n">
        <v>35</v>
      </c>
      <c r="T249" s="4" t="n">
        <v>0</v>
      </c>
      <c r="U249" s="4" t="n">
        <v>0</v>
      </c>
      <c r="V249" s="5">
        <f>SUM(O249:U249)</f>
        <v/>
      </c>
      <c r="W249" s="6">
        <f>O249*'强度系数说明'!$B$7+P249*'强度系数说明'!$B$8+Q249*'强度系数说明'!$B$9+R249*'强度系数说明'!$B$10+S249*'强度系数说明'!$B$11+T249*'强度系数说明'!$B$12+U249*'强度系数说明'!$B$13</f>
        <v/>
      </c>
      <c r="X249" s="7">
        <f>SUMPRODUCT((O249:U249&gt;0)*O249:U249)</f>
        <v/>
      </c>
      <c r="Y249" s="2" t="inlineStr">
        <is>
          <t>否</t>
        </is>
      </c>
      <c r="Z249" s="2" t="inlineStr"/>
      <c r="AA249" s="4" t="inlineStr"/>
      <c r="AB249" s="4" t="inlineStr"/>
      <c r="AC249" s="3" t="inlineStr"/>
      <c r="AD249" s="3" t="inlineStr"/>
      <c r="AE249" s="3" t="inlineStr">
        <is>
          <t>{"agility":35,"defense":13,"force":5,"hp":300}</t>
        </is>
      </c>
      <c r="AF249" s="3" t="inlineStr">
        <is>
          <t>data/item_templates.yaml:L6691</t>
        </is>
      </c>
    </row>
    <row r="250">
      <c r="A250" s="2" t="n">
        <v>249</v>
      </c>
      <c r="B250" s="2" t="inlineStr">
        <is>
          <t>equip_qianliju</t>
        </is>
      </c>
      <c r="C250" s="2" t="inlineStr">
        <is>
          <t>千里驹</t>
        </is>
      </c>
      <c r="D250" s="2" t="inlineStr">
        <is>
          <t>mount</t>
        </is>
      </c>
      <c r="E250" s="2" t="inlineStr">
        <is>
          <t>坐骑</t>
        </is>
      </c>
      <c r="F250" s="2" t="inlineStr">
        <is>
          <t>equip_mount</t>
        </is>
      </c>
      <c r="G250" s="2" t="inlineStr">
        <is>
          <t>blue</t>
        </is>
      </c>
      <c r="H250" s="2" t="inlineStr">
        <is>
          <t>稀有/蓝</t>
        </is>
      </c>
      <c r="I250" s="2" t="inlineStr"/>
      <c r="J250" s="3" t="inlineStr"/>
      <c r="K250" s="3" t="inlineStr">
        <is>
          <t>日行千里的骏马，是古代驿站八百里加急的专用马匹。</t>
        </is>
      </c>
      <c r="L250" s="4" t="n">
        <v>6000</v>
      </c>
      <c r="M250" s="4" t="n">
        <v>125</v>
      </c>
      <c r="N250" s="2" t="inlineStr">
        <is>
          <t>是</t>
        </is>
      </c>
      <c r="O250" s="4" t="n">
        <v>235</v>
      </c>
      <c r="P250" s="4" t="n">
        <v>11</v>
      </c>
      <c r="Q250" s="4" t="n">
        <v>0</v>
      </c>
      <c r="R250" s="4" t="n">
        <v>0</v>
      </c>
      <c r="S250" s="4" t="n">
        <v>40</v>
      </c>
      <c r="T250" s="4" t="n">
        <v>0</v>
      </c>
      <c r="U250" s="4" t="n">
        <v>0</v>
      </c>
      <c r="V250" s="5">
        <f>SUM(O250:U250)</f>
        <v/>
      </c>
      <c r="W250" s="6">
        <f>O250*'强度系数说明'!$B$7+P250*'强度系数说明'!$B$8+Q250*'强度系数说明'!$B$9+R250*'强度系数说明'!$B$10+S250*'强度系数说明'!$B$11+T250*'强度系数说明'!$B$12+U250*'强度系数说明'!$B$13</f>
        <v/>
      </c>
      <c r="X250" s="7">
        <f>SUMPRODUCT((O250:U250&gt;0)*O250:U250)</f>
        <v/>
      </c>
      <c r="Y250" s="2" t="inlineStr">
        <is>
          <t>否</t>
        </is>
      </c>
      <c r="Z250" s="2" t="inlineStr"/>
      <c r="AA250" s="4" t="inlineStr"/>
      <c r="AB250" s="4" t="inlineStr"/>
      <c r="AC250" s="3" t="inlineStr"/>
      <c r="AD250" s="3" t="inlineStr"/>
      <c r="AE250" s="3" t="inlineStr">
        <is>
          <t>{"agility":40,"defense":11,"hp":235}</t>
        </is>
      </c>
      <c r="AF250" s="3" t="inlineStr">
        <is>
          <t>data/item_templates.yaml:L6706</t>
        </is>
      </c>
    </row>
    <row r="251">
      <c r="A251" s="2" t="n">
        <v>250</v>
      </c>
      <c r="B251" s="2" t="inlineStr">
        <is>
          <t>equip_zhuidian</t>
        </is>
      </c>
      <c r="C251" s="2" t="inlineStr">
        <is>
          <t>追电</t>
        </is>
      </c>
      <c r="D251" s="2" t="inlineStr">
        <is>
          <t>mount</t>
        </is>
      </c>
      <c r="E251" s="2" t="inlineStr">
        <is>
          <t>坐骑</t>
        </is>
      </c>
      <c r="F251" s="2" t="inlineStr">
        <is>
          <t>equip_mount</t>
        </is>
      </c>
      <c r="G251" s="2" t="inlineStr">
        <is>
          <t>blue</t>
        </is>
      </c>
      <c r="H251" s="2" t="inlineStr">
        <is>
          <t>稀有/蓝</t>
        </is>
      </c>
      <c r="I251" s="2" t="inlineStr"/>
      <c r="J251" s="3" t="inlineStr"/>
      <c r="K251" s="3" t="inlineStr">
        <is>
          <t>奔跑时快如闪电的骏马，据传曾是某位刺客的坐骑。</t>
        </is>
      </c>
      <c r="L251" s="4" t="n">
        <v>6000</v>
      </c>
      <c r="M251" s="4" t="n">
        <v>125</v>
      </c>
      <c r="N251" s="2" t="inlineStr">
        <is>
          <t>是</t>
        </is>
      </c>
      <c r="O251" s="4" t="n">
        <v>240</v>
      </c>
      <c r="P251" s="4" t="n">
        <v>12</v>
      </c>
      <c r="Q251" s="4" t="n">
        <v>0</v>
      </c>
      <c r="R251" s="4" t="n">
        <v>0</v>
      </c>
      <c r="S251" s="4" t="n">
        <v>39</v>
      </c>
      <c r="T251" s="4" t="n">
        <v>10</v>
      </c>
      <c r="U251" s="4" t="n">
        <v>0</v>
      </c>
      <c r="V251" s="5">
        <f>SUM(O251:U251)</f>
        <v/>
      </c>
      <c r="W251" s="6">
        <f>O251*'强度系数说明'!$B$7+P251*'强度系数说明'!$B$8+Q251*'强度系数说明'!$B$9+R251*'强度系数说明'!$B$10+S251*'强度系数说明'!$B$11+T251*'强度系数说明'!$B$12+U251*'强度系数说明'!$B$13</f>
        <v/>
      </c>
      <c r="X251" s="7">
        <f>SUMPRODUCT((O251:U251&gt;0)*O251:U251)</f>
        <v/>
      </c>
      <c r="Y251" s="2" t="inlineStr">
        <is>
          <t>否</t>
        </is>
      </c>
      <c r="Z251" s="2" t="inlineStr"/>
      <c r="AA251" s="4" t="inlineStr"/>
      <c r="AB251" s="4" t="inlineStr"/>
      <c r="AC251" s="3" t="inlineStr"/>
      <c r="AD251" s="3" t="inlineStr"/>
      <c r="AE251" s="3" t="inlineStr">
        <is>
          <t>{"agility":39,"defense":12,"hp":240,"luck":10}</t>
        </is>
      </c>
      <c r="AF251" s="3" t="inlineStr">
        <is>
          <t>data/item_templates.yaml:L6720</t>
        </is>
      </c>
    </row>
    <row r="252">
      <c r="A252" s="2" t="n">
        <v>251</v>
      </c>
      <c r="B252" s="2" t="inlineStr">
        <is>
          <t>equip_bailongju</t>
        </is>
      </c>
      <c r="C252" s="2" t="inlineStr">
        <is>
          <t>白龙驹</t>
        </is>
      </c>
      <c r="D252" s="2" t="inlineStr">
        <is>
          <t>mount</t>
        </is>
      </c>
      <c r="E252" s="2" t="inlineStr">
        <is>
          <t>坐骑</t>
        </is>
      </c>
      <c r="F252" s="2" t="inlineStr">
        <is>
          <t>equip_mount</t>
        </is>
      </c>
      <c r="G252" s="2" t="inlineStr">
        <is>
          <t>blue</t>
        </is>
      </c>
      <c r="H252" s="2" t="inlineStr">
        <is>
          <t>稀有/蓝</t>
        </is>
      </c>
      <c r="I252" s="2" t="inlineStr"/>
      <c r="J252" s="3" t="inlineStr"/>
      <c r="K252" s="3" t="inlineStr">
        <is>
          <t>通体雪白的神骏，据传是白龙马的后代。</t>
        </is>
      </c>
      <c r="L252" s="4" t="n">
        <v>6000</v>
      </c>
      <c r="M252" s="4" t="n">
        <v>125</v>
      </c>
      <c r="N252" s="2" t="inlineStr">
        <is>
          <t>是</t>
        </is>
      </c>
      <c r="O252" s="4" t="n">
        <v>270</v>
      </c>
      <c r="P252" s="4" t="n">
        <v>15</v>
      </c>
      <c r="Q252" s="4" t="n">
        <v>0</v>
      </c>
      <c r="R252" s="4" t="n">
        <v>0</v>
      </c>
      <c r="S252" s="4" t="n">
        <v>25</v>
      </c>
      <c r="T252" s="4" t="n">
        <v>15</v>
      </c>
      <c r="U252" s="4" t="n">
        <v>0</v>
      </c>
      <c r="V252" s="5">
        <f>SUM(O252:U252)</f>
        <v/>
      </c>
      <c r="W252" s="6">
        <f>O252*'强度系数说明'!$B$7+P252*'强度系数说明'!$B$8+Q252*'强度系数说明'!$B$9+R252*'强度系数说明'!$B$10+S252*'强度系数说明'!$B$11+T252*'强度系数说明'!$B$12+U252*'强度系数说明'!$B$13</f>
        <v/>
      </c>
      <c r="X252" s="7">
        <f>SUMPRODUCT((O252:U252&gt;0)*O252:U252)</f>
        <v/>
      </c>
      <c r="Y252" s="2" t="inlineStr">
        <is>
          <t>否</t>
        </is>
      </c>
      <c r="Z252" s="2" t="inlineStr"/>
      <c r="AA252" s="4" t="inlineStr"/>
      <c r="AB252" s="4" t="inlineStr"/>
      <c r="AC252" s="3" t="inlineStr"/>
      <c r="AD252" s="3" t="inlineStr"/>
      <c r="AE252" s="3" t="inlineStr">
        <is>
          <t>{"agility":25,"defense":15,"hp":270,"luck":15}</t>
        </is>
      </c>
      <c r="AF252" s="3" t="inlineStr">
        <is>
          <t>data/item_templates.yaml:L6735</t>
        </is>
      </c>
    </row>
    <row r="253">
      <c r="A253" s="2" t="n">
        <v>252</v>
      </c>
      <c r="B253" s="2" t="inlineStr">
        <is>
          <t>equip_wuzhuima</t>
        </is>
      </c>
      <c r="C253" s="2" t="inlineStr">
        <is>
          <t>乌骓马</t>
        </is>
      </c>
      <c r="D253" s="2" t="inlineStr">
        <is>
          <t>mount</t>
        </is>
      </c>
      <c r="E253" s="2" t="inlineStr">
        <is>
          <t>坐骑</t>
        </is>
      </c>
      <c r="F253" s="2" t="inlineStr">
        <is>
          <t>equip_mount</t>
        </is>
      </c>
      <c r="G253" s="2" t="inlineStr">
        <is>
          <t>purple</t>
        </is>
      </c>
      <c r="H253" s="2" t="inlineStr">
        <is>
          <t>史诗/紫</t>
        </is>
      </c>
      <c r="I253" s="2" t="inlineStr"/>
      <c r="J253" s="3" t="inlineStr"/>
      <c r="K253" s="3" t="inlineStr">
        <is>
          <t>西楚霸王项羽的坐骑遗种，通体乌黑，性烈难驯。</t>
        </is>
      </c>
      <c r="L253" s="4" t="n">
        <v>16000</v>
      </c>
      <c r="M253" s="4" t="n">
        <v>175</v>
      </c>
      <c r="N253" s="2" t="inlineStr">
        <is>
          <t>是</t>
        </is>
      </c>
      <c r="O253" s="4" t="n">
        <v>292</v>
      </c>
      <c r="P253" s="4" t="n">
        <v>15</v>
      </c>
      <c r="Q253" s="4" t="n">
        <v>16</v>
      </c>
      <c r="R253" s="4" t="n">
        <v>0</v>
      </c>
      <c r="S253" s="4" t="n">
        <v>45</v>
      </c>
      <c r="T253" s="4" t="n">
        <v>0</v>
      </c>
      <c r="U253" s="4" t="n">
        <v>0</v>
      </c>
      <c r="V253" s="5">
        <f>SUM(O253:U253)</f>
        <v/>
      </c>
      <c r="W253" s="6">
        <f>O253*'强度系数说明'!$B$7+P253*'强度系数说明'!$B$8+Q253*'强度系数说明'!$B$9+R253*'强度系数说明'!$B$10+S253*'强度系数说明'!$B$11+T253*'强度系数说明'!$B$12+U253*'强度系数说明'!$B$13</f>
        <v/>
      </c>
      <c r="X253" s="7">
        <f>SUMPRODUCT((O253:U253&gt;0)*O253:U253)</f>
        <v/>
      </c>
      <c r="Y253" s="2" t="inlineStr">
        <is>
          <t>否</t>
        </is>
      </c>
      <c r="Z253" s="2" t="inlineStr"/>
      <c r="AA253" s="4" t="inlineStr"/>
      <c r="AB253" s="4" t="inlineStr"/>
      <c r="AC253" s="3" t="inlineStr"/>
      <c r="AD253" s="3" t="inlineStr"/>
      <c r="AE253" s="3" t="inlineStr">
        <is>
          <t>{"agility":45,"defense":15,"force":16,"hp":292}</t>
        </is>
      </c>
      <c r="AF253" s="3" t="inlineStr">
        <is>
          <t>data/item_templates.yaml:L6752</t>
        </is>
      </c>
    </row>
    <row r="254">
      <c r="A254" s="2" t="n">
        <v>253</v>
      </c>
      <c r="B254" s="2" t="inlineStr">
        <is>
          <t>equip_jueying</t>
        </is>
      </c>
      <c r="C254" s="2" t="inlineStr">
        <is>
          <t>绝影</t>
        </is>
      </c>
      <c r="D254" s="2" t="inlineStr">
        <is>
          <t>mount</t>
        </is>
      </c>
      <c r="E254" s="2" t="inlineStr">
        <is>
          <t>坐骑</t>
        </is>
      </c>
      <c r="F254" s="2" t="inlineStr">
        <is>
          <t>equip_mount</t>
        </is>
      </c>
      <c r="G254" s="2" t="inlineStr">
        <is>
          <t>purple</t>
        </is>
      </c>
      <c r="H254" s="2" t="inlineStr">
        <is>
          <t>史诗/紫</t>
        </is>
      </c>
      <c r="I254" s="2" t="inlineStr"/>
      <c r="J254" s="3" t="inlineStr"/>
      <c r="K254" s="3" t="inlineStr">
        <is>
          <t>曹操的名驹后代，据传奔跑时连影子都追不上。</t>
        </is>
      </c>
      <c r="L254" s="4" t="n">
        <v>16000</v>
      </c>
      <c r="M254" s="4" t="n">
        <v>175</v>
      </c>
      <c r="N254" s="2" t="inlineStr">
        <is>
          <t>是</t>
        </is>
      </c>
      <c r="O254" s="4" t="n">
        <v>305</v>
      </c>
      <c r="P254" s="4" t="n">
        <v>14</v>
      </c>
      <c r="Q254" s="4" t="n">
        <v>0</v>
      </c>
      <c r="R254" s="4" t="n">
        <v>0</v>
      </c>
      <c r="S254" s="4" t="n">
        <v>42</v>
      </c>
      <c r="T254" s="4" t="n">
        <v>16</v>
      </c>
      <c r="U254" s="4" t="n">
        <v>0</v>
      </c>
      <c r="V254" s="5">
        <f>SUM(O254:U254)</f>
        <v/>
      </c>
      <c r="W254" s="6">
        <f>O254*'强度系数说明'!$B$7+P254*'强度系数说明'!$B$8+Q254*'强度系数说明'!$B$9+R254*'强度系数说明'!$B$10+S254*'强度系数说明'!$B$11+T254*'强度系数说明'!$B$12+U254*'强度系数说明'!$B$13</f>
        <v/>
      </c>
      <c r="X254" s="7">
        <f>SUMPRODUCT((O254:U254&gt;0)*O254:U254)</f>
        <v/>
      </c>
      <c r="Y254" s="2" t="inlineStr">
        <is>
          <t>否</t>
        </is>
      </c>
      <c r="Z254" s="2" t="inlineStr"/>
      <c r="AA254" s="4" t="inlineStr"/>
      <c r="AB254" s="4" t="inlineStr"/>
      <c r="AC254" s="3" t="inlineStr"/>
      <c r="AD254" s="3" t="inlineStr"/>
      <c r="AE254" s="3" t="inlineStr">
        <is>
          <t>{"agility":42,"defense":14,"hp":305,"luck":16}</t>
        </is>
      </c>
      <c r="AF254" s="3" t="inlineStr">
        <is>
          <t>data/item_templates.yaml:L6767</t>
        </is>
      </c>
    </row>
    <row r="255">
      <c r="A255" s="2" t="n">
        <v>254</v>
      </c>
      <c r="B255" s="2" t="inlineStr">
        <is>
          <t>equip_zhaohuangfeidian</t>
        </is>
      </c>
      <c r="C255" s="2" t="inlineStr">
        <is>
          <t>爪黄飞电</t>
        </is>
      </c>
      <c r="D255" s="2" t="inlineStr">
        <is>
          <t>mount</t>
        </is>
      </c>
      <c r="E255" s="2" t="inlineStr">
        <is>
          <t>坐骑</t>
        </is>
      </c>
      <c r="F255" s="2" t="inlineStr">
        <is>
          <t>equip_mount</t>
        </is>
      </c>
      <c r="G255" s="2" t="inlineStr">
        <is>
          <t>purple</t>
        </is>
      </c>
      <c r="H255" s="2" t="inlineStr">
        <is>
          <t>史诗/紫</t>
        </is>
      </c>
      <c r="I255" s="2" t="inlineStr"/>
      <c r="J255" s="3" t="inlineStr"/>
      <c r="K255" s="3" t="inlineStr">
        <is>
          <t>蹄如金爪的神骏，据传是曹操赐予曹洪的坐骑遗种。</t>
        </is>
      </c>
      <c r="L255" s="4" t="n">
        <v>16000</v>
      </c>
      <c r="M255" s="4" t="n">
        <v>175</v>
      </c>
      <c r="N255" s="2" t="inlineStr">
        <is>
          <t>是</t>
        </is>
      </c>
      <c r="O255" s="4" t="n">
        <v>330</v>
      </c>
      <c r="P255" s="4" t="n">
        <v>17</v>
      </c>
      <c r="Q255" s="4" t="n">
        <v>22</v>
      </c>
      <c r="R255" s="4" t="n">
        <v>0</v>
      </c>
      <c r="S255" s="4" t="n">
        <v>38</v>
      </c>
      <c r="T255" s="4" t="n">
        <v>0</v>
      </c>
      <c r="U255" s="4" t="n">
        <v>0</v>
      </c>
      <c r="V255" s="5">
        <f>SUM(O255:U255)</f>
        <v/>
      </c>
      <c r="W255" s="6">
        <f>O255*'强度系数说明'!$B$7+P255*'强度系数说明'!$B$8+Q255*'强度系数说明'!$B$9+R255*'强度系数说明'!$B$10+S255*'强度系数说明'!$B$11+T255*'强度系数说明'!$B$12+U255*'强度系数说明'!$B$13</f>
        <v/>
      </c>
      <c r="X255" s="7">
        <f>SUMPRODUCT((O255:U255&gt;0)*O255:U255)</f>
        <v/>
      </c>
      <c r="Y255" s="2" t="inlineStr">
        <is>
          <t>否</t>
        </is>
      </c>
      <c r="Z255" s="2" t="inlineStr"/>
      <c r="AA255" s="4" t="inlineStr"/>
      <c r="AB255" s="4" t="inlineStr"/>
      <c r="AC255" s="3" t="inlineStr"/>
      <c r="AD255" s="3" t="inlineStr"/>
      <c r="AE255" s="3" t="inlineStr">
        <is>
          <t>{"agility":38,"defense":17,"force":22,"hp":330}</t>
        </is>
      </c>
      <c r="AF255" s="3" t="inlineStr">
        <is>
          <t>data/item_templates.yaml:L6782</t>
        </is>
      </c>
    </row>
    <row r="256">
      <c r="A256" s="2" t="n">
        <v>255</v>
      </c>
      <c r="B256" s="2" t="inlineStr">
        <is>
          <t>equip_dilu</t>
        </is>
      </c>
      <c r="C256" s="2" t="inlineStr">
        <is>
          <t>的卢</t>
        </is>
      </c>
      <c r="D256" s="2" t="inlineStr">
        <is>
          <t>mount</t>
        </is>
      </c>
      <c r="E256" s="2" t="inlineStr">
        <is>
          <t>坐骑</t>
        </is>
      </c>
      <c r="F256" s="2" t="inlineStr">
        <is>
          <t>equip_mount</t>
        </is>
      </c>
      <c r="G256" s="2" t="inlineStr">
        <is>
          <t>purple</t>
        </is>
      </c>
      <c r="H256" s="2" t="inlineStr">
        <is>
          <t>史诗/紫</t>
        </is>
      </c>
      <c r="I256" s="2" t="inlineStr"/>
      <c r="J256" s="3" t="inlineStr"/>
      <c r="K256" s="3" t="inlineStr">
        <is>
          <t>刘备的救命神驹后代，额上有白斑如流星。</t>
        </is>
      </c>
      <c r="L256" s="4" t="n">
        <v>16000</v>
      </c>
      <c r="M256" s="4" t="n">
        <v>175</v>
      </c>
      <c r="N256" s="2" t="inlineStr">
        <is>
          <t>是</t>
        </is>
      </c>
      <c r="O256" s="4" t="n">
        <v>360</v>
      </c>
      <c r="P256" s="4" t="n">
        <v>19</v>
      </c>
      <c r="Q256" s="4" t="n">
        <v>0</v>
      </c>
      <c r="R256" s="4" t="n">
        <v>0</v>
      </c>
      <c r="S256" s="4" t="n">
        <v>42</v>
      </c>
      <c r="T256" s="4" t="n">
        <v>14</v>
      </c>
      <c r="U256" s="4" t="n">
        <v>0</v>
      </c>
      <c r="V256" s="5">
        <f>SUM(O256:U256)</f>
        <v/>
      </c>
      <c r="W256" s="6">
        <f>O256*'强度系数说明'!$B$7+P256*'强度系数说明'!$B$8+Q256*'强度系数说明'!$B$9+R256*'强度系数说明'!$B$10+S256*'强度系数说明'!$B$11+T256*'强度系数说明'!$B$12+U256*'强度系数说明'!$B$13</f>
        <v/>
      </c>
      <c r="X256" s="7">
        <f>SUMPRODUCT((O256:U256&gt;0)*O256:U256)</f>
        <v/>
      </c>
      <c r="Y256" s="2" t="inlineStr">
        <is>
          <t>否</t>
        </is>
      </c>
      <c r="Z256" s="2" t="inlineStr"/>
      <c r="AA256" s="4" t="inlineStr"/>
      <c r="AB256" s="4" t="inlineStr"/>
      <c r="AC256" s="3" t="inlineStr"/>
      <c r="AD256" s="3" t="inlineStr"/>
      <c r="AE256" s="3" t="inlineStr">
        <is>
          <t>{"agility":42,"defense":19,"hp":360,"luck":14}</t>
        </is>
      </c>
      <c r="AF256" s="3" t="inlineStr">
        <is>
          <t>data/item_templates.yaml:L6797</t>
        </is>
      </c>
    </row>
    <row r="257">
      <c r="A257" s="2" t="n">
        <v>256</v>
      </c>
      <c r="B257" s="2" t="inlineStr">
        <is>
          <t>equip_qingshuanglu</t>
        </is>
      </c>
      <c r="C257" s="2" t="inlineStr">
        <is>
          <t>青霜鹿</t>
        </is>
      </c>
      <c r="D257" s="2" t="inlineStr">
        <is>
          <t>mount</t>
        </is>
      </c>
      <c r="E257" s="2" t="inlineStr">
        <is>
          <t>坐骑</t>
        </is>
      </c>
      <c r="F257" s="2" t="inlineStr">
        <is>
          <t>equip_mount</t>
        </is>
      </c>
      <c r="G257" s="2" t="inlineStr">
        <is>
          <t>purple</t>
        </is>
      </c>
      <c r="H257" s="2" t="inlineStr">
        <is>
          <t>史诗/紫</t>
        </is>
      </c>
      <c r="I257" s="2" t="inlineStr"/>
      <c r="J257" s="3" t="inlineStr"/>
      <c r="K257" s="3" t="inlineStr">
        <is>
          <t>通体如霜的灵鹿，据传来自仙山之中，性情温驯。</t>
        </is>
      </c>
      <c r="L257" s="4" t="n">
        <v>16000</v>
      </c>
      <c r="M257" s="4" t="n">
        <v>175</v>
      </c>
      <c r="N257" s="2" t="inlineStr">
        <is>
          <t>是</t>
        </is>
      </c>
      <c r="O257" s="4" t="n">
        <v>320</v>
      </c>
      <c r="P257" s="4" t="n">
        <v>17</v>
      </c>
      <c r="Q257" s="4" t="n">
        <v>0</v>
      </c>
      <c r="R257" s="4" t="n">
        <v>0</v>
      </c>
      <c r="S257" s="4" t="n">
        <v>42</v>
      </c>
      <c r="T257" s="4" t="n">
        <v>16</v>
      </c>
      <c r="U257" s="4" t="n">
        <v>0</v>
      </c>
      <c r="V257" s="5">
        <f>SUM(O257:U257)</f>
        <v/>
      </c>
      <c r="W257" s="6">
        <f>O257*'强度系数说明'!$B$7+P257*'强度系数说明'!$B$8+Q257*'强度系数说明'!$B$9+R257*'强度系数说明'!$B$10+S257*'强度系数说明'!$B$11+T257*'强度系数说明'!$B$12+U257*'强度系数说明'!$B$13</f>
        <v/>
      </c>
      <c r="X257" s="7">
        <f>SUMPRODUCT((O257:U257&gt;0)*O257:U257)</f>
        <v/>
      </c>
      <c r="Y257" s="2" t="inlineStr">
        <is>
          <t>否</t>
        </is>
      </c>
      <c r="Z257" s="2" t="inlineStr"/>
      <c r="AA257" s="4" t="inlineStr"/>
      <c r="AB257" s="4" t="inlineStr"/>
      <c r="AC257" s="3" t="inlineStr"/>
      <c r="AD257" s="3" t="inlineStr"/>
      <c r="AE257" s="3" t="inlineStr">
        <is>
          <t>{"agility":42,"defense":17,"hp":320,"luck":16}</t>
        </is>
      </c>
      <c r="AF257" s="3" t="inlineStr">
        <is>
          <t>data/item_templates.yaml:L6812</t>
        </is>
      </c>
    </row>
    <row r="258">
      <c r="A258" s="2" t="n">
        <v>257</v>
      </c>
      <c r="B258" s="2" t="inlineStr">
        <is>
          <t>equip_xuanjiazhanju</t>
        </is>
      </c>
      <c r="C258" s="2" t="inlineStr">
        <is>
          <t>玄甲战驹</t>
        </is>
      </c>
      <c r="D258" s="2" t="inlineStr">
        <is>
          <t>mount</t>
        </is>
      </c>
      <c r="E258" s="2" t="inlineStr">
        <is>
          <t>坐骑</t>
        </is>
      </c>
      <c r="F258" s="2" t="inlineStr">
        <is>
          <t>equip_mount</t>
        </is>
      </c>
      <c r="G258" s="2" t="inlineStr">
        <is>
          <t>purple</t>
        </is>
      </c>
      <c r="H258" s="2" t="inlineStr">
        <is>
          <t>史诗/紫</t>
        </is>
      </c>
      <c r="I258" s="2" t="inlineStr"/>
      <c r="J258" s="3" t="inlineStr"/>
      <c r="K258" s="3" t="inlineStr">
        <is>
          <t>披有玄铁甲胄的战马，是玄甲军的专属坐骑。</t>
        </is>
      </c>
      <c r="L258" s="4" t="n">
        <v>16000</v>
      </c>
      <c r="M258" s="4" t="n">
        <v>175</v>
      </c>
      <c r="N258" s="2" t="inlineStr">
        <is>
          <t>是</t>
        </is>
      </c>
      <c r="O258" s="4" t="n">
        <v>312</v>
      </c>
      <c r="P258" s="4" t="n">
        <v>16</v>
      </c>
      <c r="Q258" s="4" t="n">
        <v>22</v>
      </c>
      <c r="R258" s="4" t="n">
        <v>0</v>
      </c>
      <c r="S258" s="4" t="n">
        <v>38</v>
      </c>
      <c r="T258" s="4" t="n">
        <v>0</v>
      </c>
      <c r="U258" s="4" t="n">
        <v>0</v>
      </c>
      <c r="V258" s="5">
        <f>SUM(O258:U258)</f>
        <v/>
      </c>
      <c r="W258" s="6">
        <f>O258*'强度系数说明'!$B$7+P258*'强度系数说明'!$B$8+Q258*'强度系数说明'!$B$9+R258*'强度系数说明'!$B$10+S258*'强度系数说明'!$B$11+T258*'强度系数说明'!$B$12+U258*'强度系数说明'!$B$13</f>
        <v/>
      </c>
      <c r="X258" s="7">
        <f>SUMPRODUCT((O258:U258&gt;0)*O258:U258)</f>
        <v/>
      </c>
      <c r="Y258" s="2" t="inlineStr">
        <is>
          <t>否</t>
        </is>
      </c>
      <c r="Z258" s="2" t="inlineStr"/>
      <c r="AA258" s="4" t="inlineStr"/>
      <c r="AB258" s="4" t="inlineStr"/>
      <c r="AC258" s="3" t="inlineStr"/>
      <c r="AD258" s="3" t="inlineStr"/>
      <c r="AE258" s="3" t="inlineStr">
        <is>
          <t>{"agility":38,"defense":16,"force":22,"hp":312}</t>
        </is>
      </c>
      <c r="AF258" s="3" t="inlineStr">
        <is>
          <t>data/item_templates.yaml:L6827</t>
        </is>
      </c>
    </row>
    <row r="259">
      <c r="A259" s="2" t="n">
        <v>258</v>
      </c>
      <c r="B259" s="2" t="inlineStr">
        <is>
          <t>equip_chituma</t>
        </is>
      </c>
      <c r="C259" s="2" t="inlineStr">
        <is>
          <t>赤兔马</t>
        </is>
      </c>
      <c r="D259" s="2" t="inlineStr">
        <is>
          <t>mount</t>
        </is>
      </c>
      <c r="E259" s="2" t="inlineStr">
        <is>
          <t>坐骑</t>
        </is>
      </c>
      <c r="F259" s="2" t="inlineStr">
        <is>
          <t>equip_mount</t>
        </is>
      </c>
      <c r="G259" s="2" t="inlineStr">
        <is>
          <t>orange</t>
        </is>
      </c>
      <c r="H259" s="2" t="inlineStr">
        <is>
          <t>传说/橙</t>
        </is>
      </c>
      <c r="I259" s="2" t="inlineStr"/>
      <c r="J259" s="3" t="inlineStr"/>
      <c r="K259" s="3" t="inlineStr">
        <is>
          <t>传说中的千里神驹，曾为吕布、关羽所乘，名震天下。</t>
        </is>
      </c>
      <c r="L259" s="4" t="n">
        <v>52000</v>
      </c>
      <c r="M259" s="4" t="n">
        <v>250</v>
      </c>
      <c r="N259" s="2" t="inlineStr">
        <is>
          <t>是</t>
        </is>
      </c>
      <c r="O259" s="4" t="n">
        <v>362</v>
      </c>
      <c r="P259" s="4" t="n">
        <v>16</v>
      </c>
      <c r="Q259" s="4" t="n">
        <v>26</v>
      </c>
      <c r="R259" s="4" t="n">
        <v>0</v>
      </c>
      <c r="S259" s="4" t="n">
        <v>44</v>
      </c>
      <c r="T259" s="4" t="n">
        <v>0</v>
      </c>
      <c r="U259" s="4" t="n">
        <v>0</v>
      </c>
      <c r="V259" s="5">
        <f>SUM(O259:U259)</f>
        <v/>
      </c>
      <c r="W259" s="6">
        <f>O259*'强度系数说明'!$B$7+P259*'强度系数说明'!$B$8+Q259*'强度系数说明'!$B$9+R259*'强度系数说明'!$B$10+S259*'强度系数说明'!$B$11+T259*'强度系数说明'!$B$12+U259*'强度系数说明'!$B$13</f>
        <v/>
      </c>
      <c r="X259" s="7">
        <f>SUMPRODUCT((O259:U259&gt;0)*O259:U259)</f>
        <v/>
      </c>
      <c r="Y259" s="2" t="inlineStr">
        <is>
          <t>否</t>
        </is>
      </c>
      <c r="Z259" s="2" t="inlineStr"/>
      <c r="AA259" s="4" t="inlineStr"/>
      <c r="AB259" s="4" t="inlineStr"/>
      <c r="AC259" s="3" t="inlineStr"/>
      <c r="AD259" s="3" t="inlineStr"/>
      <c r="AE259" s="3" t="inlineStr">
        <is>
          <t>{"agility":44,"defense":16,"force":26,"hp":362}</t>
        </is>
      </c>
      <c r="AF259" s="3" t="inlineStr">
        <is>
          <t>data/item_templates.yaml:L6844</t>
        </is>
      </c>
    </row>
    <row r="260">
      <c r="A260" s="2" t="n">
        <v>259</v>
      </c>
      <c r="B260" s="2" t="inlineStr">
        <is>
          <t>equip_hanxuebaoma</t>
        </is>
      </c>
      <c r="C260" s="2" t="inlineStr">
        <is>
          <t>汗血宝马</t>
        </is>
      </c>
      <c r="D260" s="2" t="inlineStr">
        <is>
          <t>mount</t>
        </is>
      </c>
      <c r="E260" s="2" t="inlineStr">
        <is>
          <t>坐骑</t>
        </is>
      </c>
      <c r="F260" s="2" t="inlineStr">
        <is>
          <t>equip_mount</t>
        </is>
      </c>
      <c r="G260" s="2" t="inlineStr">
        <is>
          <t>orange</t>
        </is>
      </c>
      <c r="H260" s="2" t="inlineStr">
        <is>
          <t>传说/橙</t>
        </is>
      </c>
      <c r="I260" s="2" t="inlineStr"/>
      <c r="J260" s="3" t="inlineStr"/>
      <c r="K260" s="3" t="inlineStr">
        <is>
          <t>大宛国进贡的神骏，奔跑时汗出如血，故而得名。</t>
        </is>
      </c>
      <c r="L260" s="4" t="n">
        <v>52000</v>
      </c>
      <c r="M260" s="4" t="n">
        <v>250</v>
      </c>
      <c r="N260" s="2" t="inlineStr">
        <is>
          <t>是</t>
        </is>
      </c>
      <c r="O260" s="4" t="n">
        <v>450</v>
      </c>
      <c r="P260" s="4" t="n">
        <v>20</v>
      </c>
      <c r="Q260" s="4" t="n">
        <v>0</v>
      </c>
      <c r="R260" s="4" t="n">
        <v>0</v>
      </c>
      <c r="S260" s="4" t="n">
        <v>58</v>
      </c>
      <c r="T260" s="4" t="n">
        <v>0</v>
      </c>
      <c r="U260" s="4" t="n">
        <v>0</v>
      </c>
      <c r="V260" s="5">
        <f>SUM(O260:U260)</f>
        <v/>
      </c>
      <c r="W260" s="6">
        <f>O260*'强度系数说明'!$B$7+P260*'强度系数说明'!$B$8+Q260*'强度系数说明'!$B$9+R260*'强度系数说明'!$B$10+S260*'强度系数说明'!$B$11+T260*'强度系数说明'!$B$12+U260*'强度系数说明'!$B$13</f>
        <v/>
      </c>
      <c r="X260" s="7">
        <f>SUMPRODUCT((O260:U260&gt;0)*O260:U260)</f>
        <v/>
      </c>
      <c r="Y260" s="2" t="inlineStr">
        <is>
          <t>否</t>
        </is>
      </c>
      <c r="Z260" s="2" t="inlineStr"/>
      <c r="AA260" s="4" t="inlineStr"/>
      <c r="AB260" s="4" t="inlineStr"/>
      <c r="AC260" s="3" t="inlineStr"/>
      <c r="AD260" s="3" t="inlineStr"/>
      <c r="AE260" s="3" t="inlineStr">
        <is>
          <t>{"agility":58,"defense":20,"hp":450}</t>
        </is>
      </c>
      <c r="AF260" s="3" t="inlineStr">
        <is>
          <t>data/item_templates.yaml:L6859</t>
        </is>
      </c>
    </row>
    <row r="261">
      <c r="A261" s="2" t="n">
        <v>260</v>
      </c>
      <c r="B261" s="2" t="inlineStr">
        <is>
          <t>equip_qilin</t>
        </is>
      </c>
      <c r="C261" s="2" t="inlineStr">
        <is>
          <t>麒麟</t>
        </is>
      </c>
      <c r="D261" s="2" t="inlineStr">
        <is>
          <t>mount</t>
        </is>
      </c>
      <c r="E261" s="2" t="inlineStr">
        <is>
          <t>坐骑</t>
        </is>
      </c>
      <c r="F261" s="2" t="inlineStr">
        <is>
          <t>equip_mount</t>
        </is>
      </c>
      <c r="G261" s="2" t="inlineStr">
        <is>
          <t>orange</t>
        </is>
      </c>
      <c r="H261" s="2" t="inlineStr">
        <is>
          <t>传说/橙</t>
        </is>
      </c>
      <c r="I261" s="2" t="inlineStr"/>
      <c r="J261" s="3" t="inlineStr"/>
      <c r="K261" s="3" t="inlineStr">
        <is>
          <t>传说中的瑞兽，龙头马身，见之者必有祥瑞降临。</t>
        </is>
      </c>
      <c r="L261" s="4" t="n">
        <v>52000</v>
      </c>
      <c r="M261" s="4" t="n">
        <v>250</v>
      </c>
      <c r="N261" s="2" t="inlineStr">
        <is>
          <t>是</t>
        </is>
      </c>
      <c r="O261" s="4" t="n">
        <v>443</v>
      </c>
      <c r="P261" s="4" t="n">
        <v>18</v>
      </c>
      <c r="Q261" s="4" t="n">
        <v>18</v>
      </c>
      <c r="R261" s="4" t="n">
        <v>11</v>
      </c>
      <c r="S261" s="4" t="n">
        <v>40</v>
      </c>
      <c r="T261" s="4" t="n">
        <v>0</v>
      </c>
      <c r="U261" s="4" t="n">
        <v>0</v>
      </c>
      <c r="V261" s="5">
        <f>SUM(O261:U261)</f>
        <v/>
      </c>
      <c r="W261" s="6">
        <f>O261*'强度系数说明'!$B$7+P261*'强度系数说明'!$B$8+Q261*'强度系数说明'!$B$9+R261*'强度系数说明'!$B$10+S261*'强度系数说明'!$B$11+T261*'强度系数说明'!$B$12+U261*'强度系数说明'!$B$13</f>
        <v/>
      </c>
      <c r="X261" s="7">
        <f>SUMPRODUCT((O261:U261&gt;0)*O261:U261)</f>
        <v/>
      </c>
      <c r="Y261" s="2" t="inlineStr">
        <is>
          <t>否</t>
        </is>
      </c>
      <c r="Z261" s="2" t="inlineStr"/>
      <c r="AA261" s="4" t="inlineStr"/>
      <c r="AB261" s="4" t="inlineStr"/>
      <c r="AC261" s="3" t="inlineStr"/>
      <c r="AD261" s="3" t="inlineStr"/>
      <c r="AE261" s="3" t="inlineStr">
        <is>
          <t>{"agility":40,"defense":18,"force":18,"hp":443,"intellect":11}</t>
        </is>
      </c>
      <c r="AF261" s="3" t="inlineStr">
        <is>
          <t>data/item_templates.yaml:L6873</t>
        </is>
      </c>
    </row>
    <row r="262">
      <c r="A262" s="2" t="n">
        <v>261</v>
      </c>
      <c r="B262" s="2" t="inlineStr">
        <is>
          <t>equip_qingluan</t>
        </is>
      </c>
      <c r="C262" s="2" t="inlineStr">
        <is>
          <t>青鸾</t>
        </is>
      </c>
      <c r="D262" s="2" t="inlineStr">
        <is>
          <t>mount</t>
        </is>
      </c>
      <c r="E262" s="2" t="inlineStr">
        <is>
          <t>坐骑</t>
        </is>
      </c>
      <c r="F262" s="2" t="inlineStr">
        <is>
          <t>equip_mount</t>
        </is>
      </c>
      <c r="G262" s="2" t="inlineStr">
        <is>
          <t>orange</t>
        </is>
      </c>
      <c r="H262" s="2" t="inlineStr">
        <is>
          <t>传说/橙</t>
        </is>
      </c>
      <c r="I262" s="2" t="inlineStr"/>
      <c r="J262" s="3" t="inlineStr"/>
      <c r="K262" s="3" t="inlineStr">
        <is>
          <t>传说中的神鸟，与凤凰齐名，通体青色，翱翔九天。</t>
        </is>
      </c>
      <c r="L262" s="4" t="n">
        <v>52000</v>
      </c>
      <c r="M262" s="4" t="n">
        <v>250</v>
      </c>
      <c r="N262" s="2" t="inlineStr">
        <is>
          <t>是</t>
        </is>
      </c>
      <c r="O262" s="4" t="n">
        <v>307</v>
      </c>
      <c r="P262" s="4" t="n">
        <v>14</v>
      </c>
      <c r="Q262" s="4" t="n">
        <v>0</v>
      </c>
      <c r="R262" s="4" t="n">
        <v>27</v>
      </c>
      <c r="S262" s="4" t="n">
        <v>49</v>
      </c>
      <c r="T262" s="4" t="n">
        <v>0</v>
      </c>
      <c r="U262" s="4" t="n">
        <v>0</v>
      </c>
      <c r="V262" s="5">
        <f>SUM(O262:U262)</f>
        <v/>
      </c>
      <c r="W262" s="6">
        <f>O262*'强度系数说明'!$B$7+P262*'强度系数说明'!$B$8+Q262*'强度系数说明'!$B$9+R262*'强度系数说明'!$B$10+S262*'强度系数说明'!$B$11+T262*'强度系数说明'!$B$12+U262*'强度系数说明'!$B$13</f>
        <v/>
      </c>
      <c r="X262" s="7">
        <f>SUMPRODUCT((O262:U262&gt;0)*O262:U262)</f>
        <v/>
      </c>
      <c r="Y262" s="2" t="inlineStr">
        <is>
          <t>否</t>
        </is>
      </c>
      <c r="Z262" s="2" t="inlineStr"/>
      <c r="AA262" s="4" t="inlineStr"/>
      <c r="AB262" s="4" t="inlineStr"/>
      <c r="AC262" s="3" t="inlineStr"/>
      <c r="AD262" s="3" t="inlineStr"/>
      <c r="AE262" s="3" t="inlineStr">
        <is>
          <t>{"agility":49,"defense":14,"hp":307,"intellect":27}</t>
        </is>
      </c>
      <c r="AF262" s="3" t="inlineStr">
        <is>
          <t>data/item_templates.yaml:L6889</t>
        </is>
      </c>
    </row>
    <row r="263">
      <c r="A263" s="2" t="n">
        <v>262</v>
      </c>
      <c r="B263" s="2" t="inlineStr">
        <is>
          <t>equip_shendiao</t>
        </is>
      </c>
      <c r="C263" s="2" t="inlineStr">
        <is>
          <t>神雕</t>
        </is>
      </c>
      <c r="D263" s="2" t="inlineStr">
        <is>
          <t>mount</t>
        </is>
      </c>
      <c r="E263" s="2" t="inlineStr">
        <is>
          <t>坐骑</t>
        </is>
      </c>
      <c r="F263" s="2" t="inlineStr">
        <is>
          <t>equip_mount</t>
        </is>
      </c>
      <c r="G263" s="2" t="inlineStr">
        <is>
          <t>orange</t>
        </is>
      </c>
      <c r="H263" s="2" t="inlineStr">
        <is>
          <t>传说/橙</t>
        </is>
      </c>
      <c r="I263" s="2" t="inlineStr"/>
      <c r="J263" s="3" t="inlineStr"/>
      <c r="K263" s="3" t="inlineStr">
        <is>
          <t>传说中通人性的巨雕，曾栖于终南山古墓之旁。</t>
        </is>
      </c>
      <c r="L263" s="4" t="n">
        <v>52000</v>
      </c>
      <c r="M263" s="4" t="n">
        <v>250</v>
      </c>
      <c r="N263" s="2" t="inlineStr">
        <is>
          <t>是</t>
        </is>
      </c>
      <c r="O263" s="4" t="n">
        <v>470</v>
      </c>
      <c r="P263" s="4" t="n">
        <v>18</v>
      </c>
      <c r="Q263" s="4" t="n">
        <v>0</v>
      </c>
      <c r="R263" s="4" t="n">
        <v>0</v>
      </c>
      <c r="S263" s="4" t="n">
        <v>56</v>
      </c>
      <c r="T263" s="4" t="n">
        <v>14</v>
      </c>
      <c r="U263" s="4" t="n">
        <v>0</v>
      </c>
      <c r="V263" s="5">
        <f>SUM(O263:U263)</f>
        <v/>
      </c>
      <c r="W263" s="6">
        <f>O263*'强度系数说明'!$B$7+P263*'强度系数说明'!$B$8+Q263*'强度系数说明'!$B$9+R263*'强度系数说明'!$B$10+S263*'强度系数说明'!$B$11+T263*'强度系数说明'!$B$12+U263*'强度系数说明'!$B$13</f>
        <v/>
      </c>
      <c r="X263" s="7">
        <f>SUMPRODUCT((O263:U263&gt;0)*O263:U263)</f>
        <v/>
      </c>
      <c r="Y263" s="2" t="inlineStr">
        <is>
          <t>否</t>
        </is>
      </c>
      <c r="Z263" s="2" t="inlineStr"/>
      <c r="AA263" s="4" t="inlineStr"/>
      <c r="AB263" s="4" t="inlineStr"/>
      <c r="AC263" s="3" t="inlineStr"/>
      <c r="AD263" s="3" t="inlineStr"/>
      <c r="AE263" s="3" t="inlineStr">
        <is>
          <t>{"agility":56,"defense":18,"hp":470,"luck":14}</t>
        </is>
      </c>
      <c r="AF263" s="3" t="inlineStr">
        <is>
          <t>data/item_templates.yaml:L6904</t>
        </is>
      </c>
    </row>
  </sheetData>
  <autoFilter ref="A1:AF263"/>
  <conditionalFormatting sqref="W2:W263">
    <cfRule type="colorScale" priority="1">
      <colorScale>
        <cfvo type="min"/>
        <cfvo type="percentile" val="50"/>
        <cfvo type="max"/>
        <color rgb="00FCE4D6"/>
        <color rgb="00FFF2CC"/>
        <color rgb="00E2F0D9"/>
      </colorScale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FFF2CC"/>
    <outlinePr summaryBelow="1" summaryRight="1"/>
    <pageSetUpPr fitToPage="1"/>
  </sheetPr>
  <dimension ref="A1:E29"/>
  <sheetViews>
    <sheetView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34" customWidth="1" min="3" max="3"/>
    <col width="42" customWidth="1" min="4" max="4"/>
    <col width="18" customWidth="1" min="5" max="5"/>
  </cols>
  <sheetData>
    <row r="1" ht="26" customHeight="1">
      <c r="A1" s="8" t="inlineStr">
        <is>
          <t>装备属性与强度系数口径</t>
        </is>
      </c>
    </row>
    <row r="2"/>
    <row r="3">
      <c r="A3" s="9" t="inlineStr">
        <is>
          <t>数据来源</t>
        </is>
      </c>
      <c r="B3" s="10" t="inlineStr">
        <is>
          <t>data/item_templates.yaml；tests/test_item_template_equipment_balance.py；gameplay/services/virtual_player_core/virtual_assets.py</t>
        </is>
      </c>
    </row>
    <row r="4">
      <c r="A4" s="9" t="inlineStr">
        <is>
          <t>使用说明</t>
        </is>
      </c>
      <c r="B4" s="10" t="inlineStr">
        <is>
          <t>“装备总表”中的基础强度评分使用固定平衡测试公式；动态候选权重不是固定装备值，必须结合成长阶段、角色适配和门客属性。</t>
        </is>
      </c>
    </row>
    <row r="5"/>
    <row r="6" ht="30" customHeight="1">
      <c r="A6" s="1" t="inlineStr">
        <is>
          <t>属性</t>
        </is>
      </c>
      <c r="B6" s="1" t="inlineStr">
        <is>
          <t>基础系数</t>
        </is>
      </c>
      <c r="C6" s="1" t="inlineStr">
        <is>
          <t>计算贡献</t>
        </is>
      </c>
      <c r="D6" s="1" t="inlineStr">
        <is>
          <t>代码口径</t>
        </is>
      </c>
      <c r="E6" s="1" t="inlineStr">
        <is>
          <t>备注</t>
        </is>
      </c>
    </row>
    <row r="7">
      <c r="A7" s="11" t="inlineStr">
        <is>
          <t>生命</t>
        </is>
      </c>
      <c r="B7" s="12">
        <f>1/54</f>
        <v/>
      </c>
      <c r="C7" s="11" t="inlineStr">
        <is>
          <t>生命 × 系数</t>
        </is>
      </c>
      <c r="D7" s="11" t="inlineStr">
        <is>
          <t>hp / 54.0</t>
        </is>
      </c>
      <c r="E7" s="11" t="inlineStr">
        <is>
          <t>生命折算为有效强度</t>
        </is>
      </c>
    </row>
    <row r="8">
      <c r="A8" s="11" t="inlineStr">
        <is>
          <t>防御</t>
        </is>
      </c>
      <c r="B8" s="12" t="n">
        <v>1</v>
      </c>
      <c r="C8" s="11" t="inlineStr">
        <is>
          <t>防御 × 系数</t>
        </is>
      </c>
      <c r="D8" s="11" t="inlineStr">
        <is>
          <t>defense</t>
        </is>
      </c>
      <c r="E8" s="11" t="inlineStr"/>
    </row>
    <row r="9">
      <c r="A9" s="11" t="inlineStr">
        <is>
          <t>武力</t>
        </is>
      </c>
      <c r="B9" s="12" t="n">
        <v>1</v>
      </c>
      <c r="C9" s="11" t="inlineStr">
        <is>
          <t>武力 × 系数</t>
        </is>
      </c>
      <c r="D9" s="11" t="inlineStr">
        <is>
          <t>force</t>
        </is>
      </c>
      <c r="E9" s="11" t="inlineStr"/>
    </row>
    <row r="10">
      <c r="A10" s="11" t="inlineStr">
        <is>
          <t>智力</t>
        </is>
      </c>
      <c r="B10" s="12" t="n">
        <v>1</v>
      </c>
      <c r="C10" s="11" t="inlineStr">
        <is>
          <t>智力 × 系数</t>
        </is>
      </c>
      <c r="D10" s="11" t="inlineStr">
        <is>
          <t>intellect</t>
        </is>
      </c>
      <c r="E10" s="11" t="inlineStr"/>
    </row>
    <row r="11">
      <c r="A11" s="11" t="inlineStr">
        <is>
          <t>敏捷</t>
        </is>
      </c>
      <c r="B11" s="12" t="n">
        <v>1</v>
      </c>
      <c r="C11" s="11" t="inlineStr">
        <is>
          <t>敏捷 × 系数</t>
        </is>
      </c>
      <c r="D11" s="11" t="inlineStr">
        <is>
          <t>agility</t>
        </is>
      </c>
      <c r="E11" s="11" t="inlineStr"/>
    </row>
    <row r="12">
      <c r="A12" s="11" t="inlineStr">
        <is>
          <t>运势</t>
        </is>
      </c>
      <c r="B12" s="12" t="n">
        <v>1.2</v>
      </c>
      <c r="C12" s="11" t="inlineStr">
        <is>
          <t>运势 × 系数</t>
        </is>
      </c>
      <c r="D12" s="11" t="inlineStr">
        <is>
          <t>luck * 1.2</t>
        </is>
      </c>
      <c r="E12" s="11" t="inlineStr">
        <is>
          <t>运势权重高于普通属性</t>
        </is>
      </c>
    </row>
    <row r="13">
      <c r="A13" s="11" t="inlineStr">
        <is>
          <t>带兵上限</t>
        </is>
      </c>
      <c r="B13" s="12">
        <f>1/2</f>
        <v/>
      </c>
      <c r="C13" s="11" t="inlineStr">
        <is>
          <t>带兵上限 × 系数</t>
        </is>
      </c>
      <c r="D13" s="11" t="inlineStr">
        <is>
          <t>troop_capacity / 2.0</t>
        </is>
      </c>
      <c r="E13" s="11" t="inlineStr"/>
    </row>
    <row r="14"/>
    <row r="15">
      <c r="A15" s="13" t="inlineStr">
        <is>
          <t>稀有度跨档平均强度最低提升阈值</t>
        </is>
      </c>
      <c r="B15" s="14" t="n">
        <v>1.1</v>
      </c>
      <c r="C15" s="13" t="inlineStr">
        <is>
          <t>代码常量 MIN_RARITY_SCORE_RATIO</t>
        </is>
      </c>
      <c r="D15" s="13" t="inlineStr">
        <is>
          <t>部位稀有度汇总中的提升系数以此阈值核对</t>
        </is>
      </c>
    </row>
    <row r="16"/>
    <row r="17"/>
    <row r="18">
      <c r="A18" s="15" t="inlineStr">
        <is>
          <t>动态候选权重（虚拟玩家装备候选选择）</t>
        </is>
      </c>
    </row>
    <row r="19" ht="30" customHeight="1">
      <c r="A19" s="1" t="inlineStr">
        <is>
          <t>项目</t>
        </is>
      </c>
      <c r="B19" s="1" t="inlineStr">
        <is>
          <t>公式/数值</t>
        </is>
      </c>
      <c r="C19" s="1" t="inlineStr">
        <is>
          <t>说明</t>
        </is>
      </c>
      <c r="D19" s="1" t="inlineStr">
        <is>
          <t>代码来源</t>
        </is>
      </c>
      <c r="E19" s="1" t="inlineStr">
        <is>
          <t>是否装备固定值</t>
        </is>
      </c>
    </row>
    <row r="20">
      <c r="A20" s="11" t="inlineStr">
        <is>
          <t>装备候选基础 Power</t>
        </is>
      </c>
      <c r="B20" s="11" t="inlineStr">
        <is>
          <t>attack_bonus + defense_bonus + Σ(max(extra_stat, 0))</t>
        </is>
      </c>
      <c r="C20" s="11" t="inlineStr">
        <is>
          <t>当前 ItemTemplate 同步到 GearTemplate 时 attack_bonus、defense_bonus 默认均为 0，因此本表 X 列为直接属性非负和。</t>
        </is>
      </c>
      <c r="D20" s="11" t="inlineStr">
        <is>
          <t>virtual_assets.py:361-369</t>
        </is>
      </c>
      <c r="E20" s="16" t="inlineStr">
        <is>
          <t>是</t>
        </is>
      </c>
    </row>
    <row r="21">
      <c r="A21" s="11" t="inlineStr">
        <is>
          <t>成长阶段系数</t>
        </is>
      </c>
      <c r="B21" s="11" t="inlineStr">
        <is>
          <t>1 + MIN(2, growth_stage / 20)</t>
        </is>
      </c>
      <c r="C21" s="11" t="inlineStr">
        <is>
          <t>随虚拟玩家成长阶段变化，最高额外增加 2.0。</t>
        </is>
      </c>
      <c r="D21" s="11" t="inlineStr">
        <is>
          <t>virtual_assets.py:371</t>
        </is>
      </c>
      <c r="E21" s="17" t="inlineStr">
        <is>
          <t>否</t>
        </is>
      </c>
    </row>
    <row r="22">
      <c r="A22" s="11" t="inlineStr">
        <is>
          <t>角色适配系数</t>
        </is>
      </c>
      <c r="B22" s="11" t="inlineStr">
        <is>
          <t>1.35（适配）/ 1.00（不适配）</t>
        </is>
      </c>
      <c r="C22" s="11" t="inlineStr">
        <is>
          <t>是否符合门客偏好角色。</t>
        </is>
      </c>
      <c r="D22" s="11" t="inlineStr">
        <is>
          <t>virtual_assets.py:372</t>
        </is>
      </c>
      <c r="E22" s="17" t="inlineStr">
        <is>
          <t>否</t>
        </is>
      </c>
    </row>
    <row r="23">
      <c r="A23" s="11" t="inlineStr">
        <is>
          <t>门客属性系数</t>
        </is>
      </c>
      <c r="B23" s="11" t="inlineStr">
        <is>
          <t>1 + guest_power / 1000</t>
        </is>
      </c>
      <c r="C23" s="11" t="inlineStr">
        <is>
          <t>guest_power 为门客武力、智力、防御、敏捷等属性汇总。</t>
        </is>
      </c>
      <c r="D23" s="11" t="inlineStr">
        <is>
          <t>virtual_assets.py:373-376</t>
        </is>
      </c>
      <c r="E23" s="17" t="inlineStr">
        <is>
          <t>否</t>
        </is>
      </c>
    </row>
    <row r="24">
      <c r="A24" s="11" t="inlineStr">
        <is>
          <t>动态候选权重</t>
        </is>
      </c>
      <c r="B24" s="11" t="inlineStr">
        <is>
          <t>Power × 成长阶段系数 × 角色适配系数 × 门客属性系数</t>
        </is>
      </c>
      <c r="C24" s="11" t="inlineStr">
        <is>
          <t>同一件装备在不同虚拟玩家/门客上下文中会不同，不能在装备表中写成唯一固定系数。</t>
        </is>
      </c>
      <c r="D24" s="11" t="inlineStr">
        <is>
          <t>virtual_assets.py:378</t>
        </is>
      </c>
      <c r="E24" s="17" t="inlineStr">
        <is>
          <t>否</t>
        </is>
      </c>
    </row>
    <row r="25"/>
    <row r="26"/>
    <row r="27"/>
    <row r="28">
      <c r="A28" s="15" t="inlineStr">
        <is>
          <t>装备总表评分公式</t>
        </is>
      </c>
      <c r="B28" s="18" t="inlineStr">
        <is>
          <t>生命/54 + 防御 + 武力 + 智力 + 敏捷 + 运势×1.2 + 带兵上限/2</t>
        </is>
      </c>
    </row>
    <row r="29">
      <c r="A29" t="inlineStr">
        <is>
          <t>注意</t>
        </is>
      </c>
      <c r="B29" s="19" t="inlineStr">
        <is>
          <t>该固定评分用于装备平衡排序/稀有度跨档检查，不等同于战斗中的最终门客战力；套装效果也未并入单件基础评分。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K3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1" customWidth="1" min="5" max="5"/>
    <col width="15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1" ht="26" customHeight="1">
      <c r="A1" s="8" t="inlineStr">
        <is>
          <t>部位 × 稀有度强度核对</t>
        </is>
      </c>
    </row>
    <row r="2"/>
    <row r="3">
      <c r="A3" t="inlineStr">
        <is>
          <t>说明</t>
        </is>
      </c>
      <c r="B3" s="20" t="inlineStr">
        <is>
          <t>平均强度、跨档提升系数均通过公式引用“装备总表”；空组合显示为空，不参与比较。</t>
        </is>
      </c>
    </row>
    <row r="4" ht="30" customHeight="1">
      <c r="A4" s="1" t="inlineStr">
        <is>
          <t>部位代码</t>
        </is>
      </c>
      <c r="B4" s="1" t="inlineStr">
        <is>
          <t>部位</t>
        </is>
      </c>
      <c r="C4" s="1" t="inlineStr">
        <is>
          <t>稀有度代码</t>
        </is>
      </c>
      <c r="D4" s="1" t="inlineStr">
        <is>
          <t>稀有度</t>
        </is>
      </c>
      <c r="E4" s="1" t="inlineStr">
        <is>
          <t>装备数量</t>
        </is>
      </c>
      <c r="F4" s="1" t="inlineStr">
        <is>
          <t>平均基础强度</t>
        </is>
      </c>
      <c r="G4" s="1" t="inlineStr">
        <is>
          <t>最低</t>
        </is>
      </c>
      <c r="H4" s="1" t="inlineStr">
        <is>
          <t>最高</t>
        </is>
      </c>
      <c r="I4" s="1" t="inlineStr">
        <is>
          <t>上一档平均</t>
        </is>
      </c>
      <c r="J4" s="1" t="inlineStr">
        <is>
          <t>提升系数</t>
        </is>
      </c>
      <c r="K4" s="1" t="inlineStr">
        <is>
          <t>阈值核对</t>
        </is>
      </c>
    </row>
    <row r="5">
      <c r="A5" s="11" t="inlineStr">
        <is>
          <t>helmet</t>
        </is>
      </c>
      <c r="B5" s="11" t="inlineStr">
        <is>
          <t>头盔</t>
        </is>
      </c>
      <c r="C5" s="11" t="inlineStr">
        <is>
          <t>black</t>
        </is>
      </c>
      <c r="D5" s="11" t="inlineStr">
        <is>
          <t>普通/白</t>
        </is>
      </c>
      <c r="E5" s="21">
        <f>COUNTIFS('装备总表'!$D$2:$D$263,$A5,'装备总表'!$G$2:$G$263,$C5)</f>
        <v/>
      </c>
      <c r="F5" s="21">
        <f>IF($E5=0,"",SUMIFS('装备总表'!$W$2:$W$263,'装备总表'!$D$2:$D$263,$A5,'装备总表'!$G$2:$G$263,$C5)/$E5)</f>
        <v/>
      </c>
      <c r="G5" s="21">
        <f>IF($E5=0,"",MINIFS('装备总表'!$W$2:$W$263,'装备总表'!$D$2:$D$263,$A5,'装备总表'!$G$2:$G$263,$C5))</f>
        <v/>
      </c>
      <c r="H5" s="21">
        <f>IF($E5=0,"",MAXIFS('装备总表'!$W$2:$W$263,'装备总表'!$D$2:$D$263,$A5,'装备总表'!$G$2:$G$263,$C5))</f>
        <v/>
      </c>
      <c r="I5" s="21" t="inlineStr"/>
      <c r="J5" s="22">
        <f>IF(OR($I5="",$I5=0),"",$F5/$I5)</f>
        <v/>
      </c>
      <c r="K5" s="11">
        <f>IF($J5="","",IF($J5&gt;='强度系数说明'!$B$15,"通过","低于阈值"))</f>
        <v/>
      </c>
    </row>
    <row r="6">
      <c r="A6" s="11" t="inlineStr">
        <is>
          <t>helmet</t>
        </is>
      </c>
      <c r="B6" s="11" t="inlineStr">
        <is>
          <t>头盔</t>
        </is>
      </c>
      <c r="C6" s="11" t="inlineStr">
        <is>
          <t>green</t>
        </is>
      </c>
      <c r="D6" s="11" t="inlineStr">
        <is>
          <t>优良/绿</t>
        </is>
      </c>
      <c r="E6" s="21">
        <f>COUNTIFS('装备总表'!$D$2:$D$263,$A6,'装备总表'!$G$2:$G$263,$C6)</f>
        <v/>
      </c>
      <c r="F6" s="21">
        <f>IF($E6=0,"",SUMIFS('装备总表'!$W$2:$W$263,'装备总表'!$D$2:$D$263,$A6,'装备总表'!$G$2:$G$263,$C6)/$E6)</f>
        <v/>
      </c>
      <c r="G6" s="21">
        <f>IF($E6=0,"",MINIFS('装备总表'!$W$2:$W$263,'装备总表'!$D$2:$D$263,$A6,'装备总表'!$G$2:$G$263,$C6))</f>
        <v/>
      </c>
      <c r="H6" s="21">
        <f>IF($E6=0,"",MAXIFS('装备总表'!$W$2:$W$263,'装备总表'!$D$2:$D$263,$A6,'装备总表'!$G$2:$G$263,$C6))</f>
        <v/>
      </c>
      <c r="I6" s="21">
        <f>IF(OR($A6&lt;&gt;$A5,$E5=0),"",$F5)</f>
        <v/>
      </c>
      <c r="J6" s="22">
        <f>IF(OR($I6="",$I6=0),"",$F6/$I6)</f>
        <v/>
      </c>
      <c r="K6" s="11">
        <f>IF($J6="","",IF($J6&gt;='强度系数说明'!$B$15,"通过","低于阈值"))</f>
        <v/>
      </c>
    </row>
    <row r="7">
      <c r="A7" s="11" t="inlineStr">
        <is>
          <t>helmet</t>
        </is>
      </c>
      <c r="B7" s="11" t="inlineStr">
        <is>
          <t>头盔</t>
        </is>
      </c>
      <c r="C7" s="11" t="inlineStr">
        <is>
          <t>blue</t>
        </is>
      </c>
      <c r="D7" s="11" t="inlineStr">
        <is>
          <t>稀有/蓝</t>
        </is>
      </c>
      <c r="E7" s="21">
        <f>COUNTIFS('装备总表'!$D$2:$D$263,$A7,'装备总表'!$G$2:$G$263,$C7)</f>
        <v/>
      </c>
      <c r="F7" s="21">
        <f>IF($E7=0,"",SUMIFS('装备总表'!$W$2:$W$263,'装备总表'!$D$2:$D$263,$A7,'装备总表'!$G$2:$G$263,$C7)/$E7)</f>
        <v/>
      </c>
      <c r="G7" s="21">
        <f>IF($E7=0,"",MINIFS('装备总表'!$W$2:$W$263,'装备总表'!$D$2:$D$263,$A7,'装备总表'!$G$2:$G$263,$C7))</f>
        <v/>
      </c>
      <c r="H7" s="21">
        <f>IF($E7=0,"",MAXIFS('装备总表'!$W$2:$W$263,'装备总表'!$D$2:$D$263,$A7,'装备总表'!$G$2:$G$263,$C7))</f>
        <v/>
      </c>
      <c r="I7" s="21">
        <f>IF(OR($A7&lt;&gt;$A6,$E6=0),"",$F6)</f>
        <v/>
      </c>
      <c r="J7" s="22">
        <f>IF(OR($I7="",$I7=0),"",$F7/$I7)</f>
        <v/>
      </c>
      <c r="K7" s="11">
        <f>IF($J7="","",IF($J7&gt;='强度系数说明'!$B$15,"通过","低于阈值"))</f>
        <v/>
      </c>
    </row>
    <row r="8">
      <c r="A8" s="11" t="inlineStr">
        <is>
          <t>helmet</t>
        </is>
      </c>
      <c r="B8" s="11" t="inlineStr">
        <is>
          <t>头盔</t>
        </is>
      </c>
      <c r="C8" s="11" t="inlineStr">
        <is>
          <t>purple</t>
        </is>
      </c>
      <c r="D8" s="11" t="inlineStr">
        <is>
          <t>史诗/紫</t>
        </is>
      </c>
      <c r="E8" s="21">
        <f>COUNTIFS('装备总表'!$D$2:$D$263,$A8,'装备总表'!$G$2:$G$263,$C8)</f>
        <v/>
      </c>
      <c r="F8" s="21">
        <f>IF($E8=0,"",SUMIFS('装备总表'!$W$2:$W$263,'装备总表'!$D$2:$D$263,$A8,'装备总表'!$G$2:$G$263,$C8)/$E8)</f>
        <v/>
      </c>
      <c r="G8" s="21">
        <f>IF($E8=0,"",MINIFS('装备总表'!$W$2:$W$263,'装备总表'!$D$2:$D$263,$A8,'装备总表'!$G$2:$G$263,$C8))</f>
        <v/>
      </c>
      <c r="H8" s="21">
        <f>IF($E8=0,"",MAXIFS('装备总表'!$W$2:$W$263,'装备总表'!$D$2:$D$263,$A8,'装备总表'!$G$2:$G$263,$C8))</f>
        <v/>
      </c>
      <c r="I8" s="21">
        <f>IF(OR($A8&lt;&gt;$A7,$E7=0),"",$F7)</f>
        <v/>
      </c>
      <c r="J8" s="22">
        <f>IF(OR($I8="",$I8=0),"",$F8/$I8)</f>
        <v/>
      </c>
      <c r="K8" s="11">
        <f>IF($J8="","",IF($J8&gt;='强度系数说明'!$B$15,"通过","低于阈值"))</f>
        <v/>
      </c>
    </row>
    <row r="9">
      <c r="A9" s="11" t="inlineStr">
        <is>
          <t>helmet</t>
        </is>
      </c>
      <c r="B9" s="11" t="inlineStr">
        <is>
          <t>头盔</t>
        </is>
      </c>
      <c r="C9" s="11" t="inlineStr">
        <is>
          <t>orange</t>
        </is>
      </c>
      <c r="D9" s="11" t="inlineStr">
        <is>
          <t>传说/橙</t>
        </is>
      </c>
      <c r="E9" s="21">
        <f>COUNTIFS('装备总表'!$D$2:$D$263,$A9,'装备总表'!$G$2:$G$263,$C9)</f>
        <v/>
      </c>
      <c r="F9" s="21">
        <f>IF($E9=0,"",SUMIFS('装备总表'!$W$2:$W$263,'装备总表'!$D$2:$D$263,$A9,'装备总表'!$G$2:$G$263,$C9)/$E9)</f>
        <v/>
      </c>
      <c r="G9" s="21">
        <f>IF($E9=0,"",MINIFS('装备总表'!$W$2:$W$263,'装备总表'!$D$2:$D$263,$A9,'装备总表'!$G$2:$G$263,$C9))</f>
        <v/>
      </c>
      <c r="H9" s="21">
        <f>IF($E9=0,"",MAXIFS('装备总表'!$W$2:$W$263,'装备总表'!$D$2:$D$263,$A9,'装备总表'!$G$2:$G$263,$C9))</f>
        <v/>
      </c>
      <c r="I9" s="21">
        <f>IF(OR($A9&lt;&gt;$A8,$E8=0),"",$F8)</f>
        <v/>
      </c>
      <c r="J9" s="22">
        <f>IF(OR($I9="",$I9=0),"",$F9/$I9)</f>
        <v/>
      </c>
      <c r="K9" s="11">
        <f>IF($J9="","",IF($J9&gt;='强度系数说明'!$B$15,"通过","低于阈值"))</f>
        <v/>
      </c>
    </row>
    <row r="10">
      <c r="A10" s="11" t="inlineStr">
        <is>
          <t>armor</t>
        </is>
      </c>
      <c r="B10" s="11" t="inlineStr">
        <is>
          <t>护甲</t>
        </is>
      </c>
      <c r="C10" s="11" t="inlineStr">
        <is>
          <t>black</t>
        </is>
      </c>
      <c r="D10" s="11" t="inlineStr">
        <is>
          <t>普通/白</t>
        </is>
      </c>
      <c r="E10" s="21">
        <f>COUNTIFS('装备总表'!$D$2:$D$263,$A10,'装备总表'!$G$2:$G$263,$C10)</f>
        <v/>
      </c>
      <c r="F10" s="21">
        <f>IF($E10=0,"",SUMIFS('装备总表'!$W$2:$W$263,'装备总表'!$D$2:$D$263,$A10,'装备总表'!$G$2:$G$263,$C10)/$E10)</f>
        <v/>
      </c>
      <c r="G10" s="21">
        <f>IF($E10=0,"",MINIFS('装备总表'!$W$2:$W$263,'装备总表'!$D$2:$D$263,$A10,'装备总表'!$G$2:$G$263,$C10))</f>
        <v/>
      </c>
      <c r="H10" s="21">
        <f>IF($E10=0,"",MAXIFS('装备总表'!$W$2:$W$263,'装备总表'!$D$2:$D$263,$A10,'装备总表'!$G$2:$G$263,$C10))</f>
        <v/>
      </c>
      <c r="I10" s="21">
        <f>IF(OR($A10&lt;&gt;$A9,$E9=0),"",$F9)</f>
        <v/>
      </c>
      <c r="J10" s="22">
        <f>IF(OR($I10="",$I10=0),"",$F10/$I10)</f>
        <v/>
      </c>
      <c r="K10" s="11">
        <f>IF($J10="","",IF($J10&gt;='强度系数说明'!$B$15,"通过","低于阈值"))</f>
        <v/>
      </c>
    </row>
    <row r="11">
      <c r="A11" s="11" t="inlineStr">
        <is>
          <t>armor</t>
        </is>
      </c>
      <c r="B11" s="11" t="inlineStr">
        <is>
          <t>护甲</t>
        </is>
      </c>
      <c r="C11" s="11" t="inlineStr">
        <is>
          <t>green</t>
        </is>
      </c>
      <c r="D11" s="11" t="inlineStr">
        <is>
          <t>优良/绿</t>
        </is>
      </c>
      <c r="E11" s="21">
        <f>COUNTIFS('装备总表'!$D$2:$D$263,$A11,'装备总表'!$G$2:$G$263,$C11)</f>
        <v/>
      </c>
      <c r="F11" s="21">
        <f>IF($E11=0,"",SUMIFS('装备总表'!$W$2:$W$263,'装备总表'!$D$2:$D$263,$A11,'装备总表'!$G$2:$G$263,$C11)/$E11)</f>
        <v/>
      </c>
      <c r="G11" s="21">
        <f>IF($E11=0,"",MINIFS('装备总表'!$W$2:$W$263,'装备总表'!$D$2:$D$263,$A11,'装备总表'!$G$2:$G$263,$C11))</f>
        <v/>
      </c>
      <c r="H11" s="21">
        <f>IF($E11=0,"",MAXIFS('装备总表'!$W$2:$W$263,'装备总表'!$D$2:$D$263,$A11,'装备总表'!$G$2:$G$263,$C11))</f>
        <v/>
      </c>
      <c r="I11" s="21">
        <f>IF(OR($A11&lt;&gt;$A10,$E10=0),"",$F10)</f>
        <v/>
      </c>
      <c r="J11" s="22">
        <f>IF(OR($I11="",$I11=0),"",$F11/$I11)</f>
        <v/>
      </c>
      <c r="K11" s="11">
        <f>IF($J11="","",IF($J11&gt;='强度系数说明'!$B$15,"通过","低于阈值"))</f>
        <v/>
      </c>
    </row>
    <row r="12">
      <c r="A12" s="11" t="inlineStr">
        <is>
          <t>armor</t>
        </is>
      </c>
      <c r="B12" s="11" t="inlineStr">
        <is>
          <t>护甲</t>
        </is>
      </c>
      <c r="C12" s="11" t="inlineStr">
        <is>
          <t>blue</t>
        </is>
      </c>
      <c r="D12" s="11" t="inlineStr">
        <is>
          <t>稀有/蓝</t>
        </is>
      </c>
      <c r="E12" s="21">
        <f>COUNTIFS('装备总表'!$D$2:$D$263,$A12,'装备总表'!$G$2:$G$263,$C12)</f>
        <v/>
      </c>
      <c r="F12" s="21">
        <f>IF($E12=0,"",SUMIFS('装备总表'!$W$2:$W$263,'装备总表'!$D$2:$D$263,$A12,'装备总表'!$G$2:$G$263,$C12)/$E12)</f>
        <v/>
      </c>
      <c r="G12" s="21">
        <f>IF($E12=0,"",MINIFS('装备总表'!$W$2:$W$263,'装备总表'!$D$2:$D$263,$A12,'装备总表'!$G$2:$G$263,$C12))</f>
        <v/>
      </c>
      <c r="H12" s="21">
        <f>IF($E12=0,"",MAXIFS('装备总表'!$W$2:$W$263,'装备总表'!$D$2:$D$263,$A12,'装备总表'!$G$2:$G$263,$C12))</f>
        <v/>
      </c>
      <c r="I12" s="21">
        <f>IF(OR($A12&lt;&gt;$A11,$E11=0),"",$F11)</f>
        <v/>
      </c>
      <c r="J12" s="22">
        <f>IF(OR($I12="",$I12=0),"",$F12/$I12)</f>
        <v/>
      </c>
      <c r="K12" s="11">
        <f>IF($J12="","",IF($J12&gt;='强度系数说明'!$B$15,"通过","低于阈值"))</f>
        <v/>
      </c>
    </row>
    <row r="13">
      <c r="A13" s="11" t="inlineStr">
        <is>
          <t>armor</t>
        </is>
      </c>
      <c r="B13" s="11" t="inlineStr">
        <is>
          <t>护甲</t>
        </is>
      </c>
      <c r="C13" s="11" t="inlineStr">
        <is>
          <t>purple</t>
        </is>
      </c>
      <c r="D13" s="11" t="inlineStr">
        <is>
          <t>史诗/紫</t>
        </is>
      </c>
      <c r="E13" s="21">
        <f>COUNTIFS('装备总表'!$D$2:$D$263,$A13,'装备总表'!$G$2:$G$263,$C13)</f>
        <v/>
      </c>
      <c r="F13" s="21">
        <f>IF($E13=0,"",SUMIFS('装备总表'!$W$2:$W$263,'装备总表'!$D$2:$D$263,$A13,'装备总表'!$G$2:$G$263,$C13)/$E13)</f>
        <v/>
      </c>
      <c r="G13" s="21">
        <f>IF($E13=0,"",MINIFS('装备总表'!$W$2:$W$263,'装备总表'!$D$2:$D$263,$A13,'装备总表'!$G$2:$G$263,$C13))</f>
        <v/>
      </c>
      <c r="H13" s="21">
        <f>IF($E13=0,"",MAXIFS('装备总表'!$W$2:$W$263,'装备总表'!$D$2:$D$263,$A13,'装备总表'!$G$2:$G$263,$C13))</f>
        <v/>
      </c>
      <c r="I13" s="21">
        <f>IF(OR($A13&lt;&gt;$A12,$E12=0),"",$F12)</f>
        <v/>
      </c>
      <c r="J13" s="22">
        <f>IF(OR($I13="",$I13=0),"",$F13/$I13)</f>
        <v/>
      </c>
      <c r="K13" s="11">
        <f>IF($J13="","",IF($J13&gt;='强度系数说明'!$B$15,"通过","低于阈值"))</f>
        <v/>
      </c>
    </row>
    <row r="14">
      <c r="A14" s="11" t="inlineStr">
        <is>
          <t>armor</t>
        </is>
      </c>
      <c r="B14" s="11" t="inlineStr">
        <is>
          <t>护甲</t>
        </is>
      </c>
      <c r="C14" s="11" t="inlineStr">
        <is>
          <t>orange</t>
        </is>
      </c>
      <c r="D14" s="11" t="inlineStr">
        <is>
          <t>传说/橙</t>
        </is>
      </c>
      <c r="E14" s="21">
        <f>COUNTIFS('装备总表'!$D$2:$D$263,$A14,'装备总表'!$G$2:$G$263,$C14)</f>
        <v/>
      </c>
      <c r="F14" s="21">
        <f>IF($E14=0,"",SUMIFS('装备总表'!$W$2:$W$263,'装备总表'!$D$2:$D$263,$A14,'装备总表'!$G$2:$G$263,$C14)/$E14)</f>
        <v/>
      </c>
      <c r="G14" s="21">
        <f>IF($E14=0,"",MINIFS('装备总表'!$W$2:$W$263,'装备总表'!$D$2:$D$263,$A14,'装备总表'!$G$2:$G$263,$C14))</f>
        <v/>
      </c>
      <c r="H14" s="21">
        <f>IF($E14=0,"",MAXIFS('装备总表'!$W$2:$W$263,'装备总表'!$D$2:$D$263,$A14,'装备总表'!$G$2:$G$263,$C14))</f>
        <v/>
      </c>
      <c r="I14" s="21">
        <f>IF(OR($A14&lt;&gt;$A13,$E13=0),"",$F13)</f>
        <v/>
      </c>
      <c r="J14" s="22">
        <f>IF(OR($I14="",$I14=0),"",$F14/$I14)</f>
        <v/>
      </c>
      <c r="K14" s="11">
        <f>IF($J14="","",IF($J14&gt;='强度系数说明'!$B$15,"通过","低于阈值"))</f>
        <v/>
      </c>
    </row>
    <row r="15">
      <c r="A15" s="11" t="inlineStr">
        <is>
          <t>shoes</t>
        </is>
      </c>
      <c r="B15" s="11" t="inlineStr">
        <is>
          <t>鞋履</t>
        </is>
      </c>
      <c r="C15" s="11" t="inlineStr">
        <is>
          <t>black</t>
        </is>
      </c>
      <c r="D15" s="11" t="inlineStr">
        <is>
          <t>普通/白</t>
        </is>
      </c>
      <c r="E15" s="21">
        <f>COUNTIFS('装备总表'!$D$2:$D$263,$A15,'装备总表'!$G$2:$G$263,$C15)</f>
        <v/>
      </c>
      <c r="F15" s="21">
        <f>IF($E15=0,"",SUMIFS('装备总表'!$W$2:$W$263,'装备总表'!$D$2:$D$263,$A15,'装备总表'!$G$2:$G$263,$C15)/$E15)</f>
        <v/>
      </c>
      <c r="G15" s="21">
        <f>IF($E15=0,"",MINIFS('装备总表'!$W$2:$W$263,'装备总表'!$D$2:$D$263,$A15,'装备总表'!$G$2:$G$263,$C15))</f>
        <v/>
      </c>
      <c r="H15" s="21">
        <f>IF($E15=0,"",MAXIFS('装备总表'!$W$2:$W$263,'装备总表'!$D$2:$D$263,$A15,'装备总表'!$G$2:$G$263,$C15))</f>
        <v/>
      </c>
      <c r="I15" s="21">
        <f>IF(OR($A15&lt;&gt;$A14,$E14=0),"",$F14)</f>
        <v/>
      </c>
      <c r="J15" s="22">
        <f>IF(OR($I15="",$I15=0),"",$F15/$I15)</f>
        <v/>
      </c>
      <c r="K15" s="11">
        <f>IF($J15="","",IF($J15&gt;='强度系数说明'!$B$15,"通过","低于阈值"))</f>
        <v/>
      </c>
    </row>
    <row r="16">
      <c r="A16" s="11" t="inlineStr">
        <is>
          <t>shoes</t>
        </is>
      </c>
      <c r="B16" s="11" t="inlineStr">
        <is>
          <t>鞋履</t>
        </is>
      </c>
      <c r="C16" s="11" t="inlineStr">
        <is>
          <t>green</t>
        </is>
      </c>
      <c r="D16" s="11" t="inlineStr">
        <is>
          <t>优良/绿</t>
        </is>
      </c>
      <c r="E16" s="21">
        <f>COUNTIFS('装备总表'!$D$2:$D$263,$A16,'装备总表'!$G$2:$G$263,$C16)</f>
        <v/>
      </c>
      <c r="F16" s="21">
        <f>IF($E16=0,"",SUMIFS('装备总表'!$W$2:$W$263,'装备总表'!$D$2:$D$263,$A16,'装备总表'!$G$2:$G$263,$C16)/$E16)</f>
        <v/>
      </c>
      <c r="G16" s="21">
        <f>IF($E16=0,"",MINIFS('装备总表'!$W$2:$W$263,'装备总表'!$D$2:$D$263,$A16,'装备总表'!$G$2:$G$263,$C16))</f>
        <v/>
      </c>
      <c r="H16" s="21">
        <f>IF($E16=0,"",MAXIFS('装备总表'!$W$2:$W$263,'装备总表'!$D$2:$D$263,$A16,'装备总表'!$G$2:$G$263,$C16))</f>
        <v/>
      </c>
      <c r="I16" s="21">
        <f>IF(OR($A16&lt;&gt;$A15,$E15=0),"",$F15)</f>
        <v/>
      </c>
      <c r="J16" s="22">
        <f>IF(OR($I16="",$I16=0),"",$F16/$I16)</f>
        <v/>
      </c>
      <c r="K16" s="11">
        <f>IF($J16="","",IF($J16&gt;='强度系数说明'!$B$15,"通过","低于阈值"))</f>
        <v/>
      </c>
    </row>
    <row r="17">
      <c r="A17" s="11" t="inlineStr">
        <is>
          <t>shoes</t>
        </is>
      </c>
      <c r="B17" s="11" t="inlineStr">
        <is>
          <t>鞋履</t>
        </is>
      </c>
      <c r="C17" s="11" t="inlineStr">
        <is>
          <t>blue</t>
        </is>
      </c>
      <c r="D17" s="11" t="inlineStr">
        <is>
          <t>稀有/蓝</t>
        </is>
      </c>
      <c r="E17" s="21">
        <f>COUNTIFS('装备总表'!$D$2:$D$263,$A17,'装备总表'!$G$2:$G$263,$C17)</f>
        <v/>
      </c>
      <c r="F17" s="21">
        <f>IF($E17=0,"",SUMIFS('装备总表'!$W$2:$W$263,'装备总表'!$D$2:$D$263,$A17,'装备总表'!$G$2:$G$263,$C17)/$E17)</f>
        <v/>
      </c>
      <c r="G17" s="21">
        <f>IF($E17=0,"",MINIFS('装备总表'!$W$2:$W$263,'装备总表'!$D$2:$D$263,$A17,'装备总表'!$G$2:$G$263,$C17))</f>
        <v/>
      </c>
      <c r="H17" s="21">
        <f>IF($E17=0,"",MAXIFS('装备总表'!$W$2:$W$263,'装备总表'!$D$2:$D$263,$A17,'装备总表'!$G$2:$G$263,$C17))</f>
        <v/>
      </c>
      <c r="I17" s="21">
        <f>IF(OR($A17&lt;&gt;$A16,$E16=0),"",$F16)</f>
        <v/>
      </c>
      <c r="J17" s="22">
        <f>IF(OR($I17="",$I17=0),"",$F17/$I17)</f>
        <v/>
      </c>
      <c r="K17" s="11">
        <f>IF($J17="","",IF($J17&gt;='强度系数说明'!$B$15,"通过","低于阈值"))</f>
        <v/>
      </c>
    </row>
    <row r="18">
      <c r="A18" s="11" t="inlineStr">
        <is>
          <t>shoes</t>
        </is>
      </c>
      <c r="B18" s="11" t="inlineStr">
        <is>
          <t>鞋履</t>
        </is>
      </c>
      <c r="C18" s="11" t="inlineStr">
        <is>
          <t>purple</t>
        </is>
      </c>
      <c r="D18" s="11" t="inlineStr">
        <is>
          <t>史诗/紫</t>
        </is>
      </c>
      <c r="E18" s="21">
        <f>COUNTIFS('装备总表'!$D$2:$D$263,$A18,'装备总表'!$G$2:$G$263,$C18)</f>
        <v/>
      </c>
      <c r="F18" s="21">
        <f>IF($E18=0,"",SUMIFS('装备总表'!$W$2:$W$263,'装备总表'!$D$2:$D$263,$A18,'装备总表'!$G$2:$G$263,$C18)/$E18)</f>
        <v/>
      </c>
      <c r="G18" s="21">
        <f>IF($E18=0,"",MINIFS('装备总表'!$W$2:$W$263,'装备总表'!$D$2:$D$263,$A18,'装备总表'!$G$2:$G$263,$C18))</f>
        <v/>
      </c>
      <c r="H18" s="21">
        <f>IF($E18=0,"",MAXIFS('装备总表'!$W$2:$W$263,'装备总表'!$D$2:$D$263,$A18,'装备总表'!$G$2:$G$263,$C18))</f>
        <v/>
      </c>
      <c r="I18" s="21">
        <f>IF(OR($A18&lt;&gt;$A17,$E17=0),"",$F17)</f>
        <v/>
      </c>
      <c r="J18" s="22">
        <f>IF(OR($I18="",$I18=0),"",$F18/$I18)</f>
        <v/>
      </c>
      <c r="K18" s="11">
        <f>IF($J18="","",IF($J18&gt;='强度系数说明'!$B$15,"通过","低于阈值"))</f>
        <v/>
      </c>
    </row>
    <row r="19">
      <c r="A19" s="11" t="inlineStr">
        <is>
          <t>shoes</t>
        </is>
      </c>
      <c r="B19" s="11" t="inlineStr">
        <is>
          <t>鞋履</t>
        </is>
      </c>
      <c r="C19" s="11" t="inlineStr">
        <is>
          <t>orange</t>
        </is>
      </c>
      <c r="D19" s="11" t="inlineStr">
        <is>
          <t>传说/橙</t>
        </is>
      </c>
      <c r="E19" s="21">
        <f>COUNTIFS('装备总表'!$D$2:$D$263,$A19,'装备总表'!$G$2:$G$263,$C19)</f>
        <v/>
      </c>
      <c r="F19" s="21">
        <f>IF($E19=0,"",SUMIFS('装备总表'!$W$2:$W$263,'装备总表'!$D$2:$D$263,$A19,'装备总表'!$G$2:$G$263,$C19)/$E19)</f>
        <v/>
      </c>
      <c r="G19" s="21">
        <f>IF($E19=0,"",MINIFS('装备总表'!$W$2:$W$263,'装备总表'!$D$2:$D$263,$A19,'装备总表'!$G$2:$G$263,$C19))</f>
        <v/>
      </c>
      <c r="H19" s="21">
        <f>IF($E19=0,"",MAXIFS('装备总表'!$W$2:$W$263,'装备总表'!$D$2:$D$263,$A19,'装备总表'!$G$2:$G$263,$C19))</f>
        <v/>
      </c>
      <c r="I19" s="21">
        <f>IF(OR($A19&lt;&gt;$A18,$E18=0),"",$F18)</f>
        <v/>
      </c>
      <c r="J19" s="22">
        <f>IF(OR($I19="",$I19=0),"",$F19/$I19)</f>
        <v/>
      </c>
      <c r="K19" s="11">
        <f>IF($J19="","",IF($J19&gt;='强度系数说明'!$B$15,"通过","低于阈值"))</f>
        <v/>
      </c>
    </row>
    <row r="20">
      <c r="A20" s="11" t="inlineStr">
        <is>
          <t>weapon</t>
        </is>
      </c>
      <c r="B20" s="11" t="inlineStr">
        <is>
          <t>武器</t>
        </is>
      </c>
      <c r="C20" s="11" t="inlineStr">
        <is>
          <t>black</t>
        </is>
      </c>
      <c r="D20" s="11" t="inlineStr">
        <is>
          <t>普通/白</t>
        </is>
      </c>
      <c r="E20" s="21">
        <f>COUNTIFS('装备总表'!$D$2:$D$263,$A20,'装备总表'!$G$2:$G$263,$C20)</f>
        <v/>
      </c>
      <c r="F20" s="21">
        <f>IF($E20=0,"",SUMIFS('装备总表'!$W$2:$W$263,'装备总表'!$D$2:$D$263,$A20,'装备总表'!$G$2:$G$263,$C20)/$E20)</f>
        <v/>
      </c>
      <c r="G20" s="21">
        <f>IF($E20=0,"",MINIFS('装备总表'!$W$2:$W$263,'装备总表'!$D$2:$D$263,$A20,'装备总表'!$G$2:$G$263,$C20))</f>
        <v/>
      </c>
      <c r="H20" s="21">
        <f>IF($E20=0,"",MAXIFS('装备总表'!$W$2:$W$263,'装备总表'!$D$2:$D$263,$A20,'装备总表'!$G$2:$G$263,$C20))</f>
        <v/>
      </c>
      <c r="I20" s="21">
        <f>IF(OR($A20&lt;&gt;$A19,$E19=0),"",$F19)</f>
        <v/>
      </c>
      <c r="J20" s="22">
        <f>IF(OR($I20="",$I20=0),"",$F20/$I20)</f>
        <v/>
      </c>
      <c r="K20" s="11">
        <f>IF($J20="","",IF($J20&gt;='强度系数说明'!$B$15,"通过","低于阈值"))</f>
        <v/>
      </c>
    </row>
    <row r="21">
      <c r="A21" s="11" t="inlineStr">
        <is>
          <t>weapon</t>
        </is>
      </c>
      <c r="B21" s="11" t="inlineStr">
        <is>
          <t>武器</t>
        </is>
      </c>
      <c r="C21" s="11" t="inlineStr">
        <is>
          <t>green</t>
        </is>
      </c>
      <c r="D21" s="11" t="inlineStr">
        <is>
          <t>优良/绿</t>
        </is>
      </c>
      <c r="E21" s="21">
        <f>COUNTIFS('装备总表'!$D$2:$D$263,$A21,'装备总表'!$G$2:$G$263,$C21)</f>
        <v/>
      </c>
      <c r="F21" s="21">
        <f>IF($E21=0,"",SUMIFS('装备总表'!$W$2:$W$263,'装备总表'!$D$2:$D$263,$A21,'装备总表'!$G$2:$G$263,$C21)/$E21)</f>
        <v/>
      </c>
      <c r="G21" s="21">
        <f>IF($E21=0,"",MINIFS('装备总表'!$W$2:$W$263,'装备总表'!$D$2:$D$263,$A21,'装备总表'!$G$2:$G$263,$C21))</f>
        <v/>
      </c>
      <c r="H21" s="21">
        <f>IF($E21=0,"",MAXIFS('装备总表'!$W$2:$W$263,'装备总表'!$D$2:$D$263,$A21,'装备总表'!$G$2:$G$263,$C21))</f>
        <v/>
      </c>
      <c r="I21" s="21">
        <f>IF(OR($A21&lt;&gt;$A20,$E20=0),"",$F20)</f>
        <v/>
      </c>
      <c r="J21" s="22">
        <f>IF(OR($I21="",$I21=0),"",$F21/$I21)</f>
        <v/>
      </c>
      <c r="K21" s="11">
        <f>IF($J21="","",IF($J21&gt;='强度系数说明'!$B$15,"通过","低于阈值"))</f>
        <v/>
      </c>
    </row>
    <row r="22">
      <c r="A22" s="11" t="inlineStr">
        <is>
          <t>weapon</t>
        </is>
      </c>
      <c r="B22" s="11" t="inlineStr">
        <is>
          <t>武器</t>
        </is>
      </c>
      <c r="C22" s="11" t="inlineStr">
        <is>
          <t>blue</t>
        </is>
      </c>
      <c r="D22" s="11" t="inlineStr">
        <is>
          <t>稀有/蓝</t>
        </is>
      </c>
      <c r="E22" s="21">
        <f>COUNTIFS('装备总表'!$D$2:$D$263,$A22,'装备总表'!$G$2:$G$263,$C22)</f>
        <v/>
      </c>
      <c r="F22" s="21">
        <f>IF($E22=0,"",SUMIFS('装备总表'!$W$2:$W$263,'装备总表'!$D$2:$D$263,$A22,'装备总表'!$G$2:$G$263,$C22)/$E22)</f>
        <v/>
      </c>
      <c r="G22" s="21">
        <f>IF($E22=0,"",MINIFS('装备总表'!$W$2:$W$263,'装备总表'!$D$2:$D$263,$A22,'装备总表'!$G$2:$G$263,$C22))</f>
        <v/>
      </c>
      <c r="H22" s="21">
        <f>IF($E22=0,"",MAXIFS('装备总表'!$W$2:$W$263,'装备总表'!$D$2:$D$263,$A22,'装备总表'!$G$2:$G$263,$C22))</f>
        <v/>
      </c>
      <c r="I22" s="21">
        <f>IF(OR($A22&lt;&gt;$A21,$E21=0),"",$F21)</f>
        <v/>
      </c>
      <c r="J22" s="22">
        <f>IF(OR($I22="",$I22=0),"",$F22/$I22)</f>
        <v/>
      </c>
      <c r="K22" s="11">
        <f>IF($J22="","",IF($J22&gt;='强度系数说明'!$B$15,"通过","低于阈值"))</f>
        <v/>
      </c>
    </row>
    <row r="23">
      <c r="A23" s="11" t="inlineStr">
        <is>
          <t>weapon</t>
        </is>
      </c>
      <c r="B23" s="11" t="inlineStr">
        <is>
          <t>武器</t>
        </is>
      </c>
      <c r="C23" s="11" t="inlineStr">
        <is>
          <t>purple</t>
        </is>
      </c>
      <c r="D23" s="11" t="inlineStr">
        <is>
          <t>史诗/紫</t>
        </is>
      </c>
      <c r="E23" s="21">
        <f>COUNTIFS('装备总表'!$D$2:$D$263,$A23,'装备总表'!$G$2:$G$263,$C23)</f>
        <v/>
      </c>
      <c r="F23" s="21">
        <f>IF($E23=0,"",SUMIFS('装备总表'!$W$2:$W$263,'装备总表'!$D$2:$D$263,$A23,'装备总表'!$G$2:$G$263,$C23)/$E23)</f>
        <v/>
      </c>
      <c r="G23" s="21">
        <f>IF($E23=0,"",MINIFS('装备总表'!$W$2:$W$263,'装备总表'!$D$2:$D$263,$A23,'装备总表'!$G$2:$G$263,$C23))</f>
        <v/>
      </c>
      <c r="H23" s="21">
        <f>IF($E23=0,"",MAXIFS('装备总表'!$W$2:$W$263,'装备总表'!$D$2:$D$263,$A23,'装备总表'!$G$2:$G$263,$C23))</f>
        <v/>
      </c>
      <c r="I23" s="21">
        <f>IF(OR($A23&lt;&gt;$A22,$E22=0),"",$F22)</f>
        <v/>
      </c>
      <c r="J23" s="22">
        <f>IF(OR($I23="",$I23=0),"",$F23/$I23)</f>
        <v/>
      </c>
      <c r="K23" s="11">
        <f>IF($J23="","",IF($J23&gt;='强度系数说明'!$B$15,"通过","低于阈值"))</f>
        <v/>
      </c>
    </row>
    <row r="24">
      <c r="A24" s="11" t="inlineStr">
        <is>
          <t>weapon</t>
        </is>
      </c>
      <c r="B24" s="11" t="inlineStr">
        <is>
          <t>武器</t>
        </is>
      </c>
      <c r="C24" s="11" t="inlineStr">
        <is>
          <t>orange</t>
        </is>
      </c>
      <c r="D24" s="11" t="inlineStr">
        <is>
          <t>传说/橙</t>
        </is>
      </c>
      <c r="E24" s="21">
        <f>COUNTIFS('装备总表'!$D$2:$D$263,$A24,'装备总表'!$G$2:$G$263,$C24)</f>
        <v/>
      </c>
      <c r="F24" s="21">
        <f>IF($E24=0,"",SUMIFS('装备总表'!$W$2:$W$263,'装备总表'!$D$2:$D$263,$A24,'装备总表'!$G$2:$G$263,$C24)/$E24)</f>
        <v/>
      </c>
      <c r="G24" s="21">
        <f>IF($E24=0,"",MINIFS('装备总表'!$W$2:$W$263,'装备总表'!$D$2:$D$263,$A24,'装备总表'!$G$2:$G$263,$C24))</f>
        <v/>
      </c>
      <c r="H24" s="21">
        <f>IF($E24=0,"",MAXIFS('装备总表'!$W$2:$W$263,'装备总表'!$D$2:$D$263,$A24,'装备总表'!$G$2:$G$263,$C24))</f>
        <v/>
      </c>
      <c r="I24" s="21">
        <f>IF(OR($A24&lt;&gt;$A23,$E23=0),"",$F23)</f>
        <v/>
      </c>
      <c r="J24" s="22">
        <f>IF(OR($I24="",$I24=0),"",$F24/$I24)</f>
        <v/>
      </c>
      <c r="K24" s="11">
        <f>IF($J24="","",IF($J24&gt;='强度系数说明'!$B$15,"通过","低于阈值"))</f>
        <v/>
      </c>
    </row>
    <row r="25">
      <c r="A25" s="11" t="inlineStr">
        <is>
          <t>mount</t>
        </is>
      </c>
      <c r="B25" s="11" t="inlineStr">
        <is>
          <t>坐骑</t>
        </is>
      </c>
      <c r="C25" s="11" t="inlineStr">
        <is>
          <t>black</t>
        </is>
      </c>
      <c r="D25" s="11" t="inlineStr">
        <is>
          <t>普通/白</t>
        </is>
      </c>
      <c r="E25" s="21">
        <f>COUNTIFS('装备总表'!$D$2:$D$263,$A25,'装备总表'!$G$2:$G$263,$C25)</f>
        <v/>
      </c>
      <c r="F25" s="21">
        <f>IF($E25=0,"",SUMIFS('装备总表'!$W$2:$W$263,'装备总表'!$D$2:$D$263,$A25,'装备总表'!$G$2:$G$263,$C25)/$E25)</f>
        <v/>
      </c>
      <c r="G25" s="21">
        <f>IF($E25=0,"",MINIFS('装备总表'!$W$2:$W$263,'装备总表'!$D$2:$D$263,$A25,'装备总表'!$G$2:$G$263,$C25))</f>
        <v/>
      </c>
      <c r="H25" s="21">
        <f>IF($E25=0,"",MAXIFS('装备总表'!$W$2:$W$263,'装备总表'!$D$2:$D$263,$A25,'装备总表'!$G$2:$G$263,$C25))</f>
        <v/>
      </c>
      <c r="I25" s="21">
        <f>IF(OR($A25&lt;&gt;$A24,$E24=0),"",$F24)</f>
        <v/>
      </c>
      <c r="J25" s="22">
        <f>IF(OR($I25="",$I25=0),"",$F25/$I25)</f>
        <v/>
      </c>
      <c r="K25" s="11">
        <f>IF($J25="","",IF($J25&gt;='强度系数说明'!$B$15,"通过","低于阈值"))</f>
        <v/>
      </c>
    </row>
    <row r="26">
      <c r="A26" s="11" t="inlineStr">
        <is>
          <t>mount</t>
        </is>
      </c>
      <c r="B26" s="11" t="inlineStr">
        <is>
          <t>坐骑</t>
        </is>
      </c>
      <c r="C26" s="11" t="inlineStr">
        <is>
          <t>green</t>
        </is>
      </c>
      <c r="D26" s="11" t="inlineStr">
        <is>
          <t>优良/绿</t>
        </is>
      </c>
      <c r="E26" s="21">
        <f>COUNTIFS('装备总表'!$D$2:$D$263,$A26,'装备总表'!$G$2:$G$263,$C26)</f>
        <v/>
      </c>
      <c r="F26" s="21">
        <f>IF($E26=0,"",SUMIFS('装备总表'!$W$2:$W$263,'装备总表'!$D$2:$D$263,$A26,'装备总表'!$G$2:$G$263,$C26)/$E26)</f>
        <v/>
      </c>
      <c r="G26" s="21">
        <f>IF($E26=0,"",MINIFS('装备总表'!$W$2:$W$263,'装备总表'!$D$2:$D$263,$A26,'装备总表'!$G$2:$G$263,$C26))</f>
        <v/>
      </c>
      <c r="H26" s="21">
        <f>IF($E26=0,"",MAXIFS('装备总表'!$W$2:$W$263,'装备总表'!$D$2:$D$263,$A26,'装备总表'!$G$2:$G$263,$C26))</f>
        <v/>
      </c>
      <c r="I26" s="21">
        <f>IF(OR($A26&lt;&gt;$A25,$E25=0),"",$F25)</f>
        <v/>
      </c>
      <c r="J26" s="22">
        <f>IF(OR($I26="",$I26=0),"",$F26/$I26)</f>
        <v/>
      </c>
      <c r="K26" s="11">
        <f>IF($J26="","",IF($J26&gt;='强度系数说明'!$B$15,"通过","低于阈值"))</f>
        <v/>
      </c>
    </row>
    <row r="27">
      <c r="A27" s="11" t="inlineStr">
        <is>
          <t>mount</t>
        </is>
      </c>
      <c r="B27" s="11" t="inlineStr">
        <is>
          <t>坐骑</t>
        </is>
      </c>
      <c r="C27" s="11" t="inlineStr">
        <is>
          <t>blue</t>
        </is>
      </c>
      <c r="D27" s="11" t="inlineStr">
        <is>
          <t>稀有/蓝</t>
        </is>
      </c>
      <c r="E27" s="21">
        <f>COUNTIFS('装备总表'!$D$2:$D$263,$A27,'装备总表'!$G$2:$G$263,$C27)</f>
        <v/>
      </c>
      <c r="F27" s="21">
        <f>IF($E27=0,"",SUMIFS('装备总表'!$W$2:$W$263,'装备总表'!$D$2:$D$263,$A27,'装备总表'!$G$2:$G$263,$C27)/$E27)</f>
        <v/>
      </c>
      <c r="G27" s="21">
        <f>IF($E27=0,"",MINIFS('装备总表'!$W$2:$W$263,'装备总表'!$D$2:$D$263,$A27,'装备总表'!$G$2:$G$263,$C27))</f>
        <v/>
      </c>
      <c r="H27" s="21">
        <f>IF($E27=0,"",MAXIFS('装备总表'!$W$2:$W$263,'装备总表'!$D$2:$D$263,$A27,'装备总表'!$G$2:$G$263,$C27))</f>
        <v/>
      </c>
      <c r="I27" s="21">
        <f>IF(OR($A27&lt;&gt;$A26,$E26=0),"",$F26)</f>
        <v/>
      </c>
      <c r="J27" s="22">
        <f>IF(OR($I27="",$I27=0),"",$F27/$I27)</f>
        <v/>
      </c>
      <c r="K27" s="11">
        <f>IF($J27="","",IF($J27&gt;='强度系数说明'!$B$15,"通过","低于阈值"))</f>
        <v/>
      </c>
    </row>
    <row r="28">
      <c r="A28" s="11" t="inlineStr">
        <is>
          <t>mount</t>
        </is>
      </c>
      <c r="B28" s="11" t="inlineStr">
        <is>
          <t>坐骑</t>
        </is>
      </c>
      <c r="C28" s="11" t="inlineStr">
        <is>
          <t>purple</t>
        </is>
      </c>
      <c r="D28" s="11" t="inlineStr">
        <is>
          <t>史诗/紫</t>
        </is>
      </c>
      <c r="E28" s="21">
        <f>COUNTIFS('装备总表'!$D$2:$D$263,$A28,'装备总表'!$G$2:$G$263,$C28)</f>
        <v/>
      </c>
      <c r="F28" s="21">
        <f>IF($E28=0,"",SUMIFS('装备总表'!$W$2:$W$263,'装备总表'!$D$2:$D$263,$A28,'装备总表'!$G$2:$G$263,$C28)/$E28)</f>
        <v/>
      </c>
      <c r="G28" s="21">
        <f>IF($E28=0,"",MINIFS('装备总表'!$W$2:$W$263,'装备总表'!$D$2:$D$263,$A28,'装备总表'!$G$2:$G$263,$C28))</f>
        <v/>
      </c>
      <c r="H28" s="21">
        <f>IF($E28=0,"",MAXIFS('装备总表'!$W$2:$W$263,'装备总表'!$D$2:$D$263,$A28,'装备总表'!$G$2:$G$263,$C28))</f>
        <v/>
      </c>
      <c r="I28" s="21">
        <f>IF(OR($A28&lt;&gt;$A27,$E27=0),"",$F27)</f>
        <v/>
      </c>
      <c r="J28" s="22">
        <f>IF(OR($I28="",$I28=0),"",$F28/$I28)</f>
        <v/>
      </c>
      <c r="K28" s="11">
        <f>IF($J28="","",IF($J28&gt;='强度系数说明'!$B$15,"通过","低于阈值"))</f>
        <v/>
      </c>
    </row>
    <row r="29">
      <c r="A29" s="11" t="inlineStr">
        <is>
          <t>mount</t>
        </is>
      </c>
      <c r="B29" s="11" t="inlineStr">
        <is>
          <t>坐骑</t>
        </is>
      </c>
      <c r="C29" s="11" t="inlineStr">
        <is>
          <t>orange</t>
        </is>
      </c>
      <c r="D29" s="11" t="inlineStr">
        <is>
          <t>传说/橙</t>
        </is>
      </c>
      <c r="E29" s="21">
        <f>COUNTIFS('装备总表'!$D$2:$D$263,$A29,'装备总表'!$G$2:$G$263,$C29)</f>
        <v/>
      </c>
      <c r="F29" s="21">
        <f>IF($E29=0,"",SUMIFS('装备总表'!$W$2:$W$263,'装备总表'!$D$2:$D$263,$A29,'装备总表'!$G$2:$G$263,$C29)/$E29)</f>
        <v/>
      </c>
      <c r="G29" s="21">
        <f>IF($E29=0,"",MINIFS('装备总表'!$W$2:$W$263,'装备总表'!$D$2:$D$263,$A29,'装备总表'!$G$2:$G$263,$C29))</f>
        <v/>
      </c>
      <c r="H29" s="21">
        <f>IF($E29=0,"",MAXIFS('装备总表'!$W$2:$W$263,'装备总表'!$D$2:$D$263,$A29,'装备总表'!$G$2:$G$263,$C29))</f>
        <v/>
      </c>
      <c r="I29" s="21">
        <f>IF(OR($A29&lt;&gt;$A28,$E28=0),"",$F28)</f>
        <v/>
      </c>
      <c r="J29" s="22">
        <f>IF(OR($I29="",$I29=0),"",$F29/$I29)</f>
        <v/>
      </c>
      <c r="K29" s="11">
        <f>IF($J29="","",IF($J29&gt;='强度系数说明'!$B$15,"通过","低于阈值"))</f>
        <v/>
      </c>
    </row>
    <row r="30">
      <c r="A30" s="11" t="inlineStr">
        <is>
          <t>ornament</t>
        </is>
      </c>
      <c r="B30" s="11" t="inlineStr">
        <is>
          <t>饰品</t>
        </is>
      </c>
      <c r="C30" s="11" t="inlineStr">
        <is>
          <t>black</t>
        </is>
      </c>
      <c r="D30" s="11" t="inlineStr">
        <is>
          <t>普通/白</t>
        </is>
      </c>
      <c r="E30" s="21">
        <f>COUNTIFS('装备总表'!$D$2:$D$263,$A30,'装备总表'!$G$2:$G$263,$C30)</f>
        <v/>
      </c>
      <c r="F30" s="21">
        <f>IF($E30=0,"",SUMIFS('装备总表'!$W$2:$W$263,'装备总表'!$D$2:$D$263,$A30,'装备总表'!$G$2:$G$263,$C30)/$E30)</f>
        <v/>
      </c>
      <c r="G30" s="21">
        <f>IF($E30=0,"",MINIFS('装备总表'!$W$2:$W$263,'装备总表'!$D$2:$D$263,$A30,'装备总表'!$G$2:$G$263,$C30))</f>
        <v/>
      </c>
      <c r="H30" s="21">
        <f>IF($E30=0,"",MAXIFS('装备总表'!$W$2:$W$263,'装备总表'!$D$2:$D$263,$A30,'装备总表'!$G$2:$G$263,$C30))</f>
        <v/>
      </c>
      <c r="I30" s="21">
        <f>IF(OR($A30&lt;&gt;$A29,$E29=0),"",$F29)</f>
        <v/>
      </c>
      <c r="J30" s="22">
        <f>IF(OR($I30="",$I30=0),"",$F30/$I30)</f>
        <v/>
      </c>
      <c r="K30" s="11">
        <f>IF($J30="","",IF($J30&gt;='强度系数说明'!$B$15,"通过","低于阈值"))</f>
        <v/>
      </c>
    </row>
    <row r="31">
      <c r="A31" s="11" t="inlineStr">
        <is>
          <t>ornament</t>
        </is>
      </c>
      <c r="B31" s="11" t="inlineStr">
        <is>
          <t>饰品</t>
        </is>
      </c>
      <c r="C31" s="11" t="inlineStr">
        <is>
          <t>green</t>
        </is>
      </c>
      <c r="D31" s="11" t="inlineStr">
        <is>
          <t>优良/绿</t>
        </is>
      </c>
      <c r="E31" s="21">
        <f>COUNTIFS('装备总表'!$D$2:$D$263,$A31,'装备总表'!$G$2:$G$263,$C31)</f>
        <v/>
      </c>
      <c r="F31" s="21">
        <f>IF($E31=0,"",SUMIFS('装备总表'!$W$2:$W$263,'装备总表'!$D$2:$D$263,$A31,'装备总表'!$G$2:$G$263,$C31)/$E31)</f>
        <v/>
      </c>
      <c r="G31" s="21">
        <f>IF($E31=0,"",MINIFS('装备总表'!$W$2:$W$263,'装备总表'!$D$2:$D$263,$A31,'装备总表'!$G$2:$G$263,$C31))</f>
        <v/>
      </c>
      <c r="H31" s="21">
        <f>IF($E31=0,"",MAXIFS('装备总表'!$W$2:$W$263,'装备总表'!$D$2:$D$263,$A31,'装备总表'!$G$2:$G$263,$C31))</f>
        <v/>
      </c>
      <c r="I31" s="21">
        <f>IF(OR($A31&lt;&gt;$A30,$E30=0),"",$F30)</f>
        <v/>
      </c>
      <c r="J31" s="22">
        <f>IF(OR($I31="",$I31=0),"",$F31/$I31)</f>
        <v/>
      </c>
      <c r="K31" s="11">
        <f>IF($J31="","",IF($J31&gt;='强度系数说明'!$B$15,"通过","低于阈值"))</f>
        <v/>
      </c>
    </row>
    <row r="32">
      <c r="A32" s="11" t="inlineStr">
        <is>
          <t>ornament</t>
        </is>
      </c>
      <c r="B32" s="11" t="inlineStr">
        <is>
          <t>饰品</t>
        </is>
      </c>
      <c r="C32" s="11" t="inlineStr">
        <is>
          <t>blue</t>
        </is>
      </c>
      <c r="D32" s="11" t="inlineStr">
        <is>
          <t>稀有/蓝</t>
        </is>
      </c>
      <c r="E32" s="21">
        <f>COUNTIFS('装备总表'!$D$2:$D$263,$A32,'装备总表'!$G$2:$G$263,$C32)</f>
        <v/>
      </c>
      <c r="F32" s="21">
        <f>IF($E32=0,"",SUMIFS('装备总表'!$W$2:$W$263,'装备总表'!$D$2:$D$263,$A32,'装备总表'!$G$2:$G$263,$C32)/$E32)</f>
        <v/>
      </c>
      <c r="G32" s="21">
        <f>IF($E32=0,"",MINIFS('装备总表'!$W$2:$W$263,'装备总表'!$D$2:$D$263,$A32,'装备总表'!$G$2:$G$263,$C32))</f>
        <v/>
      </c>
      <c r="H32" s="21">
        <f>IF($E32=0,"",MAXIFS('装备总表'!$W$2:$W$263,'装备总表'!$D$2:$D$263,$A32,'装备总表'!$G$2:$G$263,$C32))</f>
        <v/>
      </c>
      <c r="I32" s="21">
        <f>IF(OR($A32&lt;&gt;$A31,$E31=0),"",$F31)</f>
        <v/>
      </c>
      <c r="J32" s="22">
        <f>IF(OR($I32="",$I32=0),"",$F32/$I32)</f>
        <v/>
      </c>
      <c r="K32" s="11">
        <f>IF($J32="","",IF($J32&gt;='强度系数说明'!$B$15,"通过","低于阈值"))</f>
        <v/>
      </c>
    </row>
    <row r="33">
      <c r="A33" s="11" t="inlineStr">
        <is>
          <t>ornament</t>
        </is>
      </c>
      <c r="B33" s="11" t="inlineStr">
        <is>
          <t>饰品</t>
        </is>
      </c>
      <c r="C33" s="11" t="inlineStr">
        <is>
          <t>purple</t>
        </is>
      </c>
      <c r="D33" s="11" t="inlineStr">
        <is>
          <t>史诗/紫</t>
        </is>
      </c>
      <c r="E33" s="21">
        <f>COUNTIFS('装备总表'!$D$2:$D$263,$A33,'装备总表'!$G$2:$G$263,$C33)</f>
        <v/>
      </c>
      <c r="F33" s="21">
        <f>IF($E33=0,"",SUMIFS('装备总表'!$W$2:$W$263,'装备总表'!$D$2:$D$263,$A33,'装备总表'!$G$2:$G$263,$C33)/$E33)</f>
        <v/>
      </c>
      <c r="G33" s="21">
        <f>IF($E33=0,"",MINIFS('装备总表'!$W$2:$W$263,'装备总表'!$D$2:$D$263,$A33,'装备总表'!$G$2:$G$263,$C33))</f>
        <v/>
      </c>
      <c r="H33" s="21">
        <f>IF($E33=0,"",MAXIFS('装备总表'!$W$2:$W$263,'装备总表'!$D$2:$D$263,$A33,'装备总表'!$G$2:$G$263,$C33))</f>
        <v/>
      </c>
      <c r="I33" s="21">
        <f>IF(OR($A33&lt;&gt;$A32,$E32=0),"",$F32)</f>
        <v/>
      </c>
      <c r="J33" s="22">
        <f>IF(OR($I33="",$I33=0),"",$F33/$I33)</f>
        <v/>
      </c>
      <c r="K33" s="11">
        <f>IF($J33="","",IF($J33&gt;='强度系数说明'!$B$15,"通过","低于阈值"))</f>
        <v/>
      </c>
    </row>
    <row r="34">
      <c r="A34" s="11" t="inlineStr">
        <is>
          <t>ornament</t>
        </is>
      </c>
      <c r="B34" s="11" t="inlineStr">
        <is>
          <t>饰品</t>
        </is>
      </c>
      <c r="C34" s="11" t="inlineStr">
        <is>
          <t>orange</t>
        </is>
      </c>
      <c r="D34" s="11" t="inlineStr">
        <is>
          <t>传说/橙</t>
        </is>
      </c>
      <c r="E34" s="21">
        <f>COUNTIFS('装备总表'!$D$2:$D$263,$A34,'装备总表'!$G$2:$G$263,$C34)</f>
        <v/>
      </c>
      <c r="F34" s="21">
        <f>IF($E34=0,"",SUMIFS('装备总表'!$W$2:$W$263,'装备总表'!$D$2:$D$263,$A34,'装备总表'!$G$2:$G$263,$C34)/$E34)</f>
        <v/>
      </c>
      <c r="G34" s="21">
        <f>IF($E34=0,"",MINIFS('装备总表'!$W$2:$W$263,'装备总表'!$D$2:$D$263,$A34,'装备总表'!$G$2:$G$263,$C34))</f>
        <v/>
      </c>
      <c r="H34" s="21">
        <f>IF($E34=0,"",MAXIFS('装备总表'!$W$2:$W$263,'装备总表'!$D$2:$D$263,$A34,'装备总表'!$G$2:$G$263,$C34))</f>
        <v/>
      </c>
      <c r="I34" s="21">
        <f>IF(OR($A34&lt;&gt;$A33,$E33=0),"",$F33)</f>
        <v/>
      </c>
      <c r="J34" s="22">
        <f>IF(OR($I34="",$I34=0),"",$F34/$I34)</f>
        <v/>
      </c>
      <c r="K34" s="11">
        <f>IF($J34="","",IF($J34&gt;='强度系数说明'!$B$15,"通过","低于阈值"))</f>
        <v/>
      </c>
    </row>
    <row r="35">
      <c r="A35" s="11" t="inlineStr">
        <is>
          <t>device</t>
        </is>
      </c>
      <c r="B35" s="11" t="inlineStr">
        <is>
          <t>器械</t>
        </is>
      </c>
      <c r="C35" s="11" t="inlineStr">
        <is>
          <t>black</t>
        </is>
      </c>
      <c r="D35" s="11" t="inlineStr">
        <is>
          <t>普通/白</t>
        </is>
      </c>
      <c r="E35" s="21">
        <f>COUNTIFS('装备总表'!$D$2:$D$263,$A35,'装备总表'!$G$2:$G$263,$C35)</f>
        <v/>
      </c>
      <c r="F35" s="21">
        <f>IF($E35=0,"",SUMIFS('装备总表'!$W$2:$W$263,'装备总表'!$D$2:$D$263,$A35,'装备总表'!$G$2:$G$263,$C35)/$E35)</f>
        <v/>
      </c>
      <c r="G35" s="21">
        <f>IF($E35=0,"",MINIFS('装备总表'!$W$2:$W$263,'装备总表'!$D$2:$D$263,$A35,'装备总表'!$G$2:$G$263,$C35))</f>
        <v/>
      </c>
      <c r="H35" s="21">
        <f>IF($E35=0,"",MAXIFS('装备总表'!$W$2:$W$263,'装备总表'!$D$2:$D$263,$A35,'装备总表'!$G$2:$G$263,$C35))</f>
        <v/>
      </c>
      <c r="I35" s="21">
        <f>IF(OR($A35&lt;&gt;$A34,$E34=0),"",$F34)</f>
        <v/>
      </c>
      <c r="J35" s="22">
        <f>IF(OR($I35="",$I35=0),"",$F35/$I35)</f>
        <v/>
      </c>
      <c r="K35" s="11">
        <f>IF($J35="","",IF($J35&gt;='强度系数说明'!$B$15,"通过","低于阈值"))</f>
        <v/>
      </c>
    </row>
    <row r="36">
      <c r="A36" s="11" t="inlineStr">
        <is>
          <t>device</t>
        </is>
      </c>
      <c r="B36" s="11" t="inlineStr">
        <is>
          <t>器械</t>
        </is>
      </c>
      <c r="C36" s="11" t="inlineStr">
        <is>
          <t>green</t>
        </is>
      </c>
      <c r="D36" s="11" t="inlineStr">
        <is>
          <t>优良/绿</t>
        </is>
      </c>
      <c r="E36" s="21">
        <f>COUNTIFS('装备总表'!$D$2:$D$263,$A36,'装备总表'!$G$2:$G$263,$C36)</f>
        <v/>
      </c>
      <c r="F36" s="21">
        <f>IF($E36=0,"",SUMIFS('装备总表'!$W$2:$W$263,'装备总表'!$D$2:$D$263,$A36,'装备总表'!$G$2:$G$263,$C36)/$E36)</f>
        <v/>
      </c>
      <c r="G36" s="21">
        <f>IF($E36=0,"",MINIFS('装备总表'!$W$2:$W$263,'装备总表'!$D$2:$D$263,$A36,'装备总表'!$G$2:$G$263,$C36))</f>
        <v/>
      </c>
      <c r="H36" s="21">
        <f>IF($E36=0,"",MAXIFS('装备总表'!$W$2:$W$263,'装备总表'!$D$2:$D$263,$A36,'装备总表'!$G$2:$G$263,$C36))</f>
        <v/>
      </c>
      <c r="I36" s="21">
        <f>IF(OR($A36&lt;&gt;$A35,$E35=0),"",$F35)</f>
        <v/>
      </c>
      <c r="J36" s="22">
        <f>IF(OR($I36="",$I36=0),"",$F36/$I36)</f>
        <v/>
      </c>
      <c r="K36" s="11">
        <f>IF($J36="","",IF($J36&gt;='强度系数说明'!$B$15,"通过","低于阈值"))</f>
        <v/>
      </c>
    </row>
    <row r="37">
      <c r="A37" s="11" t="inlineStr">
        <is>
          <t>device</t>
        </is>
      </c>
      <c r="B37" s="11" t="inlineStr">
        <is>
          <t>器械</t>
        </is>
      </c>
      <c r="C37" s="11" t="inlineStr">
        <is>
          <t>blue</t>
        </is>
      </c>
      <c r="D37" s="11" t="inlineStr">
        <is>
          <t>稀有/蓝</t>
        </is>
      </c>
      <c r="E37" s="21">
        <f>COUNTIFS('装备总表'!$D$2:$D$263,$A37,'装备总表'!$G$2:$G$263,$C37)</f>
        <v/>
      </c>
      <c r="F37" s="21">
        <f>IF($E37=0,"",SUMIFS('装备总表'!$W$2:$W$263,'装备总表'!$D$2:$D$263,$A37,'装备总表'!$G$2:$G$263,$C37)/$E37)</f>
        <v/>
      </c>
      <c r="G37" s="21">
        <f>IF($E37=0,"",MINIFS('装备总表'!$W$2:$W$263,'装备总表'!$D$2:$D$263,$A37,'装备总表'!$G$2:$G$263,$C37))</f>
        <v/>
      </c>
      <c r="H37" s="21">
        <f>IF($E37=0,"",MAXIFS('装备总表'!$W$2:$W$263,'装备总表'!$D$2:$D$263,$A37,'装备总表'!$G$2:$G$263,$C37))</f>
        <v/>
      </c>
      <c r="I37" s="21">
        <f>IF(OR($A37&lt;&gt;$A36,$E36=0),"",$F36)</f>
        <v/>
      </c>
      <c r="J37" s="22">
        <f>IF(OR($I37="",$I37=0),"",$F37/$I37)</f>
        <v/>
      </c>
      <c r="K37" s="11">
        <f>IF($J37="","",IF($J37&gt;='强度系数说明'!$B$15,"通过","低于阈值"))</f>
        <v/>
      </c>
    </row>
    <row r="38">
      <c r="A38" s="11" t="inlineStr">
        <is>
          <t>device</t>
        </is>
      </c>
      <c r="B38" s="11" t="inlineStr">
        <is>
          <t>器械</t>
        </is>
      </c>
      <c r="C38" s="11" t="inlineStr">
        <is>
          <t>purple</t>
        </is>
      </c>
      <c r="D38" s="11" t="inlineStr">
        <is>
          <t>史诗/紫</t>
        </is>
      </c>
      <c r="E38" s="21">
        <f>COUNTIFS('装备总表'!$D$2:$D$263,$A38,'装备总表'!$G$2:$G$263,$C38)</f>
        <v/>
      </c>
      <c r="F38" s="21">
        <f>IF($E38=0,"",SUMIFS('装备总表'!$W$2:$W$263,'装备总表'!$D$2:$D$263,$A38,'装备总表'!$G$2:$G$263,$C38)/$E38)</f>
        <v/>
      </c>
      <c r="G38" s="21">
        <f>IF($E38=0,"",MINIFS('装备总表'!$W$2:$W$263,'装备总表'!$D$2:$D$263,$A38,'装备总表'!$G$2:$G$263,$C38))</f>
        <v/>
      </c>
      <c r="H38" s="21">
        <f>IF($E38=0,"",MAXIFS('装备总表'!$W$2:$W$263,'装备总表'!$D$2:$D$263,$A38,'装备总表'!$G$2:$G$263,$C38))</f>
        <v/>
      </c>
      <c r="I38" s="21">
        <f>IF(OR($A38&lt;&gt;$A37,$E37=0),"",$F37)</f>
        <v/>
      </c>
      <c r="J38" s="22">
        <f>IF(OR($I38="",$I38=0),"",$F38/$I38)</f>
        <v/>
      </c>
      <c r="K38" s="11">
        <f>IF($J38="","",IF($J38&gt;='强度系数说明'!$B$15,"通过","低于阈值"))</f>
        <v/>
      </c>
    </row>
    <row r="39">
      <c r="A39" s="11" t="inlineStr">
        <is>
          <t>device</t>
        </is>
      </c>
      <c r="B39" s="11" t="inlineStr">
        <is>
          <t>器械</t>
        </is>
      </c>
      <c r="C39" s="11" t="inlineStr">
        <is>
          <t>orange</t>
        </is>
      </c>
      <c r="D39" s="11" t="inlineStr">
        <is>
          <t>传说/橙</t>
        </is>
      </c>
      <c r="E39" s="21">
        <f>COUNTIFS('装备总表'!$D$2:$D$263,$A39,'装备总表'!$G$2:$G$263,$C39)</f>
        <v/>
      </c>
      <c r="F39" s="21">
        <f>IF($E39=0,"",SUMIFS('装备总表'!$W$2:$W$263,'装备总表'!$D$2:$D$263,$A39,'装备总表'!$G$2:$G$263,$C39)/$E39)</f>
        <v/>
      </c>
      <c r="G39" s="21">
        <f>IF($E39=0,"",MINIFS('装备总表'!$W$2:$W$263,'装备总表'!$D$2:$D$263,$A39,'装备总表'!$G$2:$G$263,$C39))</f>
        <v/>
      </c>
      <c r="H39" s="21">
        <f>IF($E39=0,"",MAXIFS('装备总表'!$W$2:$W$263,'装备总表'!$D$2:$D$263,$A39,'装备总表'!$G$2:$G$263,$C39))</f>
        <v/>
      </c>
      <c r="I39" s="21">
        <f>IF(OR($A39&lt;&gt;$A38,$E38=0),"",$F38)</f>
        <v/>
      </c>
      <c r="J39" s="22">
        <f>IF(OR($I39="",$I39=0),"",$F39/$I39)</f>
        <v/>
      </c>
      <c r="K39" s="11">
        <f>IF($J39="","",IF($J39&gt;='强度系数说明'!$B$15,"通过","低于阈值"))</f>
        <v/>
      </c>
    </row>
  </sheetData>
  <mergeCells count="1">
    <mergeCell ref="A1:K1"/>
  </mergeCells>
  <conditionalFormatting sqref="J5:J3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E2F0D9"/>
    <outlinePr summaryBelow="1" summaryRight="1"/>
    <pageSetUpPr fitToPage="1"/>
  </sheetPr>
  <dimension ref="A1:N1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42" customWidth="1" min="12" max="12"/>
    <col width="11" customWidth="1" min="13" max="13"/>
    <col width="90" customWidth="1" min="14" max="14"/>
  </cols>
  <sheetData>
    <row r="1" ht="26" customHeight="1">
      <c r="A1" s="8" t="inlineStr">
        <is>
          <t>装备套装效果明细</t>
        </is>
      </c>
    </row>
    <row r="2"/>
    <row r="3">
      <c r="A3" t="inlineStr">
        <is>
          <t>说明</t>
        </is>
      </c>
      <c r="B3" s="20" t="inlineStr">
        <is>
          <t>套装效果从 item_templates.yaml 的 effect_payload.set_bonus 拆分；基础单件强度评分不包含套装效果。</t>
        </is>
      </c>
    </row>
    <row r="4" ht="30" customHeight="1">
      <c r="A4" s="1" t="inlineStr">
        <is>
          <t>套装key</t>
        </is>
      </c>
      <c r="B4" s="1" t="inlineStr">
        <is>
          <t>套装描述</t>
        </is>
      </c>
      <c r="C4" s="1" t="inlineStr">
        <is>
          <t>需要件数</t>
        </is>
      </c>
      <c r="D4" s="1" t="inlineStr">
        <is>
          <t>攻击</t>
        </is>
      </c>
      <c r="E4" s="1" t="inlineStr">
        <is>
          <t>防御</t>
        </is>
      </c>
      <c r="F4" s="1" t="inlineStr">
        <is>
          <t>生命</t>
        </is>
      </c>
      <c r="G4" s="1" t="inlineStr">
        <is>
          <t>武力</t>
        </is>
      </c>
      <c r="H4" s="1" t="inlineStr">
        <is>
          <t>智力</t>
        </is>
      </c>
      <c r="I4" s="1" t="inlineStr">
        <is>
          <t>敏捷</t>
        </is>
      </c>
      <c r="J4" s="1" t="inlineStr">
        <is>
          <t>运势</t>
        </is>
      </c>
      <c r="K4" s="1" t="inlineStr">
        <is>
          <t>带兵上限</t>
        </is>
      </c>
      <c r="L4" s="1" t="inlineStr">
        <is>
          <t>套装效果(JSON)</t>
        </is>
      </c>
      <c r="M4" s="1" t="inlineStr">
        <is>
          <t>装备数量</t>
        </is>
      </c>
      <c r="N4" s="1" t="inlineStr">
        <is>
          <t>涉及装备key</t>
        </is>
      </c>
    </row>
    <row r="5">
      <c r="A5" s="11" t="inlineStr">
        <is>
          <t>kasukabe_defense_set</t>
        </is>
      </c>
      <c r="B5" s="11" t="inlineStr">
        <is>
          <t>春日部防卫队</t>
        </is>
      </c>
      <c r="C5" s="11" t="n">
        <v>2</v>
      </c>
      <c r="D5" s="11" t="n">
        <v>30</v>
      </c>
      <c r="E5" s="11" t="n">
        <v>20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inlineStr">
        <is>
          <t>{"attack":30,"defense":20}</t>
        </is>
      </c>
      <c r="M5" s="11" t="n">
        <v>5</v>
      </c>
      <c r="N5" s="11" t="inlineStr">
        <is>
          <t>equip_action_mask, equip_shiro_leash, equip_kasukabe_satchel, equip_action_beam_glove, equip_nohara_pan</t>
        </is>
      </c>
    </row>
    <row r="6">
      <c r="A6" s="11" t="inlineStr">
        <is>
          <t>kasukabe_defense_set</t>
        </is>
      </c>
      <c r="B6" s="11" t="inlineStr">
        <is>
          <t>春日部防卫队</t>
        </is>
      </c>
      <c r="C6" s="11" t="n">
        <v>4</v>
      </c>
      <c r="D6" s="11" t="n">
        <v>0</v>
      </c>
      <c r="E6" s="11" t="n">
        <v>0</v>
      </c>
      <c r="F6" s="11" t="n">
        <v>600</v>
      </c>
      <c r="G6" s="11" t="n">
        <v>0</v>
      </c>
      <c r="H6" s="11" t="n">
        <v>0</v>
      </c>
      <c r="I6" s="11" t="n">
        <v>20</v>
      </c>
      <c r="J6" s="11" t="n">
        <v>15</v>
      </c>
      <c r="K6" s="11" t="n">
        <v>0</v>
      </c>
      <c r="L6" s="11" t="inlineStr">
        <is>
          <t>{"agility":20,"hp":600,"luck":15}</t>
        </is>
      </c>
      <c r="M6" s="11" t="n">
        <v>5</v>
      </c>
      <c r="N6" s="11" t="inlineStr">
        <is>
          <t>equip_action_mask, equip_shiro_leash, equip_kasukabe_satchel, equip_action_beam_glove, equip_nohara_pan</t>
        </is>
      </c>
    </row>
    <row r="7">
      <c r="A7" s="11" t="inlineStr">
        <is>
          <t>starter_cloth_set</t>
        </is>
      </c>
      <c r="B7" s="11" t="inlineStr">
        <is>
          <t>一蓑烟雨</t>
        </is>
      </c>
      <c r="C7" s="11" t="n">
        <v>4</v>
      </c>
      <c r="D7" s="11" t="n">
        <v>0</v>
      </c>
      <c r="E7" s="11" t="n">
        <v>0</v>
      </c>
      <c r="F7" s="11" t="n">
        <v>200</v>
      </c>
      <c r="G7" s="11" t="n">
        <v>20</v>
      </c>
      <c r="H7" s="11" t="n">
        <v>0</v>
      </c>
      <c r="I7" s="11" t="n">
        <v>0</v>
      </c>
      <c r="J7" s="11" t="n">
        <v>15</v>
      </c>
      <c r="K7" s="11" t="n">
        <v>20</v>
      </c>
      <c r="L7" s="11" t="inlineStr">
        <is>
          <t>{"force":20,"hp":200,"luck":15,"troop_capacity":20}</t>
        </is>
      </c>
      <c r="M7" s="11" t="n">
        <v>4</v>
      </c>
      <c r="N7" s="11" t="inlineStr">
        <is>
          <t>equip_caomao, equip_suoyi, equip_caoxie, equip_tiejian</t>
        </is>
      </c>
    </row>
    <row r="8">
      <c r="A8" s="11" t="inlineStr">
        <is>
          <t>yeman_set</t>
        </is>
      </c>
      <c r="B8" s="11" t="inlineStr">
        <is>
          <t>野蛮套装</t>
        </is>
      </c>
      <c r="C8" s="11" t="n">
        <v>2</v>
      </c>
      <c r="D8" s="11" t="n">
        <v>0</v>
      </c>
      <c r="E8" s="11" t="n">
        <v>10</v>
      </c>
      <c r="F8" s="11" t="n">
        <v>300</v>
      </c>
      <c r="G8" s="11" t="n">
        <v>25</v>
      </c>
      <c r="H8" s="11" t="n">
        <v>0</v>
      </c>
      <c r="I8" s="11" t="n">
        <v>0</v>
      </c>
      <c r="J8" s="11" t="n">
        <v>0</v>
      </c>
      <c r="K8" s="11" t="n">
        <v>0</v>
      </c>
      <c r="L8" s="11" t="inlineStr">
        <is>
          <t>{"defense":10,"force":25,"hp":300}</t>
        </is>
      </c>
      <c r="M8" s="11" t="n">
        <v>2</v>
      </c>
      <c r="N8" s="11" t="inlineStr">
        <is>
          <t>equip_yemantoukie, equip_yemankandao</t>
        </is>
      </c>
    </row>
    <row r="9">
      <c r="A9" s="11" t="inlineStr">
        <is>
          <t>xiaowei_set</t>
        </is>
      </c>
      <c r="B9" s="11" t="inlineStr">
        <is>
          <t>校尉套装</t>
        </is>
      </c>
      <c r="C9" s="11" t="n">
        <v>4</v>
      </c>
      <c r="D9" s="11" t="n">
        <v>0</v>
      </c>
      <c r="E9" s="11" t="n">
        <v>15</v>
      </c>
      <c r="F9" s="11" t="n">
        <v>360</v>
      </c>
      <c r="G9" s="11" t="n">
        <v>40</v>
      </c>
      <c r="H9" s="11" t="n">
        <v>0</v>
      </c>
      <c r="I9" s="11" t="n">
        <v>0</v>
      </c>
      <c r="J9" s="11" t="n">
        <v>0</v>
      </c>
      <c r="K9" s="11" t="n">
        <v>100</v>
      </c>
      <c r="L9" s="11" t="inlineStr">
        <is>
          <t>{"defense":15,"force":40,"hp":360,"troop_capacity":100}</t>
        </is>
      </c>
      <c r="M9" s="11" t="n">
        <v>4</v>
      </c>
      <c r="N9" s="11" t="inlineStr">
        <is>
          <t>equip_xiaoweitoukui, equip_xiaoweikaijia, equip_xiaoweichangxue, equip_xiaoweichangjian</t>
        </is>
      </c>
    </row>
    <row r="10">
      <c r="A10" s="11" t="inlineStr">
        <is>
          <t>jiaodoushi_set</t>
        </is>
      </c>
      <c r="B10" s="11" t="inlineStr">
        <is>
          <t>角斗士套装</t>
        </is>
      </c>
      <c r="C10" s="11" t="n">
        <v>4</v>
      </c>
      <c r="D10" s="11" t="n">
        <v>0</v>
      </c>
      <c r="E10" s="11" t="n">
        <v>10</v>
      </c>
      <c r="F10" s="11" t="n">
        <v>280</v>
      </c>
      <c r="G10" s="11" t="n">
        <v>30</v>
      </c>
      <c r="H10" s="11" t="n">
        <v>0</v>
      </c>
      <c r="I10" s="11" t="n">
        <v>15</v>
      </c>
      <c r="J10" s="11" t="n">
        <v>0</v>
      </c>
      <c r="K10" s="11" t="n">
        <v>0</v>
      </c>
      <c r="L10" s="11" t="inlineStr">
        <is>
          <t>{"agility":15,"defense":10,"force":30,"hp":280}</t>
        </is>
      </c>
      <c r="M10" s="11" t="n">
        <v>4</v>
      </c>
      <c r="N10" s="11" t="inlineStr">
        <is>
          <t>equip_jiaodoushitoukui, equip_jiaodoushixiongjia, equip_jiaodoushizhixue, equip_jiaodoushizhichui</t>
        </is>
      </c>
    </row>
    <row r="11">
      <c r="A11" s="11" t="inlineStr">
        <is>
          <t>sixiang_set</t>
        </is>
      </c>
      <c r="B11" s="11" t="inlineStr">
        <is>
          <t>四象套装</t>
        </is>
      </c>
      <c r="C11" s="11" t="n">
        <v>4</v>
      </c>
      <c r="D11" s="11" t="n">
        <v>0</v>
      </c>
      <c r="E11" s="11" t="n">
        <v>0</v>
      </c>
      <c r="F11" s="11" t="n">
        <v>360</v>
      </c>
      <c r="G11" s="11" t="n">
        <v>35</v>
      </c>
      <c r="H11" s="11" t="n">
        <v>35</v>
      </c>
      <c r="I11" s="11" t="n">
        <v>20</v>
      </c>
      <c r="J11" s="11" t="n">
        <v>0</v>
      </c>
      <c r="K11" s="11" t="n">
        <v>0</v>
      </c>
      <c r="L11" s="11" t="inlineStr">
        <is>
          <t>{"agility":20,"force":35,"hp":360,"intellect":35}</t>
        </is>
      </c>
      <c r="M11" s="11" t="n">
        <v>4</v>
      </c>
      <c r="N11" s="11" t="inlineStr">
        <is>
          <t>equip_qinglongkui, equip_qinglongjia, equip_qinglongxue, equip_qinglongdao</t>
        </is>
      </c>
    </row>
    <row r="12">
      <c r="A12" s="11" t="inlineStr">
        <is>
          <t>qilin_set</t>
        </is>
      </c>
      <c r="B12" s="11" t="inlineStr">
        <is>
          <t>麒麟套装</t>
        </is>
      </c>
      <c r="C12" s="11" t="n">
        <v>4</v>
      </c>
      <c r="D12" s="11" t="n">
        <v>0</v>
      </c>
      <c r="E12" s="11" t="n">
        <v>0</v>
      </c>
      <c r="F12" s="11" t="n">
        <v>420</v>
      </c>
      <c r="G12" s="11" t="n">
        <v>38</v>
      </c>
      <c r="H12" s="11" t="n">
        <v>0</v>
      </c>
      <c r="I12" s="11" t="n">
        <v>18</v>
      </c>
      <c r="J12" s="11" t="n">
        <v>30</v>
      </c>
      <c r="K12" s="11" t="n">
        <v>0</v>
      </c>
      <c r="L12" s="11" t="inlineStr">
        <is>
          <t>{"agility":18,"force":38,"hp":420,"luck":30}</t>
        </is>
      </c>
      <c r="M12" s="11" t="n">
        <v>5</v>
      </c>
      <c r="N12" s="11" t="inlineStr">
        <is>
          <t>equip_qilinkui, equip_qilinjia, equip_qilinxue, equip_qilindao, equip_qilinzui</t>
        </is>
      </c>
    </row>
    <row r="13">
      <c r="A13" s="11" t="inlineStr">
        <is>
          <t>fengling_set</t>
        </is>
      </c>
      <c r="B13" s="11" t="inlineStr">
        <is>
          <t>凤翎套装</t>
        </is>
      </c>
      <c r="C13" s="11" t="n">
        <v>3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60</v>
      </c>
      <c r="I13" s="11" t="n">
        <v>0</v>
      </c>
      <c r="J13" s="11" t="n">
        <v>30</v>
      </c>
      <c r="K13" s="11" t="n">
        <v>0</v>
      </c>
      <c r="L13" s="11" t="inlineStr">
        <is>
          <t>{"intellect":60,"luck":30}</t>
        </is>
      </c>
      <c r="M13" s="11" t="n">
        <v>3</v>
      </c>
      <c r="N13" s="11" t="inlineStr">
        <is>
          <t>equip_fenglingguan, equip_fenglingshan, equip_fenghuangyu</t>
        </is>
      </c>
    </row>
    <row r="14">
      <c r="A14" s="11" t="inlineStr">
        <is>
          <t>xuanwu_set</t>
        </is>
      </c>
      <c r="B14" s="11" t="inlineStr">
        <is>
          <t>玄武套装</t>
        </is>
      </c>
      <c r="C14" s="11" t="n">
        <v>4</v>
      </c>
      <c r="D14" s="11" t="n">
        <v>0</v>
      </c>
      <c r="E14" s="11" t="n">
        <v>70</v>
      </c>
      <c r="F14" s="11" t="n">
        <v>260</v>
      </c>
      <c r="G14" s="11" t="n">
        <v>20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inlineStr">
        <is>
          <t>{"defense":70,"force":20,"hp":260}</t>
        </is>
      </c>
      <c r="M14" s="11" t="n">
        <v>4</v>
      </c>
      <c r="N14" s="11" t="inlineStr">
        <is>
          <t>equip_xuanwukui, equip_xuanwujia, equip_xuanwuxue, equip_xuanwuchui</t>
        </is>
      </c>
    </row>
    <row r="15">
      <c r="A15" s="11" t="inlineStr">
        <is>
          <t>nichang_set</t>
        </is>
      </c>
      <c r="B15" s="11" t="inlineStr">
        <is>
          <t>霓裳</t>
        </is>
      </c>
      <c r="C15" s="11" t="n">
        <v>3</v>
      </c>
      <c r="D15" s="11" t="n">
        <v>0</v>
      </c>
      <c r="E15" s="11" t="n">
        <v>0</v>
      </c>
      <c r="F15" s="11" t="n">
        <v>150</v>
      </c>
      <c r="G15" s="11" t="n">
        <v>0</v>
      </c>
      <c r="H15" s="11" t="n">
        <v>20</v>
      </c>
      <c r="I15" s="11" t="n">
        <v>10</v>
      </c>
      <c r="J15" s="11" t="n">
        <v>15</v>
      </c>
      <c r="K15" s="11" t="n">
        <v>0</v>
      </c>
      <c r="L15" s="11" t="inlineStr">
        <is>
          <t>{"agility":10,"hp":150,"intellect":20,"luck":15}</t>
        </is>
      </c>
      <c r="M15" s="11" t="n">
        <v>3</v>
      </c>
      <c r="N15" s="11" t="inlineStr">
        <is>
          <t>equip_nichangyuyi, equip_nichangwuxie, equip_nichangjian</t>
        </is>
      </c>
    </row>
    <row r="16">
      <c r="A16" s="11" t="inlineStr">
        <is>
          <t>huxian_set</t>
        </is>
      </c>
      <c r="B16" s="11" t="inlineStr">
        <is>
          <t>狐仙套装</t>
        </is>
      </c>
      <c r="C16" s="11" t="n">
        <v>3</v>
      </c>
      <c r="D16" s="11" t="n">
        <v>0</v>
      </c>
      <c r="E16" s="11" t="n">
        <v>0</v>
      </c>
      <c r="F16" s="11" t="n">
        <v>280</v>
      </c>
      <c r="G16" s="11" t="n">
        <v>0</v>
      </c>
      <c r="H16" s="11" t="n">
        <v>64</v>
      </c>
      <c r="I16" s="11" t="n">
        <v>0</v>
      </c>
      <c r="J16" s="11" t="n">
        <v>18</v>
      </c>
      <c r="K16" s="11" t="n">
        <v>0</v>
      </c>
      <c r="L16" s="11" t="inlineStr">
        <is>
          <t>{"hp":280,"intellect":64,"luck":18}</t>
        </is>
      </c>
      <c r="M16" s="11" t="n">
        <v>3</v>
      </c>
      <c r="N16" s="11" t="inlineStr">
        <is>
          <t>equip_huxianpao, equip_huxianxie, equip_huxianjian</t>
        </is>
      </c>
    </row>
  </sheetData>
  <mergeCells count="1">
    <mergeCell ref="A1:N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E21"/>
  <sheetViews>
    <sheetView zoomScale="9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8" customWidth="1" min="3" max="3"/>
    <col width="16" customWidth="1" min="4" max="4"/>
    <col width="16" customWidth="1" min="5" max="5"/>
  </cols>
  <sheetData>
    <row r="1" ht="26" customHeight="1">
      <c r="A1" s="8" t="inlineStr">
        <is>
          <t>装备属性核对摘要</t>
        </is>
      </c>
    </row>
    <row r="2"/>
    <row r="3">
      <c r="A3" s="9" t="inlineStr">
        <is>
          <t>生成时间</t>
        </is>
      </c>
      <c r="B3" s="23" t="inlineStr">
        <is>
          <t>2026-08-22 17:23:51 +0800</t>
        </is>
      </c>
    </row>
    <row r="4">
      <c r="A4" s="9" t="inlineStr">
        <is>
          <t>装备数据源</t>
        </is>
      </c>
      <c r="B4" s="23" t="inlineStr">
        <is>
          <t>data/item_templates.yaml（当前工作区）</t>
        </is>
      </c>
    </row>
    <row r="5">
      <c r="A5" s="9" t="inlineStr">
        <is>
          <t>锻造数据源</t>
        </is>
      </c>
      <c r="B5" s="23" t="inlineStr">
        <is>
          <t>data/forge_equipment.yaml（当前工作区）</t>
        </is>
      </c>
    </row>
    <row r="6"/>
    <row r="7">
      <c r="A7" s="15" t="inlineStr">
        <is>
          <t>核对指标</t>
        </is>
      </c>
    </row>
    <row r="8" ht="30" customHeight="1">
      <c r="A8" s="1" t="inlineStr">
        <is>
          <t>指标</t>
        </is>
      </c>
      <c r="B8" s="1" t="inlineStr">
        <is>
          <t>结果</t>
        </is>
      </c>
      <c r="C8" s="1" t="inlineStr">
        <is>
          <t>核对说明</t>
        </is>
      </c>
    </row>
    <row r="9">
      <c r="A9" s="11" t="inlineStr">
        <is>
          <t>装备总数</t>
        </is>
      </c>
      <c r="B9" s="21">
        <f>COUNTA('装备总表'!$B$2:$B$263)</f>
        <v/>
      </c>
      <c r="C9" s="11" t="inlineStr">
        <is>
          <t>应覆盖 item_templates.yaml 中全部 effect_type=equip_* 的模板</t>
        </is>
      </c>
    </row>
    <row r="10">
      <c r="A10" s="11" t="inlineStr">
        <is>
          <t>可锻造装备数</t>
        </is>
      </c>
      <c r="B10" s="21">
        <f>COUNTIF('装备总表'!$Y$2:$Y$263,"是")</f>
        <v/>
      </c>
      <c r="C10" s="11" t="inlineStr">
        <is>
          <t>仅统计存在 forge_equipment.yaml 配置的装备</t>
        </is>
      </c>
    </row>
    <row r="11">
      <c r="A11" s="11" t="inlineStr">
        <is>
          <t>套装效果条目数</t>
        </is>
      </c>
      <c r="B11" s="21">
        <f>COUNTA('套装效果'!$A$5:$A$16)</f>
        <v/>
      </c>
      <c r="C11" s="11" t="inlineStr">
        <is>
          <t>按套装阈值拆行，不是套装数量</t>
        </is>
      </c>
    </row>
    <row r="12">
      <c r="A12" s="11" t="inlineStr">
        <is>
          <t>基础强度最低值</t>
        </is>
      </c>
      <c r="B12" s="21">
        <f>MIN('装备总表'!$W$2:$W$263)</f>
        <v/>
      </c>
      <c r="C12" s="11" t="inlineStr">
        <is>
          <t>固定评分公式结果</t>
        </is>
      </c>
    </row>
    <row r="13">
      <c r="A13" s="11" t="inlineStr">
        <is>
          <t>基础强度最高值</t>
        </is>
      </c>
      <c r="B13" s="21">
        <f>MAX('装备总表'!$W$2:$W$263)</f>
        <v/>
      </c>
      <c r="C13" s="11" t="inlineStr">
        <is>
          <t>固定评分公式结果</t>
        </is>
      </c>
    </row>
    <row r="14">
      <c r="A14" s="11" t="inlineStr">
        <is>
          <t>基础强度平均值</t>
        </is>
      </c>
      <c r="B14" s="21">
        <f>AVERAGE('装备总表'!$W$2:$W$263)</f>
        <v/>
      </c>
      <c r="C14" s="11" t="inlineStr">
        <is>
          <t>固定评分公式结果</t>
        </is>
      </c>
    </row>
    <row r="15"/>
    <row r="16"/>
    <row r="17">
      <c r="A17" s="15" t="inlineStr">
        <is>
          <t>重点口径</t>
        </is>
      </c>
    </row>
    <row r="18">
      <c r="A18" s="10" t="inlineStr">
        <is>
          <t>1. 装备总表的基础强度评分是当前装备平衡测试使用的固定公式，不是最终战斗战力。</t>
        </is>
      </c>
    </row>
    <row r="19">
      <c r="A19" s="10" t="inlineStr">
        <is>
          <t>2. 动态候选 Power 是虚拟玩家装备候选选择的静态输入；动态候选权重还依赖成长阶段、角色适配和门客属性。</t>
        </is>
      </c>
    </row>
    <row r="20">
      <c r="A20" s="10" t="inlineStr">
        <is>
          <t>3. 套装效果单独列出，未混入单件基础强度评分，便于分别核对。</t>
        </is>
      </c>
    </row>
    <row r="21">
      <c r="A21" s="10" t="inlineStr">
        <is>
          <t>4. 本表由当前工作区 YAML 重新生成，未沿用已有 reports/equipment_catalog.xlsx 的历史属性值。</t>
        </is>
      </c>
    </row>
  </sheetData>
  <mergeCells count="5">
    <mergeCell ref="A21:E21"/>
    <mergeCell ref="A20:E20"/>
    <mergeCell ref="A19:E19"/>
    <mergeCell ref="A1:E1"/>
    <mergeCell ref="A18:E1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当前装备属性与强度系数核对表</dc:title>
  <dc:subject xmlns:dc="http://purl.org/dc/elements/1.1/">从当前 item_templates.yaml 和 forge_equipment.yaml 生成的装备审计表</dc:subject>
  <dcterms:created xmlns:dcterms="http://purl.org/dc/terms/" xmlns:xsi="http://www.w3.org/2001/XMLSchema-instance" xsi:type="dcterms:W3CDTF">2026-08-22T09:23:50Z</dcterms:created>
  <dcterms:modified xmlns:dcterms="http://purl.org/dc/terms/" xmlns:xsi="http://www.w3.org/2001/XMLSchema-instance" xsi:type="dcterms:W3CDTF">2026-08-22T09:23:51Z</dcterms:modified>
</cp:coreProperties>
</file>