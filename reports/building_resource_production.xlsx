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银两产出" sheetId="3" state="visible" r:id="rId3"/>
    <sheet xmlns:r="http://schemas.openxmlformats.org/officeDocument/2006/relationships" name="粮食产出" sheetId="4" state="visible" r:id="rId4"/>
  </sheets>
  <definedNames>
    <definedName name="_xlnm._FilterDatabase" localSheetId="1" hidden="1">'参数'!$A$4:$J$9</definedName>
    <definedName name="_xlnm._FilterDatabase" localSheetId="2" hidden="1">'银两产出'!$A$4:$H$74</definedName>
    <definedName name="_xlnm.Print_Titles" localSheetId="2">'银两产出'!$1:$4</definedName>
    <definedName name="_xlnm._FilterDatabase" localSheetId="3" hidden="1">'粮食产出'!$A$4:$H$74</definedName>
    <definedName name="_xlnm.Print_Titles" localSheetId="3">'粮食产出'!$1:$4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000000"/>
    <numFmt numFmtId="166" formatCode="#,##0.00;(#,##0.00)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</font>
    <font>
      <name val="Arial"/>
      <b val="1"/>
      <color rgb="00FFFFFF"/>
    </font>
    <font>
      <name val="Arial"/>
      <color rgb="000000FF"/>
    </font>
    <font>
      <name val="Arial"/>
      <color rgb="00008000"/>
    </font>
    <font>
      <name val="Arial"/>
      <color rgb="00000000"/>
    </font>
    <font>
      <name val="Arial"/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7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6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6" fillId="0" borderId="2" applyAlignment="1" pivotButton="0" quotePrefix="0" xfId="0">
      <alignment vertical="center"/>
    </xf>
    <xf numFmtId="166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E4" authorId="0" shapeId="0">
      <text>
        <t>base_rate_per_hour，单位为每小时。</t>
      </text>
    </comment>
    <comment ref="F4" authorId="0" shapeId="0">
      <text>
        <t>rate_growth；运行时按线性公式增长，不是复利。</t>
      </text>
    </comment>
    <comment ref="G4" authorId="0" shapeId="0">
      <text>
        <t>当前 BUILDING_MAX_LEVELS 中配置的可升级最高等级。</t>
      </text>
    </comment>
    <comment ref="E5" authorId="0" shapeId="0">
      <text>
        <t>Source: data/building_templates.yaml</t>
      </text>
    </comment>
    <comment ref="F5" authorId="0" shapeId="0">
      <text>
        <t>Source: data/building_templates.yaml</t>
      </text>
    </comment>
    <comment ref="G5" authorId="0" shapeId="0">
      <text>
        <t>Source: gameplay/constants.py, BUILDING_MAX_LEVELS</t>
      </text>
    </comment>
    <comment ref="E6" authorId="0" shapeId="0">
      <text>
        <t>Source: data/building_templates.yaml</t>
      </text>
    </comment>
    <comment ref="F6" authorId="0" shapeId="0">
      <text>
        <t>Source: data/building_templates.yaml</t>
      </text>
    </comment>
    <comment ref="G6" authorId="0" shapeId="0">
      <text>
        <t>Source: gameplay/constants.py, BUILDING_MAX_LEVELS</t>
      </text>
    </comment>
    <comment ref="E7" authorId="0" shapeId="0">
      <text>
        <t>Source: data/building_templates.yaml</t>
      </text>
    </comment>
    <comment ref="F7" authorId="0" shapeId="0">
      <text>
        <t>Source: data/building_templates.yaml</t>
      </text>
    </comment>
    <comment ref="G7" authorId="0" shapeId="0">
      <text>
        <t>Source: gameplay/constants.py, BUILDING_MAX_LEVELS</t>
      </text>
    </comment>
    <comment ref="E8" authorId="0" shapeId="0">
      <text>
        <t>Source: data/building_templates.yaml</t>
      </text>
    </comment>
    <comment ref="F8" authorId="0" shapeId="0">
      <text>
        <t>Source: data/building_templates.yaml</t>
      </text>
    </comment>
    <comment ref="G8" authorId="0" shapeId="0">
      <text>
        <t>Source: gameplay/constants.py, BUILDING_MAX_LEVELS</t>
      </text>
    </comment>
    <comment ref="E9" authorId="0" shapeId="0">
      <text>
        <t>Source: data/building_templates.yaml</t>
      </text>
    </comment>
    <comment ref="F9" authorId="0" shapeId="0">
      <text>
        <t>Source: data/building_templates.yaml</t>
      </text>
    </comment>
    <comment ref="G9" authorId="0" shapeId="0">
      <text>
        <t>Source: gameplay/constants.py, BUILDING_MAX_LEVELS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G4" authorId="0" shapeId="0">
      <text>
        <t>由 Excel 公式计算，引用参数表中的基础时产、增长系数和等级。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G4" authorId="0" shapeId="0">
      <text>
        <t>由 Excel 公式计算，引用参数表中的基础时产、增长系数和等级。</t>
      </text>
    </comment>
  </commentList>
</comments>
</file>

<file path=xl/tables/table1.xml><?xml version="1.0" encoding="utf-8"?>
<table xmlns="http://schemas.openxmlformats.org/spreadsheetml/2006/main" id="1" name="ProductionSummary" displayName="ProductionSummary" ref="A10:I15" headerRowCount="1">
  <autoFilter ref="A10:I15"/>
  <tableColumns count="9">
    <tableColumn id="1" name="资源"/>
    <tableColumn id="2" name="建筑名称"/>
    <tableColumn id="3" name="Key"/>
    <tableColumn id="4" name="基础时产"/>
    <tableColumn id="5" name="每级增长系数"/>
    <tableColumn id="6" name="最大等级"/>
    <tableColumn id="7" name="1级产出/小时"/>
    <tableColumn id="8" name="满级产出/小时"/>
    <tableColumn id="9" name="特殊规则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ildingProductionParameters" displayName="BuildingProductionParameters" ref="A4:J9" headerRowCount="1">
  <autoFilter ref="A4:J9"/>
  <tableColumns count="10">
    <tableColumn id="1" name="资源类型"/>
    <tableColumn id="2" name="建筑名称"/>
    <tableColumn id="3" name="Key"/>
    <tableColumn id="4" name="建筑分类"/>
    <tableColumn id="5" name="基础时产"/>
    <tableColumn id="6" name="每级增长系数"/>
    <tableColumn id="7" name="最大等级"/>
    <tableColumn id="8" name="产出规则"/>
    <tableColumn id="9" name="配置来源"/>
    <tableColumn id="10" name="等级上限来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ilverProductionDetails" displayName="SilverProductionDetails" ref="A4:H74" headerRowCount="1">
  <autoFilter ref="A4:H74"/>
  <tableColumns count="8">
    <tableColumn id="1" name="建筑名称"/>
    <tableColumn id="2" name="Key"/>
    <tableColumn id="3" name="基础时产"/>
    <tableColumn id="4" name="等级"/>
    <tableColumn id="5" name="最大等级"/>
    <tableColumn id="6" name="每级增长系数"/>
    <tableColumn id="7" name="银两产出/小时"/>
    <tableColumn id="8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rainProductionDetails" displayName="GrainProductionDetails" ref="A4:H74" headerRowCount="1">
  <autoFilter ref="A4:H74"/>
  <tableColumns count="8">
    <tableColumn id="1" name="建筑名称"/>
    <tableColumn id="2" name="Key"/>
    <tableColumn id="3" name="基础时产"/>
    <tableColumn id="4" name="等级"/>
    <tableColumn id="5" name="最大等级"/>
    <tableColumn id="6" name="每级增长系数"/>
    <tableColumn id="7" name="粮食产出/小时"/>
    <tableColumn id="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zoomScale="9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3" customWidth="1" min="4" max="4"/>
    <col width="14" customWidth="1" min="5" max="5"/>
    <col width="11" customWidth="1" min="6" max="6"/>
    <col width="16" customWidth="1" min="7" max="7"/>
    <col width="17" customWidth="1" min="8" max="8"/>
    <col width="48" customWidth="1" min="9" max="9"/>
  </cols>
  <sheetData>
    <row r="1" ht="28" customHeight="1">
      <c r="A1" s="1" t="inlineStr">
        <is>
          <t>建筑资源产出统计（当前配置）</t>
        </is>
      </c>
    </row>
    <row r="2" ht="30" customHeight="1">
      <c r="A2" s="2" t="inlineStr">
        <is>
          <t>生成日期：2026-08-13；统计对象为当前配置中基础时产大于 0 的建筑。每座建筑、每小时、未叠加科技加成。</t>
        </is>
      </c>
    </row>
    <row r="3"/>
    <row r="4">
      <c r="A4" s="3" t="inlineStr">
        <is>
          <t>统计结论</t>
        </is>
      </c>
    </row>
    <row r="5">
      <c r="A5" s="4" t="inlineStr">
        <is>
          <t>产银两建筑数</t>
        </is>
      </c>
      <c r="B5" s="5">
        <f>COUNTIF('参数'!A5:A9,"银两")+COUNTIF('参数'!C5:C9,"latrine")</f>
        <v/>
      </c>
    </row>
    <row r="6">
      <c r="A6" s="4" t="inlineStr">
        <is>
          <t>产粮食建筑数</t>
        </is>
      </c>
      <c r="B6" s="5">
        <f>COUNTIF('参数'!A5:A9,"粮食")</f>
        <v/>
      </c>
    </row>
    <row r="7">
      <c r="A7" s="4" t="inlineStr">
        <is>
          <t>口径</t>
        </is>
      </c>
      <c r="B7" s="6" t="inlineStr">
        <is>
          <t>基础建筑产出；茅厕同时产粮食和等量银两；不含科技加成。</t>
        </is>
      </c>
    </row>
    <row r="8"/>
    <row r="9"/>
    <row r="10">
      <c r="A10" s="7" t="inlineStr">
        <is>
          <t>资源</t>
        </is>
      </c>
      <c r="B10" s="7" t="inlineStr">
        <is>
          <t>建筑名称</t>
        </is>
      </c>
      <c r="C10" s="7" t="inlineStr">
        <is>
          <t>Key</t>
        </is>
      </c>
      <c r="D10" s="7" t="inlineStr">
        <is>
          <t>基础时产</t>
        </is>
      </c>
      <c r="E10" s="7" t="inlineStr">
        <is>
          <t>每级增长系数</t>
        </is>
      </c>
      <c r="F10" s="7" t="inlineStr">
        <is>
          <t>最大等级</t>
        </is>
      </c>
      <c r="G10" s="7" t="inlineStr">
        <is>
          <t>1级产出/小时</t>
        </is>
      </c>
      <c r="H10" s="7" t="inlineStr">
        <is>
          <t>满级产出/小时</t>
        </is>
      </c>
      <c r="I10" s="7" t="inlineStr">
        <is>
          <t>特殊规则</t>
        </is>
      </c>
    </row>
    <row r="11">
      <c r="A11" s="8" t="inlineStr">
        <is>
          <t>银两</t>
        </is>
      </c>
      <c r="B11" s="9">
        <f>'参数'!B6</f>
        <v/>
      </c>
      <c r="C11" s="9">
        <f>'参数'!C6</f>
        <v/>
      </c>
      <c r="D11" s="10">
        <f>'参数'!E6</f>
        <v/>
      </c>
      <c r="E11" s="11">
        <f>'参数'!F6</f>
        <v/>
      </c>
      <c r="F11" s="10">
        <f>'参数'!G6</f>
        <v/>
      </c>
      <c r="G11" s="12">
        <f>'参数'!E6</f>
        <v/>
      </c>
      <c r="H11" s="13">
        <f>'参数'!E6*(1+'参数'!F6*('参数'!G6-1))</f>
        <v/>
      </c>
      <c r="I11" s="14" t="inlineStr"/>
    </row>
    <row r="12">
      <c r="A12" s="8" t="inlineStr">
        <is>
          <t>银两</t>
        </is>
      </c>
      <c r="B12" s="9">
        <f>'参数'!B7</f>
        <v/>
      </c>
      <c r="C12" s="9">
        <f>'参数'!C7</f>
        <v/>
      </c>
      <c r="D12" s="10">
        <f>'参数'!E7</f>
        <v/>
      </c>
      <c r="E12" s="11">
        <f>'参数'!F7</f>
        <v/>
      </c>
      <c r="F12" s="10">
        <f>'参数'!G7</f>
        <v/>
      </c>
      <c r="G12" s="12">
        <f>'参数'!E7</f>
        <v/>
      </c>
      <c r="H12" s="13">
        <f>'参数'!E7*(1+'参数'!F7*('参数'!G7-1))</f>
        <v/>
      </c>
      <c r="I12" s="14" t="inlineStr"/>
    </row>
    <row r="13">
      <c r="A13" s="8" t="inlineStr">
        <is>
          <t>银两</t>
        </is>
      </c>
      <c r="B13" s="9">
        <f>'参数'!B8</f>
        <v/>
      </c>
      <c r="C13" s="9">
        <f>'参数'!C8</f>
        <v/>
      </c>
      <c r="D13" s="10">
        <f>'参数'!E8</f>
        <v/>
      </c>
      <c r="E13" s="11">
        <f>'参数'!F8</f>
        <v/>
      </c>
      <c r="F13" s="10">
        <f>'参数'!G8</f>
        <v/>
      </c>
      <c r="G13" s="12">
        <f>'参数'!E8</f>
        <v/>
      </c>
      <c r="H13" s="13">
        <f>'参数'!E8*(1+'参数'!F8*('参数'!G8-1))</f>
        <v/>
      </c>
      <c r="I13" s="14" t="inlineStr">
        <is>
          <t>配置为粮食产出；运行时额外按相同数值计入银两。</t>
        </is>
      </c>
    </row>
    <row r="14">
      <c r="A14" s="8" t="inlineStr">
        <is>
          <t>银两</t>
        </is>
      </c>
      <c r="B14" s="9">
        <f>'参数'!B9</f>
        <v/>
      </c>
      <c r="C14" s="9">
        <f>'参数'!C9</f>
        <v/>
      </c>
      <c r="D14" s="10">
        <f>'参数'!E9</f>
        <v/>
      </c>
      <c r="E14" s="11">
        <f>'参数'!F9</f>
        <v/>
      </c>
      <c r="F14" s="10">
        <f>'参数'!G9</f>
        <v/>
      </c>
      <c r="G14" s="12">
        <f>'参数'!E9</f>
        <v/>
      </c>
      <c r="H14" s="13">
        <f>'参数'!E9*(1+'参数'!F9*('参数'!G9-1))</f>
        <v/>
      </c>
      <c r="I14" s="14" t="inlineStr"/>
    </row>
    <row r="15">
      <c r="A15" s="8" t="inlineStr">
        <is>
          <t>粮食</t>
        </is>
      </c>
      <c r="B15" s="9">
        <f>'参数'!B5</f>
        <v/>
      </c>
      <c r="C15" s="9">
        <f>'参数'!C5</f>
        <v/>
      </c>
      <c r="D15" s="10">
        <f>'参数'!E5</f>
        <v/>
      </c>
      <c r="E15" s="11">
        <f>'参数'!F5</f>
        <v/>
      </c>
      <c r="F15" s="10">
        <f>'参数'!G5</f>
        <v/>
      </c>
      <c r="G15" s="12">
        <f>'参数'!E5</f>
        <v/>
      </c>
      <c r="H15" s="13">
        <f>'参数'!E5*(1+'参数'!F5*('参数'!G5-1))</f>
        <v/>
      </c>
      <c r="I15" s="14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3" customWidth="1" min="5" max="5"/>
    <col width="14" customWidth="1" min="6" max="6"/>
    <col width="11" customWidth="1" min="7" max="7"/>
    <col width="42" customWidth="1" min="8" max="8"/>
    <col width="28" customWidth="1" min="9" max="9"/>
    <col width="30" customWidth="1" min="10" max="10"/>
  </cols>
  <sheetData>
    <row r="1" ht="28" customHeight="1">
      <c r="A1" s="1" t="inlineStr">
        <is>
          <t>建筑资源产出参数（当前配置）</t>
        </is>
      </c>
    </row>
    <row r="2" ht="34" customHeight="1">
      <c r="A2" s="2" t="inlineStr">
        <is>
          <t>输入值来自 data/building_templates.yaml；最大等级来自 gameplay/constants.py 的 BUILDING_MAX_LEVELS。蓝色字体为配置输入，产出明细中的计算结果由公式生成。</t>
        </is>
      </c>
    </row>
    <row r="3"/>
    <row r="4">
      <c r="A4" s="7" t="inlineStr">
        <is>
          <t>资源类型</t>
        </is>
      </c>
      <c r="B4" s="7" t="inlineStr">
        <is>
          <t>建筑名称</t>
        </is>
      </c>
      <c r="C4" s="7" t="inlineStr">
        <is>
          <t>Key</t>
        </is>
      </c>
      <c r="D4" s="7" t="inlineStr">
        <is>
          <t>建筑分类</t>
        </is>
      </c>
      <c r="E4" s="7" t="inlineStr">
        <is>
          <t>基础时产</t>
        </is>
      </c>
      <c r="F4" s="7" t="inlineStr">
        <is>
          <t>每级增长系数</t>
        </is>
      </c>
      <c r="G4" s="7" t="inlineStr">
        <is>
          <t>最大等级</t>
        </is>
      </c>
      <c r="H4" s="7" t="inlineStr">
        <is>
          <t>产出规则</t>
        </is>
      </c>
      <c r="I4" s="7" t="inlineStr">
        <is>
          <t>配置来源</t>
        </is>
      </c>
      <c r="J4" s="7" t="inlineStr">
        <is>
          <t>等级上限来源</t>
        </is>
      </c>
    </row>
    <row r="5">
      <c r="A5" s="8" t="inlineStr">
        <is>
          <t>粮食</t>
        </is>
      </c>
      <c r="B5" s="15" t="inlineStr">
        <is>
          <t>农田</t>
        </is>
      </c>
      <c r="C5" s="15" t="inlineStr">
        <is>
          <t>farm</t>
        </is>
      </c>
      <c r="D5" s="15" t="inlineStr">
        <is>
          <t>资源生产</t>
        </is>
      </c>
      <c r="E5" s="16" t="n">
        <v>850</v>
      </c>
      <c r="F5" s="17" t="n">
        <v>0.1197551</v>
      </c>
      <c r="G5" s="16" t="n">
        <v>50</v>
      </c>
      <c r="H5" s="8" t="inlineStr">
        <is>
          <t>按建筑自身 resource_type 计入。</t>
        </is>
      </c>
      <c r="I5" s="8" t="inlineStr">
        <is>
          <t>data/building_templates.yaml</t>
        </is>
      </c>
      <c r="J5" s="8" t="inlineStr">
        <is>
          <t>gameplay/constants.py</t>
        </is>
      </c>
    </row>
    <row r="6">
      <c r="A6" s="8" t="inlineStr">
        <is>
          <t>银两</t>
        </is>
      </c>
      <c r="B6" s="15" t="inlineStr">
        <is>
          <t>税务司</t>
        </is>
      </c>
      <c r="C6" s="15" t="inlineStr">
        <is>
          <t>tax_office</t>
        </is>
      </c>
      <c r="D6" s="15" t="inlineStr">
        <is>
          <t>资源生产</t>
        </is>
      </c>
      <c r="E6" s="16" t="n">
        <v>500</v>
      </c>
      <c r="F6" s="17" t="n">
        <v>0.17</v>
      </c>
      <c r="G6" s="16" t="n">
        <v>20</v>
      </c>
      <c r="H6" s="8" t="inlineStr">
        <is>
          <t>按建筑自身 resource_type 计入。</t>
        </is>
      </c>
      <c r="I6" s="8" t="inlineStr">
        <is>
          <t>data/building_templates.yaml</t>
        </is>
      </c>
      <c r="J6" s="8" t="inlineStr">
        <is>
          <t>gameplay/constants.py</t>
        </is>
      </c>
    </row>
    <row r="7">
      <c r="A7" s="8" t="inlineStr">
        <is>
          <t>银两</t>
        </is>
      </c>
      <c r="B7" s="15" t="inlineStr">
        <is>
          <t>澡堂</t>
        </is>
      </c>
      <c r="C7" s="15" t="inlineStr">
        <is>
          <t>bathhouse</t>
        </is>
      </c>
      <c r="D7" s="15" t="inlineStr">
        <is>
          <t>资源生产</t>
        </is>
      </c>
      <c r="E7" s="16" t="n">
        <v>345</v>
      </c>
      <c r="F7" s="17" t="n">
        <v>0.1</v>
      </c>
      <c r="G7" s="16" t="n">
        <v>20</v>
      </c>
      <c r="H7" s="8" t="inlineStr">
        <is>
          <t>按建筑自身 resource_type 计入。</t>
        </is>
      </c>
      <c r="I7" s="8" t="inlineStr">
        <is>
          <t>data/building_templates.yaml</t>
        </is>
      </c>
      <c r="J7" s="8" t="inlineStr">
        <is>
          <t>gameplay/constants.py</t>
        </is>
      </c>
    </row>
    <row r="8">
      <c r="A8" s="8" t="inlineStr">
        <is>
          <t>粮食</t>
        </is>
      </c>
      <c r="B8" s="15" t="inlineStr">
        <is>
          <t>茅厕</t>
        </is>
      </c>
      <c r="C8" s="15" t="inlineStr">
        <is>
          <t>latrine</t>
        </is>
      </c>
      <c r="D8" s="15" t="inlineStr">
        <is>
          <t>资源生产</t>
        </is>
      </c>
      <c r="E8" s="16" t="n">
        <v>430</v>
      </c>
      <c r="F8" s="17" t="n">
        <v>0.15</v>
      </c>
      <c r="G8" s="16" t="n">
        <v>20</v>
      </c>
      <c r="H8" s="8" t="inlineStr">
        <is>
          <t>配置为粮食产出；运行时额外按相同数值计入银两。</t>
        </is>
      </c>
      <c r="I8" s="8" t="inlineStr">
        <is>
          <t>data/building_templates.yaml</t>
        </is>
      </c>
      <c r="J8" s="8" t="inlineStr">
        <is>
          <t>gameplay/constants.py</t>
        </is>
      </c>
    </row>
    <row r="9">
      <c r="A9" s="8" t="inlineStr">
        <is>
          <t>银两</t>
        </is>
      </c>
      <c r="B9" s="15" t="inlineStr">
        <is>
          <t>酒馆</t>
        </is>
      </c>
      <c r="C9" s="15" t="inlineStr">
        <is>
          <t>tavern</t>
        </is>
      </c>
      <c r="D9" s="15" t="inlineStr">
        <is>
          <t>人员管理</t>
        </is>
      </c>
      <c r="E9" s="16" t="n">
        <v>345</v>
      </c>
      <c r="F9" s="17" t="n">
        <v>0.211</v>
      </c>
      <c r="G9" s="16" t="n">
        <v>10</v>
      </c>
      <c r="H9" s="8" t="inlineStr">
        <is>
          <t>按建筑自身 resource_type 计入。</t>
        </is>
      </c>
      <c r="I9" s="8" t="inlineStr">
        <is>
          <t>data/building_templates.yaml</t>
        </is>
      </c>
      <c r="J9" s="8" t="inlineStr">
        <is>
          <t>gameplay/constants.py</t>
        </is>
      </c>
    </row>
  </sheetData>
  <autoFilter ref="A4:J9"/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4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9" customWidth="1" min="4" max="4"/>
    <col width="11" customWidth="1" min="5" max="5"/>
    <col width="14" customWidth="1" min="6" max="6"/>
    <col width="18" customWidth="1" min="7" max="7"/>
    <col width="46" customWidth="1" min="8" max="8"/>
  </cols>
  <sheetData>
    <row r="1" ht="28" customHeight="1">
      <c r="A1" s="1" t="inlineStr">
        <is>
          <t>银两建筑逐级产出</t>
        </is>
      </c>
    </row>
    <row r="2" ht="34" customHeight="1">
      <c r="A2" s="2" t="inlineStr">
        <is>
          <t>单位：银两/小时；按每座建筑计算，未叠加科技加成。公式：基础时产 × (1 + 每级增长系数 × (等级 - 1))。茅厕的银两产出为运行时特殊追加。</t>
        </is>
      </c>
    </row>
    <row r="3"/>
    <row r="4">
      <c r="A4" s="7" t="inlineStr">
        <is>
          <t>建筑名称</t>
        </is>
      </c>
      <c r="B4" s="7" t="inlineStr">
        <is>
          <t>Key</t>
        </is>
      </c>
      <c r="C4" s="7" t="inlineStr">
        <is>
          <t>基础时产</t>
        </is>
      </c>
      <c r="D4" s="7" t="inlineStr">
        <is>
          <t>等级</t>
        </is>
      </c>
      <c r="E4" s="7" t="inlineStr">
        <is>
          <t>最大等级</t>
        </is>
      </c>
      <c r="F4" s="7" t="inlineStr">
        <is>
          <t>每级增长系数</t>
        </is>
      </c>
      <c r="G4" s="7" t="inlineStr">
        <is>
          <t>银两产出/小时</t>
        </is>
      </c>
      <c r="H4" s="7" t="inlineStr">
        <is>
          <t>备注</t>
        </is>
      </c>
    </row>
    <row r="5">
      <c r="A5" s="18">
        <f>'参数'!B6</f>
        <v/>
      </c>
      <c r="B5" s="9">
        <f>'参数'!C6</f>
        <v/>
      </c>
      <c r="C5" s="10">
        <f>'参数'!E6</f>
        <v/>
      </c>
      <c r="D5" s="15" t="n">
        <v>1</v>
      </c>
      <c r="E5" s="10">
        <f>'参数'!G6</f>
        <v/>
      </c>
      <c r="F5" s="11">
        <f>'参数'!F6</f>
        <v/>
      </c>
      <c r="G5" s="12">
        <f>IF(D5&lt;=E5,C5*(1+F5*(D5-1)),"")</f>
        <v/>
      </c>
      <c r="H5" s="14" t="inlineStr"/>
    </row>
    <row r="6">
      <c r="A6" s="18">
        <f>'参数'!B6</f>
        <v/>
      </c>
      <c r="B6" s="9">
        <f>'参数'!C6</f>
        <v/>
      </c>
      <c r="C6" s="10">
        <f>'参数'!E6</f>
        <v/>
      </c>
      <c r="D6" s="15" t="n">
        <v>2</v>
      </c>
      <c r="E6" s="10">
        <f>'参数'!G6</f>
        <v/>
      </c>
      <c r="F6" s="11">
        <f>'参数'!F6</f>
        <v/>
      </c>
      <c r="G6" s="12">
        <f>IF(D6&lt;=E6,C6*(1+F6*(D6-1)),"")</f>
        <v/>
      </c>
      <c r="H6" s="14" t="inlineStr"/>
    </row>
    <row r="7">
      <c r="A7" s="18">
        <f>'参数'!B6</f>
        <v/>
      </c>
      <c r="B7" s="9">
        <f>'参数'!C6</f>
        <v/>
      </c>
      <c r="C7" s="10">
        <f>'参数'!E6</f>
        <v/>
      </c>
      <c r="D7" s="15" t="n">
        <v>3</v>
      </c>
      <c r="E7" s="10">
        <f>'参数'!G6</f>
        <v/>
      </c>
      <c r="F7" s="11">
        <f>'参数'!F6</f>
        <v/>
      </c>
      <c r="G7" s="12">
        <f>IF(D7&lt;=E7,C7*(1+F7*(D7-1)),"")</f>
        <v/>
      </c>
      <c r="H7" s="14" t="inlineStr"/>
    </row>
    <row r="8">
      <c r="A8" s="18">
        <f>'参数'!B6</f>
        <v/>
      </c>
      <c r="B8" s="9">
        <f>'参数'!C6</f>
        <v/>
      </c>
      <c r="C8" s="10">
        <f>'参数'!E6</f>
        <v/>
      </c>
      <c r="D8" s="15" t="n">
        <v>4</v>
      </c>
      <c r="E8" s="10">
        <f>'参数'!G6</f>
        <v/>
      </c>
      <c r="F8" s="11">
        <f>'参数'!F6</f>
        <v/>
      </c>
      <c r="G8" s="12">
        <f>IF(D8&lt;=E8,C8*(1+F8*(D8-1)),"")</f>
        <v/>
      </c>
      <c r="H8" s="14" t="inlineStr"/>
    </row>
    <row r="9">
      <c r="A9" s="18">
        <f>'参数'!B6</f>
        <v/>
      </c>
      <c r="B9" s="9">
        <f>'参数'!C6</f>
        <v/>
      </c>
      <c r="C9" s="10">
        <f>'参数'!E6</f>
        <v/>
      </c>
      <c r="D9" s="15" t="n">
        <v>5</v>
      </c>
      <c r="E9" s="10">
        <f>'参数'!G6</f>
        <v/>
      </c>
      <c r="F9" s="11">
        <f>'参数'!F6</f>
        <v/>
      </c>
      <c r="G9" s="12">
        <f>IF(D9&lt;=E9,C9*(1+F9*(D9-1)),"")</f>
        <v/>
      </c>
      <c r="H9" s="14" t="inlineStr"/>
    </row>
    <row r="10">
      <c r="A10" s="18">
        <f>'参数'!B6</f>
        <v/>
      </c>
      <c r="B10" s="9">
        <f>'参数'!C6</f>
        <v/>
      </c>
      <c r="C10" s="10">
        <f>'参数'!E6</f>
        <v/>
      </c>
      <c r="D10" s="15" t="n">
        <v>6</v>
      </c>
      <c r="E10" s="10">
        <f>'参数'!G6</f>
        <v/>
      </c>
      <c r="F10" s="11">
        <f>'参数'!F6</f>
        <v/>
      </c>
      <c r="G10" s="12">
        <f>IF(D10&lt;=E10,C10*(1+F10*(D10-1)),"")</f>
        <v/>
      </c>
      <c r="H10" s="14" t="inlineStr"/>
    </row>
    <row r="11">
      <c r="A11" s="18">
        <f>'参数'!B6</f>
        <v/>
      </c>
      <c r="B11" s="9">
        <f>'参数'!C6</f>
        <v/>
      </c>
      <c r="C11" s="10">
        <f>'参数'!E6</f>
        <v/>
      </c>
      <c r="D11" s="15" t="n">
        <v>7</v>
      </c>
      <c r="E11" s="10">
        <f>'参数'!G6</f>
        <v/>
      </c>
      <c r="F11" s="11">
        <f>'参数'!F6</f>
        <v/>
      </c>
      <c r="G11" s="12">
        <f>IF(D11&lt;=E11,C11*(1+F11*(D11-1)),"")</f>
        <v/>
      </c>
      <c r="H11" s="14" t="inlineStr"/>
    </row>
    <row r="12">
      <c r="A12" s="18">
        <f>'参数'!B6</f>
        <v/>
      </c>
      <c r="B12" s="9">
        <f>'参数'!C6</f>
        <v/>
      </c>
      <c r="C12" s="10">
        <f>'参数'!E6</f>
        <v/>
      </c>
      <c r="D12" s="15" t="n">
        <v>8</v>
      </c>
      <c r="E12" s="10">
        <f>'参数'!G6</f>
        <v/>
      </c>
      <c r="F12" s="11">
        <f>'参数'!F6</f>
        <v/>
      </c>
      <c r="G12" s="12">
        <f>IF(D12&lt;=E12,C12*(1+F12*(D12-1)),"")</f>
        <v/>
      </c>
      <c r="H12" s="14" t="inlineStr"/>
    </row>
    <row r="13">
      <c r="A13" s="18">
        <f>'参数'!B6</f>
        <v/>
      </c>
      <c r="B13" s="9">
        <f>'参数'!C6</f>
        <v/>
      </c>
      <c r="C13" s="10">
        <f>'参数'!E6</f>
        <v/>
      </c>
      <c r="D13" s="15" t="n">
        <v>9</v>
      </c>
      <c r="E13" s="10">
        <f>'参数'!G6</f>
        <v/>
      </c>
      <c r="F13" s="11">
        <f>'参数'!F6</f>
        <v/>
      </c>
      <c r="G13" s="12">
        <f>IF(D13&lt;=E13,C13*(1+F13*(D13-1)),"")</f>
        <v/>
      </c>
      <c r="H13" s="14" t="inlineStr"/>
    </row>
    <row r="14">
      <c r="A14" s="18">
        <f>'参数'!B6</f>
        <v/>
      </c>
      <c r="B14" s="9">
        <f>'参数'!C6</f>
        <v/>
      </c>
      <c r="C14" s="10">
        <f>'参数'!E6</f>
        <v/>
      </c>
      <c r="D14" s="15" t="n">
        <v>10</v>
      </c>
      <c r="E14" s="10">
        <f>'参数'!G6</f>
        <v/>
      </c>
      <c r="F14" s="11">
        <f>'参数'!F6</f>
        <v/>
      </c>
      <c r="G14" s="12">
        <f>IF(D14&lt;=E14,C14*(1+F14*(D14-1)),"")</f>
        <v/>
      </c>
      <c r="H14" s="14" t="inlineStr"/>
    </row>
    <row r="15">
      <c r="A15" s="18">
        <f>'参数'!B6</f>
        <v/>
      </c>
      <c r="B15" s="9">
        <f>'参数'!C6</f>
        <v/>
      </c>
      <c r="C15" s="10">
        <f>'参数'!E6</f>
        <v/>
      </c>
      <c r="D15" s="15" t="n">
        <v>11</v>
      </c>
      <c r="E15" s="10">
        <f>'参数'!G6</f>
        <v/>
      </c>
      <c r="F15" s="11">
        <f>'参数'!F6</f>
        <v/>
      </c>
      <c r="G15" s="12">
        <f>IF(D15&lt;=E15,C15*(1+F15*(D15-1)),"")</f>
        <v/>
      </c>
      <c r="H15" s="14" t="inlineStr"/>
    </row>
    <row r="16">
      <c r="A16" s="18">
        <f>'参数'!B6</f>
        <v/>
      </c>
      <c r="B16" s="9">
        <f>'参数'!C6</f>
        <v/>
      </c>
      <c r="C16" s="10">
        <f>'参数'!E6</f>
        <v/>
      </c>
      <c r="D16" s="15" t="n">
        <v>12</v>
      </c>
      <c r="E16" s="10">
        <f>'参数'!G6</f>
        <v/>
      </c>
      <c r="F16" s="11">
        <f>'参数'!F6</f>
        <v/>
      </c>
      <c r="G16" s="12">
        <f>IF(D16&lt;=E16,C16*(1+F16*(D16-1)),"")</f>
        <v/>
      </c>
      <c r="H16" s="14" t="inlineStr"/>
    </row>
    <row r="17">
      <c r="A17" s="18">
        <f>'参数'!B6</f>
        <v/>
      </c>
      <c r="B17" s="9">
        <f>'参数'!C6</f>
        <v/>
      </c>
      <c r="C17" s="10">
        <f>'参数'!E6</f>
        <v/>
      </c>
      <c r="D17" s="15" t="n">
        <v>13</v>
      </c>
      <c r="E17" s="10">
        <f>'参数'!G6</f>
        <v/>
      </c>
      <c r="F17" s="11">
        <f>'参数'!F6</f>
        <v/>
      </c>
      <c r="G17" s="12">
        <f>IF(D17&lt;=E17,C17*(1+F17*(D17-1)),"")</f>
        <v/>
      </c>
      <c r="H17" s="14" t="inlineStr"/>
    </row>
    <row r="18">
      <c r="A18" s="18">
        <f>'参数'!B6</f>
        <v/>
      </c>
      <c r="B18" s="9">
        <f>'参数'!C6</f>
        <v/>
      </c>
      <c r="C18" s="10">
        <f>'参数'!E6</f>
        <v/>
      </c>
      <c r="D18" s="15" t="n">
        <v>14</v>
      </c>
      <c r="E18" s="10">
        <f>'参数'!G6</f>
        <v/>
      </c>
      <c r="F18" s="11">
        <f>'参数'!F6</f>
        <v/>
      </c>
      <c r="G18" s="12">
        <f>IF(D18&lt;=E18,C18*(1+F18*(D18-1)),"")</f>
        <v/>
      </c>
      <c r="H18" s="14" t="inlineStr"/>
    </row>
    <row r="19">
      <c r="A19" s="18">
        <f>'参数'!B6</f>
        <v/>
      </c>
      <c r="B19" s="9">
        <f>'参数'!C6</f>
        <v/>
      </c>
      <c r="C19" s="10">
        <f>'参数'!E6</f>
        <v/>
      </c>
      <c r="D19" s="15" t="n">
        <v>15</v>
      </c>
      <c r="E19" s="10">
        <f>'参数'!G6</f>
        <v/>
      </c>
      <c r="F19" s="11">
        <f>'参数'!F6</f>
        <v/>
      </c>
      <c r="G19" s="12">
        <f>IF(D19&lt;=E19,C19*(1+F19*(D19-1)),"")</f>
        <v/>
      </c>
      <c r="H19" s="14" t="inlineStr"/>
    </row>
    <row r="20">
      <c r="A20" s="18">
        <f>'参数'!B6</f>
        <v/>
      </c>
      <c r="B20" s="9">
        <f>'参数'!C6</f>
        <v/>
      </c>
      <c r="C20" s="10">
        <f>'参数'!E6</f>
        <v/>
      </c>
      <c r="D20" s="15" t="n">
        <v>16</v>
      </c>
      <c r="E20" s="10">
        <f>'参数'!G6</f>
        <v/>
      </c>
      <c r="F20" s="11">
        <f>'参数'!F6</f>
        <v/>
      </c>
      <c r="G20" s="12">
        <f>IF(D20&lt;=E20,C20*(1+F20*(D20-1)),"")</f>
        <v/>
      </c>
      <c r="H20" s="14" t="inlineStr"/>
    </row>
    <row r="21">
      <c r="A21" s="18">
        <f>'参数'!B6</f>
        <v/>
      </c>
      <c r="B21" s="9">
        <f>'参数'!C6</f>
        <v/>
      </c>
      <c r="C21" s="10">
        <f>'参数'!E6</f>
        <v/>
      </c>
      <c r="D21" s="15" t="n">
        <v>17</v>
      </c>
      <c r="E21" s="10">
        <f>'参数'!G6</f>
        <v/>
      </c>
      <c r="F21" s="11">
        <f>'参数'!F6</f>
        <v/>
      </c>
      <c r="G21" s="12">
        <f>IF(D21&lt;=E21,C21*(1+F21*(D21-1)),"")</f>
        <v/>
      </c>
      <c r="H21" s="14" t="inlineStr"/>
    </row>
    <row r="22">
      <c r="A22" s="18">
        <f>'参数'!B6</f>
        <v/>
      </c>
      <c r="B22" s="9">
        <f>'参数'!C6</f>
        <v/>
      </c>
      <c r="C22" s="10">
        <f>'参数'!E6</f>
        <v/>
      </c>
      <c r="D22" s="15" t="n">
        <v>18</v>
      </c>
      <c r="E22" s="10">
        <f>'参数'!G6</f>
        <v/>
      </c>
      <c r="F22" s="11">
        <f>'参数'!F6</f>
        <v/>
      </c>
      <c r="G22" s="12">
        <f>IF(D22&lt;=E22,C22*(1+F22*(D22-1)),"")</f>
        <v/>
      </c>
      <c r="H22" s="14" t="inlineStr"/>
    </row>
    <row r="23">
      <c r="A23" s="18">
        <f>'参数'!B6</f>
        <v/>
      </c>
      <c r="B23" s="9">
        <f>'参数'!C6</f>
        <v/>
      </c>
      <c r="C23" s="10">
        <f>'参数'!E6</f>
        <v/>
      </c>
      <c r="D23" s="15" t="n">
        <v>19</v>
      </c>
      <c r="E23" s="10">
        <f>'参数'!G6</f>
        <v/>
      </c>
      <c r="F23" s="11">
        <f>'参数'!F6</f>
        <v/>
      </c>
      <c r="G23" s="12">
        <f>IF(D23&lt;=E23,C23*(1+F23*(D23-1)),"")</f>
        <v/>
      </c>
      <c r="H23" s="14" t="inlineStr"/>
    </row>
    <row r="24">
      <c r="A24" s="18">
        <f>'参数'!B6</f>
        <v/>
      </c>
      <c r="B24" s="9">
        <f>'参数'!C6</f>
        <v/>
      </c>
      <c r="C24" s="10">
        <f>'参数'!E6</f>
        <v/>
      </c>
      <c r="D24" s="15" t="n">
        <v>20</v>
      </c>
      <c r="E24" s="10">
        <f>'参数'!G6</f>
        <v/>
      </c>
      <c r="F24" s="11">
        <f>'参数'!F6</f>
        <v/>
      </c>
      <c r="G24" s="12">
        <f>IF(D24&lt;=E24,C24*(1+F24*(D24-1)),"")</f>
        <v/>
      </c>
      <c r="H24" s="14" t="inlineStr"/>
    </row>
    <row r="25">
      <c r="A25" s="18">
        <f>'参数'!B7</f>
        <v/>
      </c>
      <c r="B25" s="9">
        <f>'参数'!C7</f>
        <v/>
      </c>
      <c r="C25" s="10">
        <f>'参数'!E7</f>
        <v/>
      </c>
      <c r="D25" s="15" t="n">
        <v>1</v>
      </c>
      <c r="E25" s="10">
        <f>'参数'!G7</f>
        <v/>
      </c>
      <c r="F25" s="11">
        <f>'参数'!F7</f>
        <v/>
      </c>
      <c r="G25" s="12">
        <f>IF(D25&lt;=E25,C25*(1+F25*(D25-1)),"")</f>
        <v/>
      </c>
      <c r="H25" s="14" t="inlineStr"/>
    </row>
    <row r="26">
      <c r="A26" s="18">
        <f>'参数'!B7</f>
        <v/>
      </c>
      <c r="B26" s="9">
        <f>'参数'!C7</f>
        <v/>
      </c>
      <c r="C26" s="10">
        <f>'参数'!E7</f>
        <v/>
      </c>
      <c r="D26" s="15" t="n">
        <v>2</v>
      </c>
      <c r="E26" s="10">
        <f>'参数'!G7</f>
        <v/>
      </c>
      <c r="F26" s="11">
        <f>'参数'!F7</f>
        <v/>
      </c>
      <c r="G26" s="12">
        <f>IF(D26&lt;=E26,C26*(1+F26*(D26-1)),"")</f>
        <v/>
      </c>
      <c r="H26" s="14" t="inlineStr"/>
    </row>
    <row r="27">
      <c r="A27" s="18">
        <f>'参数'!B7</f>
        <v/>
      </c>
      <c r="B27" s="9">
        <f>'参数'!C7</f>
        <v/>
      </c>
      <c r="C27" s="10">
        <f>'参数'!E7</f>
        <v/>
      </c>
      <c r="D27" s="15" t="n">
        <v>3</v>
      </c>
      <c r="E27" s="10">
        <f>'参数'!G7</f>
        <v/>
      </c>
      <c r="F27" s="11">
        <f>'参数'!F7</f>
        <v/>
      </c>
      <c r="G27" s="12">
        <f>IF(D27&lt;=E27,C27*(1+F27*(D27-1)),"")</f>
        <v/>
      </c>
      <c r="H27" s="14" t="inlineStr"/>
    </row>
    <row r="28">
      <c r="A28" s="18">
        <f>'参数'!B7</f>
        <v/>
      </c>
      <c r="B28" s="9">
        <f>'参数'!C7</f>
        <v/>
      </c>
      <c r="C28" s="10">
        <f>'参数'!E7</f>
        <v/>
      </c>
      <c r="D28" s="15" t="n">
        <v>4</v>
      </c>
      <c r="E28" s="10">
        <f>'参数'!G7</f>
        <v/>
      </c>
      <c r="F28" s="11">
        <f>'参数'!F7</f>
        <v/>
      </c>
      <c r="G28" s="12">
        <f>IF(D28&lt;=E28,C28*(1+F28*(D28-1)),"")</f>
        <v/>
      </c>
      <c r="H28" s="14" t="inlineStr"/>
    </row>
    <row r="29">
      <c r="A29" s="18">
        <f>'参数'!B7</f>
        <v/>
      </c>
      <c r="B29" s="9">
        <f>'参数'!C7</f>
        <v/>
      </c>
      <c r="C29" s="10">
        <f>'参数'!E7</f>
        <v/>
      </c>
      <c r="D29" s="15" t="n">
        <v>5</v>
      </c>
      <c r="E29" s="10">
        <f>'参数'!G7</f>
        <v/>
      </c>
      <c r="F29" s="11">
        <f>'参数'!F7</f>
        <v/>
      </c>
      <c r="G29" s="12">
        <f>IF(D29&lt;=E29,C29*(1+F29*(D29-1)),"")</f>
        <v/>
      </c>
      <c r="H29" s="14" t="inlineStr"/>
    </row>
    <row r="30">
      <c r="A30" s="18">
        <f>'参数'!B7</f>
        <v/>
      </c>
      <c r="B30" s="9">
        <f>'参数'!C7</f>
        <v/>
      </c>
      <c r="C30" s="10">
        <f>'参数'!E7</f>
        <v/>
      </c>
      <c r="D30" s="15" t="n">
        <v>6</v>
      </c>
      <c r="E30" s="10">
        <f>'参数'!G7</f>
        <v/>
      </c>
      <c r="F30" s="11">
        <f>'参数'!F7</f>
        <v/>
      </c>
      <c r="G30" s="12">
        <f>IF(D30&lt;=E30,C30*(1+F30*(D30-1)),"")</f>
        <v/>
      </c>
      <c r="H30" s="14" t="inlineStr"/>
    </row>
    <row r="31">
      <c r="A31" s="18">
        <f>'参数'!B7</f>
        <v/>
      </c>
      <c r="B31" s="9">
        <f>'参数'!C7</f>
        <v/>
      </c>
      <c r="C31" s="10">
        <f>'参数'!E7</f>
        <v/>
      </c>
      <c r="D31" s="15" t="n">
        <v>7</v>
      </c>
      <c r="E31" s="10">
        <f>'参数'!G7</f>
        <v/>
      </c>
      <c r="F31" s="11">
        <f>'参数'!F7</f>
        <v/>
      </c>
      <c r="G31" s="12">
        <f>IF(D31&lt;=E31,C31*(1+F31*(D31-1)),"")</f>
        <v/>
      </c>
      <c r="H31" s="14" t="inlineStr"/>
    </row>
    <row r="32">
      <c r="A32" s="18">
        <f>'参数'!B7</f>
        <v/>
      </c>
      <c r="B32" s="9">
        <f>'参数'!C7</f>
        <v/>
      </c>
      <c r="C32" s="10">
        <f>'参数'!E7</f>
        <v/>
      </c>
      <c r="D32" s="15" t="n">
        <v>8</v>
      </c>
      <c r="E32" s="10">
        <f>'参数'!G7</f>
        <v/>
      </c>
      <c r="F32" s="11">
        <f>'参数'!F7</f>
        <v/>
      </c>
      <c r="G32" s="12">
        <f>IF(D32&lt;=E32,C32*(1+F32*(D32-1)),"")</f>
        <v/>
      </c>
      <c r="H32" s="14" t="inlineStr"/>
    </row>
    <row r="33">
      <c r="A33" s="18">
        <f>'参数'!B7</f>
        <v/>
      </c>
      <c r="B33" s="9">
        <f>'参数'!C7</f>
        <v/>
      </c>
      <c r="C33" s="10">
        <f>'参数'!E7</f>
        <v/>
      </c>
      <c r="D33" s="15" t="n">
        <v>9</v>
      </c>
      <c r="E33" s="10">
        <f>'参数'!G7</f>
        <v/>
      </c>
      <c r="F33" s="11">
        <f>'参数'!F7</f>
        <v/>
      </c>
      <c r="G33" s="12">
        <f>IF(D33&lt;=E33,C33*(1+F33*(D33-1)),"")</f>
        <v/>
      </c>
      <c r="H33" s="14" t="inlineStr"/>
    </row>
    <row r="34">
      <c r="A34" s="18">
        <f>'参数'!B7</f>
        <v/>
      </c>
      <c r="B34" s="9">
        <f>'参数'!C7</f>
        <v/>
      </c>
      <c r="C34" s="10">
        <f>'参数'!E7</f>
        <v/>
      </c>
      <c r="D34" s="15" t="n">
        <v>10</v>
      </c>
      <c r="E34" s="10">
        <f>'参数'!G7</f>
        <v/>
      </c>
      <c r="F34" s="11">
        <f>'参数'!F7</f>
        <v/>
      </c>
      <c r="G34" s="12">
        <f>IF(D34&lt;=E34,C34*(1+F34*(D34-1)),"")</f>
        <v/>
      </c>
      <c r="H34" s="14" t="inlineStr"/>
    </row>
    <row r="35">
      <c r="A35" s="18">
        <f>'参数'!B7</f>
        <v/>
      </c>
      <c r="B35" s="9">
        <f>'参数'!C7</f>
        <v/>
      </c>
      <c r="C35" s="10">
        <f>'参数'!E7</f>
        <v/>
      </c>
      <c r="D35" s="15" t="n">
        <v>11</v>
      </c>
      <c r="E35" s="10">
        <f>'参数'!G7</f>
        <v/>
      </c>
      <c r="F35" s="11">
        <f>'参数'!F7</f>
        <v/>
      </c>
      <c r="G35" s="12">
        <f>IF(D35&lt;=E35,C35*(1+F35*(D35-1)),"")</f>
        <v/>
      </c>
      <c r="H35" s="14" t="inlineStr"/>
    </row>
    <row r="36">
      <c r="A36" s="18">
        <f>'参数'!B7</f>
        <v/>
      </c>
      <c r="B36" s="9">
        <f>'参数'!C7</f>
        <v/>
      </c>
      <c r="C36" s="10">
        <f>'参数'!E7</f>
        <v/>
      </c>
      <c r="D36" s="15" t="n">
        <v>12</v>
      </c>
      <c r="E36" s="10">
        <f>'参数'!G7</f>
        <v/>
      </c>
      <c r="F36" s="11">
        <f>'参数'!F7</f>
        <v/>
      </c>
      <c r="G36" s="12">
        <f>IF(D36&lt;=E36,C36*(1+F36*(D36-1)),"")</f>
        <v/>
      </c>
      <c r="H36" s="14" t="inlineStr"/>
    </row>
    <row r="37">
      <c r="A37" s="18">
        <f>'参数'!B7</f>
        <v/>
      </c>
      <c r="B37" s="9">
        <f>'参数'!C7</f>
        <v/>
      </c>
      <c r="C37" s="10">
        <f>'参数'!E7</f>
        <v/>
      </c>
      <c r="D37" s="15" t="n">
        <v>13</v>
      </c>
      <c r="E37" s="10">
        <f>'参数'!G7</f>
        <v/>
      </c>
      <c r="F37" s="11">
        <f>'参数'!F7</f>
        <v/>
      </c>
      <c r="G37" s="12">
        <f>IF(D37&lt;=E37,C37*(1+F37*(D37-1)),"")</f>
        <v/>
      </c>
      <c r="H37" s="14" t="inlineStr"/>
    </row>
    <row r="38">
      <c r="A38" s="18">
        <f>'参数'!B7</f>
        <v/>
      </c>
      <c r="B38" s="9">
        <f>'参数'!C7</f>
        <v/>
      </c>
      <c r="C38" s="10">
        <f>'参数'!E7</f>
        <v/>
      </c>
      <c r="D38" s="15" t="n">
        <v>14</v>
      </c>
      <c r="E38" s="10">
        <f>'参数'!G7</f>
        <v/>
      </c>
      <c r="F38" s="11">
        <f>'参数'!F7</f>
        <v/>
      </c>
      <c r="G38" s="12">
        <f>IF(D38&lt;=E38,C38*(1+F38*(D38-1)),"")</f>
        <v/>
      </c>
      <c r="H38" s="14" t="inlineStr"/>
    </row>
    <row r="39">
      <c r="A39" s="18">
        <f>'参数'!B7</f>
        <v/>
      </c>
      <c r="B39" s="9">
        <f>'参数'!C7</f>
        <v/>
      </c>
      <c r="C39" s="10">
        <f>'参数'!E7</f>
        <v/>
      </c>
      <c r="D39" s="15" t="n">
        <v>15</v>
      </c>
      <c r="E39" s="10">
        <f>'参数'!G7</f>
        <v/>
      </c>
      <c r="F39" s="11">
        <f>'参数'!F7</f>
        <v/>
      </c>
      <c r="G39" s="12">
        <f>IF(D39&lt;=E39,C39*(1+F39*(D39-1)),"")</f>
        <v/>
      </c>
      <c r="H39" s="14" t="inlineStr"/>
    </row>
    <row r="40">
      <c r="A40" s="18">
        <f>'参数'!B7</f>
        <v/>
      </c>
      <c r="B40" s="9">
        <f>'参数'!C7</f>
        <v/>
      </c>
      <c r="C40" s="10">
        <f>'参数'!E7</f>
        <v/>
      </c>
      <c r="D40" s="15" t="n">
        <v>16</v>
      </c>
      <c r="E40" s="10">
        <f>'参数'!G7</f>
        <v/>
      </c>
      <c r="F40" s="11">
        <f>'参数'!F7</f>
        <v/>
      </c>
      <c r="G40" s="12">
        <f>IF(D40&lt;=E40,C40*(1+F40*(D40-1)),"")</f>
        <v/>
      </c>
      <c r="H40" s="14" t="inlineStr"/>
    </row>
    <row r="41">
      <c r="A41" s="18">
        <f>'参数'!B7</f>
        <v/>
      </c>
      <c r="B41" s="9">
        <f>'参数'!C7</f>
        <v/>
      </c>
      <c r="C41" s="10">
        <f>'参数'!E7</f>
        <v/>
      </c>
      <c r="D41" s="15" t="n">
        <v>17</v>
      </c>
      <c r="E41" s="10">
        <f>'参数'!G7</f>
        <v/>
      </c>
      <c r="F41" s="11">
        <f>'参数'!F7</f>
        <v/>
      </c>
      <c r="G41" s="12">
        <f>IF(D41&lt;=E41,C41*(1+F41*(D41-1)),"")</f>
        <v/>
      </c>
      <c r="H41" s="14" t="inlineStr"/>
    </row>
    <row r="42">
      <c r="A42" s="18">
        <f>'参数'!B7</f>
        <v/>
      </c>
      <c r="B42" s="9">
        <f>'参数'!C7</f>
        <v/>
      </c>
      <c r="C42" s="10">
        <f>'参数'!E7</f>
        <v/>
      </c>
      <c r="D42" s="15" t="n">
        <v>18</v>
      </c>
      <c r="E42" s="10">
        <f>'参数'!G7</f>
        <v/>
      </c>
      <c r="F42" s="11">
        <f>'参数'!F7</f>
        <v/>
      </c>
      <c r="G42" s="12">
        <f>IF(D42&lt;=E42,C42*(1+F42*(D42-1)),"")</f>
        <v/>
      </c>
      <c r="H42" s="14" t="inlineStr"/>
    </row>
    <row r="43">
      <c r="A43" s="18">
        <f>'参数'!B7</f>
        <v/>
      </c>
      <c r="B43" s="9">
        <f>'参数'!C7</f>
        <v/>
      </c>
      <c r="C43" s="10">
        <f>'参数'!E7</f>
        <v/>
      </c>
      <c r="D43" s="15" t="n">
        <v>19</v>
      </c>
      <c r="E43" s="10">
        <f>'参数'!G7</f>
        <v/>
      </c>
      <c r="F43" s="11">
        <f>'参数'!F7</f>
        <v/>
      </c>
      <c r="G43" s="12">
        <f>IF(D43&lt;=E43,C43*(1+F43*(D43-1)),"")</f>
        <v/>
      </c>
      <c r="H43" s="14" t="inlineStr"/>
    </row>
    <row r="44">
      <c r="A44" s="18">
        <f>'参数'!B7</f>
        <v/>
      </c>
      <c r="B44" s="9">
        <f>'参数'!C7</f>
        <v/>
      </c>
      <c r="C44" s="10">
        <f>'参数'!E7</f>
        <v/>
      </c>
      <c r="D44" s="15" t="n">
        <v>20</v>
      </c>
      <c r="E44" s="10">
        <f>'参数'!G7</f>
        <v/>
      </c>
      <c r="F44" s="11">
        <f>'参数'!F7</f>
        <v/>
      </c>
      <c r="G44" s="12">
        <f>IF(D44&lt;=E44,C44*(1+F44*(D44-1)),"")</f>
        <v/>
      </c>
      <c r="H44" s="14" t="inlineStr"/>
    </row>
    <row r="45">
      <c r="A45" s="18">
        <f>'参数'!B8</f>
        <v/>
      </c>
      <c r="B45" s="9">
        <f>'参数'!C8</f>
        <v/>
      </c>
      <c r="C45" s="10">
        <f>'参数'!E8</f>
        <v/>
      </c>
      <c r="D45" s="15" t="n">
        <v>1</v>
      </c>
      <c r="E45" s="10">
        <f>'参数'!G8</f>
        <v/>
      </c>
      <c r="F45" s="11">
        <f>'参数'!F8</f>
        <v/>
      </c>
      <c r="G45" s="12">
        <f>IF(D45&lt;=E45,C45*(1+F45*(D45-1)),"")</f>
        <v/>
      </c>
      <c r="H45" s="14" t="inlineStr">
        <is>
          <t>配置为粮食产出；运行时额外按相同数值计入银两。</t>
        </is>
      </c>
    </row>
    <row r="46">
      <c r="A46" s="18">
        <f>'参数'!B8</f>
        <v/>
      </c>
      <c r="B46" s="9">
        <f>'参数'!C8</f>
        <v/>
      </c>
      <c r="C46" s="10">
        <f>'参数'!E8</f>
        <v/>
      </c>
      <c r="D46" s="15" t="n">
        <v>2</v>
      </c>
      <c r="E46" s="10">
        <f>'参数'!G8</f>
        <v/>
      </c>
      <c r="F46" s="11">
        <f>'参数'!F8</f>
        <v/>
      </c>
      <c r="G46" s="12">
        <f>IF(D46&lt;=E46,C46*(1+F46*(D46-1)),"")</f>
        <v/>
      </c>
      <c r="H46" s="14" t="inlineStr">
        <is>
          <t>配置为粮食产出；运行时额外按相同数值计入银两。</t>
        </is>
      </c>
    </row>
    <row r="47">
      <c r="A47" s="18">
        <f>'参数'!B8</f>
        <v/>
      </c>
      <c r="B47" s="9">
        <f>'参数'!C8</f>
        <v/>
      </c>
      <c r="C47" s="10">
        <f>'参数'!E8</f>
        <v/>
      </c>
      <c r="D47" s="15" t="n">
        <v>3</v>
      </c>
      <c r="E47" s="10">
        <f>'参数'!G8</f>
        <v/>
      </c>
      <c r="F47" s="11">
        <f>'参数'!F8</f>
        <v/>
      </c>
      <c r="G47" s="12">
        <f>IF(D47&lt;=E47,C47*(1+F47*(D47-1)),"")</f>
        <v/>
      </c>
      <c r="H47" s="14" t="inlineStr">
        <is>
          <t>配置为粮食产出；运行时额外按相同数值计入银两。</t>
        </is>
      </c>
    </row>
    <row r="48">
      <c r="A48" s="18">
        <f>'参数'!B8</f>
        <v/>
      </c>
      <c r="B48" s="9">
        <f>'参数'!C8</f>
        <v/>
      </c>
      <c r="C48" s="10">
        <f>'参数'!E8</f>
        <v/>
      </c>
      <c r="D48" s="15" t="n">
        <v>4</v>
      </c>
      <c r="E48" s="10">
        <f>'参数'!G8</f>
        <v/>
      </c>
      <c r="F48" s="11">
        <f>'参数'!F8</f>
        <v/>
      </c>
      <c r="G48" s="12">
        <f>IF(D48&lt;=E48,C48*(1+F48*(D48-1)),"")</f>
        <v/>
      </c>
      <c r="H48" s="14" t="inlineStr">
        <is>
          <t>配置为粮食产出；运行时额外按相同数值计入银两。</t>
        </is>
      </c>
    </row>
    <row r="49">
      <c r="A49" s="18">
        <f>'参数'!B8</f>
        <v/>
      </c>
      <c r="B49" s="9">
        <f>'参数'!C8</f>
        <v/>
      </c>
      <c r="C49" s="10">
        <f>'参数'!E8</f>
        <v/>
      </c>
      <c r="D49" s="15" t="n">
        <v>5</v>
      </c>
      <c r="E49" s="10">
        <f>'参数'!G8</f>
        <v/>
      </c>
      <c r="F49" s="11">
        <f>'参数'!F8</f>
        <v/>
      </c>
      <c r="G49" s="12">
        <f>IF(D49&lt;=E49,C49*(1+F49*(D49-1)),"")</f>
        <v/>
      </c>
      <c r="H49" s="14" t="inlineStr">
        <is>
          <t>配置为粮食产出；运行时额外按相同数值计入银两。</t>
        </is>
      </c>
    </row>
    <row r="50">
      <c r="A50" s="18">
        <f>'参数'!B8</f>
        <v/>
      </c>
      <c r="B50" s="9">
        <f>'参数'!C8</f>
        <v/>
      </c>
      <c r="C50" s="10">
        <f>'参数'!E8</f>
        <v/>
      </c>
      <c r="D50" s="15" t="n">
        <v>6</v>
      </c>
      <c r="E50" s="10">
        <f>'参数'!G8</f>
        <v/>
      </c>
      <c r="F50" s="11">
        <f>'参数'!F8</f>
        <v/>
      </c>
      <c r="G50" s="12">
        <f>IF(D50&lt;=E50,C50*(1+F50*(D50-1)),"")</f>
        <v/>
      </c>
      <c r="H50" s="14" t="inlineStr">
        <is>
          <t>配置为粮食产出；运行时额外按相同数值计入银两。</t>
        </is>
      </c>
    </row>
    <row r="51">
      <c r="A51" s="18">
        <f>'参数'!B8</f>
        <v/>
      </c>
      <c r="B51" s="9">
        <f>'参数'!C8</f>
        <v/>
      </c>
      <c r="C51" s="10">
        <f>'参数'!E8</f>
        <v/>
      </c>
      <c r="D51" s="15" t="n">
        <v>7</v>
      </c>
      <c r="E51" s="10">
        <f>'参数'!G8</f>
        <v/>
      </c>
      <c r="F51" s="11">
        <f>'参数'!F8</f>
        <v/>
      </c>
      <c r="G51" s="12">
        <f>IF(D51&lt;=E51,C51*(1+F51*(D51-1)),"")</f>
        <v/>
      </c>
      <c r="H51" s="14" t="inlineStr">
        <is>
          <t>配置为粮食产出；运行时额外按相同数值计入银两。</t>
        </is>
      </c>
    </row>
    <row r="52">
      <c r="A52" s="18">
        <f>'参数'!B8</f>
        <v/>
      </c>
      <c r="B52" s="9">
        <f>'参数'!C8</f>
        <v/>
      </c>
      <c r="C52" s="10">
        <f>'参数'!E8</f>
        <v/>
      </c>
      <c r="D52" s="15" t="n">
        <v>8</v>
      </c>
      <c r="E52" s="10">
        <f>'参数'!G8</f>
        <v/>
      </c>
      <c r="F52" s="11">
        <f>'参数'!F8</f>
        <v/>
      </c>
      <c r="G52" s="12">
        <f>IF(D52&lt;=E52,C52*(1+F52*(D52-1)),"")</f>
        <v/>
      </c>
      <c r="H52" s="14" t="inlineStr">
        <is>
          <t>配置为粮食产出；运行时额外按相同数值计入银两。</t>
        </is>
      </c>
    </row>
    <row r="53">
      <c r="A53" s="18">
        <f>'参数'!B8</f>
        <v/>
      </c>
      <c r="B53" s="9">
        <f>'参数'!C8</f>
        <v/>
      </c>
      <c r="C53" s="10">
        <f>'参数'!E8</f>
        <v/>
      </c>
      <c r="D53" s="15" t="n">
        <v>9</v>
      </c>
      <c r="E53" s="10">
        <f>'参数'!G8</f>
        <v/>
      </c>
      <c r="F53" s="11">
        <f>'参数'!F8</f>
        <v/>
      </c>
      <c r="G53" s="12">
        <f>IF(D53&lt;=E53,C53*(1+F53*(D53-1)),"")</f>
        <v/>
      </c>
      <c r="H53" s="14" t="inlineStr">
        <is>
          <t>配置为粮食产出；运行时额外按相同数值计入银两。</t>
        </is>
      </c>
    </row>
    <row r="54">
      <c r="A54" s="18">
        <f>'参数'!B8</f>
        <v/>
      </c>
      <c r="B54" s="9">
        <f>'参数'!C8</f>
        <v/>
      </c>
      <c r="C54" s="10">
        <f>'参数'!E8</f>
        <v/>
      </c>
      <c r="D54" s="15" t="n">
        <v>10</v>
      </c>
      <c r="E54" s="10">
        <f>'参数'!G8</f>
        <v/>
      </c>
      <c r="F54" s="11">
        <f>'参数'!F8</f>
        <v/>
      </c>
      <c r="G54" s="12">
        <f>IF(D54&lt;=E54,C54*(1+F54*(D54-1)),"")</f>
        <v/>
      </c>
      <c r="H54" s="14" t="inlineStr">
        <is>
          <t>配置为粮食产出；运行时额外按相同数值计入银两。</t>
        </is>
      </c>
    </row>
    <row r="55">
      <c r="A55" s="18">
        <f>'参数'!B8</f>
        <v/>
      </c>
      <c r="B55" s="9">
        <f>'参数'!C8</f>
        <v/>
      </c>
      <c r="C55" s="10">
        <f>'参数'!E8</f>
        <v/>
      </c>
      <c r="D55" s="15" t="n">
        <v>11</v>
      </c>
      <c r="E55" s="10">
        <f>'参数'!G8</f>
        <v/>
      </c>
      <c r="F55" s="11">
        <f>'参数'!F8</f>
        <v/>
      </c>
      <c r="G55" s="12">
        <f>IF(D55&lt;=E55,C55*(1+F55*(D55-1)),"")</f>
        <v/>
      </c>
      <c r="H55" s="14" t="inlineStr">
        <is>
          <t>配置为粮食产出；运行时额外按相同数值计入银两。</t>
        </is>
      </c>
    </row>
    <row r="56">
      <c r="A56" s="18">
        <f>'参数'!B8</f>
        <v/>
      </c>
      <c r="B56" s="9">
        <f>'参数'!C8</f>
        <v/>
      </c>
      <c r="C56" s="10">
        <f>'参数'!E8</f>
        <v/>
      </c>
      <c r="D56" s="15" t="n">
        <v>12</v>
      </c>
      <c r="E56" s="10">
        <f>'参数'!G8</f>
        <v/>
      </c>
      <c r="F56" s="11">
        <f>'参数'!F8</f>
        <v/>
      </c>
      <c r="G56" s="12">
        <f>IF(D56&lt;=E56,C56*(1+F56*(D56-1)),"")</f>
        <v/>
      </c>
      <c r="H56" s="14" t="inlineStr">
        <is>
          <t>配置为粮食产出；运行时额外按相同数值计入银两。</t>
        </is>
      </c>
    </row>
    <row r="57">
      <c r="A57" s="18">
        <f>'参数'!B8</f>
        <v/>
      </c>
      <c r="B57" s="9">
        <f>'参数'!C8</f>
        <v/>
      </c>
      <c r="C57" s="10">
        <f>'参数'!E8</f>
        <v/>
      </c>
      <c r="D57" s="15" t="n">
        <v>13</v>
      </c>
      <c r="E57" s="10">
        <f>'参数'!G8</f>
        <v/>
      </c>
      <c r="F57" s="11">
        <f>'参数'!F8</f>
        <v/>
      </c>
      <c r="G57" s="12">
        <f>IF(D57&lt;=E57,C57*(1+F57*(D57-1)),"")</f>
        <v/>
      </c>
      <c r="H57" s="14" t="inlineStr">
        <is>
          <t>配置为粮食产出；运行时额外按相同数值计入银两。</t>
        </is>
      </c>
    </row>
    <row r="58">
      <c r="A58" s="18">
        <f>'参数'!B8</f>
        <v/>
      </c>
      <c r="B58" s="9">
        <f>'参数'!C8</f>
        <v/>
      </c>
      <c r="C58" s="10">
        <f>'参数'!E8</f>
        <v/>
      </c>
      <c r="D58" s="15" t="n">
        <v>14</v>
      </c>
      <c r="E58" s="10">
        <f>'参数'!G8</f>
        <v/>
      </c>
      <c r="F58" s="11">
        <f>'参数'!F8</f>
        <v/>
      </c>
      <c r="G58" s="12">
        <f>IF(D58&lt;=E58,C58*(1+F58*(D58-1)),"")</f>
        <v/>
      </c>
      <c r="H58" s="14" t="inlineStr">
        <is>
          <t>配置为粮食产出；运行时额外按相同数值计入银两。</t>
        </is>
      </c>
    </row>
    <row r="59">
      <c r="A59" s="18">
        <f>'参数'!B8</f>
        <v/>
      </c>
      <c r="B59" s="9">
        <f>'参数'!C8</f>
        <v/>
      </c>
      <c r="C59" s="10">
        <f>'参数'!E8</f>
        <v/>
      </c>
      <c r="D59" s="15" t="n">
        <v>15</v>
      </c>
      <c r="E59" s="10">
        <f>'参数'!G8</f>
        <v/>
      </c>
      <c r="F59" s="11">
        <f>'参数'!F8</f>
        <v/>
      </c>
      <c r="G59" s="12">
        <f>IF(D59&lt;=E59,C59*(1+F59*(D59-1)),"")</f>
        <v/>
      </c>
      <c r="H59" s="14" t="inlineStr">
        <is>
          <t>配置为粮食产出；运行时额外按相同数值计入银两。</t>
        </is>
      </c>
    </row>
    <row r="60">
      <c r="A60" s="18">
        <f>'参数'!B8</f>
        <v/>
      </c>
      <c r="B60" s="9">
        <f>'参数'!C8</f>
        <v/>
      </c>
      <c r="C60" s="10">
        <f>'参数'!E8</f>
        <v/>
      </c>
      <c r="D60" s="15" t="n">
        <v>16</v>
      </c>
      <c r="E60" s="10">
        <f>'参数'!G8</f>
        <v/>
      </c>
      <c r="F60" s="11">
        <f>'参数'!F8</f>
        <v/>
      </c>
      <c r="G60" s="12">
        <f>IF(D60&lt;=E60,C60*(1+F60*(D60-1)),"")</f>
        <v/>
      </c>
      <c r="H60" s="14" t="inlineStr">
        <is>
          <t>配置为粮食产出；运行时额外按相同数值计入银两。</t>
        </is>
      </c>
    </row>
    <row r="61">
      <c r="A61" s="18">
        <f>'参数'!B8</f>
        <v/>
      </c>
      <c r="B61" s="9">
        <f>'参数'!C8</f>
        <v/>
      </c>
      <c r="C61" s="10">
        <f>'参数'!E8</f>
        <v/>
      </c>
      <c r="D61" s="15" t="n">
        <v>17</v>
      </c>
      <c r="E61" s="10">
        <f>'参数'!G8</f>
        <v/>
      </c>
      <c r="F61" s="11">
        <f>'参数'!F8</f>
        <v/>
      </c>
      <c r="G61" s="12">
        <f>IF(D61&lt;=E61,C61*(1+F61*(D61-1)),"")</f>
        <v/>
      </c>
      <c r="H61" s="14" t="inlineStr">
        <is>
          <t>配置为粮食产出；运行时额外按相同数值计入银两。</t>
        </is>
      </c>
    </row>
    <row r="62">
      <c r="A62" s="18">
        <f>'参数'!B8</f>
        <v/>
      </c>
      <c r="B62" s="9">
        <f>'参数'!C8</f>
        <v/>
      </c>
      <c r="C62" s="10">
        <f>'参数'!E8</f>
        <v/>
      </c>
      <c r="D62" s="15" t="n">
        <v>18</v>
      </c>
      <c r="E62" s="10">
        <f>'参数'!G8</f>
        <v/>
      </c>
      <c r="F62" s="11">
        <f>'参数'!F8</f>
        <v/>
      </c>
      <c r="G62" s="12">
        <f>IF(D62&lt;=E62,C62*(1+F62*(D62-1)),"")</f>
        <v/>
      </c>
      <c r="H62" s="14" t="inlineStr">
        <is>
          <t>配置为粮食产出；运行时额外按相同数值计入银两。</t>
        </is>
      </c>
    </row>
    <row r="63">
      <c r="A63" s="18">
        <f>'参数'!B8</f>
        <v/>
      </c>
      <c r="B63" s="9">
        <f>'参数'!C8</f>
        <v/>
      </c>
      <c r="C63" s="10">
        <f>'参数'!E8</f>
        <v/>
      </c>
      <c r="D63" s="15" t="n">
        <v>19</v>
      </c>
      <c r="E63" s="10">
        <f>'参数'!G8</f>
        <v/>
      </c>
      <c r="F63" s="11">
        <f>'参数'!F8</f>
        <v/>
      </c>
      <c r="G63" s="12">
        <f>IF(D63&lt;=E63,C63*(1+F63*(D63-1)),"")</f>
        <v/>
      </c>
      <c r="H63" s="14" t="inlineStr">
        <is>
          <t>配置为粮食产出；运行时额外按相同数值计入银两。</t>
        </is>
      </c>
    </row>
    <row r="64">
      <c r="A64" s="18">
        <f>'参数'!B8</f>
        <v/>
      </c>
      <c r="B64" s="9">
        <f>'参数'!C8</f>
        <v/>
      </c>
      <c r="C64" s="10">
        <f>'参数'!E8</f>
        <v/>
      </c>
      <c r="D64" s="15" t="n">
        <v>20</v>
      </c>
      <c r="E64" s="10">
        <f>'参数'!G8</f>
        <v/>
      </c>
      <c r="F64" s="11">
        <f>'参数'!F8</f>
        <v/>
      </c>
      <c r="G64" s="12">
        <f>IF(D64&lt;=E64,C64*(1+F64*(D64-1)),"")</f>
        <v/>
      </c>
      <c r="H64" s="14" t="inlineStr">
        <is>
          <t>配置为粮食产出；运行时额外按相同数值计入银两。</t>
        </is>
      </c>
    </row>
    <row r="65">
      <c r="A65" s="18">
        <f>'参数'!B9</f>
        <v/>
      </c>
      <c r="B65" s="9">
        <f>'参数'!C9</f>
        <v/>
      </c>
      <c r="C65" s="10">
        <f>'参数'!E9</f>
        <v/>
      </c>
      <c r="D65" s="15" t="n">
        <v>1</v>
      </c>
      <c r="E65" s="10">
        <f>'参数'!G9</f>
        <v/>
      </c>
      <c r="F65" s="11">
        <f>'参数'!F9</f>
        <v/>
      </c>
      <c r="G65" s="12">
        <f>IF(D65&lt;=E65,C65*(1+F65*(D65-1)),"")</f>
        <v/>
      </c>
      <c r="H65" s="14" t="inlineStr"/>
    </row>
    <row r="66">
      <c r="A66" s="18">
        <f>'参数'!B9</f>
        <v/>
      </c>
      <c r="B66" s="9">
        <f>'参数'!C9</f>
        <v/>
      </c>
      <c r="C66" s="10">
        <f>'参数'!E9</f>
        <v/>
      </c>
      <c r="D66" s="15" t="n">
        <v>2</v>
      </c>
      <c r="E66" s="10">
        <f>'参数'!G9</f>
        <v/>
      </c>
      <c r="F66" s="11">
        <f>'参数'!F9</f>
        <v/>
      </c>
      <c r="G66" s="12">
        <f>IF(D66&lt;=E66,C66*(1+F66*(D66-1)),"")</f>
        <v/>
      </c>
      <c r="H66" s="14" t="inlineStr"/>
    </row>
    <row r="67">
      <c r="A67" s="18">
        <f>'参数'!B9</f>
        <v/>
      </c>
      <c r="B67" s="9">
        <f>'参数'!C9</f>
        <v/>
      </c>
      <c r="C67" s="10">
        <f>'参数'!E9</f>
        <v/>
      </c>
      <c r="D67" s="15" t="n">
        <v>3</v>
      </c>
      <c r="E67" s="10">
        <f>'参数'!G9</f>
        <v/>
      </c>
      <c r="F67" s="11">
        <f>'参数'!F9</f>
        <v/>
      </c>
      <c r="G67" s="12">
        <f>IF(D67&lt;=E67,C67*(1+F67*(D67-1)),"")</f>
        <v/>
      </c>
      <c r="H67" s="14" t="inlineStr"/>
    </row>
    <row r="68">
      <c r="A68" s="18">
        <f>'参数'!B9</f>
        <v/>
      </c>
      <c r="B68" s="9">
        <f>'参数'!C9</f>
        <v/>
      </c>
      <c r="C68" s="10">
        <f>'参数'!E9</f>
        <v/>
      </c>
      <c r="D68" s="15" t="n">
        <v>4</v>
      </c>
      <c r="E68" s="10">
        <f>'参数'!G9</f>
        <v/>
      </c>
      <c r="F68" s="11">
        <f>'参数'!F9</f>
        <v/>
      </c>
      <c r="G68" s="12">
        <f>IF(D68&lt;=E68,C68*(1+F68*(D68-1)),"")</f>
        <v/>
      </c>
      <c r="H68" s="14" t="inlineStr"/>
    </row>
    <row r="69">
      <c r="A69" s="18">
        <f>'参数'!B9</f>
        <v/>
      </c>
      <c r="B69" s="9">
        <f>'参数'!C9</f>
        <v/>
      </c>
      <c r="C69" s="10">
        <f>'参数'!E9</f>
        <v/>
      </c>
      <c r="D69" s="15" t="n">
        <v>5</v>
      </c>
      <c r="E69" s="10">
        <f>'参数'!G9</f>
        <v/>
      </c>
      <c r="F69" s="11">
        <f>'参数'!F9</f>
        <v/>
      </c>
      <c r="G69" s="12">
        <f>IF(D69&lt;=E69,C69*(1+F69*(D69-1)),"")</f>
        <v/>
      </c>
      <c r="H69" s="14" t="inlineStr"/>
    </row>
    <row r="70">
      <c r="A70" s="18">
        <f>'参数'!B9</f>
        <v/>
      </c>
      <c r="B70" s="9">
        <f>'参数'!C9</f>
        <v/>
      </c>
      <c r="C70" s="10">
        <f>'参数'!E9</f>
        <v/>
      </c>
      <c r="D70" s="15" t="n">
        <v>6</v>
      </c>
      <c r="E70" s="10">
        <f>'参数'!G9</f>
        <v/>
      </c>
      <c r="F70" s="11">
        <f>'参数'!F9</f>
        <v/>
      </c>
      <c r="G70" s="12">
        <f>IF(D70&lt;=E70,C70*(1+F70*(D70-1)),"")</f>
        <v/>
      </c>
      <c r="H70" s="14" t="inlineStr"/>
    </row>
    <row r="71">
      <c r="A71" s="18">
        <f>'参数'!B9</f>
        <v/>
      </c>
      <c r="B71" s="9">
        <f>'参数'!C9</f>
        <v/>
      </c>
      <c r="C71" s="10">
        <f>'参数'!E9</f>
        <v/>
      </c>
      <c r="D71" s="15" t="n">
        <v>7</v>
      </c>
      <c r="E71" s="10">
        <f>'参数'!G9</f>
        <v/>
      </c>
      <c r="F71" s="11">
        <f>'参数'!F9</f>
        <v/>
      </c>
      <c r="G71" s="12">
        <f>IF(D71&lt;=E71,C71*(1+F71*(D71-1)),"")</f>
        <v/>
      </c>
      <c r="H71" s="14" t="inlineStr"/>
    </row>
    <row r="72">
      <c r="A72" s="18">
        <f>'参数'!B9</f>
        <v/>
      </c>
      <c r="B72" s="9">
        <f>'参数'!C9</f>
        <v/>
      </c>
      <c r="C72" s="10">
        <f>'参数'!E9</f>
        <v/>
      </c>
      <c r="D72" s="15" t="n">
        <v>8</v>
      </c>
      <c r="E72" s="10">
        <f>'参数'!G9</f>
        <v/>
      </c>
      <c r="F72" s="11">
        <f>'参数'!F9</f>
        <v/>
      </c>
      <c r="G72" s="12">
        <f>IF(D72&lt;=E72,C72*(1+F72*(D72-1)),"")</f>
        <v/>
      </c>
      <c r="H72" s="14" t="inlineStr"/>
    </row>
    <row r="73">
      <c r="A73" s="18">
        <f>'参数'!B9</f>
        <v/>
      </c>
      <c r="B73" s="9">
        <f>'参数'!C9</f>
        <v/>
      </c>
      <c r="C73" s="10">
        <f>'参数'!E9</f>
        <v/>
      </c>
      <c r="D73" s="15" t="n">
        <v>9</v>
      </c>
      <c r="E73" s="10">
        <f>'参数'!G9</f>
        <v/>
      </c>
      <c r="F73" s="11">
        <f>'参数'!F9</f>
        <v/>
      </c>
      <c r="G73" s="12">
        <f>IF(D73&lt;=E73,C73*(1+F73*(D73-1)),"")</f>
        <v/>
      </c>
      <c r="H73" s="14" t="inlineStr"/>
    </row>
    <row r="74">
      <c r="A74" s="18">
        <f>'参数'!B9</f>
        <v/>
      </c>
      <c r="B74" s="9">
        <f>'参数'!C9</f>
        <v/>
      </c>
      <c r="C74" s="10">
        <f>'参数'!E9</f>
        <v/>
      </c>
      <c r="D74" s="15" t="n">
        <v>10</v>
      </c>
      <c r="E74" s="10">
        <f>'参数'!G9</f>
        <v/>
      </c>
      <c r="F74" s="11">
        <f>'参数'!F9</f>
        <v/>
      </c>
      <c r="G74" s="12">
        <f>IF(D74&lt;=E74,C74*(1+F74*(D74-1)),"")</f>
        <v/>
      </c>
      <c r="H74" s="14" t="inlineStr"/>
    </row>
  </sheetData>
  <autoFilter ref="A4:H74"/>
  <mergeCells count="2">
    <mergeCell ref="A2:H2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4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9" customWidth="1" min="4" max="4"/>
    <col width="11" customWidth="1" min="5" max="5"/>
    <col width="14" customWidth="1" min="6" max="6"/>
    <col width="18" customWidth="1" min="7" max="7"/>
    <col width="46" customWidth="1" min="8" max="8"/>
  </cols>
  <sheetData>
    <row r="1" ht="28" customHeight="1">
      <c r="A1" s="1" t="inlineStr">
        <is>
          <t>粮食建筑逐级产出</t>
        </is>
      </c>
    </row>
    <row r="2" ht="34" customHeight="1">
      <c r="A2" s="2" t="inlineStr">
        <is>
          <t>单位：粮食/小时；按每座建筑计算，未叠加科技加成。公式：基础时产 × (1 + 每级增长系数 × (等级 - 1))。</t>
        </is>
      </c>
    </row>
    <row r="3"/>
    <row r="4">
      <c r="A4" s="7" t="inlineStr">
        <is>
          <t>建筑名称</t>
        </is>
      </c>
      <c r="B4" s="7" t="inlineStr">
        <is>
          <t>Key</t>
        </is>
      </c>
      <c r="C4" s="7" t="inlineStr">
        <is>
          <t>基础时产</t>
        </is>
      </c>
      <c r="D4" s="7" t="inlineStr">
        <is>
          <t>等级</t>
        </is>
      </c>
      <c r="E4" s="7" t="inlineStr">
        <is>
          <t>最大等级</t>
        </is>
      </c>
      <c r="F4" s="7" t="inlineStr">
        <is>
          <t>每级增长系数</t>
        </is>
      </c>
      <c r="G4" s="7" t="inlineStr">
        <is>
          <t>粮食产出/小时</t>
        </is>
      </c>
      <c r="H4" s="7" t="inlineStr">
        <is>
          <t>备注</t>
        </is>
      </c>
    </row>
    <row r="5">
      <c r="A5" s="18">
        <f>'参数'!B5</f>
        <v/>
      </c>
      <c r="B5" s="9">
        <f>'参数'!C5</f>
        <v/>
      </c>
      <c r="C5" s="10">
        <f>'参数'!E5</f>
        <v/>
      </c>
      <c r="D5" s="15" t="n">
        <v>1</v>
      </c>
      <c r="E5" s="10">
        <f>'参数'!G5</f>
        <v/>
      </c>
      <c r="F5" s="11">
        <f>'参数'!F5</f>
        <v/>
      </c>
      <c r="G5" s="12">
        <f>IF(D5&lt;=E5,C5*(1+F5*(D5-1)),"")</f>
        <v/>
      </c>
      <c r="H5" s="14" t="inlineStr"/>
    </row>
    <row r="6">
      <c r="A6" s="18">
        <f>'参数'!B5</f>
        <v/>
      </c>
      <c r="B6" s="9">
        <f>'参数'!C5</f>
        <v/>
      </c>
      <c r="C6" s="10">
        <f>'参数'!E5</f>
        <v/>
      </c>
      <c r="D6" s="15" t="n">
        <v>2</v>
      </c>
      <c r="E6" s="10">
        <f>'参数'!G5</f>
        <v/>
      </c>
      <c r="F6" s="11">
        <f>'参数'!F5</f>
        <v/>
      </c>
      <c r="G6" s="12">
        <f>IF(D6&lt;=E6,C6*(1+F6*(D6-1)),"")</f>
        <v/>
      </c>
      <c r="H6" s="14" t="inlineStr"/>
    </row>
    <row r="7">
      <c r="A7" s="18">
        <f>'参数'!B5</f>
        <v/>
      </c>
      <c r="B7" s="9">
        <f>'参数'!C5</f>
        <v/>
      </c>
      <c r="C7" s="10">
        <f>'参数'!E5</f>
        <v/>
      </c>
      <c r="D7" s="15" t="n">
        <v>3</v>
      </c>
      <c r="E7" s="10">
        <f>'参数'!G5</f>
        <v/>
      </c>
      <c r="F7" s="11">
        <f>'参数'!F5</f>
        <v/>
      </c>
      <c r="G7" s="12">
        <f>IF(D7&lt;=E7,C7*(1+F7*(D7-1)),"")</f>
        <v/>
      </c>
      <c r="H7" s="14" t="inlineStr"/>
    </row>
    <row r="8">
      <c r="A8" s="18">
        <f>'参数'!B5</f>
        <v/>
      </c>
      <c r="B8" s="9">
        <f>'参数'!C5</f>
        <v/>
      </c>
      <c r="C8" s="10">
        <f>'参数'!E5</f>
        <v/>
      </c>
      <c r="D8" s="15" t="n">
        <v>4</v>
      </c>
      <c r="E8" s="10">
        <f>'参数'!G5</f>
        <v/>
      </c>
      <c r="F8" s="11">
        <f>'参数'!F5</f>
        <v/>
      </c>
      <c r="G8" s="12">
        <f>IF(D8&lt;=E8,C8*(1+F8*(D8-1)),"")</f>
        <v/>
      </c>
      <c r="H8" s="14" t="inlineStr"/>
    </row>
    <row r="9">
      <c r="A9" s="18">
        <f>'参数'!B5</f>
        <v/>
      </c>
      <c r="B9" s="9">
        <f>'参数'!C5</f>
        <v/>
      </c>
      <c r="C9" s="10">
        <f>'参数'!E5</f>
        <v/>
      </c>
      <c r="D9" s="15" t="n">
        <v>5</v>
      </c>
      <c r="E9" s="10">
        <f>'参数'!G5</f>
        <v/>
      </c>
      <c r="F9" s="11">
        <f>'参数'!F5</f>
        <v/>
      </c>
      <c r="G9" s="12">
        <f>IF(D9&lt;=E9,C9*(1+F9*(D9-1)),"")</f>
        <v/>
      </c>
      <c r="H9" s="14" t="inlineStr"/>
    </row>
    <row r="10">
      <c r="A10" s="18">
        <f>'参数'!B5</f>
        <v/>
      </c>
      <c r="B10" s="9">
        <f>'参数'!C5</f>
        <v/>
      </c>
      <c r="C10" s="10">
        <f>'参数'!E5</f>
        <v/>
      </c>
      <c r="D10" s="15" t="n">
        <v>6</v>
      </c>
      <c r="E10" s="10">
        <f>'参数'!G5</f>
        <v/>
      </c>
      <c r="F10" s="11">
        <f>'参数'!F5</f>
        <v/>
      </c>
      <c r="G10" s="12">
        <f>IF(D10&lt;=E10,C10*(1+F10*(D10-1)),"")</f>
        <v/>
      </c>
      <c r="H10" s="14" t="inlineStr"/>
    </row>
    <row r="11">
      <c r="A11" s="18">
        <f>'参数'!B5</f>
        <v/>
      </c>
      <c r="B11" s="9">
        <f>'参数'!C5</f>
        <v/>
      </c>
      <c r="C11" s="10">
        <f>'参数'!E5</f>
        <v/>
      </c>
      <c r="D11" s="15" t="n">
        <v>7</v>
      </c>
      <c r="E11" s="10">
        <f>'参数'!G5</f>
        <v/>
      </c>
      <c r="F11" s="11">
        <f>'参数'!F5</f>
        <v/>
      </c>
      <c r="G11" s="12">
        <f>IF(D11&lt;=E11,C11*(1+F11*(D11-1)),"")</f>
        <v/>
      </c>
      <c r="H11" s="14" t="inlineStr"/>
    </row>
    <row r="12">
      <c r="A12" s="18">
        <f>'参数'!B5</f>
        <v/>
      </c>
      <c r="B12" s="9">
        <f>'参数'!C5</f>
        <v/>
      </c>
      <c r="C12" s="10">
        <f>'参数'!E5</f>
        <v/>
      </c>
      <c r="D12" s="15" t="n">
        <v>8</v>
      </c>
      <c r="E12" s="10">
        <f>'参数'!G5</f>
        <v/>
      </c>
      <c r="F12" s="11">
        <f>'参数'!F5</f>
        <v/>
      </c>
      <c r="G12" s="12">
        <f>IF(D12&lt;=E12,C12*(1+F12*(D12-1)),"")</f>
        <v/>
      </c>
      <c r="H12" s="14" t="inlineStr"/>
    </row>
    <row r="13">
      <c r="A13" s="18">
        <f>'参数'!B5</f>
        <v/>
      </c>
      <c r="B13" s="9">
        <f>'参数'!C5</f>
        <v/>
      </c>
      <c r="C13" s="10">
        <f>'参数'!E5</f>
        <v/>
      </c>
      <c r="D13" s="15" t="n">
        <v>9</v>
      </c>
      <c r="E13" s="10">
        <f>'参数'!G5</f>
        <v/>
      </c>
      <c r="F13" s="11">
        <f>'参数'!F5</f>
        <v/>
      </c>
      <c r="G13" s="12">
        <f>IF(D13&lt;=E13,C13*(1+F13*(D13-1)),"")</f>
        <v/>
      </c>
      <c r="H13" s="14" t="inlineStr"/>
    </row>
    <row r="14">
      <c r="A14" s="18">
        <f>'参数'!B5</f>
        <v/>
      </c>
      <c r="B14" s="9">
        <f>'参数'!C5</f>
        <v/>
      </c>
      <c r="C14" s="10">
        <f>'参数'!E5</f>
        <v/>
      </c>
      <c r="D14" s="15" t="n">
        <v>10</v>
      </c>
      <c r="E14" s="10">
        <f>'参数'!G5</f>
        <v/>
      </c>
      <c r="F14" s="11">
        <f>'参数'!F5</f>
        <v/>
      </c>
      <c r="G14" s="12">
        <f>IF(D14&lt;=E14,C14*(1+F14*(D14-1)),"")</f>
        <v/>
      </c>
      <c r="H14" s="14" t="inlineStr"/>
    </row>
    <row r="15">
      <c r="A15" s="18">
        <f>'参数'!B5</f>
        <v/>
      </c>
      <c r="B15" s="9">
        <f>'参数'!C5</f>
        <v/>
      </c>
      <c r="C15" s="10">
        <f>'参数'!E5</f>
        <v/>
      </c>
      <c r="D15" s="15" t="n">
        <v>11</v>
      </c>
      <c r="E15" s="10">
        <f>'参数'!G5</f>
        <v/>
      </c>
      <c r="F15" s="11">
        <f>'参数'!F5</f>
        <v/>
      </c>
      <c r="G15" s="12">
        <f>IF(D15&lt;=E15,C15*(1+F15*(D15-1)),"")</f>
        <v/>
      </c>
      <c r="H15" s="14" t="inlineStr"/>
    </row>
    <row r="16">
      <c r="A16" s="18">
        <f>'参数'!B5</f>
        <v/>
      </c>
      <c r="B16" s="9">
        <f>'参数'!C5</f>
        <v/>
      </c>
      <c r="C16" s="10">
        <f>'参数'!E5</f>
        <v/>
      </c>
      <c r="D16" s="15" t="n">
        <v>12</v>
      </c>
      <c r="E16" s="10">
        <f>'参数'!G5</f>
        <v/>
      </c>
      <c r="F16" s="11">
        <f>'参数'!F5</f>
        <v/>
      </c>
      <c r="G16" s="12">
        <f>IF(D16&lt;=E16,C16*(1+F16*(D16-1)),"")</f>
        <v/>
      </c>
      <c r="H16" s="14" t="inlineStr"/>
    </row>
    <row r="17">
      <c r="A17" s="18">
        <f>'参数'!B5</f>
        <v/>
      </c>
      <c r="B17" s="9">
        <f>'参数'!C5</f>
        <v/>
      </c>
      <c r="C17" s="10">
        <f>'参数'!E5</f>
        <v/>
      </c>
      <c r="D17" s="15" t="n">
        <v>13</v>
      </c>
      <c r="E17" s="10">
        <f>'参数'!G5</f>
        <v/>
      </c>
      <c r="F17" s="11">
        <f>'参数'!F5</f>
        <v/>
      </c>
      <c r="G17" s="12">
        <f>IF(D17&lt;=E17,C17*(1+F17*(D17-1)),"")</f>
        <v/>
      </c>
      <c r="H17" s="14" t="inlineStr"/>
    </row>
    <row r="18">
      <c r="A18" s="18">
        <f>'参数'!B5</f>
        <v/>
      </c>
      <c r="B18" s="9">
        <f>'参数'!C5</f>
        <v/>
      </c>
      <c r="C18" s="10">
        <f>'参数'!E5</f>
        <v/>
      </c>
      <c r="D18" s="15" t="n">
        <v>14</v>
      </c>
      <c r="E18" s="10">
        <f>'参数'!G5</f>
        <v/>
      </c>
      <c r="F18" s="11">
        <f>'参数'!F5</f>
        <v/>
      </c>
      <c r="G18" s="12">
        <f>IF(D18&lt;=E18,C18*(1+F18*(D18-1)),"")</f>
        <v/>
      </c>
      <c r="H18" s="14" t="inlineStr"/>
    </row>
    <row r="19">
      <c r="A19" s="18">
        <f>'参数'!B5</f>
        <v/>
      </c>
      <c r="B19" s="9">
        <f>'参数'!C5</f>
        <v/>
      </c>
      <c r="C19" s="10">
        <f>'参数'!E5</f>
        <v/>
      </c>
      <c r="D19" s="15" t="n">
        <v>15</v>
      </c>
      <c r="E19" s="10">
        <f>'参数'!G5</f>
        <v/>
      </c>
      <c r="F19" s="11">
        <f>'参数'!F5</f>
        <v/>
      </c>
      <c r="G19" s="12">
        <f>IF(D19&lt;=E19,C19*(1+F19*(D19-1)),"")</f>
        <v/>
      </c>
      <c r="H19" s="14" t="inlineStr"/>
    </row>
    <row r="20">
      <c r="A20" s="18">
        <f>'参数'!B5</f>
        <v/>
      </c>
      <c r="B20" s="9">
        <f>'参数'!C5</f>
        <v/>
      </c>
      <c r="C20" s="10">
        <f>'参数'!E5</f>
        <v/>
      </c>
      <c r="D20" s="15" t="n">
        <v>16</v>
      </c>
      <c r="E20" s="10">
        <f>'参数'!G5</f>
        <v/>
      </c>
      <c r="F20" s="11">
        <f>'参数'!F5</f>
        <v/>
      </c>
      <c r="G20" s="12">
        <f>IF(D20&lt;=E20,C20*(1+F20*(D20-1)),"")</f>
        <v/>
      </c>
      <c r="H20" s="14" t="inlineStr"/>
    </row>
    <row r="21">
      <c r="A21" s="18">
        <f>'参数'!B5</f>
        <v/>
      </c>
      <c r="B21" s="9">
        <f>'参数'!C5</f>
        <v/>
      </c>
      <c r="C21" s="10">
        <f>'参数'!E5</f>
        <v/>
      </c>
      <c r="D21" s="15" t="n">
        <v>17</v>
      </c>
      <c r="E21" s="10">
        <f>'参数'!G5</f>
        <v/>
      </c>
      <c r="F21" s="11">
        <f>'参数'!F5</f>
        <v/>
      </c>
      <c r="G21" s="12">
        <f>IF(D21&lt;=E21,C21*(1+F21*(D21-1)),"")</f>
        <v/>
      </c>
      <c r="H21" s="14" t="inlineStr"/>
    </row>
    <row r="22">
      <c r="A22" s="18">
        <f>'参数'!B5</f>
        <v/>
      </c>
      <c r="B22" s="9">
        <f>'参数'!C5</f>
        <v/>
      </c>
      <c r="C22" s="10">
        <f>'参数'!E5</f>
        <v/>
      </c>
      <c r="D22" s="15" t="n">
        <v>18</v>
      </c>
      <c r="E22" s="10">
        <f>'参数'!G5</f>
        <v/>
      </c>
      <c r="F22" s="11">
        <f>'参数'!F5</f>
        <v/>
      </c>
      <c r="G22" s="12">
        <f>IF(D22&lt;=E22,C22*(1+F22*(D22-1)),"")</f>
        <v/>
      </c>
      <c r="H22" s="14" t="inlineStr"/>
    </row>
    <row r="23">
      <c r="A23" s="18">
        <f>'参数'!B5</f>
        <v/>
      </c>
      <c r="B23" s="9">
        <f>'参数'!C5</f>
        <v/>
      </c>
      <c r="C23" s="10">
        <f>'参数'!E5</f>
        <v/>
      </c>
      <c r="D23" s="15" t="n">
        <v>19</v>
      </c>
      <c r="E23" s="10">
        <f>'参数'!G5</f>
        <v/>
      </c>
      <c r="F23" s="11">
        <f>'参数'!F5</f>
        <v/>
      </c>
      <c r="G23" s="12">
        <f>IF(D23&lt;=E23,C23*(1+F23*(D23-1)),"")</f>
        <v/>
      </c>
      <c r="H23" s="14" t="inlineStr"/>
    </row>
    <row r="24">
      <c r="A24" s="18">
        <f>'参数'!B5</f>
        <v/>
      </c>
      <c r="B24" s="9">
        <f>'参数'!C5</f>
        <v/>
      </c>
      <c r="C24" s="10">
        <f>'参数'!E5</f>
        <v/>
      </c>
      <c r="D24" s="15" t="n">
        <v>20</v>
      </c>
      <c r="E24" s="10">
        <f>'参数'!G5</f>
        <v/>
      </c>
      <c r="F24" s="11">
        <f>'参数'!F5</f>
        <v/>
      </c>
      <c r="G24" s="12">
        <f>IF(D24&lt;=E24,C24*(1+F24*(D24-1)),"")</f>
        <v/>
      </c>
      <c r="H24" s="14" t="inlineStr"/>
    </row>
    <row r="25">
      <c r="A25" s="18">
        <f>'参数'!B5</f>
        <v/>
      </c>
      <c r="B25" s="9">
        <f>'参数'!C5</f>
        <v/>
      </c>
      <c r="C25" s="10">
        <f>'参数'!E5</f>
        <v/>
      </c>
      <c r="D25" s="15" t="n">
        <v>21</v>
      </c>
      <c r="E25" s="10">
        <f>'参数'!G5</f>
        <v/>
      </c>
      <c r="F25" s="11">
        <f>'参数'!F5</f>
        <v/>
      </c>
      <c r="G25" s="12">
        <f>IF(D25&lt;=E25,C25*(1+F25*(D25-1)),"")</f>
        <v/>
      </c>
      <c r="H25" s="14" t="inlineStr"/>
    </row>
    <row r="26">
      <c r="A26" s="18">
        <f>'参数'!B5</f>
        <v/>
      </c>
      <c r="B26" s="9">
        <f>'参数'!C5</f>
        <v/>
      </c>
      <c r="C26" s="10">
        <f>'参数'!E5</f>
        <v/>
      </c>
      <c r="D26" s="15" t="n">
        <v>22</v>
      </c>
      <c r="E26" s="10">
        <f>'参数'!G5</f>
        <v/>
      </c>
      <c r="F26" s="11">
        <f>'参数'!F5</f>
        <v/>
      </c>
      <c r="G26" s="12">
        <f>IF(D26&lt;=E26,C26*(1+F26*(D26-1)),"")</f>
        <v/>
      </c>
      <c r="H26" s="14" t="inlineStr"/>
    </row>
    <row r="27">
      <c r="A27" s="18">
        <f>'参数'!B5</f>
        <v/>
      </c>
      <c r="B27" s="9">
        <f>'参数'!C5</f>
        <v/>
      </c>
      <c r="C27" s="10">
        <f>'参数'!E5</f>
        <v/>
      </c>
      <c r="D27" s="15" t="n">
        <v>23</v>
      </c>
      <c r="E27" s="10">
        <f>'参数'!G5</f>
        <v/>
      </c>
      <c r="F27" s="11">
        <f>'参数'!F5</f>
        <v/>
      </c>
      <c r="G27" s="12">
        <f>IF(D27&lt;=E27,C27*(1+F27*(D27-1)),"")</f>
        <v/>
      </c>
      <c r="H27" s="14" t="inlineStr"/>
    </row>
    <row r="28">
      <c r="A28" s="18">
        <f>'参数'!B5</f>
        <v/>
      </c>
      <c r="B28" s="9">
        <f>'参数'!C5</f>
        <v/>
      </c>
      <c r="C28" s="10">
        <f>'参数'!E5</f>
        <v/>
      </c>
      <c r="D28" s="15" t="n">
        <v>24</v>
      </c>
      <c r="E28" s="10">
        <f>'参数'!G5</f>
        <v/>
      </c>
      <c r="F28" s="11">
        <f>'参数'!F5</f>
        <v/>
      </c>
      <c r="G28" s="12">
        <f>IF(D28&lt;=E28,C28*(1+F28*(D28-1)),"")</f>
        <v/>
      </c>
      <c r="H28" s="14" t="inlineStr"/>
    </row>
    <row r="29">
      <c r="A29" s="18">
        <f>'参数'!B5</f>
        <v/>
      </c>
      <c r="B29" s="9">
        <f>'参数'!C5</f>
        <v/>
      </c>
      <c r="C29" s="10">
        <f>'参数'!E5</f>
        <v/>
      </c>
      <c r="D29" s="15" t="n">
        <v>25</v>
      </c>
      <c r="E29" s="10">
        <f>'参数'!G5</f>
        <v/>
      </c>
      <c r="F29" s="11">
        <f>'参数'!F5</f>
        <v/>
      </c>
      <c r="G29" s="12">
        <f>IF(D29&lt;=E29,C29*(1+F29*(D29-1)),"")</f>
        <v/>
      </c>
      <c r="H29" s="14" t="inlineStr"/>
    </row>
    <row r="30">
      <c r="A30" s="18">
        <f>'参数'!B5</f>
        <v/>
      </c>
      <c r="B30" s="9">
        <f>'参数'!C5</f>
        <v/>
      </c>
      <c r="C30" s="10">
        <f>'参数'!E5</f>
        <v/>
      </c>
      <c r="D30" s="15" t="n">
        <v>26</v>
      </c>
      <c r="E30" s="10">
        <f>'参数'!G5</f>
        <v/>
      </c>
      <c r="F30" s="11">
        <f>'参数'!F5</f>
        <v/>
      </c>
      <c r="G30" s="12">
        <f>IF(D30&lt;=E30,C30*(1+F30*(D30-1)),"")</f>
        <v/>
      </c>
      <c r="H30" s="14" t="inlineStr"/>
    </row>
    <row r="31">
      <c r="A31" s="18">
        <f>'参数'!B5</f>
        <v/>
      </c>
      <c r="B31" s="9">
        <f>'参数'!C5</f>
        <v/>
      </c>
      <c r="C31" s="10">
        <f>'参数'!E5</f>
        <v/>
      </c>
      <c r="D31" s="15" t="n">
        <v>27</v>
      </c>
      <c r="E31" s="10">
        <f>'参数'!G5</f>
        <v/>
      </c>
      <c r="F31" s="11">
        <f>'参数'!F5</f>
        <v/>
      </c>
      <c r="G31" s="12">
        <f>IF(D31&lt;=E31,C31*(1+F31*(D31-1)),"")</f>
        <v/>
      </c>
      <c r="H31" s="14" t="inlineStr"/>
    </row>
    <row r="32">
      <c r="A32" s="18">
        <f>'参数'!B5</f>
        <v/>
      </c>
      <c r="B32" s="9">
        <f>'参数'!C5</f>
        <v/>
      </c>
      <c r="C32" s="10">
        <f>'参数'!E5</f>
        <v/>
      </c>
      <c r="D32" s="15" t="n">
        <v>28</v>
      </c>
      <c r="E32" s="10">
        <f>'参数'!G5</f>
        <v/>
      </c>
      <c r="F32" s="11">
        <f>'参数'!F5</f>
        <v/>
      </c>
      <c r="G32" s="12">
        <f>IF(D32&lt;=E32,C32*(1+F32*(D32-1)),"")</f>
        <v/>
      </c>
      <c r="H32" s="14" t="inlineStr"/>
    </row>
    <row r="33">
      <c r="A33" s="18">
        <f>'参数'!B5</f>
        <v/>
      </c>
      <c r="B33" s="9">
        <f>'参数'!C5</f>
        <v/>
      </c>
      <c r="C33" s="10">
        <f>'参数'!E5</f>
        <v/>
      </c>
      <c r="D33" s="15" t="n">
        <v>29</v>
      </c>
      <c r="E33" s="10">
        <f>'参数'!G5</f>
        <v/>
      </c>
      <c r="F33" s="11">
        <f>'参数'!F5</f>
        <v/>
      </c>
      <c r="G33" s="12">
        <f>IF(D33&lt;=E33,C33*(1+F33*(D33-1)),"")</f>
        <v/>
      </c>
      <c r="H33" s="14" t="inlineStr"/>
    </row>
    <row r="34">
      <c r="A34" s="18">
        <f>'参数'!B5</f>
        <v/>
      </c>
      <c r="B34" s="9">
        <f>'参数'!C5</f>
        <v/>
      </c>
      <c r="C34" s="10">
        <f>'参数'!E5</f>
        <v/>
      </c>
      <c r="D34" s="15" t="n">
        <v>30</v>
      </c>
      <c r="E34" s="10">
        <f>'参数'!G5</f>
        <v/>
      </c>
      <c r="F34" s="11">
        <f>'参数'!F5</f>
        <v/>
      </c>
      <c r="G34" s="12">
        <f>IF(D34&lt;=E34,C34*(1+F34*(D34-1)),"")</f>
        <v/>
      </c>
      <c r="H34" s="14" t="inlineStr"/>
    </row>
    <row r="35">
      <c r="A35" s="18">
        <f>'参数'!B5</f>
        <v/>
      </c>
      <c r="B35" s="9">
        <f>'参数'!C5</f>
        <v/>
      </c>
      <c r="C35" s="10">
        <f>'参数'!E5</f>
        <v/>
      </c>
      <c r="D35" s="15" t="n">
        <v>31</v>
      </c>
      <c r="E35" s="10">
        <f>'参数'!G5</f>
        <v/>
      </c>
      <c r="F35" s="11">
        <f>'参数'!F5</f>
        <v/>
      </c>
      <c r="G35" s="12">
        <f>IF(D35&lt;=E35,C35*(1+F35*(D35-1)),"")</f>
        <v/>
      </c>
      <c r="H35" s="14" t="inlineStr"/>
    </row>
    <row r="36">
      <c r="A36" s="18">
        <f>'参数'!B5</f>
        <v/>
      </c>
      <c r="B36" s="9">
        <f>'参数'!C5</f>
        <v/>
      </c>
      <c r="C36" s="10">
        <f>'参数'!E5</f>
        <v/>
      </c>
      <c r="D36" s="15" t="n">
        <v>32</v>
      </c>
      <c r="E36" s="10">
        <f>'参数'!G5</f>
        <v/>
      </c>
      <c r="F36" s="11">
        <f>'参数'!F5</f>
        <v/>
      </c>
      <c r="G36" s="12">
        <f>IF(D36&lt;=E36,C36*(1+F36*(D36-1)),"")</f>
        <v/>
      </c>
      <c r="H36" s="14" t="inlineStr"/>
    </row>
    <row r="37">
      <c r="A37" s="18">
        <f>'参数'!B5</f>
        <v/>
      </c>
      <c r="B37" s="9">
        <f>'参数'!C5</f>
        <v/>
      </c>
      <c r="C37" s="10">
        <f>'参数'!E5</f>
        <v/>
      </c>
      <c r="D37" s="15" t="n">
        <v>33</v>
      </c>
      <c r="E37" s="10">
        <f>'参数'!G5</f>
        <v/>
      </c>
      <c r="F37" s="11">
        <f>'参数'!F5</f>
        <v/>
      </c>
      <c r="G37" s="12">
        <f>IF(D37&lt;=E37,C37*(1+F37*(D37-1)),"")</f>
        <v/>
      </c>
      <c r="H37" s="14" t="inlineStr"/>
    </row>
    <row r="38">
      <c r="A38" s="18">
        <f>'参数'!B5</f>
        <v/>
      </c>
      <c r="B38" s="9">
        <f>'参数'!C5</f>
        <v/>
      </c>
      <c r="C38" s="10">
        <f>'参数'!E5</f>
        <v/>
      </c>
      <c r="D38" s="15" t="n">
        <v>34</v>
      </c>
      <c r="E38" s="10">
        <f>'参数'!G5</f>
        <v/>
      </c>
      <c r="F38" s="11">
        <f>'参数'!F5</f>
        <v/>
      </c>
      <c r="G38" s="12">
        <f>IF(D38&lt;=E38,C38*(1+F38*(D38-1)),"")</f>
        <v/>
      </c>
      <c r="H38" s="14" t="inlineStr"/>
    </row>
    <row r="39">
      <c r="A39" s="18">
        <f>'参数'!B5</f>
        <v/>
      </c>
      <c r="B39" s="9">
        <f>'参数'!C5</f>
        <v/>
      </c>
      <c r="C39" s="10">
        <f>'参数'!E5</f>
        <v/>
      </c>
      <c r="D39" s="15" t="n">
        <v>35</v>
      </c>
      <c r="E39" s="10">
        <f>'参数'!G5</f>
        <v/>
      </c>
      <c r="F39" s="11">
        <f>'参数'!F5</f>
        <v/>
      </c>
      <c r="G39" s="12">
        <f>IF(D39&lt;=E39,C39*(1+F39*(D39-1)),"")</f>
        <v/>
      </c>
      <c r="H39" s="14" t="inlineStr"/>
    </row>
    <row r="40">
      <c r="A40" s="18">
        <f>'参数'!B5</f>
        <v/>
      </c>
      <c r="B40" s="9">
        <f>'参数'!C5</f>
        <v/>
      </c>
      <c r="C40" s="10">
        <f>'参数'!E5</f>
        <v/>
      </c>
      <c r="D40" s="15" t="n">
        <v>36</v>
      </c>
      <c r="E40" s="10">
        <f>'参数'!G5</f>
        <v/>
      </c>
      <c r="F40" s="11">
        <f>'参数'!F5</f>
        <v/>
      </c>
      <c r="G40" s="12">
        <f>IF(D40&lt;=E40,C40*(1+F40*(D40-1)),"")</f>
        <v/>
      </c>
      <c r="H40" s="14" t="inlineStr"/>
    </row>
    <row r="41">
      <c r="A41" s="18">
        <f>'参数'!B5</f>
        <v/>
      </c>
      <c r="B41" s="9">
        <f>'参数'!C5</f>
        <v/>
      </c>
      <c r="C41" s="10">
        <f>'参数'!E5</f>
        <v/>
      </c>
      <c r="D41" s="15" t="n">
        <v>37</v>
      </c>
      <c r="E41" s="10">
        <f>'参数'!G5</f>
        <v/>
      </c>
      <c r="F41" s="11">
        <f>'参数'!F5</f>
        <v/>
      </c>
      <c r="G41" s="12">
        <f>IF(D41&lt;=E41,C41*(1+F41*(D41-1)),"")</f>
        <v/>
      </c>
      <c r="H41" s="14" t="inlineStr"/>
    </row>
    <row r="42">
      <c r="A42" s="18">
        <f>'参数'!B5</f>
        <v/>
      </c>
      <c r="B42" s="9">
        <f>'参数'!C5</f>
        <v/>
      </c>
      <c r="C42" s="10">
        <f>'参数'!E5</f>
        <v/>
      </c>
      <c r="D42" s="15" t="n">
        <v>38</v>
      </c>
      <c r="E42" s="10">
        <f>'参数'!G5</f>
        <v/>
      </c>
      <c r="F42" s="11">
        <f>'参数'!F5</f>
        <v/>
      </c>
      <c r="G42" s="12">
        <f>IF(D42&lt;=E42,C42*(1+F42*(D42-1)),"")</f>
        <v/>
      </c>
      <c r="H42" s="14" t="inlineStr"/>
    </row>
    <row r="43">
      <c r="A43" s="18">
        <f>'参数'!B5</f>
        <v/>
      </c>
      <c r="B43" s="9">
        <f>'参数'!C5</f>
        <v/>
      </c>
      <c r="C43" s="10">
        <f>'参数'!E5</f>
        <v/>
      </c>
      <c r="D43" s="15" t="n">
        <v>39</v>
      </c>
      <c r="E43" s="10">
        <f>'参数'!G5</f>
        <v/>
      </c>
      <c r="F43" s="11">
        <f>'参数'!F5</f>
        <v/>
      </c>
      <c r="G43" s="12">
        <f>IF(D43&lt;=E43,C43*(1+F43*(D43-1)),"")</f>
        <v/>
      </c>
      <c r="H43" s="14" t="inlineStr"/>
    </row>
    <row r="44">
      <c r="A44" s="18">
        <f>'参数'!B5</f>
        <v/>
      </c>
      <c r="B44" s="9">
        <f>'参数'!C5</f>
        <v/>
      </c>
      <c r="C44" s="10">
        <f>'参数'!E5</f>
        <v/>
      </c>
      <c r="D44" s="15" t="n">
        <v>40</v>
      </c>
      <c r="E44" s="10">
        <f>'参数'!G5</f>
        <v/>
      </c>
      <c r="F44" s="11">
        <f>'参数'!F5</f>
        <v/>
      </c>
      <c r="G44" s="12">
        <f>IF(D44&lt;=E44,C44*(1+F44*(D44-1)),"")</f>
        <v/>
      </c>
      <c r="H44" s="14" t="inlineStr"/>
    </row>
    <row r="45">
      <c r="A45" s="18">
        <f>'参数'!B5</f>
        <v/>
      </c>
      <c r="B45" s="9">
        <f>'参数'!C5</f>
        <v/>
      </c>
      <c r="C45" s="10">
        <f>'参数'!E5</f>
        <v/>
      </c>
      <c r="D45" s="15" t="n">
        <v>41</v>
      </c>
      <c r="E45" s="10">
        <f>'参数'!G5</f>
        <v/>
      </c>
      <c r="F45" s="11">
        <f>'参数'!F5</f>
        <v/>
      </c>
      <c r="G45" s="12">
        <f>IF(D45&lt;=E45,C45*(1+F45*(D45-1)),"")</f>
        <v/>
      </c>
      <c r="H45" s="14" t="inlineStr"/>
    </row>
    <row r="46">
      <c r="A46" s="18">
        <f>'参数'!B5</f>
        <v/>
      </c>
      <c r="B46" s="9">
        <f>'参数'!C5</f>
        <v/>
      </c>
      <c r="C46" s="10">
        <f>'参数'!E5</f>
        <v/>
      </c>
      <c r="D46" s="15" t="n">
        <v>42</v>
      </c>
      <c r="E46" s="10">
        <f>'参数'!G5</f>
        <v/>
      </c>
      <c r="F46" s="11">
        <f>'参数'!F5</f>
        <v/>
      </c>
      <c r="G46" s="12">
        <f>IF(D46&lt;=E46,C46*(1+F46*(D46-1)),"")</f>
        <v/>
      </c>
      <c r="H46" s="14" t="inlineStr"/>
    </row>
    <row r="47">
      <c r="A47" s="18">
        <f>'参数'!B5</f>
        <v/>
      </c>
      <c r="B47" s="9">
        <f>'参数'!C5</f>
        <v/>
      </c>
      <c r="C47" s="10">
        <f>'参数'!E5</f>
        <v/>
      </c>
      <c r="D47" s="15" t="n">
        <v>43</v>
      </c>
      <c r="E47" s="10">
        <f>'参数'!G5</f>
        <v/>
      </c>
      <c r="F47" s="11">
        <f>'参数'!F5</f>
        <v/>
      </c>
      <c r="G47" s="12">
        <f>IF(D47&lt;=E47,C47*(1+F47*(D47-1)),"")</f>
        <v/>
      </c>
      <c r="H47" s="14" t="inlineStr"/>
    </row>
    <row r="48">
      <c r="A48" s="18">
        <f>'参数'!B5</f>
        <v/>
      </c>
      <c r="B48" s="9">
        <f>'参数'!C5</f>
        <v/>
      </c>
      <c r="C48" s="10">
        <f>'参数'!E5</f>
        <v/>
      </c>
      <c r="D48" s="15" t="n">
        <v>44</v>
      </c>
      <c r="E48" s="10">
        <f>'参数'!G5</f>
        <v/>
      </c>
      <c r="F48" s="11">
        <f>'参数'!F5</f>
        <v/>
      </c>
      <c r="G48" s="12">
        <f>IF(D48&lt;=E48,C48*(1+F48*(D48-1)),"")</f>
        <v/>
      </c>
      <c r="H48" s="14" t="inlineStr"/>
    </row>
    <row r="49">
      <c r="A49" s="18">
        <f>'参数'!B5</f>
        <v/>
      </c>
      <c r="B49" s="9">
        <f>'参数'!C5</f>
        <v/>
      </c>
      <c r="C49" s="10">
        <f>'参数'!E5</f>
        <v/>
      </c>
      <c r="D49" s="15" t="n">
        <v>45</v>
      </c>
      <c r="E49" s="10">
        <f>'参数'!G5</f>
        <v/>
      </c>
      <c r="F49" s="11">
        <f>'参数'!F5</f>
        <v/>
      </c>
      <c r="G49" s="12">
        <f>IF(D49&lt;=E49,C49*(1+F49*(D49-1)),"")</f>
        <v/>
      </c>
      <c r="H49" s="14" t="inlineStr"/>
    </row>
    <row r="50">
      <c r="A50" s="18">
        <f>'参数'!B5</f>
        <v/>
      </c>
      <c r="B50" s="9">
        <f>'参数'!C5</f>
        <v/>
      </c>
      <c r="C50" s="10">
        <f>'参数'!E5</f>
        <v/>
      </c>
      <c r="D50" s="15" t="n">
        <v>46</v>
      </c>
      <c r="E50" s="10">
        <f>'参数'!G5</f>
        <v/>
      </c>
      <c r="F50" s="11">
        <f>'参数'!F5</f>
        <v/>
      </c>
      <c r="G50" s="12">
        <f>IF(D50&lt;=E50,C50*(1+F50*(D50-1)),"")</f>
        <v/>
      </c>
      <c r="H50" s="14" t="inlineStr"/>
    </row>
    <row r="51">
      <c r="A51" s="18">
        <f>'参数'!B5</f>
        <v/>
      </c>
      <c r="B51" s="9">
        <f>'参数'!C5</f>
        <v/>
      </c>
      <c r="C51" s="10">
        <f>'参数'!E5</f>
        <v/>
      </c>
      <c r="D51" s="15" t="n">
        <v>47</v>
      </c>
      <c r="E51" s="10">
        <f>'参数'!G5</f>
        <v/>
      </c>
      <c r="F51" s="11">
        <f>'参数'!F5</f>
        <v/>
      </c>
      <c r="G51" s="12">
        <f>IF(D51&lt;=E51,C51*(1+F51*(D51-1)),"")</f>
        <v/>
      </c>
      <c r="H51" s="14" t="inlineStr"/>
    </row>
    <row r="52">
      <c r="A52" s="18">
        <f>'参数'!B5</f>
        <v/>
      </c>
      <c r="B52" s="9">
        <f>'参数'!C5</f>
        <v/>
      </c>
      <c r="C52" s="10">
        <f>'参数'!E5</f>
        <v/>
      </c>
      <c r="D52" s="15" t="n">
        <v>48</v>
      </c>
      <c r="E52" s="10">
        <f>'参数'!G5</f>
        <v/>
      </c>
      <c r="F52" s="11">
        <f>'参数'!F5</f>
        <v/>
      </c>
      <c r="G52" s="12">
        <f>IF(D52&lt;=E52,C52*(1+F52*(D52-1)),"")</f>
        <v/>
      </c>
      <c r="H52" s="14" t="inlineStr"/>
    </row>
    <row r="53">
      <c r="A53" s="18">
        <f>'参数'!B5</f>
        <v/>
      </c>
      <c r="B53" s="9">
        <f>'参数'!C5</f>
        <v/>
      </c>
      <c r="C53" s="10">
        <f>'参数'!E5</f>
        <v/>
      </c>
      <c r="D53" s="15" t="n">
        <v>49</v>
      </c>
      <c r="E53" s="10">
        <f>'参数'!G5</f>
        <v/>
      </c>
      <c r="F53" s="11">
        <f>'参数'!F5</f>
        <v/>
      </c>
      <c r="G53" s="12">
        <f>IF(D53&lt;=E53,C53*(1+F53*(D53-1)),"")</f>
        <v/>
      </c>
      <c r="H53" s="14" t="inlineStr"/>
    </row>
    <row r="54">
      <c r="A54" s="18">
        <f>'参数'!B5</f>
        <v/>
      </c>
      <c r="B54" s="9">
        <f>'参数'!C5</f>
        <v/>
      </c>
      <c r="C54" s="10">
        <f>'参数'!E5</f>
        <v/>
      </c>
      <c r="D54" s="15" t="n">
        <v>50</v>
      </c>
      <c r="E54" s="10">
        <f>'参数'!G5</f>
        <v/>
      </c>
      <c r="F54" s="11">
        <f>'参数'!F5</f>
        <v/>
      </c>
      <c r="G54" s="12">
        <f>IF(D54&lt;=E54,C54*(1+F54*(D54-1)),"")</f>
        <v/>
      </c>
      <c r="H54" s="14" t="inlineStr"/>
    </row>
    <row r="55">
      <c r="A55" s="18">
        <f>'参数'!B8</f>
        <v/>
      </c>
      <c r="B55" s="9">
        <f>'参数'!C8</f>
        <v/>
      </c>
      <c r="C55" s="10">
        <f>'参数'!E8</f>
        <v/>
      </c>
      <c r="D55" s="15" t="n">
        <v>1</v>
      </c>
      <c r="E55" s="10">
        <f>'参数'!G8</f>
        <v/>
      </c>
      <c r="F55" s="11">
        <f>'参数'!F8</f>
        <v/>
      </c>
      <c r="G55" s="12">
        <f>IF(D55&lt;=E55,C55*(1+F55*(D55-1)),"")</f>
        <v/>
      </c>
      <c r="H55" s="14" t="inlineStr">
        <is>
          <t>配置为粮食产出；运行时额外按相同数值计入银两。</t>
        </is>
      </c>
    </row>
    <row r="56">
      <c r="A56" s="18">
        <f>'参数'!B8</f>
        <v/>
      </c>
      <c r="B56" s="9">
        <f>'参数'!C8</f>
        <v/>
      </c>
      <c r="C56" s="10">
        <f>'参数'!E8</f>
        <v/>
      </c>
      <c r="D56" s="15" t="n">
        <v>2</v>
      </c>
      <c r="E56" s="10">
        <f>'参数'!G8</f>
        <v/>
      </c>
      <c r="F56" s="11">
        <f>'参数'!F8</f>
        <v/>
      </c>
      <c r="G56" s="12">
        <f>IF(D56&lt;=E56,C56*(1+F56*(D56-1)),"")</f>
        <v/>
      </c>
      <c r="H56" s="14" t="inlineStr">
        <is>
          <t>配置为粮食产出；运行时额外按相同数值计入银两。</t>
        </is>
      </c>
    </row>
    <row r="57">
      <c r="A57" s="18">
        <f>'参数'!B8</f>
        <v/>
      </c>
      <c r="B57" s="9">
        <f>'参数'!C8</f>
        <v/>
      </c>
      <c r="C57" s="10">
        <f>'参数'!E8</f>
        <v/>
      </c>
      <c r="D57" s="15" t="n">
        <v>3</v>
      </c>
      <c r="E57" s="10">
        <f>'参数'!G8</f>
        <v/>
      </c>
      <c r="F57" s="11">
        <f>'参数'!F8</f>
        <v/>
      </c>
      <c r="G57" s="12">
        <f>IF(D57&lt;=E57,C57*(1+F57*(D57-1)),"")</f>
        <v/>
      </c>
      <c r="H57" s="14" t="inlineStr">
        <is>
          <t>配置为粮食产出；运行时额外按相同数值计入银两。</t>
        </is>
      </c>
    </row>
    <row r="58">
      <c r="A58" s="18">
        <f>'参数'!B8</f>
        <v/>
      </c>
      <c r="B58" s="9">
        <f>'参数'!C8</f>
        <v/>
      </c>
      <c r="C58" s="10">
        <f>'参数'!E8</f>
        <v/>
      </c>
      <c r="D58" s="15" t="n">
        <v>4</v>
      </c>
      <c r="E58" s="10">
        <f>'参数'!G8</f>
        <v/>
      </c>
      <c r="F58" s="11">
        <f>'参数'!F8</f>
        <v/>
      </c>
      <c r="G58" s="12">
        <f>IF(D58&lt;=E58,C58*(1+F58*(D58-1)),"")</f>
        <v/>
      </c>
      <c r="H58" s="14" t="inlineStr">
        <is>
          <t>配置为粮食产出；运行时额外按相同数值计入银两。</t>
        </is>
      </c>
    </row>
    <row r="59">
      <c r="A59" s="18">
        <f>'参数'!B8</f>
        <v/>
      </c>
      <c r="B59" s="9">
        <f>'参数'!C8</f>
        <v/>
      </c>
      <c r="C59" s="10">
        <f>'参数'!E8</f>
        <v/>
      </c>
      <c r="D59" s="15" t="n">
        <v>5</v>
      </c>
      <c r="E59" s="10">
        <f>'参数'!G8</f>
        <v/>
      </c>
      <c r="F59" s="11">
        <f>'参数'!F8</f>
        <v/>
      </c>
      <c r="G59" s="12">
        <f>IF(D59&lt;=E59,C59*(1+F59*(D59-1)),"")</f>
        <v/>
      </c>
      <c r="H59" s="14" t="inlineStr">
        <is>
          <t>配置为粮食产出；运行时额外按相同数值计入银两。</t>
        </is>
      </c>
    </row>
    <row r="60">
      <c r="A60" s="18">
        <f>'参数'!B8</f>
        <v/>
      </c>
      <c r="B60" s="9">
        <f>'参数'!C8</f>
        <v/>
      </c>
      <c r="C60" s="10">
        <f>'参数'!E8</f>
        <v/>
      </c>
      <c r="D60" s="15" t="n">
        <v>6</v>
      </c>
      <c r="E60" s="10">
        <f>'参数'!G8</f>
        <v/>
      </c>
      <c r="F60" s="11">
        <f>'参数'!F8</f>
        <v/>
      </c>
      <c r="G60" s="12">
        <f>IF(D60&lt;=E60,C60*(1+F60*(D60-1)),"")</f>
        <v/>
      </c>
      <c r="H60" s="14" t="inlineStr">
        <is>
          <t>配置为粮食产出；运行时额外按相同数值计入银两。</t>
        </is>
      </c>
    </row>
    <row r="61">
      <c r="A61" s="18">
        <f>'参数'!B8</f>
        <v/>
      </c>
      <c r="B61" s="9">
        <f>'参数'!C8</f>
        <v/>
      </c>
      <c r="C61" s="10">
        <f>'参数'!E8</f>
        <v/>
      </c>
      <c r="D61" s="15" t="n">
        <v>7</v>
      </c>
      <c r="E61" s="10">
        <f>'参数'!G8</f>
        <v/>
      </c>
      <c r="F61" s="11">
        <f>'参数'!F8</f>
        <v/>
      </c>
      <c r="G61" s="12">
        <f>IF(D61&lt;=E61,C61*(1+F61*(D61-1)),"")</f>
        <v/>
      </c>
      <c r="H61" s="14" t="inlineStr">
        <is>
          <t>配置为粮食产出；运行时额外按相同数值计入银两。</t>
        </is>
      </c>
    </row>
    <row r="62">
      <c r="A62" s="18">
        <f>'参数'!B8</f>
        <v/>
      </c>
      <c r="B62" s="9">
        <f>'参数'!C8</f>
        <v/>
      </c>
      <c r="C62" s="10">
        <f>'参数'!E8</f>
        <v/>
      </c>
      <c r="D62" s="15" t="n">
        <v>8</v>
      </c>
      <c r="E62" s="10">
        <f>'参数'!G8</f>
        <v/>
      </c>
      <c r="F62" s="11">
        <f>'参数'!F8</f>
        <v/>
      </c>
      <c r="G62" s="12">
        <f>IF(D62&lt;=E62,C62*(1+F62*(D62-1)),"")</f>
        <v/>
      </c>
      <c r="H62" s="14" t="inlineStr">
        <is>
          <t>配置为粮食产出；运行时额外按相同数值计入银两。</t>
        </is>
      </c>
    </row>
    <row r="63">
      <c r="A63" s="18">
        <f>'参数'!B8</f>
        <v/>
      </c>
      <c r="B63" s="9">
        <f>'参数'!C8</f>
        <v/>
      </c>
      <c r="C63" s="10">
        <f>'参数'!E8</f>
        <v/>
      </c>
      <c r="D63" s="15" t="n">
        <v>9</v>
      </c>
      <c r="E63" s="10">
        <f>'参数'!G8</f>
        <v/>
      </c>
      <c r="F63" s="11">
        <f>'参数'!F8</f>
        <v/>
      </c>
      <c r="G63" s="12">
        <f>IF(D63&lt;=E63,C63*(1+F63*(D63-1)),"")</f>
        <v/>
      </c>
      <c r="H63" s="14" t="inlineStr">
        <is>
          <t>配置为粮食产出；运行时额外按相同数值计入银两。</t>
        </is>
      </c>
    </row>
    <row r="64">
      <c r="A64" s="18">
        <f>'参数'!B8</f>
        <v/>
      </c>
      <c r="B64" s="9">
        <f>'参数'!C8</f>
        <v/>
      </c>
      <c r="C64" s="10">
        <f>'参数'!E8</f>
        <v/>
      </c>
      <c r="D64" s="15" t="n">
        <v>10</v>
      </c>
      <c r="E64" s="10">
        <f>'参数'!G8</f>
        <v/>
      </c>
      <c r="F64" s="11">
        <f>'参数'!F8</f>
        <v/>
      </c>
      <c r="G64" s="12">
        <f>IF(D64&lt;=E64,C64*(1+F64*(D64-1)),"")</f>
        <v/>
      </c>
      <c r="H64" s="14" t="inlineStr">
        <is>
          <t>配置为粮食产出；运行时额外按相同数值计入银两。</t>
        </is>
      </c>
    </row>
    <row r="65">
      <c r="A65" s="18">
        <f>'参数'!B8</f>
        <v/>
      </c>
      <c r="B65" s="9">
        <f>'参数'!C8</f>
        <v/>
      </c>
      <c r="C65" s="10">
        <f>'参数'!E8</f>
        <v/>
      </c>
      <c r="D65" s="15" t="n">
        <v>11</v>
      </c>
      <c r="E65" s="10">
        <f>'参数'!G8</f>
        <v/>
      </c>
      <c r="F65" s="11">
        <f>'参数'!F8</f>
        <v/>
      </c>
      <c r="G65" s="12">
        <f>IF(D65&lt;=E65,C65*(1+F65*(D65-1)),"")</f>
        <v/>
      </c>
      <c r="H65" s="14" t="inlineStr">
        <is>
          <t>配置为粮食产出；运行时额外按相同数值计入银两。</t>
        </is>
      </c>
    </row>
    <row r="66">
      <c r="A66" s="18">
        <f>'参数'!B8</f>
        <v/>
      </c>
      <c r="B66" s="9">
        <f>'参数'!C8</f>
        <v/>
      </c>
      <c r="C66" s="10">
        <f>'参数'!E8</f>
        <v/>
      </c>
      <c r="D66" s="15" t="n">
        <v>12</v>
      </c>
      <c r="E66" s="10">
        <f>'参数'!G8</f>
        <v/>
      </c>
      <c r="F66" s="11">
        <f>'参数'!F8</f>
        <v/>
      </c>
      <c r="G66" s="12">
        <f>IF(D66&lt;=E66,C66*(1+F66*(D66-1)),"")</f>
        <v/>
      </c>
      <c r="H66" s="14" t="inlineStr">
        <is>
          <t>配置为粮食产出；运行时额外按相同数值计入银两。</t>
        </is>
      </c>
    </row>
    <row r="67">
      <c r="A67" s="18">
        <f>'参数'!B8</f>
        <v/>
      </c>
      <c r="B67" s="9">
        <f>'参数'!C8</f>
        <v/>
      </c>
      <c r="C67" s="10">
        <f>'参数'!E8</f>
        <v/>
      </c>
      <c r="D67" s="15" t="n">
        <v>13</v>
      </c>
      <c r="E67" s="10">
        <f>'参数'!G8</f>
        <v/>
      </c>
      <c r="F67" s="11">
        <f>'参数'!F8</f>
        <v/>
      </c>
      <c r="G67" s="12">
        <f>IF(D67&lt;=E67,C67*(1+F67*(D67-1)),"")</f>
        <v/>
      </c>
      <c r="H67" s="14" t="inlineStr">
        <is>
          <t>配置为粮食产出；运行时额外按相同数值计入银两。</t>
        </is>
      </c>
    </row>
    <row r="68">
      <c r="A68" s="18">
        <f>'参数'!B8</f>
        <v/>
      </c>
      <c r="B68" s="9">
        <f>'参数'!C8</f>
        <v/>
      </c>
      <c r="C68" s="10">
        <f>'参数'!E8</f>
        <v/>
      </c>
      <c r="D68" s="15" t="n">
        <v>14</v>
      </c>
      <c r="E68" s="10">
        <f>'参数'!G8</f>
        <v/>
      </c>
      <c r="F68" s="11">
        <f>'参数'!F8</f>
        <v/>
      </c>
      <c r="G68" s="12">
        <f>IF(D68&lt;=E68,C68*(1+F68*(D68-1)),"")</f>
        <v/>
      </c>
      <c r="H68" s="14" t="inlineStr">
        <is>
          <t>配置为粮食产出；运行时额外按相同数值计入银两。</t>
        </is>
      </c>
    </row>
    <row r="69">
      <c r="A69" s="18">
        <f>'参数'!B8</f>
        <v/>
      </c>
      <c r="B69" s="9">
        <f>'参数'!C8</f>
        <v/>
      </c>
      <c r="C69" s="10">
        <f>'参数'!E8</f>
        <v/>
      </c>
      <c r="D69" s="15" t="n">
        <v>15</v>
      </c>
      <c r="E69" s="10">
        <f>'参数'!G8</f>
        <v/>
      </c>
      <c r="F69" s="11">
        <f>'参数'!F8</f>
        <v/>
      </c>
      <c r="G69" s="12">
        <f>IF(D69&lt;=E69,C69*(1+F69*(D69-1)),"")</f>
        <v/>
      </c>
      <c r="H69" s="14" t="inlineStr">
        <is>
          <t>配置为粮食产出；运行时额外按相同数值计入银两。</t>
        </is>
      </c>
    </row>
    <row r="70">
      <c r="A70" s="18">
        <f>'参数'!B8</f>
        <v/>
      </c>
      <c r="B70" s="9">
        <f>'参数'!C8</f>
        <v/>
      </c>
      <c r="C70" s="10">
        <f>'参数'!E8</f>
        <v/>
      </c>
      <c r="D70" s="15" t="n">
        <v>16</v>
      </c>
      <c r="E70" s="10">
        <f>'参数'!G8</f>
        <v/>
      </c>
      <c r="F70" s="11">
        <f>'参数'!F8</f>
        <v/>
      </c>
      <c r="G70" s="12">
        <f>IF(D70&lt;=E70,C70*(1+F70*(D70-1)),"")</f>
        <v/>
      </c>
      <c r="H70" s="14" t="inlineStr">
        <is>
          <t>配置为粮食产出；运行时额外按相同数值计入银两。</t>
        </is>
      </c>
    </row>
    <row r="71">
      <c r="A71" s="18">
        <f>'参数'!B8</f>
        <v/>
      </c>
      <c r="B71" s="9">
        <f>'参数'!C8</f>
        <v/>
      </c>
      <c r="C71" s="10">
        <f>'参数'!E8</f>
        <v/>
      </c>
      <c r="D71" s="15" t="n">
        <v>17</v>
      </c>
      <c r="E71" s="10">
        <f>'参数'!G8</f>
        <v/>
      </c>
      <c r="F71" s="11">
        <f>'参数'!F8</f>
        <v/>
      </c>
      <c r="G71" s="12">
        <f>IF(D71&lt;=E71,C71*(1+F71*(D71-1)),"")</f>
        <v/>
      </c>
      <c r="H71" s="14" t="inlineStr">
        <is>
          <t>配置为粮食产出；运行时额外按相同数值计入银两。</t>
        </is>
      </c>
    </row>
    <row r="72">
      <c r="A72" s="18">
        <f>'参数'!B8</f>
        <v/>
      </c>
      <c r="B72" s="9">
        <f>'参数'!C8</f>
        <v/>
      </c>
      <c r="C72" s="10">
        <f>'参数'!E8</f>
        <v/>
      </c>
      <c r="D72" s="15" t="n">
        <v>18</v>
      </c>
      <c r="E72" s="10">
        <f>'参数'!G8</f>
        <v/>
      </c>
      <c r="F72" s="11">
        <f>'参数'!F8</f>
        <v/>
      </c>
      <c r="G72" s="12">
        <f>IF(D72&lt;=E72,C72*(1+F72*(D72-1)),"")</f>
        <v/>
      </c>
      <c r="H72" s="14" t="inlineStr">
        <is>
          <t>配置为粮食产出；运行时额外按相同数值计入银两。</t>
        </is>
      </c>
    </row>
    <row r="73">
      <c r="A73" s="18">
        <f>'参数'!B8</f>
        <v/>
      </c>
      <c r="B73" s="9">
        <f>'参数'!C8</f>
        <v/>
      </c>
      <c r="C73" s="10">
        <f>'参数'!E8</f>
        <v/>
      </c>
      <c r="D73" s="15" t="n">
        <v>19</v>
      </c>
      <c r="E73" s="10">
        <f>'参数'!G8</f>
        <v/>
      </c>
      <c r="F73" s="11">
        <f>'参数'!F8</f>
        <v/>
      </c>
      <c r="G73" s="12">
        <f>IF(D73&lt;=E73,C73*(1+F73*(D73-1)),"")</f>
        <v/>
      </c>
      <c r="H73" s="14" t="inlineStr">
        <is>
          <t>配置为粮食产出；运行时额外按相同数值计入银两。</t>
        </is>
      </c>
    </row>
    <row r="74">
      <c r="A74" s="18">
        <f>'参数'!B8</f>
        <v/>
      </c>
      <c r="B74" s="9">
        <f>'参数'!C8</f>
        <v/>
      </c>
      <c r="C74" s="10">
        <f>'参数'!E8</f>
        <v/>
      </c>
      <c r="D74" s="15" t="n">
        <v>20</v>
      </c>
      <c r="E74" s="10">
        <f>'参数'!G8</f>
        <v/>
      </c>
      <c r="F74" s="11">
        <f>'参数'!F8</f>
        <v/>
      </c>
      <c r="G74" s="12">
        <f>IF(D74&lt;=E74,C74*(1+F74*(D74-1)),"")</f>
        <v/>
      </c>
      <c r="H74" s="14" t="inlineStr">
        <is>
          <t>配置为粮食产出；运行时额外按相同数值计入银两。</t>
        </is>
      </c>
    </row>
  </sheetData>
  <autoFilter ref="A4:H74"/>
  <mergeCells count="2">
    <mergeCell ref="A2:H2"/>
    <mergeCell ref="A1:H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建筑资源产出统计</dc:title>
  <dc:description xmlns:dc="http://purl.org/dc/elements/1.1/">基于当前 building_templates.yaml 与 BUILDING_MAX_LEVELS 配置生成。</dc:description>
  <dc:subject xmlns:dc="http://purl.org/dc/elements/1.1/">银两与粮食建筑各等级每小时产出</dc:subject>
  <dcterms:created xmlns:dcterms="http://purl.org/dc/terms/" xmlns:xsi="http://www.w3.org/2001/XMLSchema-instance" xsi:type="dcterms:W3CDTF">2026-08-13T13:16:30Z</dcterms:created>
  <dcterms:modified xmlns:dcterms="http://purl.org/dc/terms/" xmlns:xsi="http://www.w3.org/2001/XMLSchema-instance" xsi:type="dcterms:W3CDTF">2026-08-13T13:16:30Z</dcterms:modified>
</cp:coreProperties>
</file>