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xmlns:r="http://schemas.openxmlformats.org/officeDocument/2006/relationships" name="装备总表" sheetId="1" state="visible" r:id="rId1"/>
    <sheet xmlns:r="http://schemas.openxmlformats.org/officeDocument/2006/relationships" name="套装效果" sheetId="2" state="visible" r:id="rId2"/>
    <sheet xmlns:r="http://schemas.openxmlformats.org/officeDocument/2006/relationships" name="护院兵种加成" sheetId="3" state="visible" r:id="rId3"/>
    <sheet xmlns:r="http://schemas.openxmlformats.org/officeDocument/2006/relationships" name="制作配方" sheetId="4" state="visible" r:id="rId4"/>
    <sheet xmlns:r="http://schemas.openxmlformats.org/officeDocument/2006/relationships" name="获取途径" sheetId="5" state="visible" r:id="rId5"/>
    <sheet xmlns:r="http://schemas.openxmlformats.org/officeDocument/2006/relationships" name="获取途径待核实" sheetId="6" state="visible" r:id="rId6"/>
    <sheet xmlns:r="http://schemas.openxmlformats.org/officeDocument/2006/relationships" name="装备分解" sheetId="7" state="visible" r:id="rId7"/>
    <sheet xmlns:r="http://schemas.openxmlformats.org/officeDocument/2006/relationships" name="分类汇总" sheetId="8" state="visible" r:id="rId8"/>
    <sheet xmlns:r="http://schemas.openxmlformats.org/officeDocument/2006/relationships" name="更新说明" sheetId="9" state="visible" r:id="rId9"/>
  </sheets>
  <definedNames>
    <definedName name="_xlnm._FilterDatabase" localSheetId="0" hidden="1">'装备总表'!$A$1:$AG$266</definedName>
    <definedName name="_xlnm._FilterDatabase" localSheetId="1" hidden="1">'套装效果'!$A$1:$N$13</definedName>
    <definedName name="_xlnm._FilterDatabase" localSheetId="2" hidden="1">'护院兵种加成'!$A$1:$K$48</definedName>
    <definedName name="_xlnm._FilterDatabase" localSheetId="3" hidden="1">'制作配方'!$A$1:$L$74</definedName>
    <definedName name="_xlnm._FilterDatabase" localSheetId="4" hidden="1">'获取途径'!$A$1:$E$574</definedName>
    <definedName name="_xlnm._FilterDatabase" localSheetId="5" hidden="1">'获取途径待核实'!$A$1:$F$6</definedName>
    <definedName name="_xlnm._FilterDatabase" localSheetId="6" hidden="1">'装备分解'!$A$1:$I$68</definedName>
    <definedName name="_xlnm._FilterDatabase" localSheetId="7" hidden="1">'分类汇总'!$A$1:$D$37</definedName>
    <definedName name="_xlnm._FilterDatabase" localSheetId="8" hidden="1">'更新说明'!$A$1:$B$17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宋体"/>
      <charset val="134"/>
      <b val="1"/>
      <color rgb="FFFFFFFF"/>
      <sz val="11"/>
    </font>
    <font>
      <name val="Arial"/>
      <charset val="134"/>
      <sz val="10"/>
    </font>
    <font>
      <name val="宋体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说明</author>
    <author>数据来源</author>
  </authors>
  <commentList>
    <comment ref="D1" authorId="0" shapeId="0">
      <text>
        <t>物品模板 price 字段。商店 buy_price/price 可能单独配置，详见“获取途径”页。未配置或配置为0均按模板导入默认值展示，不推断为商店售价。</t>
      </text>
    </comment>
    <comment ref="M1" authorId="0" shapeId="0">
      <text>
        <t>沿用原表合计口径：生命/54+防御+武力+智力+敏捷+运势×1.2+带兵上限/2，与 tests/test_item_template_equipment_balance.py:_equipment_score 一致；不包含套装与护院兵种加成。</t>
      </text>
    </comment>
    <comment ref="S1" authorId="0" shapeId="0">
      <text>
        <t>沿用旧表人工细分；普通锻造装备以 forge_equipment.yaml category 为准。物品模板并无统一武器细分类字段。</t>
      </text>
    </comment>
    <comment ref="AG2" authorId="1" shapeId="0">
      <text>
        <t>Source: data/item_templates.yaml, 2026-09-30, key=equip_bumao, line=3336</t>
      </text>
    </comment>
    <comment ref="AG3" authorId="1" shapeId="0">
      <text>
        <t>Source: data/item_templates.yaml, 2026-09-30, key=equip_caomao, line=3240</t>
      </text>
    </comment>
    <comment ref="AG4" authorId="1" shapeId="0">
      <text>
        <t>Source: data/item_templates.yaml, 2026-09-30, key=equip_niupimao, line=3351</t>
      </text>
    </comment>
    <comment ref="AG5" authorId="1" shapeId="0">
      <text>
        <t>Source: data/item_templates.yaml, 2026-09-30, key=equip_zhubiankui, line=3410</t>
      </text>
    </comment>
    <comment ref="AG6" authorId="1" shapeId="0">
      <text>
        <t>Source: data/item_templates.yaml, 2026-09-30, key=equip_baihongkui, line=3395</t>
      </text>
    </comment>
    <comment ref="AG7" authorId="1" shapeId="0">
      <text>
        <t>Source: data/item_templates.yaml, 2026-09-30, key=equip_baoutoukui, line=3460</t>
      </text>
    </comment>
    <comment ref="AG8" authorId="1" shapeId="0">
      <text>
        <t>Source: data/item_templates.yaml, 2026-09-30, key=equip_huwenkui, line=3446</t>
      </text>
    </comment>
    <comment ref="AG9" authorId="1" shapeId="0">
      <text>
        <t>Source: data/item_templates.yaml, 2026-09-30, key=equip_qingtengguan, line=3488</t>
      </text>
    </comment>
    <comment ref="AG10" authorId="1" shapeId="0">
      <text>
        <t>Source: data/item_templates.yaml, 2026-09-30, key=equip_tieyekui, line=3366</t>
      </text>
    </comment>
    <comment ref="AG11" authorId="1" shapeId="0">
      <text>
        <t>Source: data/item_templates.yaml, 2026-09-30, key=equip_yanlingmao, line=3474</t>
      </text>
    </comment>
    <comment ref="AG12" authorId="1" shapeId="0">
      <text>
        <t>Source: data/item_templates.yaml, 2026-09-30, key=equip_yemantoukie, line=3425</t>
      </text>
    </comment>
    <comment ref="AG13" authorId="1" shapeId="0">
      <text>
        <t>Source: data/item_templates.yaml, 2026-09-30, key=equip_yulindin, line=3380</t>
      </text>
    </comment>
    <comment ref="AG14" authorId="1" shapeId="0">
      <text>
        <t>Source: data/item_templates.yaml, 2026-09-30, key=equip_action_mask, line=3113</t>
      </text>
    </comment>
    <comment ref="AG15" authorId="1" shapeId="0">
      <text>
        <t>Source: data/item_templates.yaml, 2026-09-30, key=equip_feiyukui, line=3615</t>
      </text>
    </comment>
    <comment ref="AG16" authorId="1" shapeId="0">
      <text>
        <t>Source: data/item_templates.yaml, 2026-09-30, key=equip_hantiekui, line=3586</t>
      </text>
    </comment>
    <comment ref="AG17" authorId="1" shapeId="0">
      <text>
        <t>Source: data/item_templates.yaml, 2026-09-30, key=equip_jiaodoushitoukui, line=3528</t>
      </text>
    </comment>
    <comment ref="AG18" authorId="1" shapeId="0">
      <text>
        <t>Source: data/item_templates.yaml, 2026-09-30, key=equip_langyakui, line=3600</t>
      </text>
    </comment>
    <comment ref="AG19" authorId="1" shapeId="0">
      <text>
        <t>Source: data/item_templates.yaml, 2026-09-30, key=equip_qinglongkui, line=3564</t>
      </text>
    </comment>
    <comment ref="AG20" authorId="1" shapeId="0">
      <text>
        <t>Source: data/item_templates.yaml, 2026-09-30, key=equip_xiaoweitoukui, line=3505</t>
      </text>
    </comment>
    <comment ref="AG21" authorId="1" shapeId="0">
      <text>
        <t>Source: data/item_templates.yaml, 2026-09-30, key=equip_xuantiekui, line=3550</t>
      </text>
    </comment>
    <comment ref="AG22" authorId="1" shapeId="0">
      <text>
        <t>Source: data/item_templates.yaml, 2026-09-30, key=equip_yunwenkui, line=3630</t>
      </text>
    </comment>
    <comment ref="AG23" authorId="1" shapeId="0">
      <text>
        <t>Source: data/item_templates.yaml, 2026-09-30, key=equip_bawangkui, line=3691</t>
      </text>
    </comment>
    <comment ref="AG24" authorId="1" shapeId="0">
      <text>
        <t>Source: data/item_templates.yaml, 2026-09-30, key=equip_fenglingguan, line=3670</t>
      </text>
    </comment>
    <comment ref="AG25" authorId="1" shapeId="0">
      <text>
        <t>Source: data/item_templates.yaml, 2026-09-30, key=equip_pojunkui, line=3727</t>
      </text>
    </comment>
    <comment ref="AG26" authorId="1" shapeId="0">
      <text>
        <t>Source: data/item_templates.yaml, 2026-09-30, key=equip_qilinkui, line=3647</t>
      </text>
    </comment>
    <comment ref="AG27" authorId="1" shapeId="0">
      <text>
        <t>Source: data/item_templates.yaml, 2026-09-30, key=equip_tianjiguan, line=3742</t>
      </text>
    </comment>
    <comment ref="AG28" authorId="1" shapeId="0">
      <text>
        <t>Source: data/item_templates.yaml, 2026-09-30, key=equip_xuanwukui, line=3705</t>
      </text>
    </comment>
    <comment ref="AG29" authorId="1" shapeId="0">
      <text>
        <t>Source: data/item_templates.yaml, 2026-09-30, key=equip_diwangkui, line=3775</t>
      </text>
    </comment>
    <comment ref="AG30" authorId="1" shapeId="0">
      <text>
        <t>Source: data/item_templates.yaml, 2026-09-30, key=equip_longhuangguan, line=3759</t>
      </text>
    </comment>
    <comment ref="AG31" authorId="1" shapeId="0">
      <text>
        <t>Source: data/item_templates.yaml, 2026-09-30, key=equip_taixudiguan, line=3790</t>
      </text>
    </comment>
    <comment ref="AG32" authorId="1" shapeId="0">
      <text>
        <t>Source: data/item_templates.yaml, 2026-09-30, key=equip_bupao, line=3809</t>
      </text>
    </comment>
    <comment ref="AG33" authorId="1" shapeId="0">
      <text>
        <t>Source: data/item_templates.yaml, 2026-09-30, key=equip_cubujia, line=3867</t>
      </text>
    </comment>
    <comment ref="AG34" authorId="1" shapeId="0">
      <text>
        <t>Source: data/item_templates.yaml, 2026-09-30, key=equip_shengpijia, line=3823</t>
      </text>
    </comment>
    <comment ref="AG35" authorId="1" shapeId="0">
      <text>
        <t>Source: data/item_templates.yaml, 2026-09-30, key=equip_suoyi, line=3263</t>
      </text>
    </comment>
    <comment ref="AG36" authorId="1" shapeId="0">
      <text>
        <t>Source: data/item_templates.yaml, 2026-09-30, key=equip_housipao, line=3837</t>
      </text>
    </comment>
    <comment ref="AG37" authorId="1" shapeId="0">
      <text>
        <t>Source: data/item_templates.yaml, 2026-09-30, key=equip_nichangyuyi, line=3954</t>
      </text>
    </comment>
    <comment ref="AG38" authorId="1" shapeId="0">
      <text>
        <t>Source: data/item_templates.yaml, 2026-09-30, key=equip_qingzhujia, line=3925</t>
      </text>
    </comment>
    <comment ref="AG39" authorId="1" shapeId="0">
      <text>
        <t>Source: data/item_templates.yaml, 2026-09-30, key=equip_shanwenjia, line=3911</t>
      </text>
    </comment>
    <comment ref="AG40" authorId="1" shapeId="0">
      <text>
        <t>Source: data/item_templates.yaml, 2026-09-30, key=equip_shapijia, line=3852</t>
      </text>
    </comment>
    <comment ref="AG41" authorId="1" shapeId="0">
      <text>
        <t>Source: data/item_templates.yaml, 2026-09-30, key=equip_suozijia, line=3884</t>
      </text>
    </comment>
    <comment ref="AG42" authorId="1" shapeId="0">
      <text>
        <t>Source: data/item_templates.yaml, 2026-09-30, key=equip_tiexianjia, line=3940</t>
      </text>
    </comment>
    <comment ref="AG43" authorId="1" shapeId="0">
      <text>
        <t>Source: data/item_templates.yaml, 2026-09-30, key=equip_xuantiejia, line=3898</t>
      </text>
    </comment>
    <comment ref="AG44" authorId="1" shapeId="0">
      <text>
        <t>Source: data/item_templates.yaml, 2026-09-30, key=equip_jiaodoushixiongjia, line=4000</t>
      </text>
    </comment>
    <comment ref="AG45" authorId="1" shapeId="0">
      <text>
        <t>Source: data/item_templates.yaml, 2026-09-30, key=equip_kasukabe_satchel, line=3165</t>
      </text>
    </comment>
    <comment ref="AG46" authorId="1" shapeId="0">
      <text>
        <t>Source: data/item_templates.yaml, 2026-09-30, key=equip_linwenzhanjia, line=4059</t>
      </text>
    </comment>
    <comment ref="AG47" authorId="1" shapeId="0">
      <text>
        <t>Source: data/item_templates.yaml, 2026-09-30, key=equip_qinglongjia, line=4022</t>
      </text>
    </comment>
    <comment ref="AG48" authorId="1" shapeId="0">
      <text>
        <t>Source: data/item_templates.yaml, 2026-09-30, key=equip_wujinjia, line=4045</t>
      </text>
    </comment>
    <comment ref="AG49" authorId="1" shapeId="0">
      <text>
        <t>Source: data/item_templates.yaml, 2026-09-30, key=equip_xiaoweikaijia, line=3977</t>
      </text>
    </comment>
    <comment ref="AG50" authorId="1" shapeId="0">
      <text>
        <t>Source: data/item_templates.yaml, 2026-09-30, key=equip_xuanjiazhanbao, line=4088</t>
      </text>
    </comment>
    <comment ref="AG51" authorId="1" shapeId="0">
      <text>
        <t>Source: data/item_templates.yaml, 2026-09-30, key=equip_yunwenfayi, line=4073</t>
      </text>
    </comment>
    <comment ref="AG52" authorId="1" shapeId="0">
      <text>
        <t>Source: data/item_templates.yaml, 2026-09-30, key=equip_huxianpao, line=4104</t>
      </text>
    </comment>
    <comment ref="AG53" authorId="1" shapeId="0">
      <text>
        <t>Source: data/item_templates.yaml, 2026-09-30, key=equip_pojunzhanjia, line=4186</t>
      </text>
    </comment>
    <comment ref="AG54" authorId="1" shapeId="0">
      <text>
        <t>Source: data/item_templates.yaml, 2026-09-30, key=equip_qilinjia, line=4126</t>
      </text>
    </comment>
    <comment ref="AG55" authorId="1" shapeId="0">
      <text>
        <t>Source: data/item_templates.yaml, 2026-09-30, key=equip_tiancanbaoyi, line=4171</t>
      </text>
    </comment>
    <comment ref="AG56" authorId="1" shapeId="0">
      <text>
        <t>Source: data/item_templates.yaml, 2026-09-30, key=equip_tianjidaopao, line=4200</t>
      </text>
    </comment>
    <comment ref="AG57" authorId="1" shapeId="0">
      <text>
        <t>Source: data/item_templates.yaml, 2026-09-30, key=equip_xuanwujia, line=4149</t>
      </text>
    </comment>
    <comment ref="AG58" authorId="1" shapeId="0">
      <text>
        <t>Source: data/item_templates.yaml, 2026-09-30, key=equip_hundunlongpao, line=4247</t>
      </text>
    </comment>
    <comment ref="AG59" authorId="1" shapeId="0">
      <text>
        <t>Source: data/item_templates.yaml, 2026-09-30, key=equip_jinsirujia, line=4232</t>
      </text>
    </comment>
    <comment ref="AG60" authorId="1" shapeId="0">
      <text>
        <t>Source: data/item_templates.yaml, 2026-09-30, key=equip_longlinzhanjia, line=4217</t>
      </text>
    </comment>
    <comment ref="AG61" authorId="1" shapeId="0">
      <text>
        <t>Source: data/item_templates.yaml, 2026-09-30, key=equip_ruanweijia, line=4262</t>
      </text>
    </comment>
    <comment ref="AG62" authorId="1" shapeId="0">
      <text>
        <t>Source: data/item_templates.yaml, 2026-09-30, key=equip_buxie, line=4281</t>
      </text>
    </comment>
    <comment ref="AG63" authorId="1" shapeId="0">
      <text>
        <t>Source: data/item_templates.yaml, 2026-09-30, key=equip_caoxie, line=3287</t>
      </text>
    </comment>
    <comment ref="AG64" authorId="1" shapeId="0">
      <text>
        <t>Source: data/item_templates.yaml, 2026-09-30, key=equip_mabuxue, line=4341</t>
      </text>
    </comment>
    <comment ref="AG65" authorId="1" shapeId="0">
      <text>
        <t>Source: data/item_templates.yaml, 2026-09-30, key=equip_yangpixue, line=4296</t>
      </text>
    </comment>
    <comment ref="AG66" authorId="1" shapeId="0">
      <text>
        <t>Source: data/item_templates.yaml, 2026-09-30, key=equip_gangpianxue, line=4311</t>
      </text>
    </comment>
    <comment ref="AG67" authorId="1" shapeId="0">
      <text>
        <t>Source: data/item_templates.yaml, 2026-09-30, key=equip_hupixue, line=4358</t>
      </text>
    </comment>
    <comment ref="AG68" authorId="1" shapeId="0">
      <text>
        <t>Source: data/item_templates.yaml, 2026-09-30, key=equip_jifengxue, line=4388</t>
      </text>
    </comment>
    <comment ref="AG69" authorId="1" shapeId="0">
      <text>
        <t>Source: data/item_templates.yaml, 2026-09-30, key=equip_nichangwuxie, line=4432</t>
      </text>
    </comment>
    <comment ref="AG70" authorId="1" shapeId="0">
      <text>
        <t>Source: data/item_templates.yaml, 2026-09-30, key=equip_tayunxue, line=4373</t>
      </text>
    </comment>
    <comment ref="AG71" authorId="1" shapeId="0">
      <text>
        <t>Source: data/item_templates.yaml, 2026-09-30, key=equip_yanyuxue, line=4326</t>
      </text>
    </comment>
    <comment ref="AG72" authorId="1" shapeId="0">
      <text>
        <t>Source: data/item_templates.yaml, 2026-09-30, key=equip_youxiaxue, line=4402</t>
      </text>
    </comment>
    <comment ref="AG73" authorId="1" shapeId="0">
      <text>
        <t>Source: data/item_templates.yaml, 2026-09-30, key=equip_zhuyelu, line=4417</t>
      </text>
    </comment>
    <comment ref="AG74" authorId="1" shapeId="0">
      <text>
        <t>Source: data/item_templates.yaml, 2026-09-30, key=equip_jiaodoushizhixue, line=4479</t>
      </text>
    </comment>
    <comment ref="AG75" authorId="1" shapeId="0">
      <text>
        <t>Source: data/item_templates.yaml, 2026-09-30, key=equip_jinlinxue, line=4583</t>
      </text>
    </comment>
    <comment ref="AG76" authorId="1" shapeId="0">
      <text>
        <t>Source: data/item_templates.yaml, 2026-09-30, key=equip_lingboxie, line=4526</t>
      </text>
    </comment>
    <comment ref="AG77" authorId="1" shapeId="0">
      <text>
        <t>Source: data/item_templates.yaml, 2026-09-30, key=equip_pojunxue, line=4554</t>
      </text>
    </comment>
    <comment ref="AG78" authorId="1" shapeId="0">
      <text>
        <t>Source: data/item_templates.yaml, 2026-09-30, key=equip_qinglongxue, line=4502</t>
      </text>
    </comment>
    <comment ref="AG79" authorId="1" shapeId="0">
      <text>
        <t>Source: data/item_templates.yaml, 2026-09-30, key=equip_xiaoweichangxue, line=4455</t>
      </text>
    </comment>
    <comment ref="AG80" authorId="1" shapeId="0">
      <text>
        <t>Source: data/item_templates.yaml, 2026-09-30, key=equip_yingxingxue, line=4569</t>
      </text>
    </comment>
    <comment ref="AG81" authorId="1" shapeId="0">
      <text>
        <t>Source: data/item_templates.yaml, 2026-09-30, key=equip_zhuifengxue, line=4540</t>
      </text>
    </comment>
    <comment ref="AG82" authorId="1" shapeId="0">
      <text>
        <t>Source: data/item_templates.yaml, 2026-09-30, key=equip_huxianxie, line=4600</t>
      </text>
    </comment>
    <comment ref="AG83" authorId="1" shapeId="0">
      <text>
        <t>Source: data/item_templates.yaml, 2026-09-30, key=equip_liekongxue, line=4697</t>
      </text>
    </comment>
    <comment ref="AG84" authorId="1" shapeId="0">
      <text>
        <t>Source: data/item_templates.yaml, 2026-09-30, key=equip_qilinxue, line=4622</t>
      </text>
    </comment>
    <comment ref="AG85" authorId="1" shapeId="0">
      <text>
        <t>Source: data/item_templates.yaml, 2026-09-30, key=equip_tianjilu, line=4682</t>
      </text>
    </comment>
    <comment ref="AG86" authorId="1" shapeId="0">
      <text>
        <t>Source: data/item_templates.yaml, 2026-09-30, key=equip_xuanwuxue, line=4645</t>
      </text>
    </comment>
    <comment ref="AG87" authorId="1" shapeId="0">
      <text>
        <t>Source: data/item_templates.yaml, 2026-09-30, key=equip_zhurixue, line=4667</t>
      </text>
    </comment>
    <comment ref="AG88" authorId="1" shapeId="0">
      <text>
        <t>Source: data/item_templates.yaml, 2026-09-30, key=equip_shenxingxue, line=4730</t>
      </text>
    </comment>
    <comment ref="AG89" authorId="1" shapeId="0">
      <text>
        <t>Source: data/item_templates.yaml, 2026-09-30, key=equip_tatianxue, line=4714</t>
      </text>
    </comment>
    <comment ref="AG90" authorId="1" shapeId="0">
      <text>
        <t>Source: data/item_templates.yaml, 2026-09-30, key=equip_wujixingxue, line=4745</t>
      </text>
    </comment>
    <comment ref="AG91" authorId="1" shapeId="0">
      <text>
        <t>Source: data/item_templates.yaml, 2026-09-30, key=equip_dakandao, line=4837</t>
      </text>
    </comment>
    <comment ref="AG92" authorId="1" shapeId="0">
      <text>
        <t>Source: data/item_templates.yaml, 2026-09-30, key=equip_duandao, line=4823</t>
      </text>
    </comment>
    <comment ref="AG93" authorId="1" shapeId="0">
      <text>
        <t>Source: data/item_templates.yaml, 2026-09-30, key=equip_changjian, line=4778</t>
      </text>
    </comment>
    <comment ref="AG94" authorId="1" shapeId="0">
      <text>
        <t>Source: data/item_templates.yaml, 2026-09-30, key=equip_duanjian, line=4764</t>
      </text>
    </comment>
    <comment ref="AG95" authorId="1" shapeId="0">
      <text>
        <t>Source: data/item_templates.yaml, 2026-09-30, key=equip_changgong, line=4942</t>
      </text>
    </comment>
    <comment ref="AG96" authorId="1" shapeId="0">
      <text>
        <t>Source: data/item_templates.yaml, 2026-09-30, key=equip_fanqugong, line=4955</t>
      </text>
    </comment>
    <comment ref="AG97" authorId="1" shapeId="0">
      <text>
        <t>Source: data/item_templates.yaml, 2026-09-30, key=equip_baoweiqiang, line=4896</t>
      </text>
    </comment>
    <comment ref="AG98" authorId="1" shapeId="0">
      <text>
        <t>Source: data/item_templates.yaml, 2026-09-30, key=equip_changqiang, line=4881</t>
      </text>
    </comment>
    <comment ref="AG99" authorId="1" shapeId="0">
      <text>
        <t>Source: data/item_templates.yaml, 2026-09-30, key=equip_tiejian, line=3310</t>
      </text>
    </comment>
    <comment ref="AG100" authorId="1" shapeId="0">
      <text>
        <t>Source: data/item_templates.yaml, 2026-09-30, key=equip_changbian, line=4999</t>
      </text>
    </comment>
    <comment ref="AG101" authorId="1" shapeId="0">
      <text>
        <t>Source: data/item_templates.yaml, 2026-09-30, key=equip_niupibian, line=5012</t>
      </text>
    </comment>
    <comment ref="AG102" authorId="1" shapeId="0">
      <text>
        <t>Source: data/item_templates.yaml, 2026-09-30, key=equip_jingtiedao, line=4864</t>
      </text>
    </comment>
    <comment ref="AG103" authorId="1" shapeId="0">
      <text>
        <t>Source: data/item_templates.yaml, 2026-09-30, key=equip_tongchangdao, line=4850</t>
      </text>
    </comment>
    <comment ref="AG104" authorId="1" shapeId="0">
      <text>
        <t>Source: data/item_templates.yaml, 2026-09-30, key=equip_duanmajian, line=4806</t>
      </text>
    </comment>
    <comment ref="AG105" authorId="1" shapeId="0">
      <text>
        <t>Source: data/item_templates.yaml, 2026-09-30, key=equip_qingmangjian, line=4792</t>
      </text>
    </comment>
    <comment ref="AG106" authorId="1" shapeId="0">
      <text>
        <t>Source: data/item_templates.yaml, 2026-09-30, key=equip_shenbigong, line=4982</t>
      </text>
    </comment>
    <comment ref="AG107" authorId="1" shapeId="0">
      <text>
        <t>Source: data/item_templates.yaml, 2026-09-30, key=equip_tietaigong, line=4968</t>
      </text>
    </comment>
    <comment ref="AG108" authorId="1" shapeId="0">
      <text>
        <t>Source: data/item_templates.yaml, 2026-09-30, key=equip_hutoumao, line=4910</t>
      </text>
    </comment>
    <comment ref="AG109" authorId="1" shapeId="0">
      <text>
        <t>Source: data/item_templates.yaml, 2026-09-30, key=equip_pansheqiang, line=4924</t>
      </text>
    </comment>
    <comment ref="AG110" authorId="1" shapeId="0">
      <text>
        <t>Source: data/item_templates.yaml, 2026-09-30, key=equip_pofengji, line=5119</t>
      </text>
    </comment>
    <comment ref="AG111" authorId="1" shapeId="0">
      <text>
        <t>Source: data/item_templates.yaml, 2026-09-30, key=equip_shushengzhesan, line=5133</t>
      </text>
    </comment>
    <comment ref="AG112" authorId="1" shapeId="0">
      <text>
        <t>Source: data/item_templates.yaml, 2026-09-30, key=equip_tiegugun, line=5092</t>
      </text>
    </comment>
    <comment ref="AG113" authorId="1" shapeId="0">
      <text>
        <t>Source: data/item_templates.yaml, 2026-09-30, key=equip_tongshanchui, line=5105</t>
      </text>
    </comment>
    <comment ref="AG114" authorId="1" shapeId="0">
      <text>
        <t>Source: data/item_templates.yaml, 2026-09-30, key=equip_yemankandao, line=5073</t>
      </text>
    </comment>
    <comment ref="AG115" authorId="1" shapeId="0">
      <text>
        <t>Source: data/item_templates.yaml, 2026-09-30, key=equip_jicibian, line=5026</t>
      </text>
    </comment>
    <comment ref="AG116" authorId="1" shapeId="0">
      <text>
        <t>Source: data/item_templates.yaml, 2026-09-30, key=equip_jiulonggangbian, line=5040</t>
      </text>
    </comment>
    <comment ref="AG117" authorId="1" shapeId="0">
      <text>
        <t>Source: data/item_templates.yaml, 2026-09-30, key=equip_mingshejiebian, line=5054</t>
      </text>
    </comment>
    <comment ref="AG118" authorId="1" shapeId="0">
      <text>
        <t>Source: data/item_templates.yaml, 2026-09-30, key=equip_action_beam_glove, line=3191</t>
      </text>
    </comment>
    <comment ref="AG119" authorId="1" shapeId="0">
      <text>
        <t>Source: data/item_templates.yaml, 2026-09-30, key=equip_baguadao, line=5501</t>
      </text>
    </comment>
    <comment ref="AG120" authorId="1" shapeId="0">
      <text>
        <t>Source: data/item_templates.yaml, 2026-09-30, key=equip_chuanyungong, line=5265</t>
      </text>
    </comment>
    <comment ref="AG121" authorId="1" shapeId="0">
      <text>
        <t>Source: data/item_templates.yaml, 2026-09-30, key=equip_duanhunbian, line=5305</t>
      </text>
    </comment>
    <comment ref="AG122" authorId="1" shapeId="0">
      <text>
        <t>Source: data/item_templates.yaml, 2026-09-30, key=equip_hanyuejian, line=5278</t>
      </text>
    </comment>
    <comment ref="AG123" authorId="1" shapeId="0">
      <text>
        <t>Source: data/item_templates.yaml, 2026-09-30, key=equip_jiaodoushizhichui, line=5193</t>
      </text>
    </comment>
    <comment ref="AG124" authorId="1" shapeId="0">
      <text>
        <t>Source: data/item_templates.yaml, 2026-09-30, key=equip_junzijian, line=5215</t>
      </text>
    </comment>
    <comment ref="AG125" authorId="1" shapeId="0">
      <text>
        <t>Source: data/item_templates.yaml, 2026-09-30, key=equip_lieyandao, line=5292</t>
      </text>
    </comment>
    <comment ref="AG126" authorId="1" shapeId="0">
      <text>
        <t>Source: data/item_templates.yaml, 2026-09-30, key=equip_nichangjian, line=5171</t>
      </text>
    </comment>
    <comment ref="AG127" authorId="1" shapeId="0">
      <text>
        <t>Source: data/item_templates.yaml, 2026-09-30, key=equip_nohara_pan, line=3215</t>
      </text>
    </comment>
    <comment ref="AG128" authorId="1" shapeId="0">
      <text>
        <t>Source: data/item_templates.yaml, 2026-09-30, key=equip_pozhenqiang, line=5251</t>
      </text>
    </comment>
    <comment ref="AG129" authorId="1" shapeId="0">
      <text>
        <t>Source: data/item_templates.yaml, 2026-09-30, key=equip_qinglongdao, line=5229</t>
      </text>
    </comment>
    <comment ref="AG130" authorId="1" shapeId="0">
      <text>
        <t>Source: data/item_templates.yaml, 2026-09-30, key=equip_xiaoweichangjian, line=5149</t>
      </text>
    </comment>
    <comment ref="AG131" authorId="1" shapeId="0">
      <text>
        <t>Source: data/item_templates.yaml, 2026-09-30, key=equip_xingluoshan, line=5346</t>
      </text>
    </comment>
    <comment ref="AG132" authorId="1" shapeId="0">
      <text>
        <t>Source: data/item_templates.yaml, 2026-09-30, key=equip_xuanbinggong, line=5333</t>
      </text>
    </comment>
    <comment ref="AG133" authorId="1" shapeId="0">
      <text>
        <t>Source: data/item_templates.yaml, 2026-09-30, key=equip_zhenyuechui, line=5319</t>
      </text>
    </comment>
    <comment ref="AG134" authorId="1" shapeId="0">
      <text>
        <t>Source: data/item_templates.yaml, 2026-09-30, key=equip_bawangqiang, line=5382</t>
      </text>
    </comment>
    <comment ref="AG135" authorId="1" shapeId="0">
      <text>
        <t>Source: data/item_templates.yaml, 2026-09-30, key=equip_biyudao, line=5672</t>
      </text>
    </comment>
    <comment ref="AG136" authorId="1" shapeId="0">
      <text>
        <t>Source: data/item_templates.yaml, 2026-09-30, key=equip_duomingfeidao, line=5559</t>
      </text>
    </comment>
    <comment ref="AG137" authorId="1" shapeId="0">
      <text>
        <t>Source: data/item_templates.yaml, 2026-09-30, key=equip_duoqinghuan, line=5700</t>
      </text>
    </comment>
    <comment ref="AG138" authorId="1" shapeId="0">
      <text>
        <t>Source: data/item_templates.yaml, 2026-09-30, key=equip_fenglingshan, line=5439</t>
      </text>
    </comment>
    <comment ref="AG139" authorId="1" shapeId="0">
      <text>
        <t>Source: data/item_templates.yaml, 2026-09-30, key=equip_huxianjian, line=5361</t>
      </text>
    </comment>
    <comment ref="AG140" authorId="1" shapeId="0">
      <text>
        <t>Source: data/item_templates.yaml, 2026-09-30, key=equip_jinlun, line=5602</t>
      </text>
    </comment>
    <comment ref="AG141" authorId="1" shapeId="0">
      <text>
        <t>Source: data/item_templates.yaml, 2026-09-30, key=equip_jinshejian, line=5545</t>
      </text>
    </comment>
    <comment ref="AG142" authorId="1" shapeId="0">
      <text>
        <t>Source: data/item_templates.yaml, 2026-09-30, key=equip_jinshezui, line=5644</t>
      </text>
    </comment>
    <comment ref="AG143" authorId="1" shapeId="0">
      <text>
        <t>Source: data/item_templates.yaml, 2026-09-30, key=equip_libiegou, line=5686</t>
      </text>
    </comment>
    <comment ref="AG144" authorId="1" shapeId="0">
      <text>
        <t>Source: data/item_templates.yaml, 2026-09-30, key=equip_pojunji, line=5516</t>
      </text>
    </comment>
    <comment ref="AG145" authorId="1" shapeId="0">
      <text>
        <t>Source: data/item_templates.yaml, 2026-09-30, key=equip_qilindao, line=5397</t>
      </text>
    </comment>
    <comment ref="AG146" authorId="1" shapeId="0">
      <text>
        <t>Source: data/item_templates.yaml, 2026-09-30, key=equip_qixingjian, line=5459</t>
      </text>
    </comment>
    <comment ref="AG147" authorId="1" shapeId="0">
      <text>
        <t>Source: data/item_templates.yaml, 2026-09-30, key=equip_shuanghuagong, line=5531</t>
      </text>
    </comment>
    <comment ref="AG148" authorId="1" shapeId="0">
      <text>
        <t>Source: data/item_templates.yaml, 2026-09-30, key=equip_tianjizhang, line=5486</t>
      </text>
    </comment>
    <comment ref="AG149" authorId="1" shapeId="0">
      <text>
        <t>Source: data/item_templates.yaml, 2026-09-30, key=equip_tulongdao, line=5473</t>
      </text>
    </comment>
    <comment ref="AG150" authorId="1" shapeId="0">
      <text>
        <t>Source: data/item_templates.yaml, 2026-09-30, key=equip_wuqiaojian, line=5658</t>
      </text>
    </comment>
    <comment ref="AG151" authorId="1" shapeId="0">
      <text>
        <t>Source: data/item_templates.yaml, 2026-09-30, key=equip_xiuhuazhen, line=5715</t>
      </text>
    </comment>
    <comment ref="AG152" authorId="1" shapeId="0">
      <text>
        <t>Source: data/item_templates.yaml, 2026-09-30, key=equip_xuanwuchui, line=5418</t>
      </text>
    </comment>
    <comment ref="AG153" authorId="1" shapeId="0">
      <text>
        <t>Source: data/item_templates.yaml, 2026-09-30, key=equip_xuedao, line=5616</t>
      </text>
    </comment>
    <comment ref="AG154" authorId="1" shapeId="0">
      <text>
        <t>Source: data/item_templates.yaml, 2026-09-30, key=equip_yuanyangdao, line=5630</t>
      </text>
    </comment>
    <comment ref="AG155" authorId="1" shapeId="0">
      <text>
        <t>Source: data/item_templates.yaml, 2026-09-30, key=equip_yuxiao, line=5587</t>
      </text>
    </comment>
    <comment ref="AG156" authorId="1" shapeId="0">
      <text>
        <t>Source: data/item_templates.yaml, 2026-09-30, key=equip_ziweiruanjian, line=5573</t>
      </text>
    </comment>
    <comment ref="AG157" authorId="1" shapeId="0">
      <text>
        <t>Source: data/item_templates.yaml, 2026-09-30, key=equip_changshengjian, line=5941</t>
      </text>
    </comment>
    <comment ref="AG158" authorId="1" shapeId="0">
      <text>
        <t>Source: data/item_templates.yaml, 2026-09-30, key=equip_dagoubang, line=5862</t>
      </text>
    </comment>
    <comment ref="AG159" authorId="1" shapeId="0">
      <text>
        <t>Source: data/item_templates.yaml, 2026-09-30, key=equip_fangtianhuaji, line=5765</t>
      </text>
    </comment>
    <comment ref="AG160" authorId="1" shapeId="0">
      <text>
        <t>Source: data/item_templates.yaml, 2026-09-30, key=equip_kongquelin, line=5894</t>
      </text>
    </comment>
    <comment ref="AG161" authorId="1" shapeId="0">
      <text>
        <t>Source: data/item_templates.yaml, 2026-09-30, key=equip_panlonggun, line=5797</t>
      </text>
    </comment>
    <comment ref="AG162" authorId="1" shapeId="0">
      <text>
        <t>Source: data/item_templates.yaml, 2026-09-30, key=equip_qiankunshengong, line=5830</t>
      </text>
    </comment>
    <comment ref="AG163" authorId="1" shapeId="0">
      <text>
        <t>Source: data/item_templates.yaml, 2026-09-30, key=equip_tianyamingyuedao, line=5910</t>
      </text>
    </comment>
    <comment ref="AG164" authorId="1" shapeId="0">
      <text>
        <t>Source: data/item_templates.yaml, 2026-09-30, key=equip_tuwujian, line=5748</t>
      </text>
    </comment>
    <comment ref="AG165" authorId="1" shapeId="0">
      <text>
        <t>Source: data/item_templates.yaml, 2026-09-30, key=equip_xiaolifeidao, line=5878</t>
      </text>
    </comment>
    <comment ref="AG166" authorId="1" shapeId="0">
      <text>
        <t>Source: data/item_templates.yaml, 2026-09-30, key=equip_xuantiechongjian, line=5847</t>
      </text>
    </comment>
    <comment ref="AG167" authorId="1" shapeId="0">
      <text>
        <t>Source: data/item_templates.yaml, 2026-09-30, key=equip_xuanyuanjian, line=5781</t>
      </text>
    </comment>
    <comment ref="AG168" authorId="1" shapeId="0">
      <text>
        <t>Source: data/item_templates.yaml, 2026-09-30, key=equip_yitianjian, line=5731</t>
      </text>
    </comment>
    <comment ref="AG169" authorId="1" shapeId="0">
      <text>
        <t>Source: data/item_templates.yaml, 2026-09-30, key=equip_yuanyuewandao, line=5925</t>
      </text>
    </comment>
    <comment ref="AG170" authorId="1" shapeId="0">
      <text>
        <t>Source: data/item_templates.yaml, 2026-09-30, key=equip_zhuxianjian, line=5813</t>
      </text>
    </comment>
    <comment ref="AG171" authorId="1" shapeId="0">
      <text>
        <t>Source: data/item_templates.yaml, 2026-09-30, key=equip_huangbiaoma, line=7074</t>
      </text>
    </comment>
    <comment ref="AG172" authorId="1" shapeId="0">
      <text>
        <t>Source: data/item_templates.yaml, 2026-09-30, key=equip_qingcongma, line=7106</t>
      </text>
    </comment>
    <comment ref="AG173" authorId="1" shapeId="0">
      <text>
        <t>Source: data/item_templates.yaml, 2026-09-30, key=equip_xiaomaolv, line=7121</t>
      </text>
    </comment>
    <comment ref="AG174" authorId="1" shapeId="0">
      <text>
        <t>Source: data/item_templates.yaml, 2026-09-30, key=equip_zaohongma, line=7059</t>
      </text>
    </comment>
    <comment ref="AG175" authorId="1" shapeId="0">
      <text>
        <t>Source: data/item_templates.yaml, 2026-09-30, key=equip_chibiao, line=7195</t>
      </text>
    </comment>
    <comment ref="AG176" authorId="1" shapeId="0">
      <text>
        <t>Source: data/item_templates.yaml, 2026-09-30, key=equip_dawanma, line=7088</t>
      </text>
    </comment>
    <comment ref="AG177" authorId="1" shapeId="0">
      <text>
        <t>Source: data/item_templates.yaml, 2026-09-30, key=equip_mengguma, line=7153</t>
      </text>
    </comment>
    <comment ref="AG178" authorId="1" shapeId="0">
      <text>
        <t>Source: data/item_templates.yaml, 2026-09-30, key=equip_qingzongma, line=7181</t>
      </text>
    </comment>
    <comment ref="AG179" authorId="1" shapeId="0">
      <text>
        <t>Source: data/item_templates.yaml, 2026-09-30, key=equip_taxuema, line=7168</t>
      </text>
    </comment>
    <comment ref="AG180" authorId="1" shapeId="0">
      <text>
        <t>Source: data/item_templates.yaml, 2026-09-30, key=equip_xiliangma, line=7138</t>
      </text>
    </comment>
    <comment ref="AG181" authorId="1" shapeId="0">
      <text>
        <t>Source: data/item_templates.yaml, 2026-09-30, key=equip_bailongju, line=7286</t>
      </text>
    </comment>
    <comment ref="AG182" authorId="1" shapeId="0">
      <text>
        <t>Source: data/item_templates.yaml, 2026-09-30, key=equip_feiyunzui, line=7212</t>
      </text>
    </comment>
    <comment ref="AG183" authorId="1" shapeId="0">
      <text>
        <t>Source: data/item_templates.yaml, 2026-09-30, key=equip_juanmaochitu, line=7242</t>
      </text>
    </comment>
    <comment ref="AG184" authorId="1" shapeId="0">
      <text>
        <t>Source: data/item_templates.yaml, 2026-09-30, key=equip_qianliju, line=7257</t>
      </text>
    </comment>
    <comment ref="AG185" authorId="1" shapeId="0">
      <text>
        <t>Source: data/item_templates.yaml, 2026-09-30, key=equip_zhaoyeyushizi, line=7227</t>
      </text>
    </comment>
    <comment ref="AG186" authorId="1" shapeId="0">
      <text>
        <t>Source: data/item_templates.yaml, 2026-09-30, key=equip_zhuidian, line=7271</t>
      </text>
    </comment>
    <comment ref="AG187" authorId="1" shapeId="0">
      <text>
        <t>Source: data/item_templates.yaml, 2026-09-30, key=equip_dilu, line=7348</t>
      </text>
    </comment>
    <comment ref="AG188" authorId="1" shapeId="0">
      <text>
        <t>Source: data/item_templates.yaml, 2026-09-30, key=equip_jueying, line=7318</t>
      </text>
    </comment>
    <comment ref="AG189" authorId="1" shapeId="0">
      <text>
        <t>Source: data/item_templates.yaml, 2026-09-30, key=equip_qingshuanglu, line=7363</t>
      </text>
    </comment>
    <comment ref="AG190" authorId="1" shapeId="0">
      <text>
        <t>Source: data/item_templates.yaml, 2026-09-30, key=equip_wuzhuima, line=7303</t>
      </text>
    </comment>
    <comment ref="AG191" authorId="1" shapeId="0">
      <text>
        <t>Source: data/item_templates.yaml, 2026-09-30, key=equip_xuanjiazhanju, line=7378</t>
      </text>
    </comment>
    <comment ref="AG192" authorId="1" shapeId="0">
      <text>
        <t>Source: data/item_templates.yaml, 2026-09-30, key=equip_zhaohuangfeidian, line=7333</t>
      </text>
    </comment>
    <comment ref="AG193" authorId="1" shapeId="0">
      <text>
        <t>Source: data/item_templates.yaml, 2026-09-30, key=equip_chituma, line=7395</t>
      </text>
    </comment>
    <comment ref="AG194" authorId="1" shapeId="0">
      <text>
        <t>Source: data/item_templates.yaml, 2026-09-30, key=equip_hanxuebaoma, line=7410</t>
      </text>
    </comment>
    <comment ref="AG195" authorId="1" shapeId="0">
      <text>
        <t>Source: data/item_templates.yaml, 2026-09-30, key=equip_qilin, line=7424</t>
      </text>
    </comment>
    <comment ref="AG196" authorId="1" shapeId="0">
      <text>
        <t>Source: data/item_templates.yaml, 2026-09-30, key=equip_qingluan, line=7440</t>
      </text>
    </comment>
    <comment ref="AG197" authorId="1" shapeId="0">
      <text>
        <t>Source: data/item_templates.yaml, 2026-09-30, key=equip_shendiao, line=7455</t>
      </text>
    </comment>
    <comment ref="AG198" authorId="1" shapeId="0">
      <text>
        <t>Source: data/item_templates.yaml, 2026-09-30, key=equip_fudai, line=6035</t>
      </text>
    </comment>
    <comment ref="AG199" authorId="1" shapeId="0">
      <text>
        <t>Source: data/item_templates.yaml, 2026-09-30, key=equip_hushenfu, line=6006</t>
      </text>
    </comment>
    <comment ref="AG200" authorId="1" shapeId="0">
      <text>
        <t>Source: data/item_templates.yaml, 2026-09-30, key=equip_luopan, line=6500</t>
      </text>
    </comment>
    <comment ref="AG201" authorId="1" shapeId="0">
      <text>
        <t>Source: data/item_templates.yaml, 2026-09-30, key=equip_moyuyan, line=6527</t>
      </text>
    </comment>
    <comment ref="AG202" authorId="1" shapeId="0">
      <text>
        <t>Source: data/item_templates.yaml, 2026-09-30, key=equip_qingtongsuanchou, line=6541</t>
      </text>
    </comment>
    <comment ref="AG203" authorId="1" shapeId="0">
      <text>
        <t>Source: data/item_templates.yaml, 2026-09-30, key=equip_tanmunianzhu, line=6062</t>
      </text>
    </comment>
    <comment ref="AG204" authorId="1" shapeId="0">
      <text>
        <t>Source: data/item_templates.yaml, 2026-09-30, key=equip_taomujian, line=6472</t>
      </text>
    </comment>
    <comment ref="AG205" authorId="1" shapeId="0">
      <text>
        <t>Source: data/item_templates.yaml, 2026-09-30, key=equip_taomupai, line=6021</t>
      </text>
    </comment>
    <comment ref="AG206" authorId="1" shapeId="0">
      <text>
        <t>Source: data/item_templates.yaml, 2026-09-30, key=equip_tiehufu, line=6049</t>
      </text>
    </comment>
    <comment ref="AG207" authorId="1" shapeId="0">
      <text>
        <t>Source: data/item_templates.yaml, 2026-09-30, key=equip_tongjing, line=6486</t>
      </text>
    </comment>
    <comment ref="AG208" authorId="1" shapeId="0">
      <text>
        <t>Source: data/item_templates.yaml, 2026-09-30, key=equip_tongling, line=5980</t>
      </text>
    </comment>
    <comment ref="AG209" authorId="1" shapeId="0">
      <text>
        <t>Source: data/item_templates.yaml, 2026-09-30, key=equip_yiqiyaopai, line=6078</t>
      </text>
    </comment>
    <comment ref="AG210" authorId="1" shapeId="0">
      <text>
        <t>Source: data/item_templates.yaml, 2026-09-30, key=equip_yupei, line=5993</t>
      </text>
    </comment>
    <comment ref="AG211" authorId="1" shapeId="0">
      <text>
        <t>Source: data/item_templates.yaml, 2026-09-30, key=equip_zhujian, line=6514</t>
      </text>
    </comment>
    <comment ref="AG212" authorId="1" shapeId="0">
      <text>
        <t>Source: data/item_templates.yaml, 2026-09-30, key=equip_fengyuzan, line=6109</t>
      </text>
    </comment>
    <comment ref="AG213" authorId="1" shapeId="0">
      <text>
        <t>Source: data/item_templates.yaml, 2026-09-30, key=equip_guanxingdeng, line=6655</t>
      </text>
    </comment>
    <comment ref="AG214" authorId="1" shapeId="0">
      <text>
        <t>Source: data/item_templates.yaml, 2026-09-30, key=equip_huyaxianglian, line=6123</t>
      </text>
    </comment>
    <comment ref="AG215" authorId="1" shapeId="0">
      <text>
        <t>Source: data/item_templates.yaml, 2026-09-30, key=equip_linghuzhui, line=6137</t>
      </text>
    </comment>
    <comment ref="AG216" authorId="1" shapeId="0">
      <text>
        <t>Source: data/item_templates.yaml, 2026-09-30, key=equip_lingwenyubi, line=6641</t>
      </text>
    </comment>
    <comment ref="AG217" authorId="1" shapeId="0">
      <text>
        <t>Source: data/item_templates.yaml, 2026-09-30, key=equip_liuyunpei, line=6193</t>
      </text>
    </comment>
    <comment ref="AG218" authorId="1" shapeId="0">
      <text>
        <t>Source: data/item_templates.yaml, 2026-09-30, key=equip_longwenyupei, line=6094</t>
      </text>
    </comment>
    <comment ref="AG219" authorId="1" shapeId="0">
      <text>
        <t>Source: data/item_templates.yaml, 2026-09-30, key=equip_qiankunquan, line=6613</t>
      </text>
    </comment>
    <comment ref="AG220" authorId="1" shapeId="0">
      <text>
        <t>Source: data/item_templates.yaml, 2026-09-30, key=equip_shiro_leash, line=3139</t>
      </text>
    </comment>
    <comment ref="AG221" authorId="1" shapeId="0">
      <text>
        <t>Source: data/item_templates.yaml, 2026-09-30, key=equip_tianjiluopan, line=6627</t>
      </text>
    </comment>
    <comment ref="AG222" authorId="1" shapeId="0">
      <text>
        <t>Source: data/item_templates.yaml, 2026-09-30, key=equip_xingshashouchuan, line=6151</t>
      </text>
    </comment>
    <comment ref="AG223" authorId="1" shapeId="0">
      <text>
        <t>Source: data/item_templates.yaml, 2026-09-30, key=equip_xuantiejie, line=6179</t>
      </text>
    </comment>
    <comment ref="AG224" authorId="1" shapeId="0">
      <text>
        <t>Source: data/item_templates.yaml, 2026-09-30, key=equip_xueyuzhuo, line=6165</t>
      </text>
    </comment>
    <comment ref="AG225" authorId="1" shapeId="0">
      <text>
        <t>Source: data/item_templates.yaml, 2026-09-30, key=equip_zhaoyaojing, line=6599</t>
      </text>
    </comment>
    <comment ref="AG226" authorId="1" shapeId="0">
      <text>
        <t>Source: data/item_templates.yaml, 2026-09-30, key=equip_baguajing, line=6736</t>
      </text>
    </comment>
    <comment ref="AG227" authorId="1" shapeId="0">
      <text>
        <t>Source: data/item_templates.yaml, 2026-09-30, key=equip_fenghuangyu, line=6233</t>
      </text>
    </comment>
    <comment ref="AG228" authorId="1" shapeId="0">
      <text>
        <t>Source: data/item_templates.yaml, 2026-09-30, key=equip_guiyuanzhu, line=6314</t>
      </text>
    </comment>
    <comment ref="AG229" authorId="1" shapeId="0">
      <text>
        <t>Source: data/item_templates.yaml, 2026-09-30, key=equip_hunyuansan, line=6750</t>
      </text>
    </comment>
    <comment ref="AG230" authorId="1" shapeId="0">
      <text>
        <t>Source: data/item_templates.yaml, 2026-09-30, key=equip_longjingzhu, line=6254</t>
      </text>
    </comment>
    <comment ref="AG231" authorId="1" shapeId="0">
      <text>
        <t>Source: data/item_templates.yaml, 2026-09-30, key=equip_pojunhufu, line=6299</t>
      </text>
    </comment>
    <comment ref="AG232" authorId="1" shapeId="0">
      <text>
        <t>Source: data/item_templates.yaml, 2026-09-30, key=equip_qilinzui, line=6210</t>
      </text>
    </comment>
    <comment ref="AG233" authorId="1" shapeId="0">
      <text>
        <t>Source: data/item_templates.yaml, 2026-09-30, key=equip_shenghuoling, line=6329</t>
      </text>
    </comment>
    <comment ref="AG234" authorId="1" shapeId="0">
      <text>
        <t>Source: data/item_templates.yaml, 2026-09-30, key=equip_tianjiyupei, line=6284</t>
      </text>
    </comment>
    <comment ref="AG235" authorId="1" shapeId="0">
      <text>
        <t>Source: data/item_templates.yaml, 2026-09-30, key=equip_tianyinguqin, line=6779</t>
      </text>
    </comment>
    <comment ref="AG236" authorId="1" shapeId="0">
      <text>
        <t>Source: data/item_templates.yaml, 2026-09-30, key=equip_xuanmingdeng, line=6793</t>
      </text>
    </comment>
    <comment ref="AG237" authorId="1" shapeId="0">
      <text>
        <t>Source: data/item_templates.yaml, 2026-09-30, key=equip_xuanwuyufu, line=6269</t>
      </text>
    </comment>
    <comment ref="AG238" authorId="1" shapeId="0">
      <text>
        <t>Source: data/item_templates.yaml, 2026-09-30, key=equip_zhuyuye, line=5961</t>
      </text>
    </comment>
    <comment ref="AG239" authorId="1" shapeId="0">
      <text>
        <t>Source: data/item_templates.yaml, 2026-09-30, key=equip_zijinhulu, line=6765</t>
      </text>
    </comment>
    <comment ref="AG240" authorId="1" shapeId="0">
      <text>
        <t>Source: data/item_templates.yaml, 2026-09-30, key=equip_businiaoyu, line=6395</t>
      </text>
    </comment>
    <comment ref="AG241" authorId="1" shapeId="0">
      <text>
        <t>Source: data/item_templates.yaml, 2026-09-30, key=equip_chuanguoyuxi, line=6361</t>
      </text>
    </comment>
    <comment ref="AG242" authorId="1" shapeId="0">
      <text>
        <t>Source: data/item_templates.yaml, 2026-09-30, key=equip_fengshenbang, line=6881</t>
      </text>
    </comment>
    <comment ref="AG243" authorId="1" shapeId="0">
      <text>
        <t>Source: data/item_templates.yaml, 2026-09-30, key=equip_heshibi, line=6346</t>
      </text>
    </comment>
    <comment ref="AG244" authorId="1" shapeId="0">
      <text>
        <t>Source: data/item_templates.yaml, 2026-09-30, key=equip_jianghuling, line=6409</t>
      </text>
    </comment>
    <comment ref="AG245" authorId="1" shapeId="0">
      <text>
        <t>Source: data/item_templates.yaml, 2026-09-30, key=equip_qiankunzhu, line=6378</t>
      </text>
    </comment>
    <comment ref="AG246" authorId="1" shapeId="0">
      <text>
        <t>Source: data/item_templates.yaml, 2026-09-30, key=equip_shangshanfaeling, line=6425</t>
      </text>
    </comment>
    <comment ref="AG247" authorId="1" shapeId="0">
      <text>
        <t>Source: data/item_templates.yaml, 2026-09-30, key=equip_shanheshejitu, line=6896</t>
      </text>
    </comment>
    <comment ref="AG248" authorId="1" shapeId="0">
      <text>
        <t>Source: data/item_templates.yaml, 2026-09-30, key=equip_taiqingyuce, line=6925</t>
      </text>
    </comment>
    <comment ref="AG249" authorId="1" shapeId="0">
      <text>
        <t>Source: data/item_templates.yaml, 2026-09-30, key=equip_zhoutianxingpan, line=6911</t>
      </text>
    </comment>
    <comment ref="AG250" authorId="1" shapeId="0">
      <text>
        <t>Source: data/item_templates.yaml, 2026-09-30, key=equip_tongchanjiguan, line=6575</t>
      </text>
    </comment>
    <comment ref="AG251" authorId="1" shapeId="0">
      <text>
        <t>Source: data/item_templates.yaml, 2026-09-30, key=equip_xiaoxingjiguanshu, line=6554</t>
      </text>
    </comment>
    <comment ref="AG252" authorId="1" shapeId="0">
      <text>
        <t>Source: data/item_templates.yaml, 2026-09-30, key=equip_qingtongzhijiaodoushi, line=7004</t>
      </text>
    </comment>
    <comment ref="AG253" authorId="1" shapeId="0">
      <text>
        <t>Source: data/item_templates.yaml, 2026-09-30, key=equip_jiguanchuniao, line=6686</t>
      </text>
    </comment>
    <comment ref="AG254" authorId="1" shapeId="0">
      <text>
        <t>Source: data/item_templates.yaml, 2026-09-30, key=equip_jixiemao, line=6669</t>
      </text>
    </comment>
    <comment ref="AG255" authorId="1" shapeId="0">
      <text>
        <t>Source: data/item_templates.yaml, 2026-09-30, key=equip_kuileimuren, line=6702</t>
      </text>
    </comment>
    <comment ref="AG256" authorId="1" shapeId="0">
      <text>
        <t>Source: data/item_templates.yaml, 2026-09-30, key=equip_qingji, line=6719</t>
      </text>
    </comment>
    <comment ref="AG257" authorId="1" shapeId="0">
      <text>
        <t>Source: data/item_templates.yaml, 2026-09-30, key=equip_baiyinzhijiaodoushi, line=7021</t>
      </text>
    </comment>
    <comment ref="AG258" authorId="1" shapeId="0">
      <text>
        <t>Source: data/item_templates.yaml, 2026-09-30, key=equip_jiguanxiong, line=6808</t>
      </text>
    </comment>
    <comment ref="AG259" authorId="1" shapeId="0">
      <text>
        <t>Source: data/item_templates.yaml, 2026-09-30, key=equip_kuileiren, line=6846</t>
      </text>
    </comment>
    <comment ref="AG260" authorId="1" shapeId="0">
      <text>
        <t>Source: data/item_templates.yaml, 2026-09-30, key=equip_muniuliuma, line=6824</t>
      </text>
    </comment>
    <comment ref="AG261" authorId="1" shapeId="0">
      <text>
        <t>Source: data/item_templates.yaml, 2026-09-30, key=equip_taotieding, line=6445</t>
      </text>
    </comment>
    <comment ref="AG262" authorId="1" shapeId="0">
      <text>
        <t>Source: data/item_templates.yaml, 2026-09-30, key=equip_xuanwujigui, line=6863</t>
      </text>
    </comment>
    <comment ref="AG263" authorId="1" shapeId="0">
      <text>
        <t>Source: data/item_templates.yaml, 2026-09-30, key=equip_huangjinzhijiaodoushi, line=7038</t>
      </text>
    </comment>
    <comment ref="AG264" authorId="1" shapeId="0">
      <text>
        <t>Source: data/item_templates.yaml, 2026-09-30, key=equip_chixiaojifeng, line=6961</t>
      </text>
    </comment>
    <comment ref="AG265" authorId="1" shapeId="0">
      <text>
        <t>Source: data/item_templates.yaml, 2026-09-30, key=equip_feiyuan, line=6939</t>
      </text>
    </comment>
    <comment ref="AG266" authorId="1" shapeId="0">
      <text>
        <t>Source: data/item_templates.yaml, 2026-09-30, key=equip_mojiajiguanren, line=6978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G266"/>
  <sheetViews>
    <sheetView tabSelected="1" workbookViewId="0">
      <pane ySplit="1" topLeftCell="A2" activePane="bottomLeft" state="frozen"/>
      <selection pane="bottomLeft" activeCell="A1" sqref="A1"/>
      <selection pane="bottomLeft" activeCell="O209" sqref="O209"/>
    </sheetView>
  </sheetViews>
  <sheetFormatPr baseColWidth="8" defaultColWidth="9" defaultRowHeight="14"/>
  <cols>
    <col width="8" customWidth="1" min="1" max="1"/>
    <col width="28" customWidth="1" min="2" max="2"/>
    <col width="18" customWidth="1" min="3" max="3"/>
    <col width="12" customWidth="1" min="4" max="5"/>
    <col width="10" customWidth="1" min="6" max="10"/>
    <col width="12" customWidth="1" min="11" max="11"/>
    <col width="10" customWidth="1" min="12" max="12"/>
    <col width="20" customWidth="1" min="13" max="14"/>
    <col width="64" customWidth="1" min="15" max="15"/>
    <col width="12" customWidth="1" min="16" max="16"/>
    <col width="14" customWidth="1" min="17" max="17"/>
    <col width="12" customWidth="1" min="18" max="19"/>
    <col width="62" customWidth="1" min="20" max="20"/>
    <col width="10" customWidth="1" min="21" max="21"/>
    <col width="19" customWidth="1" min="22" max="22"/>
    <col width="36" customWidth="1" min="23" max="23"/>
    <col width="12" customWidth="1" min="24" max="24"/>
    <col width="20" customWidth="1" min="25" max="25"/>
    <col width="28" customWidth="1" min="26" max="26"/>
    <col width="45" customWidth="1" min="27" max="27"/>
    <col width="14" customWidth="1" min="28" max="28"/>
    <col width="14" customWidth="1" min="29" max="29"/>
    <col width="38" customWidth="1" min="30" max="30"/>
    <col width="46" customWidth="1" min="31" max="31"/>
    <col width="70" customWidth="1" min="32" max="32"/>
    <col width="42" customWidth="1" min="33" max="33"/>
  </cols>
  <sheetData>
    <row r="1" ht="30" customHeight="1">
      <c r="A1" s="1" t="inlineStr">
        <is>
          <t>序号</t>
        </is>
      </c>
      <c r="B1" s="1" t="inlineStr">
        <is>
          <t>装备key</t>
        </is>
      </c>
      <c r="C1" s="1" t="inlineStr">
        <is>
          <t>装备名称</t>
        </is>
      </c>
      <c r="D1" s="1" t="inlineStr">
        <is>
          <t>价格</t>
        </is>
      </c>
      <c r="E1" s="1" t="inlineStr">
        <is>
          <t>占用空间</t>
        </is>
      </c>
      <c r="F1" s="1" t="inlineStr">
        <is>
          <t>生命</t>
        </is>
      </c>
      <c r="G1" s="1" t="inlineStr">
        <is>
          <t>防御</t>
        </is>
      </c>
      <c r="H1" s="1" t="inlineStr">
        <is>
          <t>武力</t>
        </is>
      </c>
      <c r="I1" s="1" t="inlineStr">
        <is>
          <t>智力</t>
        </is>
      </c>
      <c r="J1" s="1" t="inlineStr">
        <is>
          <t>敏捷</t>
        </is>
      </c>
      <c r="K1" s="1" t="inlineStr">
        <is>
          <t>带兵上限</t>
        </is>
      </c>
      <c r="L1" s="1" t="inlineStr">
        <is>
          <t>运势</t>
        </is>
      </c>
      <c r="M1" s="2" t="inlineStr">
        <is>
          <t>合计</t>
        </is>
      </c>
      <c r="N1" s="1" t="inlineStr">
        <is>
          <t>套装名称</t>
        </is>
      </c>
      <c r="O1" s="1" t="inlineStr">
        <is>
          <t>套装属性</t>
        </is>
      </c>
      <c r="P1" s="1" t="inlineStr">
        <is>
          <t>稀有度</t>
        </is>
      </c>
      <c r="Q1" s="1" t="inlineStr">
        <is>
          <t>稀有度中文</t>
        </is>
      </c>
      <c r="R1" s="1" t="inlineStr">
        <is>
          <t>装备类型</t>
        </is>
      </c>
      <c r="S1" s="1" t="inlineStr">
        <is>
          <t>细分类型</t>
        </is>
      </c>
      <c r="T1" s="1" t="inlineStr">
        <is>
          <t>装备描述</t>
        </is>
      </c>
      <c r="U1" s="1" t="inlineStr">
        <is>
          <t>可交易</t>
        </is>
      </c>
      <c r="V1" s="1" t="inlineStr">
        <is>
          <t>可在仓库直接使用</t>
        </is>
      </c>
      <c r="W1" s="1" t="inlineStr">
        <is>
          <t>图片文件</t>
        </is>
      </c>
      <c r="X1" s="1" t="inlineStr">
        <is>
          <t>图标</t>
        </is>
      </c>
      <c r="Y1" s="1" t="inlineStr">
        <is>
          <t>effect_type</t>
        </is>
      </c>
      <c r="Z1" s="1" t="inlineStr">
        <is>
          <t>套装key</t>
        </is>
      </c>
      <c r="AA1" s="1" t="inlineStr">
        <is>
          <t>护院兵种加成</t>
        </is>
      </c>
      <c r="AB1" s="1" t="inlineStr">
        <is>
          <t>可普通锻造</t>
        </is>
      </c>
      <c r="AC1" s="1" t="inlineStr">
        <is>
          <t>可图纸合成</t>
        </is>
      </c>
      <c r="AD1" s="1" t="inlineStr">
        <is>
          <t>图纸key</t>
        </is>
      </c>
      <c r="AE1" s="1" t="inlineStr">
        <is>
          <t>获取途径摘要</t>
        </is>
      </c>
      <c r="AF1" s="1" t="inlineStr">
        <is>
          <t>原始effect_payload(JSON)</t>
        </is>
      </c>
      <c r="AG1" s="1" t="inlineStr">
        <is>
          <t>数据来源</t>
        </is>
      </c>
    </row>
    <row r="2" hidden="1">
      <c r="A2" s="3" t="n">
        <v>1</v>
      </c>
      <c r="B2" s="3" t="inlineStr">
        <is>
          <t>equip_bumao</t>
        </is>
      </c>
      <c r="C2" s="3" t="inlineStr">
        <is>
          <t>布帽</t>
        </is>
      </c>
      <c r="D2" s="3" t="n">
        <v>100</v>
      </c>
      <c r="E2" s="3" t="n">
        <v>50</v>
      </c>
      <c r="F2" s="3" t="n">
        <v>100</v>
      </c>
      <c r="G2" s="3" t="n">
        <v>5</v>
      </c>
      <c r="H2" s="3" t="n">
        <v>0</v>
      </c>
      <c r="I2" s="3" t="n">
        <v>8</v>
      </c>
      <c r="J2" s="3" t="n">
        <v>5</v>
      </c>
      <c r="K2" s="3" t="n">
        <v>0</v>
      </c>
      <c r="L2" s="3" t="n">
        <v>0</v>
      </c>
      <c r="M2" s="6">
        <f>F2/54+G2+H2+I2+J2+L2*1.2+K2/2</f>
        <v>19.85185185185185</v>
      </c>
      <c r="N2" s="3" t="inlineStr">
        <is>
          <t>无</t>
        </is>
      </c>
      <c r="O2" s="3" t="inlineStr">
        <is>
          <t>无</t>
        </is>
      </c>
      <c r="P2" s="3" t="inlineStr">
        <is>
          <t>black</t>
        </is>
      </c>
      <c r="Q2" s="3" t="inlineStr">
        <is>
          <t>普通/白</t>
        </is>
      </c>
      <c r="R2" s="3" t="inlineStr">
        <is>
          <t>头盔</t>
        </is>
      </c>
      <c r="S2" s="3" t="inlineStr">
        <is>
          <t>头盔</t>
        </is>
      </c>
      <c r="T2" s="3" t="inlineStr">
        <is>
          <t>一般老百姓戴的帽子，遮风遮日用。</t>
        </is>
      </c>
      <c r="U2" s="3" t="inlineStr">
        <is>
          <t>是</t>
        </is>
      </c>
      <c r="V2" s="3" t="inlineStr">
        <is>
          <t>否</t>
        </is>
      </c>
      <c r="W2" s="3" t="inlineStr">
        <is>
          <t>equip_bumao.png</t>
        </is>
      </c>
      <c r="X2" s="3" t="inlineStr"/>
      <c r="Y2" s="3" t="inlineStr">
        <is>
          <t>equip_helmet</t>
        </is>
      </c>
      <c r="Z2" s="3" t="inlineStr"/>
      <c r="AA2" s="3" t="inlineStr">
        <is>
          <t>无</t>
        </is>
      </c>
      <c r="AB2" s="3" t="inlineStr">
        <is>
          <t>是</t>
        </is>
      </c>
      <c r="AC2" s="3" t="inlineStr">
        <is>
          <t>否</t>
        </is>
      </c>
      <c r="AD2" s="3" t="inlineStr"/>
      <c r="AE2" s="3" t="inlineStr">
        <is>
          <t>铁匠铺直接锻造</t>
        </is>
      </c>
      <c r="AF2" s="3" t="inlineStr">
        <is>
          <t>{"hp":100,"defense":5,"intellect":8,"agility":5}</t>
        </is>
      </c>
      <c r="AG2" s="3" t="inlineStr">
        <is>
          <t>data/item_templates.yaml:L3336</t>
        </is>
      </c>
    </row>
    <row r="3" hidden="1">
      <c r="A3" s="3" t="n">
        <v>2</v>
      </c>
      <c r="B3" s="3" t="inlineStr">
        <is>
          <t>equip_caomao</t>
        </is>
      </c>
      <c r="C3" s="3" t="inlineStr">
        <is>
          <t>斗笠</t>
        </is>
      </c>
      <c r="D3" s="3" t="n">
        <v>0</v>
      </c>
      <c r="E3" s="3" t="n">
        <v>50</v>
      </c>
      <c r="F3" s="3" t="n">
        <v>250</v>
      </c>
      <c r="G3" s="3" t="n">
        <v>10</v>
      </c>
      <c r="H3" s="3" t="n">
        <v>5</v>
      </c>
      <c r="I3" s="3" t="n">
        <v>0</v>
      </c>
      <c r="J3" s="3" t="n">
        <v>0</v>
      </c>
      <c r="K3" s="3" t="n">
        <v>0</v>
      </c>
      <c r="L3" s="3" t="n">
        <v>0</v>
      </c>
      <c r="M3" s="6">
        <f>F3/54+G3+H3+I3+J3+L3*1.2+K3/2</f>
        <v>19.62962962962963</v>
      </c>
      <c r="N3" s="3" t="inlineStr">
        <is>
          <t>一蓑烟雨</t>
        </is>
      </c>
      <c r="O3" s="3" t="inlineStr">
        <is>
          <t>一蓑烟雨4件: 生命+200、武力+20、带兵上限+20、运势+15</t>
        </is>
      </c>
      <c r="P3" s="3" t="inlineStr">
        <is>
          <t>black</t>
        </is>
      </c>
      <c r="Q3" s="3" t="inlineStr">
        <is>
          <t>普通/白</t>
        </is>
      </c>
      <c r="R3" s="3" t="inlineStr">
        <is>
          <t>头盔</t>
        </is>
      </c>
      <c r="S3" s="3" t="inlineStr">
        <is>
          <t>头盔</t>
        </is>
      </c>
      <c r="T3" s="3" t="inlineStr">
        <is>
          <t>由棕叶编织而成的宽边帽，可以简单遮蔽风雨。</t>
        </is>
      </c>
      <c r="U3" s="3" t="inlineStr">
        <is>
          <t>否</t>
        </is>
      </c>
      <c r="V3" s="3" t="inlineStr">
        <is>
          <t>否</t>
        </is>
      </c>
      <c r="W3" s="3" t="inlineStr">
        <is>
          <t>equip_caomao.png</t>
        </is>
      </c>
      <c r="X3" s="3" t="inlineStr"/>
      <c r="Y3" s="3" t="inlineStr">
        <is>
          <t>equip_helmet</t>
        </is>
      </c>
      <c r="Z3" s="3" t="inlineStr">
        <is>
          <t>starter_cloth_set</t>
        </is>
      </c>
      <c r="AA3" s="3" t="inlineStr">
        <is>
          <t>无</t>
        </is>
      </c>
      <c r="AB3" s="3" t="inlineStr">
        <is>
          <t>否</t>
        </is>
      </c>
      <c r="AC3" s="3" t="inlineStr">
        <is>
          <t>否</t>
        </is>
      </c>
      <c r="AD3" s="3" t="inlineStr"/>
      <c r="AE3" s="3" t="inlineStr">
        <is>
          <t>宝箱随机装备</t>
        </is>
      </c>
      <c r="AF3" s="3" t="inlineStr">
        <is>
          <t>{"hp":250,"defense":10,"force":5,"set_key":"starter_cloth_set","set_description":"一蓑烟雨","set_bonus":{"pieces":4,"bonus":{"hp":200,"force":20,"troop_capacity":20,"luck":15}}}</t>
        </is>
      </c>
      <c r="AG3" s="3" t="inlineStr">
        <is>
          <t>data/item_templates.yaml:L3240</t>
        </is>
      </c>
    </row>
    <row r="4" hidden="1">
      <c r="A4" s="3" t="n">
        <v>3</v>
      </c>
      <c r="B4" s="3" t="inlineStr">
        <is>
          <t>equip_niupimao</t>
        </is>
      </c>
      <c r="C4" s="3" t="inlineStr">
        <is>
          <t>牛皮帽</t>
        </is>
      </c>
      <c r="D4" s="3" t="n">
        <v>300</v>
      </c>
      <c r="E4" s="3" t="n">
        <v>50</v>
      </c>
      <c r="F4" s="3" t="n">
        <v>100</v>
      </c>
      <c r="G4" s="3" t="n">
        <v>10</v>
      </c>
      <c r="H4" s="3" t="n">
        <v>5</v>
      </c>
      <c r="I4" s="3" t="n">
        <v>0</v>
      </c>
      <c r="J4" s="3" t="n">
        <v>5</v>
      </c>
      <c r="K4" s="3" t="n">
        <v>0</v>
      </c>
      <c r="L4" s="3" t="n">
        <v>0</v>
      </c>
      <c r="M4" s="6">
        <f>F4/54+G4+H4+I4+J4+L4*1.2+K4/2</f>
        <v>21.85185185185185</v>
      </c>
      <c r="N4" s="3" t="inlineStr">
        <is>
          <t>无</t>
        </is>
      </c>
      <c r="O4" s="3" t="inlineStr">
        <is>
          <t>无</t>
        </is>
      </c>
      <c r="P4" s="3" t="inlineStr">
        <is>
          <t>black</t>
        </is>
      </c>
      <c r="Q4" s="3" t="inlineStr">
        <is>
          <t>普通/白</t>
        </is>
      </c>
      <c r="R4" s="3" t="inlineStr">
        <is>
          <t>头盔</t>
        </is>
      </c>
      <c r="S4" s="3" t="inlineStr">
        <is>
          <t>头盔</t>
        </is>
      </c>
      <c r="T4" s="3" t="inlineStr">
        <is>
          <t>既能御寒，又能稍微保护脑袋。</t>
        </is>
      </c>
      <c r="U4" s="3" t="inlineStr">
        <is>
          <t>是</t>
        </is>
      </c>
      <c r="V4" s="3" t="inlineStr">
        <is>
          <t>否</t>
        </is>
      </c>
      <c r="W4" s="3" t="inlineStr">
        <is>
          <t>equip_niupimao.png</t>
        </is>
      </c>
      <c r="X4" s="3" t="inlineStr"/>
      <c r="Y4" s="3" t="inlineStr">
        <is>
          <t>equip_helmet</t>
        </is>
      </c>
      <c r="Z4" s="3" t="inlineStr"/>
      <c r="AA4" s="3" t="inlineStr">
        <is>
          <t>无</t>
        </is>
      </c>
      <c r="AB4" s="3" t="inlineStr">
        <is>
          <t>是</t>
        </is>
      </c>
      <c r="AC4" s="3" t="inlineStr">
        <is>
          <t>否</t>
        </is>
      </c>
      <c r="AD4" s="3" t="inlineStr"/>
      <c r="AE4" s="3" t="inlineStr">
        <is>
          <t>铁匠铺直接锻造</t>
        </is>
      </c>
      <c r="AF4" s="3" t="inlineStr">
        <is>
          <t>{"hp":100,"defense":10,"force":5,"agility":5}</t>
        </is>
      </c>
      <c r="AG4" s="3" t="inlineStr">
        <is>
          <t>data/item_templates.yaml:L3351</t>
        </is>
      </c>
    </row>
    <row r="5" hidden="1">
      <c r="A5" s="3" t="n">
        <v>4</v>
      </c>
      <c r="B5" s="3" t="inlineStr">
        <is>
          <t>equip_zhubiankui</t>
        </is>
      </c>
      <c r="C5" s="3" t="inlineStr">
        <is>
          <t>竹编盔</t>
        </is>
      </c>
      <c r="D5" s="3" t="n">
        <v>200</v>
      </c>
      <c r="E5" s="3" t="n">
        <v>50</v>
      </c>
      <c r="F5" s="3" t="n">
        <v>300</v>
      </c>
      <c r="G5" s="3" t="n">
        <v>15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6">
        <f>F5/54+G5+H5+I5+J5+L5*1.2+K5/2</f>
        <v>20.555555555555557</v>
      </c>
      <c r="N5" s="3" t="inlineStr">
        <is>
          <t>无</t>
        </is>
      </c>
      <c r="O5" s="3" t="inlineStr">
        <is>
          <t>无</t>
        </is>
      </c>
      <c r="P5" s="3" t="inlineStr">
        <is>
          <t>black</t>
        </is>
      </c>
      <c r="Q5" s="3" t="inlineStr">
        <is>
          <t>普通/白</t>
        </is>
      </c>
      <c r="R5" s="3" t="inlineStr">
        <is>
          <t>头盔</t>
        </is>
      </c>
      <c r="S5" s="3" t="inlineStr">
        <is>
          <t>头盔</t>
        </is>
      </c>
      <c r="T5" s="3" t="inlineStr">
        <is>
          <t>终南山道士所编，取材自千年古竹林，轻巧透气。</t>
        </is>
      </c>
      <c r="U5" s="3" t="inlineStr">
        <is>
          <t>是</t>
        </is>
      </c>
      <c r="V5" s="3" t="inlineStr">
        <is>
          <t>否</t>
        </is>
      </c>
      <c r="W5" s="3" t="inlineStr">
        <is>
          <t>equip_zhubiankui.png</t>
        </is>
      </c>
      <c r="X5" s="3" t="inlineStr"/>
      <c r="Y5" s="3" t="inlineStr">
        <is>
          <t>equip_helmet</t>
        </is>
      </c>
      <c r="Z5" s="3" t="inlineStr"/>
      <c r="AA5" s="3" t="inlineStr">
        <is>
          <t>无</t>
        </is>
      </c>
      <c r="AB5" s="3" t="inlineStr">
        <is>
          <t>否</t>
        </is>
      </c>
      <c r="AC5" s="3" t="inlineStr">
        <is>
          <t>否</t>
        </is>
      </c>
      <c r="AD5" s="3" t="inlineStr"/>
      <c r="AE5" s="3" t="inlineStr">
        <is>
          <t>宝箱随机装备</t>
        </is>
      </c>
      <c r="AF5" s="3" t="inlineStr">
        <is>
          <t>{"hp":300,"defense":15}</t>
        </is>
      </c>
      <c r="AG5" s="3" t="inlineStr">
        <is>
          <t>data/item_templates.yaml:L3410</t>
        </is>
      </c>
    </row>
    <row r="6" hidden="1">
      <c r="A6" s="3" t="n">
        <v>5</v>
      </c>
      <c r="B6" s="3" t="inlineStr">
        <is>
          <t>equip_baihongkui</t>
        </is>
      </c>
      <c r="C6" s="3" t="inlineStr">
        <is>
          <t>白虹盔</t>
        </is>
      </c>
      <c r="D6" s="3" t="n">
        <v>3000</v>
      </c>
      <c r="E6" s="3" t="n">
        <v>75</v>
      </c>
      <c r="F6" s="3" t="n">
        <v>160</v>
      </c>
      <c r="G6" s="3" t="n">
        <v>12</v>
      </c>
      <c r="H6" s="3" t="n">
        <v>4</v>
      </c>
      <c r="I6" s="3" t="n">
        <v>0</v>
      </c>
      <c r="J6" s="3" t="n">
        <v>0</v>
      </c>
      <c r="K6" s="3" t="n">
        <v>16</v>
      </c>
      <c r="L6" s="3" t="n">
        <v>0</v>
      </c>
      <c r="M6" s="6">
        <f>F6/54+G6+H6+I6+J6+L6*1.2+K6/2</f>
        <v>26.962962962962962</v>
      </c>
      <c r="N6" s="3" t="inlineStr">
        <is>
          <t>无</t>
        </is>
      </c>
      <c r="O6" s="3" t="inlineStr">
        <is>
          <t>无</t>
        </is>
      </c>
      <c r="P6" s="3" t="inlineStr">
        <is>
          <t>green</t>
        </is>
      </c>
      <c r="Q6" s="3" t="inlineStr">
        <is>
          <t>优秀/绿</t>
        </is>
      </c>
      <c r="R6" s="3" t="inlineStr">
        <is>
          <t>头盔</t>
        </is>
      </c>
      <c r="S6" s="3" t="inlineStr">
        <is>
          <t>头盔</t>
        </is>
      </c>
      <c r="T6" s="3" t="inlineStr">
        <is>
          <t>精钢铸就，盔顶白缨飘飘，威武不凡。</t>
        </is>
      </c>
      <c r="U6" s="3" t="inlineStr">
        <is>
          <t>是</t>
        </is>
      </c>
      <c r="V6" s="3" t="inlineStr">
        <is>
          <t>否</t>
        </is>
      </c>
      <c r="W6" s="3" t="inlineStr">
        <is>
          <t>equip_baihongkui.png</t>
        </is>
      </c>
      <c r="X6" s="3" t="inlineStr"/>
      <c r="Y6" s="3" t="inlineStr">
        <is>
          <t>equip_helmet</t>
        </is>
      </c>
      <c r="Z6" s="3" t="inlineStr"/>
      <c r="AA6" s="3" t="inlineStr">
        <is>
          <t>无</t>
        </is>
      </c>
      <c r="AB6" s="3" t="inlineStr">
        <is>
          <t>是</t>
        </is>
      </c>
      <c r="AC6" s="3" t="inlineStr">
        <is>
          <t>否</t>
        </is>
      </c>
      <c r="AD6" s="3" t="inlineStr"/>
      <c r="AE6" s="3" t="inlineStr">
        <is>
          <t>商铺购买；宝箱随机装备；铁匠铺直接锻造</t>
        </is>
      </c>
      <c r="AF6" s="3" t="inlineStr">
        <is>
          <t>{"hp":160,"defense":12,"force":4,"troop_capacity":16}</t>
        </is>
      </c>
      <c r="AG6" s="3" t="inlineStr">
        <is>
          <t>data/item_templates.yaml:L3395</t>
        </is>
      </c>
    </row>
    <row r="7" hidden="1">
      <c r="A7" s="3" t="n">
        <v>6</v>
      </c>
      <c r="B7" s="3" t="inlineStr">
        <is>
          <t>equip_baoutoukui</t>
        </is>
      </c>
      <c r="C7" s="3" t="inlineStr">
        <is>
          <t>豹头盔</t>
        </is>
      </c>
      <c r="D7" s="3" t="n">
        <v>2800</v>
      </c>
      <c r="E7" s="3" t="n">
        <v>75</v>
      </c>
      <c r="F7" s="3" t="n">
        <v>200</v>
      </c>
      <c r="G7" s="3" t="n">
        <v>20</v>
      </c>
      <c r="H7" s="3" t="n">
        <v>0</v>
      </c>
      <c r="I7" s="3" t="n">
        <v>0</v>
      </c>
      <c r="J7" s="3" t="n">
        <v>15</v>
      </c>
      <c r="K7" s="3" t="n">
        <v>0</v>
      </c>
      <c r="L7" s="3" t="n">
        <v>0</v>
      </c>
      <c r="M7" s="6">
        <f>F7/54+G7+H7+I7+J7+L7*1.2+K7/2</f>
        <v>38.7037037037037</v>
      </c>
      <c r="N7" s="3" t="inlineStr">
        <is>
          <t>无</t>
        </is>
      </c>
      <c r="O7" s="3" t="inlineStr">
        <is>
          <t>无</t>
        </is>
      </c>
      <c r="P7" s="3" t="inlineStr">
        <is>
          <t>green</t>
        </is>
      </c>
      <c r="Q7" s="3" t="inlineStr">
        <is>
          <t>优秀/绿</t>
        </is>
      </c>
      <c r="R7" s="3" t="inlineStr">
        <is>
          <t>头盔</t>
        </is>
      </c>
      <c r="S7" s="3" t="inlineStr">
        <is>
          <t>头盔</t>
        </is>
      </c>
      <c r="T7" s="3" t="inlineStr">
        <is>
          <t>豹首造型的头盔，相传为豹子头林冲年轻时所佩。</t>
        </is>
      </c>
      <c r="U7" s="3" t="inlineStr">
        <is>
          <t>是</t>
        </is>
      </c>
      <c r="V7" s="3" t="inlineStr">
        <is>
          <t>否</t>
        </is>
      </c>
      <c r="W7" s="3" t="inlineStr">
        <is>
          <t>equip_baoutoukui.png</t>
        </is>
      </c>
      <c r="X7" s="3" t="inlineStr"/>
      <c r="Y7" s="3" t="inlineStr">
        <is>
          <t>equip_helmet</t>
        </is>
      </c>
      <c r="Z7" s="3" t="inlineStr"/>
      <c r="AA7" s="3" t="inlineStr">
        <is>
          <t>无</t>
        </is>
      </c>
      <c r="AB7" s="3" t="inlineStr">
        <is>
          <t>否</t>
        </is>
      </c>
      <c r="AC7" s="3" t="inlineStr">
        <is>
          <t>否</t>
        </is>
      </c>
      <c r="AD7" s="3" t="inlineStr"/>
      <c r="AE7" s="3" t="inlineStr">
        <is>
          <t>任务宝箱装备；宝箱随机装备</t>
        </is>
      </c>
      <c r="AF7" s="3" t="inlineStr">
        <is>
          <t>{"hp":200,"defense":20,"agility":15}</t>
        </is>
      </c>
      <c r="AG7" s="3" t="inlineStr">
        <is>
          <t>data/item_templates.yaml:L3460</t>
        </is>
      </c>
    </row>
    <row r="8" hidden="1">
      <c r="A8" s="3" t="n">
        <v>7</v>
      </c>
      <c r="B8" s="3" t="inlineStr">
        <is>
          <t>equip_huwenkui</t>
        </is>
      </c>
      <c r="C8" s="3" t="inlineStr">
        <is>
          <t>虎纹盔</t>
        </is>
      </c>
      <c r="D8" s="3" t="n">
        <v>2500</v>
      </c>
      <c r="E8" s="3" t="n">
        <v>75</v>
      </c>
      <c r="F8" s="3" t="n">
        <v>220</v>
      </c>
      <c r="G8" s="3" t="n">
        <v>18</v>
      </c>
      <c r="H8" s="3" t="n">
        <v>15</v>
      </c>
      <c r="I8" s="3" t="n">
        <v>0</v>
      </c>
      <c r="J8" s="3" t="n">
        <v>0</v>
      </c>
      <c r="K8" s="3" t="n">
        <v>0</v>
      </c>
      <c r="L8" s="3" t="n">
        <v>0</v>
      </c>
      <c r="M8" s="6">
        <f>F8/54+G8+H8+I8+J8+L8*1.2+K8/2</f>
        <v>37.074074074074076</v>
      </c>
      <c r="N8" s="3" t="inlineStr">
        <is>
          <t>无</t>
        </is>
      </c>
      <c r="O8" s="3" t="inlineStr">
        <is>
          <t>无</t>
        </is>
      </c>
      <c r="P8" s="3" t="inlineStr">
        <is>
          <t>green</t>
        </is>
      </c>
      <c r="Q8" s="3" t="inlineStr">
        <is>
          <t>优秀/绿</t>
        </is>
      </c>
      <c r="R8" s="3" t="inlineStr">
        <is>
          <t>头盔</t>
        </is>
      </c>
      <c r="S8" s="3" t="inlineStr">
        <is>
          <t>头盔</t>
        </is>
      </c>
      <c r="T8" s="3" t="inlineStr">
        <is>
          <t>据说是某位虎将的遗物，虎纹威猛，煞气逼人。</t>
        </is>
      </c>
      <c r="U8" s="3" t="inlineStr">
        <is>
          <t>是</t>
        </is>
      </c>
      <c r="V8" s="3" t="inlineStr">
        <is>
          <t>否</t>
        </is>
      </c>
      <c r="W8" s="3" t="inlineStr">
        <is>
          <t>equip_huwenkui.png</t>
        </is>
      </c>
      <c r="X8" s="3" t="inlineStr"/>
      <c r="Y8" s="3" t="inlineStr">
        <is>
          <t>equip_helmet</t>
        </is>
      </c>
      <c r="Z8" s="3" t="inlineStr"/>
      <c r="AA8" s="3" t="inlineStr">
        <is>
          <t>无</t>
        </is>
      </c>
      <c r="AB8" s="3" t="inlineStr">
        <is>
          <t>否</t>
        </is>
      </c>
      <c r="AC8" s="3" t="inlineStr">
        <is>
          <t>否</t>
        </is>
      </c>
      <c r="AD8" s="3" t="inlineStr"/>
      <c r="AE8" s="3" t="inlineStr">
        <is>
          <t>任务宝箱装备；宝箱随机装备</t>
        </is>
      </c>
      <c r="AF8" s="3" t="inlineStr">
        <is>
          <t>{"hp":220,"defense":18,"force":15}</t>
        </is>
      </c>
      <c r="AG8" s="3" t="inlineStr">
        <is>
          <t>data/item_templates.yaml:L3446</t>
        </is>
      </c>
    </row>
    <row r="9" hidden="1">
      <c r="A9" s="3" t="n">
        <v>8</v>
      </c>
      <c r="B9" s="3" t="inlineStr">
        <is>
          <t>equip_qingtengguan</t>
        </is>
      </c>
      <c r="C9" s="3" t="inlineStr">
        <is>
          <t>青藤冠</t>
        </is>
      </c>
      <c r="D9" s="3" t="n">
        <v>2600</v>
      </c>
      <c r="E9" s="3" t="n">
        <v>75</v>
      </c>
      <c r="F9" s="3" t="n">
        <v>200</v>
      </c>
      <c r="G9" s="3" t="n">
        <v>10</v>
      </c>
      <c r="H9" s="3" t="n">
        <v>0</v>
      </c>
      <c r="I9" s="3" t="n">
        <v>15</v>
      </c>
      <c r="J9" s="3" t="n">
        <v>0</v>
      </c>
      <c r="K9" s="3" t="n">
        <v>0</v>
      </c>
      <c r="L9" s="3" t="n">
        <v>5</v>
      </c>
      <c r="M9" s="6">
        <f>F9/54+G9+H9+I9+J9+L9*1.2+K9/2</f>
        <v>34.7037037037037</v>
      </c>
      <c r="N9" s="3" t="inlineStr">
        <is>
          <t>无</t>
        </is>
      </c>
      <c r="O9" s="3" t="inlineStr">
        <is>
          <t>无</t>
        </is>
      </c>
      <c r="P9" s="3" t="inlineStr">
        <is>
          <t>green</t>
        </is>
      </c>
      <c r="Q9" s="3" t="inlineStr">
        <is>
          <t>优秀/绿</t>
        </is>
      </c>
      <c r="R9" s="3" t="inlineStr">
        <is>
          <t>头盔</t>
        </is>
      </c>
      <c r="S9" s="3" t="inlineStr">
        <is>
          <t>头盔</t>
        </is>
      </c>
      <c r="T9" s="3" t="inlineStr">
        <is>
          <t>以藤蔓与玉扣编织而成，据说出自某位隐居山林的高人之手。</t>
        </is>
      </c>
      <c r="U9" s="3" t="inlineStr">
        <is>
          <t>是</t>
        </is>
      </c>
      <c r="V9" s="3" t="inlineStr">
        <is>
          <t>否</t>
        </is>
      </c>
      <c r="W9" s="3" t="inlineStr">
        <is>
          <t>equip_qingtengguan.png</t>
        </is>
      </c>
      <c r="X9" s="3" t="inlineStr"/>
      <c r="Y9" s="3" t="inlineStr">
        <is>
          <t>equip_helmet</t>
        </is>
      </c>
      <c r="Z9" s="3" t="inlineStr"/>
      <c r="AA9" s="3" t="inlineStr">
        <is>
          <t>无</t>
        </is>
      </c>
      <c r="AB9" s="3" t="inlineStr">
        <is>
          <t>否</t>
        </is>
      </c>
      <c r="AC9" s="3" t="inlineStr">
        <is>
          <t>否</t>
        </is>
      </c>
      <c r="AD9" s="3" t="inlineStr"/>
      <c r="AE9" s="3" t="inlineStr">
        <is>
          <t>任务宝箱装备；宝箱随机装备</t>
        </is>
      </c>
      <c r="AF9" s="3" t="inlineStr">
        <is>
          <t>{"hp":200,"defense":10,"intellect":15,"luck":5}</t>
        </is>
      </c>
      <c r="AG9" s="3" t="inlineStr">
        <is>
          <t>data/item_templates.yaml:L3488</t>
        </is>
      </c>
    </row>
    <row r="10" hidden="1">
      <c r="A10" s="3" t="n">
        <v>9</v>
      </c>
      <c r="B10" s="3" t="inlineStr">
        <is>
          <t>equip_tieyekui</t>
        </is>
      </c>
      <c r="C10" s="3" t="inlineStr">
        <is>
          <t>铁叶盔</t>
        </is>
      </c>
      <c r="D10" s="3" t="n">
        <v>800</v>
      </c>
      <c r="E10" s="3" t="n">
        <v>75</v>
      </c>
      <c r="F10" s="3" t="n">
        <v>120</v>
      </c>
      <c r="G10" s="3" t="n">
        <v>8</v>
      </c>
      <c r="H10" s="3" t="n">
        <v>12</v>
      </c>
      <c r="I10" s="3" t="n">
        <v>0</v>
      </c>
      <c r="J10" s="3" t="n">
        <v>0</v>
      </c>
      <c r="K10" s="3" t="n">
        <v>0</v>
      </c>
      <c r="L10" s="3" t="n">
        <v>0</v>
      </c>
      <c r="M10" s="6">
        <f>F10/54+G10+H10+I10+J10+L10*1.2+K10/2</f>
        <v>22.22222222222222</v>
      </c>
      <c r="N10" s="3" t="inlineStr">
        <is>
          <t>无</t>
        </is>
      </c>
      <c r="O10" s="3" t="inlineStr">
        <is>
          <t>无</t>
        </is>
      </c>
      <c r="P10" s="3" t="inlineStr">
        <is>
          <t>green</t>
        </is>
      </c>
      <c r="Q10" s="3" t="inlineStr">
        <is>
          <t>优秀/绿</t>
        </is>
      </c>
      <c r="R10" s="3" t="inlineStr">
        <is>
          <t>头盔</t>
        </is>
      </c>
      <c r="S10" s="3" t="inlineStr">
        <is>
          <t>头盔</t>
        </is>
      </c>
      <c r="T10" s="3" t="inlineStr">
        <is>
          <t>有不错的保护效果，但是太过沉重，压着脑袋很难受。</t>
        </is>
      </c>
      <c r="U10" s="3" t="inlineStr">
        <is>
          <t>是</t>
        </is>
      </c>
      <c r="V10" s="3" t="inlineStr">
        <is>
          <t>否</t>
        </is>
      </c>
      <c r="W10" s="3" t="inlineStr">
        <is>
          <t>equip_tieyekui.png</t>
        </is>
      </c>
      <c r="X10" s="3" t="inlineStr"/>
      <c r="Y10" s="3" t="inlineStr">
        <is>
          <t>equip_helmet</t>
        </is>
      </c>
      <c r="Z10" s="3" t="inlineStr"/>
      <c r="AA10" s="3" t="inlineStr">
        <is>
          <t>无</t>
        </is>
      </c>
      <c r="AB10" s="3" t="inlineStr">
        <is>
          <t>是</t>
        </is>
      </c>
      <c r="AC10" s="3" t="inlineStr">
        <is>
          <t>否</t>
        </is>
      </c>
      <c r="AD10" s="3" t="inlineStr"/>
      <c r="AE10" s="3" t="inlineStr">
        <is>
          <t>商铺购买；宝箱随机装备；铁匠铺直接锻造</t>
        </is>
      </c>
      <c r="AF10" s="3" t="inlineStr">
        <is>
          <t>{"hp":120,"defense":8,"force":12}</t>
        </is>
      </c>
      <c r="AG10" s="3" t="inlineStr">
        <is>
          <t>data/item_templates.yaml:L3366</t>
        </is>
      </c>
    </row>
    <row r="11" hidden="1">
      <c r="A11" s="3" t="n">
        <v>10</v>
      </c>
      <c r="B11" s="3" t="inlineStr">
        <is>
          <t>equip_yanlingmao</t>
        </is>
      </c>
      <c r="C11" s="3" t="inlineStr">
        <is>
          <t>雁翎帽</t>
        </is>
      </c>
      <c r="D11" s="3" t="n">
        <v>2200</v>
      </c>
      <c r="E11" s="3" t="n">
        <v>75</v>
      </c>
      <c r="F11" s="3" t="n">
        <v>200</v>
      </c>
      <c r="G11" s="3" t="n">
        <v>15</v>
      </c>
      <c r="H11" s="3" t="n">
        <v>0</v>
      </c>
      <c r="I11" s="3" t="n">
        <v>0</v>
      </c>
      <c r="J11" s="3" t="n">
        <v>15</v>
      </c>
      <c r="K11" s="3" t="n">
        <v>0</v>
      </c>
      <c r="L11" s="3" t="n">
        <v>0</v>
      </c>
      <c r="M11" s="6">
        <f>F11/54+G11+H11+I11+J11+L11*1.2+K11/2</f>
        <v>33.7037037037037</v>
      </c>
      <c r="N11" s="3" t="inlineStr">
        <is>
          <t>无</t>
        </is>
      </c>
      <c r="O11" s="3" t="inlineStr">
        <is>
          <t>无</t>
        </is>
      </c>
      <c r="P11" s="3" t="inlineStr">
        <is>
          <t>green</t>
        </is>
      </c>
      <c r="Q11" s="3" t="inlineStr">
        <is>
          <t>优秀/绿</t>
        </is>
      </c>
      <c r="R11" s="3" t="inlineStr">
        <is>
          <t>头盔</t>
        </is>
      </c>
      <c r="S11" s="3" t="inlineStr">
        <is>
          <t>头盔</t>
        </is>
      </c>
      <c r="T11" s="3" t="inlineStr">
        <is>
          <t>以雁翎装饰的轻帽，是江湖侠客间广为流传的款式。</t>
        </is>
      </c>
      <c r="U11" s="3" t="inlineStr">
        <is>
          <t>是</t>
        </is>
      </c>
      <c r="V11" s="3" t="inlineStr">
        <is>
          <t>否</t>
        </is>
      </c>
      <c r="W11" s="3" t="inlineStr">
        <is>
          <t>equip_yanlingmao.png</t>
        </is>
      </c>
      <c r="X11" s="3" t="inlineStr"/>
      <c r="Y11" s="3" t="inlineStr">
        <is>
          <t>equip_helmet</t>
        </is>
      </c>
      <c r="Z11" s="3" t="inlineStr"/>
      <c r="AA11" s="3" t="inlineStr">
        <is>
          <t>无</t>
        </is>
      </c>
      <c r="AB11" s="3" t="inlineStr">
        <is>
          <t>否</t>
        </is>
      </c>
      <c r="AC11" s="3" t="inlineStr">
        <is>
          <t>否</t>
        </is>
      </c>
      <c r="AD11" s="3" t="inlineStr"/>
      <c r="AE11" s="3" t="inlineStr">
        <is>
          <t>任务宝箱装备；宝箱随机装备</t>
        </is>
      </c>
      <c r="AF11" s="3" t="inlineStr">
        <is>
          <t>{"hp":200,"defense":15,"agility":15}</t>
        </is>
      </c>
      <c r="AG11" s="3" t="inlineStr">
        <is>
          <t>data/item_templates.yaml:L3474</t>
        </is>
      </c>
    </row>
    <row r="12" hidden="1">
      <c r="A12" s="3" t="n">
        <v>11</v>
      </c>
      <c r="B12" s="3" t="inlineStr">
        <is>
          <t>equip_yemantoukie</t>
        </is>
      </c>
      <c r="C12" s="3" t="inlineStr">
        <is>
          <t>野蛮头盔</t>
        </is>
      </c>
      <c r="D12" s="3" t="n">
        <v>2000</v>
      </c>
      <c r="E12" s="3" t="n">
        <v>75</v>
      </c>
      <c r="F12" s="3" t="n">
        <v>150</v>
      </c>
      <c r="G12" s="3" t="n">
        <v>10</v>
      </c>
      <c r="H12" s="3" t="n">
        <v>20</v>
      </c>
      <c r="I12" s="3" t="n">
        <v>0</v>
      </c>
      <c r="J12" s="3" t="n">
        <v>0</v>
      </c>
      <c r="K12" s="3" t="n">
        <v>0</v>
      </c>
      <c r="L12" s="3" t="n">
        <v>0</v>
      </c>
      <c r="M12" s="6">
        <f>F12/54+G12+H12+I12+J12+L12*1.2+K12/2</f>
        <v>32.77777777777778</v>
      </c>
      <c r="N12" s="3" t="inlineStr">
        <is>
          <t>野蛮套装</t>
        </is>
      </c>
      <c r="O12" s="3" t="inlineStr">
        <is>
          <t>野蛮套装2件: 生命+300、武力+25、防御+10</t>
        </is>
      </c>
      <c r="P12" s="3" t="inlineStr">
        <is>
          <t>green</t>
        </is>
      </c>
      <c r="Q12" s="3" t="inlineStr">
        <is>
          <t>优秀/绿</t>
        </is>
      </c>
      <c r="R12" s="3" t="inlineStr">
        <is>
          <t>头盔</t>
        </is>
      </c>
      <c r="S12" s="3" t="inlineStr">
        <is>
          <t>头盔</t>
        </is>
      </c>
      <c r="T12" s="3" t="inlineStr">
        <is>
          <t>北方蛮族的战利品，以兽皮与铁铆拼制，带有异域风格。</t>
        </is>
      </c>
      <c r="U12" s="3" t="inlineStr">
        <is>
          <t>是</t>
        </is>
      </c>
      <c r="V12" s="3" t="inlineStr">
        <is>
          <t>否</t>
        </is>
      </c>
      <c r="W12" s="3" t="inlineStr">
        <is>
          <t>equip_yemantoukie.png</t>
        </is>
      </c>
      <c r="X12" s="3" t="inlineStr"/>
      <c r="Y12" s="3" t="inlineStr">
        <is>
          <t>equip_helmet</t>
        </is>
      </c>
      <c r="Z12" s="3" t="inlineStr">
        <is>
          <t>yeman_set</t>
        </is>
      </c>
      <c r="AA12" s="3" t="inlineStr">
        <is>
          <t>无</t>
        </is>
      </c>
      <c r="AB12" s="3" t="inlineStr">
        <is>
          <t>否</t>
        </is>
      </c>
      <c r="AC12" s="3" t="inlineStr">
        <is>
          <t>否</t>
        </is>
      </c>
      <c r="AD12" s="3" t="inlineStr"/>
      <c r="AE12" s="3" t="inlineStr">
        <is>
          <t>任务宝箱装备</t>
        </is>
      </c>
      <c r="AF12" s="3" t="inlineStr">
        <is>
          <t>{"hp":150,"defense":10,"force":20,"set_key":"yeman_set","set_description":"野蛮套装","set_bonus":{"pieces":2,"bonus":{"hp":300,"force":25,"defense":10}}}</t>
        </is>
      </c>
      <c r="AG12" s="3" t="inlineStr">
        <is>
          <t>data/item_templates.yaml:L3425</t>
        </is>
      </c>
    </row>
    <row r="13" hidden="1">
      <c r="A13" s="3" t="n">
        <v>12</v>
      </c>
      <c r="B13" s="3" t="inlineStr">
        <is>
          <t>equip_yulindin</t>
        </is>
      </c>
      <c r="C13" s="3" t="inlineStr">
        <is>
          <t>鱼鳞顶</t>
        </is>
      </c>
      <c r="D13" s="3" t="n">
        <v>1500</v>
      </c>
      <c r="E13" s="3" t="n">
        <v>75</v>
      </c>
      <c r="F13" s="3" t="n">
        <v>400</v>
      </c>
      <c r="G13" s="3" t="n">
        <v>12</v>
      </c>
      <c r="H13" s="3" t="n">
        <v>1</v>
      </c>
      <c r="I13" s="3" t="n">
        <v>0</v>
      </c>
      <c r="J13" s="3" t="n">
        <v>4</v>
      </c>
      <c r="K13" s="3" t="n">
        <v>0</v>
      </c>
      <c r="L13" s="3" t="n">
        <v>0</v>
      </c>
      <c r="M13" s="6">
        <f>F13/54+G13+H13+I13+J13+L13*1.2+K13/2</f>
        <v>24.40740740740741</v>
      </c>
      <c r="N13" s="3" t="inlineStr">
        <is>
          <t>无</t>
        </is>
      </c>
      <c r="O13" s="3" t="inlineStr">
        <is>
          <t>无</t>
        </is>
      </c>
      <c r="P13" s="3" t="inlineStr">
        <is>
          <t>green</t>
        </is>
      </c>
      <c r="Q13" s="3" t="inlineStr">
        <is>
          <t>优秀/绿</t>
        </is>
      </c>
      <c r="R13" s="3" t="inlineStr">
        <is>
          <t>头盔</t>
        </is>
      </c>
      <c r="S13" s="3" t="inlineStr">
        <is>
          <t>头盔</t>
        </is>
      </c>
      <c r="T13" s="3" t="inlineStr">
        <is>
          <t>鱼鳞状的铜片编成，轻便而坚固。</t>
        </is>
      </c>
      <c r="U13" s="3" t="inlineStr">
        <is>
          <t>是</t>
        </is>
      </c>
      <c r="V13" s="3" t="inlineStr">
        <is>
          <t>否</t>
        </is>
      </c>
      <c r="W13" s="3" t="inlineStr">
        <is>
          <t>equip_yulindin.png</t>
        </is>
      </c>
      <c r="X13" s="3" t="inlineStr"/>
      <c r="Y13" s="3" t="inlineStr">
        <is>
          <t>equip_helmet</t>
        </is>
      </c>
      <c r="Z13" s="3" t="inlineStr"/>
      <c r="AA13" s="3" t="inlineStr">
        <is>
          <t>无</t>
        </is>
      </c>
      <c r="AB13" s="3" t="inlineStr">
        <is>
          <t>是</t>
        </is>
      </c>
      <c r="AC13" s="3" t="inlineStr">
        <is>
          <t>否</t>
        </is>
      </c>
      <c r="AD13" s="3" t="inlineStr"/>
      <c r="AE13" s="3" t="inlineStr">
        <is>
          <t>商铺购买；宝箱随机装备；铁匠铺直接锻造</t>
        </is>
      </c>
      <c r="AF13" s="3" t="inlineStr">
        <is>
          <t>{"hp":400,"defense":12,"force":1,"agility":4}</t>
        </is>
      </c>
      <c r="AG13" s="3" t="inlineStr">
        <is>
          <t>data/item_templates.yaml:L3380</t>
        </is>
      </c>
    </row>
    <row r="14" hidden="1">
      <c r="A14" s="3" t="n">
        <v>13</v>
      </c>
      <c r="B14" s="3" t="inlineStr">
        <is>
          <t>equip_action_mask</t>
        </is>
      </c>
      <c r="C14" s="3" t="inlineStr">
        <is>
          <t>动感超人面具</t>
        </is>
      </c>
      <c r="D14" s="3" t="n">
        <v>6000</v>
      </c>
      <c r="E14" s="3" t="n">
        <v>100</v>
      </c>
      <c r="F14" s="3" t="n">
        <v>300</v>
      </c>
      <c r="G14" s="3" t="n">
        <v>5</v>
      </c>
      <c r="H14" s="3" t="n">
        <v>20</v>
      </c>
      <c r="I14" s="3" t="n">
        <v>0</v>
      </c>
      <c r="J14" s="3" t="n">
        <v>15</v>
      </c>
      <c r="K14" s="3" t="n">
        <v>0</v>
      </c>
      <c r="L14" s="3" t="n">
        <v>0</v>
      </c>
      <c r="M14" s="6">
        <f>F14/54+G14+H14+I14+J14+L14*1.2+K14/2</f>
        <v>45.55555555555556</v>
      </c>
      <c r="N14" s="3" t="inlineStr">
        <is>
          <t>春日部防卫队</t>
        </is>
      </c>
      <c r="O14" s="3" t="inlineStr">
        <is>
          <t>春日部防卫队2件: 防御+20、攻击+30；春日部防卫队4件: 生命+600、敏捷+20、运势+15</t>
        </is>
      </c>
      <c r="P14" s="3" t="inlineStr">
        <is>
          <t>blue</t>
        </is>
      </c>
      <c r="Q14" s="3" t="inlineStr">
        <is>
          <t>稀有/蓝</t>
        </is>
      </c>
      <c r="R14" s="3" t="inlineStr">
        <is>
          <t>头盔</t>
        </is>
      </c>
      <c r="S14" s="3" t="inlineStr">
        <is>
          <t>头盔</t>
        </is>
      </c>
      <c r="T14" s="3" t="inlineStr">
        <is>
          <t>春日部防卫队收藏的英雄面具，戴上后总觉得出拳更有气势。</t>
        </is>
      </c>
      <c r="U14" s="3" t="inlineStr">
        <is>
          <t>是</t>
        </is>
      </c>
      <c r="V14" s="3" t="inlineStr">
        <is>
          <t>否</t>
        </is>
      </c>
      <c r="W14" s="3" t="inlineStr">
        <is>
          <t>equip_action_mask.png</t>
        </is>
      </c>
      <c r="X14" s="3" t="inlineStr"/>
      <c r="Y14" s="3" t="inlineStr">
        <is>
          <t>equip_helmet</t>
        </is>
      </c>
      <c r="Z14" s="3" t="inlineStr">
        <is>
          <t>kasukabe_defense_set</t>
        </is>
      </c>
      <c r="AA14" s="3" t="inlineStr">
        <is>
          <t>无</t>
        </is>
      </c>
      <c r="AB14" s="3" t="inlineStr">
        <is>
          <t>否</t>
        </is>
      </c>
      <c r="AC14" s="3" t="inlineStr">
        <is>
          <t>否</t>
        </is>
      </c>
      <c r="AD14" s="3" t="inlineStr"/>
      <c r="AE14" s="3" t="inlineStr">
        <is>
          <t>任务宝箱装备</t>
        </is>
      </c>
      <c r="AF14" s="3" t="inlineStr">
        <is>
          <t>{"hp":300,"defense":5,"force":20,"agility":15,"set_key":"kasukabe_defense_set","set_description":"春日部防卫队","set_bonus":[{"pieces":2,"bonus":{"defense":20,"attack":30}},{"pieces":4,"bonus":{"hp":600,"agility":20,"luck":15}}]}</t>
        </is>
      </c>
      <c r="AG14" s="3" t="inlineStr">
        <is>
          <t>data/item_templates.yaml:L3113</t>
        </is>
      </c>
    </row>
    <row r="15" hidden="1">
      <c r="A15" s="3" t="n">
        <v>14</v>
      </c>
      <c r="B15" s="3" t="inlineStr">
        <is>
          <t>equip_feiyukui</t>
        </is>
      </c>
      <c r="C15" s="3" t="inlineStr">
        <is>
          <t>飞羽盔</t>
        </is>
      </c>
      <c r="D15" s="3" t="n">
        <v>5600</v>
      </c>
      <c r="E15" s="3" t="n">
        <v>100</v>
      </c>
      <c r="F15" s="3" t="n">
        <v>400</v>
      </c>
      <c r="G15" s="3" t="n">
        <v>15</v>
      </c>
      <c r="H15" s="3" t="n">
        <v>0</v>
      </c>
      <c r="I15" s="3" t="n">
        <v>0</v>
      </c>
      <c r="J15" s="3" t="n">
        <v>25</v>
      </c>
      <c r="K15" s="3" t="n">
        <v>0</v>
      </c>
      <c r="L15" s="3" t="n">
        <v>10</v>
      </c>
      <c r="M15" s="6">
        <f>F15/54+G15+H15+I15+J15+L15*1.2+K15/2</f>
        <v>59.407407407407405</v>
      </c>
      <c r="N15" s="3" t="inlineStr">
        <is>
          <t>无</t>
        </is>
      </c>
      <c r="O15" s="3" t="inlineStr">
        <is>
          <t>无</t>
        </is>
      </c>
      <c r="P15" s="3" t="inlineStr">
        <is>
          <t>blue</t>
        </is>
      </c>
      <c r="Q15" s="3" t="inlineStr">
        <is>
          <t>稀有/蓝</t>
        </is>
      </c>
      <c r="R15" s="3" t="inlineStr">
        <is>
          <t>头盔</t>
        </is>
      </c>
      <c r="S15" s="3" t="inlineStr">
        <is>
          <t>头盔</t>
        </is>
      </c>
      <c r="T15" s="3" t="inlineStr">
        <is>
          <t>以百鸟之羽装饰的轻盔，据说曾是某位神箭手的心爱之物。</t>
        </is>
      </c>
      <c r="U15" s="3" t="inlineStr">
        <is>
          <t>是</t>
        </is>
      </c>
      <c r="V15" s="3" t="inlineStr">
        <is>
          <t>否</t>
        </is>
      </c>
      <c r="W15" s="3" t="inlineStr">
        <is>
          <t>equip_feiyukui.png</t>
        </is>
      </c>
      <c r="X15" s="3" t="inlineStr"/>
      <c r="Y15" s="3" t="inlineStr">
        <is>
          <t>equip_helmet</t>
        </is>
      </c>
      <c r="Z15" s="3" t="inlineStr"/>
      <c r="AA15" s="3" t="inlineStr">
        <is>
          <t>无</t>
        </is>
      </c>
      <c r="AB15" s="3" t="inlineStr">
        <is>
          <t>否</t>
        </is>
      </c>
      <c r="AC15" s="3" t="inlineStr">
        <is>
          <t>否</t>
        </is>
      </c>
      <c r="AD15" s="3" t="inlineStr"/>
      <c r="AE15" s="3" t="inlineStr">
        <is>
          <t>任务宝箱装备</t>
        </is>
      </c>
      <c r="AF15" s="3" t="inlineStr">
        <is>
          <t>{"hp":400,"defense":15,"agility":25,"luck":10}</t>
        </is>
      </c>
      <c r="AG15" s="3" t="inlineStr">
        <is>
          <t>data/item_templates.yaml:L3615</t>
        </is>
      </c>
    </row>
    <row r="16" hidden="1">
      <c r="A16" s="3" t="n">
        <v>15</v>
      </c>
      <c r="B16" s="3" t="inlineStr">
        <is>
          <t>equip_hantiekui</t>
        </is>
      </c>
      <c r="C16" s="3" t="inlineStr">
        <is>
          <t>寒铁盔</t>
        </is>
      </c>
      <c r="D16" s="3" t="n">
        <v>6500</v>
      </c>
      <c r="E16" s="3" t="n">
        <v>100</v>
      </c>
      <c r="F16" s="3" t="n">
        <v>380</v>
      </c>
      <c r="G16" s="3" t="n">
        <v>35</v>
      </c>
      <c r="H16" s="3" t="n">
        <v>5</v>
      </c>
      <c r="I16" s="3" t="n">
        <v>0</v>
      </c>
      <c r="J16" s="3" t="n">
        <v>0</v>
      </c>
      <c r="K16" s="3" t="n">
        <v>0</v>
      </c>
      <c r="L16" s="3" t="n">
        <v>0</v>
      </c>
      <c r="M16" s="6">
        <f>F16/54+G16+H16+I16+J16+L16*1.2+K16/2</f>
        <v>47.03703703703704</v>
      </c>
      <c r="N16" s="3" t="inlineStr">
        <is>
          <t>无</t>
        </is>
      </c>
      <c r="O16" s="3" t="inlineStr">
        <is>
          <t>无</t>
        </is>
      </c>
      <c r="P16" s="3" t="inlineStr">
        <is>
          <t>blue</t>
        </is>
      </c>
      <c r="Q16" s="3" t="inlineStr">
        <is>
          <t>稀有/蓝</t>
        </is>
      </c>
      <c r="R16" s="3" t="inlineStr">
        <is>
          <t>头盔</t>
        </is>
      </c>
      <c r="S16" s="3" t="inlineStr">
        <is>
          <t>头盔</t>
        </is>
      </c>
      <c r="T16" s="3" t="inlineStr">
        <is>
          <t>以极北寒铁铸就，触之冰凉入骨，常年不受寒侵。</t>
        </is>
      </c>
      <c r="U16" s="3" t="inlineStr">
        <is>
          <t>是</t>
        </is>
      </c>
      <c r="V16" s="3" t="inlineStr">
        <is>
          <t>否</t>
        </is>
      </c>
      <c r="W16" s="3" t="inlineStr">
        <is>
          <t>equip_hantiekui.png</t>
        </is>
      </c>
      <c r="X16" s="3" t="inlineStr"/>
      <c r="Y16" s="3" t="inlineStr">
        <is>
          <t>equip_helmet</t>
        </is>
      </c>
      <c r="Z16" s="3" t="inlineStr"/>
      <c r="AA16" s="3" t="inlineStr">
        <is>
          <t>无</t>
        </is>
      </c>
      <c r="AB16" s="3" t="inlineStr">
        <is>
          <t>否</t>
        </is>
      </c>
      <c r="AC16" s="3" t="inlineStr">
        <is>
          <t>否</t>
        </is>
      </c>
      <c r="AD16" s="3" t="inlineStr"/>
      <c r="AE16" s="3" t="inlineStr">
        <is>
          <t>任务宝箱装备</t>
        </is>
      </c>
      <c r="AF16" s="3" t="inlineStr">
        <is>
          <t>{"hp":380,"defense":35,"force":5}</t>
        </is>
      </c>
      <c r="AG16" s="3" t="inlineStr">
        <is>
          <t>data/item_templates.yaml:L3586</t>
        </is>
      </c>
    </row>
    <row r="17" hidden="1">
      <c r="A17" s="3" t="n">
        <v>16</v>
      </c>
      <c r="B17" s="3" t="inlineStr">
        <is>
          <t>equip_jiaodoushitoukui</t>
        </is>
      </c>
      <c r="C17" s="3" t="inlineStr">
        <is>
          <t>角斗士头盔</t>
        </is>
      </c>
      <c r="D17" s="3" t="n">
        <v>6200</v>
      </c>
      <c r="E17" s="3" t="n">
        <v>100</v>
      </c>
      <c r="F17" s="3" t="n">
        <v>350</v>
      </c>
      <c r="G17" s="3" t="n">
        <v>25</v>
      </c>
      <c r="H17" s="3" t="n">
        <v>20</v>
      </c>
      <c r="I17" s="3" t="n">
        <v>0</v>
      </c>
      <c r="J17" s="3" t="n">
        <v>0</v>
      </c>
      <c r="K17" s="3" t="n">
        <v>0</v>
      </c>
      <c r="L17" s="3" t="n">
        <v>0</v>
      </c>
      <c r="M17" s="6">
        <f>F17/54+G17+H17+I17+J17+L17*1.2+K17/2</f>
        <v>51.48148148148148</v>
      </c>
      <c r="N17" s="3" t="inlineStr">
        <is>
          <t>角斗士套装</t>
        </is>
      </c>
      <c r="O17" s="3" t="inlineStr">
        <is>
          <t>角斗士套装4件: 生命+280、防御+10、武力+30、敏捷+15</t>
        </is>
      </c>
      <c r="P17" s="3" t="inlineStr">
        <is>
          <t>blue</t>
        </is>
      </c>
      <c r="Q17" s="3" t="inlineStr">
        <is>
          <t>稀有/蓝</t>
        </is>
      </c>
      <c r="R17" s="3" t="inlineStr">
        <is>
          <t>头盔</t>
        </is>
      </c>
      <c r="S17" s="3" t="inlineStr">
        <is>
          <t>头盔</t>
        </is>
      </c>
      <c r="T17" s="3" t="inlineStr">
        <is>
          <t>角斗场老兵常用的重盔，面甲刻有胜场纹记，兼顾防护与压迫感。</t>
        </is>
      </c>
      <c r="U17" s="3" t="inlineStr">
        <is>
          <t>是</t>
        </is>
      </c>
      <c r="V17" s="3" t="inlineStr">
        <is>
          <t>否</t>
        </is>
      </c>
      <c r="W17" s="3" t="inlineStr">
        <is>
          <t>equip_jiaodoushitoukui.png</t>
        </is>
      </c>
      <c r="X17" s="3" t="inlineStr"/>
      <c r="Y17" s="3" t="inlineStr">
        <is>
          <t>equip_helmet</t>
        </is>
      </c>
      <c r="Z17" s="3" t="inlineStr">
        <is>
          <t>jiaodoushi_set</t>
        </is>
      </c>
      <c r="AA17" s="3" t="inlineStr">
        <is>
          <t>无</t>
        </is>
      </c>
      <c r="AB17" s="3" t="inlineStr">
        <is>
          <t>否</t>
        </is>
      </c>
      <c r="AC17" s="3" t="inlineStr">
        <is>
          <t>否</t>
        </is>
      </c>
      <c r="AD17" s="3" t="inlineStr"/>
      <c r="AE17" s="3" t="inlineStr">
        <is>
          <t>宝箱随机装备；竞技场随机兑换</t>
        </is>
      </c>
      <c r="AF17" s="3" t="inlineStr">
        <is>
          <t>{"hp":350,"defense":25,"force":20,"set_key":"jiaodoushi_set","set_description":"角斗士套装","set_bonus":{"pieces":4,"bonus":{"hp":280,"defense":10,"force":30,"agility":15}}}</t>
        </is>
      </c>
      <c r="AG17" s="3" t="inlineStr">
        <is>
          <t>data/item_templates.yaml:L3528</t>
        </is>
      </c>
    </row>
    <row r="18" hidden="1">
      <c r="A18" s="3" t="n">
        <v>17</v>
      </c>
      <c r="B18" s="3" t="inlineStr">
        <is>
          <t>equip_langyakui</t>
        </is>
      </c>
      <c r="C18" s="3" t="inlineStr">
        <is>
          <t>狼牙盔</t>
        </is>
      </c>
      <c r="D18" s="3" t="n">
        <v>5800</v>
      </c>
      <c r="E18" s="3" t="n">
        <v>100</v>
      </c>
      <c r="F18" s="3" t="n">
        <v>300</v>
      </c>
      <c r="G18" s="3" t="n">
        <v>20</v>
      </c>
      <c r="H18" s="3" t="n">
        <v>20</v>
      </c>
      <c r="I18" s="3" t="n">
        <v>0</v>
      </c>
      <c r="J18" s="3" t="n">
        <v>15</v>
      </c>
      <c r="K18" s="3" t="n">
        <v>0</v>
      </c>
      <c r="L18" s="3" t="n">
        <v>0</v>
      </c>
      <c r="M18" s="6">
        <f>F18/54+G18+H18+I18+J18+L18*1.2+K18/2</f>
        <v>60.55555555555556</v>
      </c>
      <c r="N18" s="3" t="inlineStr">
        <is>
          <t>无</t>
        </is>
      </c>
      <c r="O18" s="3" t="inlineStr">
        <is>
          <t>无</t>
        </is>
      </c>
      <c r="P18" s="3" t="inlineStr">
        <is>
          <t>blue</t>
        </is>
      </c>
      <c r="Q18" s="3" t="inlineStr">
        <is>
          <t>稀有/蓝</t>
        </is>
      </c>
      <c r="R18" s="3" t="inlineStr">
        <is>
          <t>头盔</t>
        </is>
      </c>
      <c r="S18" s="3" t="inlineStr">
        <is>
          <t>头盔</t>
        </is>
      </c>
      <c r="T18" s="3" t="inlineStr">
        <is>
          <t>草原狼王的头骨所制，盔缘嵌有狼牙，凶悍异常。</t>
        </is>
      </c>
      <c r="U18" s="3" t="inlineStr">
        <is>
          <t>是</t>
        </is>
      </c>
      <c r="V18" s="3" t="inlineStr">
        <is>
          <t>否</t>
        </is>
      </c>
      <c r="W18" s="3" t="inlineStr">
        <is>
          <t>equip_langyakui.png</t>
        </is>
      </c>
      <c r="X18" s="3" t="inlineStr"/>
      <c r="Y18" s="3" t="inlineStr">
        <is>
          <t>equip_helmet</t>
        </is>
      </c>
      <c r="Z18" s="3" t="inlineStr"/>
      <c r="AA18" s="3" t="inlineStr">
        <is>
          <t>无</t>
        </is>
      </c>
      <c r="AB18" s="3" t="inlineStr">
        <is>
          <t>否</t>
        </is>
      </c>
      <c r="AC18" s="3" t="inlineStr">
        <is>
          <t>否</t>
        </is>
      </c>
      <c r="AD18" s="3" t="inlineStr"/>
      <c r="AE18" s="3" t="inlineStr">
        <is>
          <t>任务宝箱装备</t>
        </is>
      </c>
      <c r="AF18" s="3" t="inlineStr">
        <is>
          <t>{"hp":300,"defense":20,"force":20,"agility":15}</t>
        </is>
      </c>
      <c r="AG18" s="3" t="inlineStr">
        <is>
          <t>data/item_templates.yaml:L3600</t>
        </is>
      </c>
    </row>
    <row r="19" hidden="1">
      <c r="A19" s="3" t="n">
        <v>18</v>
      </c>
      <c r="B19" s="3" t="inlineStr">
        <is>
          <t>equip_qinglongkui</t>
        </is>
      </c>
      <c r="C19" s="3" t="inlineStr">
        <is>
          <t>青龙盔</t>
        </is>
      </c>
      <c r="D19" s="3" t="n">
        <v>5500</v>
      </c>
      <c r="E19" s="3" t="n">
        <v>100</v>
      </c>
      <c r="F19" s="3" t="n">
        <v>400</v>
      </c>
      <c r="G19" s="3" t="n">
        <v>20</v>
      </c>
      <c r="H19" s="3" t="n">
        <v>0</v>
      </c>
      <c r="I19" s="3" t="n">
        <v>22</v>
      </c>
      <c r="J19" s="3" t="n">
        <v>0</v>
      </c>
      <c r="K19" s="3" t="n">
        <v>0</v>
      </c>
      <c r="L19" s="3" t="n">
        <v>0</v>
      </c>
      <c r="M19" s="6">
        <f>F19/54+G19+H19+I19+J19+L19*1.2+K19/2</f>
        <v>49.407407407407405</v>
      </c>
      <c r="N19" s="3" t="inlineStr">
        <is>
          <t>四象套装</t>
        </is>
      </c>
      <c r="O19" s="3" t="inlineStr">
        <is>
          <t>四象套装4件: 生命+360、武力+35、智力+35、敏捷+20</t>
        </is>
      </c>
      <c r="P19" s="3" t="inlineStr">
        <is>
          <t>blue</t>
        </is>
      </c>
      <c r="Q19" s="3" t="inlineStr">
        <is>
          <t>稀有/蓝</t>
        </is>
      </c>
      <c r="R19" s="3" t="inlineStr">
        <is>
          <t>头盔</t>
        </is>
      </c>
      <c r="S19" s="3" t="inlineStr">
        <is>
          <t>头盔</t>
        </is>
      </c>
      <c r="T19" s="3" t="inlineStr">
        <is>
          <t>青龙纹路盘绕其上，相传是东方青龙庙镇殿之物。</t>
        </is>
      </c>
      <c r="U19" s="3" t="inlineStr">
        <is>
          <t>是</t>
        </is>
      </c>
      <c r="V19" s="3" t="inlineStr">
        <is>
          <t>否</t>
        </is>
      </c>
      <c r="W19" s="3" t="inlineStr">
        <is>
          <t>equip_qinglongkui.png</t>
        </is>
      </c>
      <c r="X19" s="3" t="inlineStr"/>
      <c r="Y19" s="3" t="inlineStr">
        <is>
          <t>equip_helmet</t>
        </is>
      </c>
      <c r="Z19" s="3" t="inlineStr">
        <is>
          <t>sixiang_set</t>
        </is>
      </c>
      <c r="AA19" s="3" t="inlineStr">
        <is>
          <t>无</t>
        </is>
      </c>
      <c r="AB19" s="3" t="inlineStr">
        <is>
          <t>否</t>
        </is>
      </c>
      <c r="AC19" s="3" t="inlineStr">
        <is>
          <t>是</t>
        </is>
      </c>
      <c r="AD19" s="3" t="inlineStr">
        <is>
          <t>blueprint_qinglongkui</t>
        </is>
      </c>
      <c r="AE19" s="3" t="inlineStr">
        <is>
          <t>图纸合成（任务宝箱）；图纸合成（帮会图纸领取）；图纸合成（竞技场随机图纸兑换）</t>
        </is>
      </c>
      <c r="AF19" s="3" t="inlineStr">
        <is>
          <t>{"hp":400,"defense":20,"intellect":22,"set_key":"sixiang_set","set_description":"四象套装","set_bonus":{"pieces":4,"bonus":{"hp":360,"force":35,"intellect":35,"agility":20}}}</t>
        </is>
      </c>
      <c r="AG19" s="3" t="inlineStr">
        <is>
          <t>data/item_templates.yaml:L3564</t>
        </is>
      </c>
    </row>
    <row r="20" hidden="1">
      <c r="A20" s="3" t="n">
        <v>19</v>
      </c>
      <c r="B20" s="3" t="inlineStr">
        <is>
          <t>equip_xiaoweitoukui</t>
        </is>
      </c>
      <c r="C20" s="3" t="inlineStr">
        <is>
          <t>校尉头盔</t>
        </is>
      </c>
      <c r="D20" s="3" t="n">
        <v>5000</v>
      </c>
      <c r="E20" s="3" t="n">
        <v>100</v>
      </c>
      <c r="F20" s="3" t="n">
        <v>350</v>
      </c>
      <c r="G20" s="3" t="n">
        <v>20</v>
      </c>
      <c r="H20" s="3" t="n">
        <v>15</v>
      </c>
      <c r="I20" s="3" t="n">
        <v>0</v>
      </c>
      <c r="J20" s="3" t="n">
        <v>0</v>
      </c>
      <c r="K20" s="3" t="n">
        <v>20</v>
      </c>
      <c r="L20" s="3" t="n">
        <v>0</v>
      </c>
      <c r="M20" s="6">
        <f>F20/54+G20+H20+I20+J20+L20*1.2+K20/2</f>
        <v>51.48148148148148</v>
      </c>
      <c r="N20" s="3" t="inlineStr">
        <is>
          <t>校尉套装</t>
        </is>
      </c>
      <c r="O20" s="3" t="inlineStr">
        <is>
          <t>校尉套装4件: 生命+360、防御+15、武力+40、带兵上限+100</t>
        </is>
      </c>
      <c r="P20" s="3" t="inlineStr">
        <is>
          <t>blue</t>
        </is>
      </c>
      <c r="Q20" s="3" t="inlineStr">
        <is>
          <t>稀有/蓝</t>
        </is>
      </c>
      <c r="R20" s="3" t="inlineStr">
        <is>
          <t>头盔</t>
        </is>
      </c>
      <c r="S20" s="3" t="inlineStr">
        <is>
          <t>头盔</t>
        </is>
      </c>
      <c r="T20" s="3" t="inlineStr">
        <is>
          <t>军中校尉制式头盔，上有龙纹标识，象征军阶与荣誉。</t>
        </is>
      </c>
      <c r="U20" s="3" t="inlineStr">
        <is>
          <t>是</t>
        </is>
      </c>
      <c r="V20" s="3" t="inlineStr">
        <is>
          <t>否</t>
        </is>
      </c>
      <c r="W20" s="3" t="inlineStr">
        <is>
          <t>equip_xiaoweitoukui.png</t>
        </is>
      </c>
      <c r="X20" s="3" t="inlineStr"/>
      <c r="Y20" s="3" t="inlineStr">
        <is>
          <t>equip_helmet</t>
        </is>
      </c>
      <c r="Z20" s="3" t="inlineStr">
        <is>
          <t>xiaowei_set</t>
        </is>
      </c>
      <c r="AA20" s="3" t="inlineStr">
        <is>
          <t>无</t>
        </is>
      </c>
      <c r="AB20" s="3" t="inlineStr">
        <is>
          <t>否</t>
        </is>
      </c>
      <c r="AC20" s="3" t="inlineStr">
        <is>
          <t>是</t>
        </is>
      </c>
      <c r="AD20" s="3" t="inlineStr">
        <is>
          <t>blueprint_xiaoweitoukie</t>
        </is>
      </c>
      <c r="AE20" s="3" t="inlineStr">
        <is>
          <t>任务宝箱装备；图纸合成（任务宝箱）；图纸合成（帮会图纸领取）；图纸合成（竞技场随机图纸兑换）；宝箱随机装备</t>
        </is>
      </c>
      <c r="AF20" s="3" t="inlineStr">
        <is>
          <t>{"hp":350,"defense":20,"force":15,"troop_capacity":20,"set_key":"xiaowei_set","set_description":"校尉套装","set_bonus":{"pieces":4,"bonus":{"hp":360,"defense":15,"force":40,"troop_capacity":100}}}</t>
        </is>
      </c>
      <c r="AG20" s="3" t="inlineStr">
        <is>
          <t>data/item_templates.yaml:L3505</t>
        </is>
      </c>
    </row>
    <row r="21" hidden="1">
      <c r="A21" s="3" t="n">
        <v>20</v>
      </c>
      <c r="B21" s="3" t="inlineStr">
        <is>
          <t>equip_xuantiekui</t>
        </is>
      </c>
      <c r="C21" s="3" t="inlineStr">
        <is>
          <t>玄铁盔</t>
        </is>
      </c>
      <c r="D21" s="3" t="n">
        <v>6000</v>
      </c>
      <c r="E21" s="3" t="n">
        <v>100</v>
      </c>
      <c r="F21" s="3" t="n">
        <v>340</v>
      </c>
      <c r="G21" s="3" t="n">
        <v>40</v>
      </c>
      <c r="H21" s="3" t="n">
        <v>15</v>
      </c>
      <c r="I21" s="3" t="n">
        <v>0</v>
      </c>
      <c r="J21" s="3" t="n">
        <v>0</v>
      </c>
      <c r="K21" s="3" t="n">
        <v>0</v>
      </c>
      <c r="L21" s="3" t="n">
        <v>0</v>
      </c>
      <c r="M21" s="6">
        <f>F21/54+G21+H21+I21+J21+L21*1.2+K21/2</f>
        <v>61.2962962962963</v>
      </c>
      <c r="N21" s="3" t="inlineStr">
        <is>
          <t>无</t>
        </is>
      </c>
      <c r="O21" s="3" t="inlineStr">
        <is>
          <t>无</t>
        </is>
      </c>
      <c r="P21" s="3" t="inlineStr">
        <is>
          <t>blue</t>
        </is>
      </c>
      <c r="Q21" s="3" t="inlineStr">
        <is>
          <t>稀有/蓝</t>
        </is>
      </c>
      <c r="R21" s="3" t="inlineStr">
        <is>
          <t>头盔</t>
        </is>
      </c>
      <c r="S21" s="3" t="inlineStr">
        <is>
          <t>头盔</t>
        </is>
      </c>
      <c r="T21" s="3" t="inlineStr">
        <is>
          <t>以罕见玄铁锻成，据传耗费了三位铁匠十年心血。</t>
        </is>
      </c>
      <c r="U21" s="3" t="inlineStr">
        <is>
          <t>是</t>
        </is>
      </c>
      <c r="V21" s="3" t="inlineStr">
        <is>
          <t>否</t>
        </is>
      </c>
      <c r="W21" s="3" t="inlineStr">
        <is>
          <t>equip_xuantiekui.png</t>
        </is>
      </c>
      <c r="X21" s="3" t="inlineStr"/>
      <c r="Y21" s="3" t="inlineStr">
        <is>
          <t>equip_helmet</t>
        </is>
      </c>
      <c r="Z21" s="3" t="inlineStr"/>
      <c r="AA21" s="3" t="inlineStr">
        <is>
          <t>无</t>
        </is>
      </c>
      <c r="AB21" s="3" t="inlineStr">
        <is>
          <t>否</t>
        </is>
      </c>
      <c r="AC21" s="3" t="inlineStr">
        <is>
          <t>否</t>
        </is>
      </c>
      <c r="AD21" s="3" t="inlineStr"/>
      <c r="AE21" s="3" t="inlineStr">
        <is>
          <t>任务宝箱装备</t>
        </is>
      </c>
      <c r="AF21" s="3" t="inlineStr">
        <is>
          <t>{"hp":340,"defense":40,"force":15}</t>
        </is>
      </c>
      <c r="AG21" s="3" t="inlineStr">
        <is>
          <t>data/item_templates.yaml:L3550</t>
        </is>
      </c>
    </row>
    <row r="22" hidden="1">
      <c r="A22" s="3" t="n">
        <v>21</v>
      </c>
      <c r="B22" s="3" t="inlineStr">
        <is>
          <t>equip_yunwenkui</t>
        </is>
      </c>
      <c r="C22" s="3" t="inlineStr">
        <is>
          <t>云纹盔</t>
        </is>
      </c>
      <c r="D22" s="3" t="n">
        <v>6200</v>
      </c>
      <c r="E22" s="3" t="n">
        <v>100</v>
      </c>
      <c r="F22" s="3" t="n">
        <v>300</v>
      </c>
      <c r="G22" s="3" t="n">
        <v>15</v>
      </c>
      <c r="H22" s="3" t="n">
        <v>0</v>
      </c>
      <c r="I22" s="3" t="n">
        <v>25</v>
      </c>
      <c r="J22" s="3" t="n">
        <v>0</v>
      </c>
      <c r="K22" s="3" t="n">
        <v>0</v>
      </c>
      <c r="L22" s="3" t="n">
        <v>10</v>
      </c>
      <c r="M22" s="6">
        <f>F22/54+G22+H22+I22+J22+L22*1.2+K22/2</f>
        <v>57.55555555555556</v>
      </c>
      <c r="N22" s="3" t="inlineStr">
        <is>
          <t>无</t>
        </is>
      </c>
      <c r="O22" s="3" t="inlineStr">
        <is>
          <t>无</t>
        </is>
      </c>
      <c r="P22" s="3" t="inlineStr">
        <is>
          <t>blue</t>
        </is>
      </c>
      <c r="Q22" s="3" t="inlineStr">
        <is>
          <t>稀有/蓝</t>
        </is>
      </c>
      <c r="R22" s="3" t="inlineStr">
        <is>
          <t>头盔</t>
        </is>
      </c>
      <c r="S22" s="3" t="inlineStr">
        <is>
          <t>头盔</t>
        </is>
      </c>
      <c r="T22" s="3" t="inlineStr">
        <is>
          <t>盔面云纹如行云流水，出自名匠"云中子"之手。</t>
        </is>
      </c>
      <c r="U22" s="3" t="inlineStr">
        <is>
          <t>是</t>
        </is>
      </c>
      <c r="V22" s="3" t="inlineStr">
        <is>
          <t>否</t>
        </is>
      </c>
      <c r="W22" s="3" t="inlineStr">
        <is>
          <t>equip_yunwenkui.png</t>
        </is>
      </c>
      <c r="X22" s="3" t="inlineStr"/>
      <c r="Y22" s="3" t="inlineStr">
        <is>
          <t>equip_helmet</t>
        </is>
      </c>
      <c r="Z22" s="3" t="inlineStr"/>
      <c r="AA22" s="3" t="inlineStr">
        <is>
          <t>无</t>
        </is>
      </c>
      <c r="AB22" s="3" t="inlineStr">
        <is>
          <t>否</t>
        </is>
      </c>
      <c r="AC22" s="3" t="inlineStr">
        <is>
          <t>否</t>
        </is>
      </c>
      <c r="AD22" s="3" t="inlineStr"/>
      <c r="AE22" s="3" t="inlineStr">
        <is>
          <t>任务宝箱装备</t>
        </is>
      </c>
      <c r="AF22" s="3" t="inlineStr">
        <is>
          <t>{"hp":300,"defense":15,"intellect":25,"luck":10}</t>
        </is>
      </c>
      <c r="AG22" s="3" t="inlineStr">
        <is>
          <t>data/item_templates.yaml:L3630</t>
        </is>
      </c>
    </row>
    <row r="23" hidden="1">
      <c r="A23" s="3" t="n">
        <v>22</v>
      </c>
      <c r="B23" s="3" t="inlineStr">
        <is>
          <t>equip_bawangkui</t>
        </is>
      </c>
      <c r="C23" s="3" t="inlineStr">
        <is>
          <t>霸王盔</t>
        </is>
      </c>
      <c r="D23" s="3" t="n">
        <v>18000</v>
      </c>
      <c r="E23" s="3" t="n">
        <v>150</v>
      </c>
      <c r="F23" s="3" t="n">
        <v>500</v>
      </c>
      <c r="G23" s="3" t="n">
        <v>30</v>
      </c>
      <c r="H23" s="3" t="n">
        <v>35</v>
      </c>
      <c r="I23" s="3" t="n">
        <v>0</v>
      </c>
      <c r="J23" s="3" t="n">
        <v>0</v>
      </c>
      <c r="K23" s="3" t="n">
        <v>0</v>
      </c>
      <c r="L23" s="3" t="n">
        <v>0</v>
      </c>
      <c r="M23" s="6">
        <f>F23/54+G23+H23+I23+J23+L23*1.2+K23/2</f>
        <v>74.25925925925927</v>
      </c>
      <c r="N23" s="3" t="inlineStr">
        <is>
          <t>无</t>
        </is>
      </c>
      <c r="O23" s="3" t="inlineStr">
        <is>
          <t>无</t>
        </is>
      </c>
      <c r="P23" s="3" t="inlineStr">
        <is>
          <t>purple</t>
        </is>
      </c>
      <c r="Q23" s="3" t="inlineStr">
        <is>
          <t>史诗/紫</t>
        </is>
      </c>
      <c r="R23" s="3" t="inlineStr">
        <is>
          <t>头盔</t>
        </is>
      </c>
      <c r="S23" s="3" t="inlineStr">
        <is>
          <t>头盔</t>
        </is>
      </c>
      <c r="T23" s="3" t="inlineStr">
        <is>
          <t>相传为西楚霸王项羽的遗物，气势撼人，威压四方。</t>
        </is>
      </c>
      <c r="U23" s="3" t="inlineStr">
        <is>
          <t>是</t>
        </is>
      </c>
      <c r="V23" s="3" t="inlineStr">
        <is>
          <t>否</t>
        </is>
      </c>
      <c r="W23" s="3" t="inlineStr">
        <is>
          <t>equip_bawangkui.png</t>
        </is>
      </c>
      <c r="X23" s="3" t="inlineStr"/>
      <c r="Y23" s="3" t="inlineStr">
        <is>
          <t>equip_helmet</t>
        </is>
      </c>
      <c r="Z23" s="3" t="inlineStr"/>
      <c r="AA23" s="3" t="inlineStr">
        <is>
          <t>无</t>
        </is>
      </c>
      <c r="AB23" s="3" t="inlineStr">
        <is>
          <t>否</t>
        </is>
      </c>
      <c r="AC23" s="3" t="inlineStr">
        <is>
          <t>否</t>
        </is>
      </c>
      <c r="AD23" s="3" t="inlineStr"/>
      <c r="AE23" s="3" t="inlineStr">
        <is>
          <t>任务宝箱装备</t>
        </is>
      </c>
      <c r="AF23" s="3" t="inlineStr">
        <is>
          <t>{"hp":500,"defense":30,"force":35}</t>
        </is>
      </c>
      <c r="AG23" s="3" t="inlineStr">
        <is>
          <t>data/item_templates.yaml:L3691</t>
        </is>
      </c>
    </row>
    <row r="24" hidden="1">
      <c r="A24" s="3" t="n">
        <v>23</v>
      </c>
      <c r="B24" s="3" t="inlineStr">
        <is>
          <t>equip_fenglingguan</t>
        </is>
      </c>
      <c r="C24" s="3" t="inlineStr">
        <is>
          <t>凤翎冠</t>
        </is>
      </c>
      <c r="D24" s="3" t="n">
        <v>14000</v>
      </c>
      <c r="E24" s="3" t="n">
        <v>150</v>
      </c>
      <c r="F24" s="3" t="n">
        <v>360</v>
      </c>
      <c r="G24" s="3" t="n">
        <v>21</v>
      </c>
      <c r="H24" s="3" t="n">
        <v>0</v>
      </c>
      <c r="I24" s="3" t="n">
        <v>32</v>
      </c>
      <c r="J24" s="3" t="n">
        <v>0</v>
      </c>
      <c r="K24" s="3" t="n">
        <v>0</v>
      </c>
      <c r="L24" s="3" t="n">
        <v>11</v>
      </c>
      <c r="M24" s="6">
        <f>F24/54+G24+H24+I24+J24+L24*1.2+K24/2</f>
        <v>72.86666666666667</v>
      </c>
      <c r="N24" s="3" t="inlineStr">
        <is>
          <t>凤翎套装</t>
        </is>
      </c>
      <c r="O24" s="3" t="inlineStr">
        <is>
          <t>凤翎套装3件: 智力+60、运势+30</t>
        </is>
      </c>
      <c r="P24" s="3" t="inlineStr">
        <is>
          <t>purple</t>
        </is>
      </c>
      <c r="Q24" s="3" t="inlineStr">
        <is>
          <t>史诗/紫</t>
        </is>
      </c>
      <c r="R24" s="3" t="inlineStr">
        <is>
          <t>头盔</t>
        </is>
      </c>
      <c r="S24" s="3" t="inlineStr">
        <is>
          <t>头盔</t>
        </is>
      </c>
      <c r="T24" s="3" t="inlineStr">
        <is>
          <t>以凤凰翎羽点缀的华冠，曾是后宫贵妃所赐之物。</t>
        </is>
      </c>
      <c r="U24" s="3" t="inlineStr">
        <is>
          <t>是</t>
        </is>
      </c>
      <c r="V24" s="3" t="inlineStr">
        <is>
          <t>否</t>
        </is>
      </c>
      <c r="W24" s="3" t="inlineStr">
        <is>
          <t>equip_fenglingguan.png</t>
        </is>
      </c>
      <c r="X24" s="3" t="inlineStr"/>
      <c r="Y24" s="3" t="inlineStr">
        <is>
          <t>equip_helmet</t>
        </is>
      </c>
      <c r="Z24" s="3" t="inlineStr">
        <is>
          <t>fengling_set</t>
        </is>
      </c>
      <c r="AA24" s="3" t="inlineStr">
        <is>
          <t>无</t>
        </is>
      </c>
      <c r="AB24" s="3" t="inlineStr">
        <is>
          <t>否</t>
        </is>
      </c>
      <c r="AC24" s="3" t="inlineStr">
        <is>
          <t>是</t>
        </is>
      </c>
      <c r="AD24" s="3" t="inlineStr">
        <is>
          <t>blueprint_fenglingguan</t>
        </is>
      </c>
      <c r="AE24" s="3" t="inlineStr">
        <is>
          <t>图纸合成（竞技场随机图纸兑换）</t>
        </is>
      </c>
      <c r="AF24" s="3" t="inlineStr">
        <is>
          <t>{"hp":360,"defense":21,"intellect":32,"luck":11,"set_key":"fengling_set","set_description":"凤翎套装","set_bonus":{"pieces":3,"bonus":{"intellect":60,"luck":30}}}</t>
        </is>
      </c>
      <c r="AG24" s="3" t="inlineStr">
        <is>
          <t>data/item_templates.yaml:L3670</t>
        </is>
      </c>
    </row>
    <row r="25" hidden="1">
      <c r="A25" s="3" t="n">
        <v>24</v>
      </c>
      <c r="B25" s="3" t="inlineStr">
        <is>
          <t>equip_pojunkui</t>
        </is>
      </c>
      <c r="C25" s="3" t="inlineStr">
        <is>
          <t>破军盔</t>
        </is>
      </c>
      <c r="D25" s="3" t="n">
        <v>15500</v>
      </c>
      <c r="E25" s="3" t="n">
        <v>150</v>
      </c>
      <c r="F25" s="3" t="n">
        <v>445</v>
      </c>
      <c r="G25" s="3" t="n">
        <v>26</v>
      </c>
      <c r="H25" s="3" t="n">
        <v>27</v>
      </c>
      <c r="I25" s="3" t="n">
        <v>0</v>
      </c>
      <c r="J25" s="3" t="n">
        <v>15</v>
      </c>
      <c r="K25" s="3" t="n">
        <v>0</v>
      </c>
      <c r="L25" s="3" t="n">
        <v>0</v>
      </c>
      <c r="M25" s="6">
        <f>F25/54+G25+H25+I25+J25+L25*1.2+K25/2</f>
        <v>76.24074074074073</v>
      </c>
      <c r="N25" s="3" t="inlineStr">
        <is>
          <t>无</t>
        </is>
      </c>
      <c r="O25" s="3" t="inlineStr">
        <is>
          <t>无</t>
        </is>
      </c>
      <c r="P25" s="3" t="inlineStr">
        <is>
          <t>purple</t>
        </is>
      </c>
      <c r="Q25" s="3" t="inlineStr">
        <is>
          <t>史诗/紫</t>
        </is>
      </c>
      <c r="R25" s="3" t="inlineStr">
        <is>
          <t>头盔</t>
        </is>
      </c>
      <c r="S25" s="3" t="inlineStr">
        <is>
          <t>头盔</t>
        </is>
      </c>
      <c r="T25" s="3" t="inlineStr">
        <is>
          <t>破军星位所铸，据传戴者必成一方悍将。</t>
        </is>
      </c>
      <c r="U25" s="3" t="inlineStr">
        <is>
          <t>是</t>
        </is>
      </c>
      <c r="V25" s="3" t="inlineStr">
        <is>
          <t>否</t>
        </is>
      </c>
      <c r="W25" s="3" t="inlineStr">
        <is>
          <t>equip_pojunkui.png</t>
        </is>
      </c>
      <c r="X25" s="3" t="inlineStr"/>
      <c r="Y25" s="3" t="inlineStr">
        <is>
          <t>equip_helmet</t>
        </is>
      </c>
      <c r="Z25" s="3" t="inlineStr"/>
      <c r="AA25" s="3" t="inlineStr">
        <is>
          <t>无</t>
        </is>
      </c>
      <c r="AB25" s="3" t="inlineStr">
        <is>
          <t>否</t>
        </is>
      </c>
      <c r="AC25" s="3" t="inlineStr">
        <is>
          <t>否</t>
        </is>
      </c>
      <c r="AD25" s="3" t="inlineStr"/>
      <c r="AE25" s="3" t="inlineStr">
        <is>
          <t>任务宝箱装备</t>
        </is>
      </c>
      <c r="AF25" s="3" t="inlineStr">
        <is>
          <t>{"hp":445,"defense":26,"force":27,"agility":15}</t>
        </is>
      </c>
      <c r="AG25" s="3" t="inlineStr">
        <is>
          <t>data/item_templates.yaml:L3727</t>
        </is>
      </c>
    </row>
    <row r="26" hidden="1">
      <c r="A26" s="3" t="n">
        <v>25</v>
      </c>
      <c r="B26" s="3" t="inlineStr">
        <is>
          <t>equip_qilinkui</t>
        </is>
      </c>
      <c r="C26" s="3" t="inlineStr">
        <is>
          <t>麒麟盔</t>
        </is>
      </c>
      <c r="D26" s="3" t="n">
        <v>15000</v>
      </c>
      <c r="E26" s="3" t="n">
        <v>150</v>
      </c>
      <c r="F26" s="3" t="n">
        <v>440</v>
      </c>
      <c r="G26" s="3" t="n">
        <v>33</v>
      </c>
      <c r="H26" s="3" t="n">
        <v>28</v>
      </c>
      <c r="I26" s="3" t="n">
        <v>3</v>
      </c>
      <c r="J26" s="3" t="n">
        <v>0</v>
      </c>
      <c r="K26" s="3" t="n">
        <v>0</v>
      </c>
      <c r="L26" s="3" t="n">
        <v>0</v>
      </c>
      <c r="M26" s="6">
        <f>F26/54+G26+H26+I26+J26+L26*1.2+K26/2</f>
        <v>72.14814814814815</v>
      </c>
      <c r="N26" s="3" t="inlineStr">
        <is>
          <t>麒麟套装</t>
        </is>
      </c>
      <c r="O26" s="3" t="inlineStr">
        <is>
          <t>麒麟套装4件: 生命+420、武力+38、敏捷+18、运势+30</t>
        </is>
      </c>
      <c r="P26" s="3" t="inlineStr">
        <is>
          <t>purple</t>
        </is>
      </c>
      <c r="Q26" s="3" t="inlineStr">
        <is>
          <t>史诗/紫</t>
        </is>
      </c>
      <c r="R26" s="3" t="inlineStr">
        <is>
          <t>头盔</t>
        </is>
      </c>
      <c r="S26" s="3" t="inlineStr">
        <is>
          <t>头盔</t>
        </is>
      </c>
      <c r="T26" s="3" t="inlineStr">
        <is>
          <t>仿麒麟头颅锻造，相传是某位开国将军的传家之宝。</t>
        </is>
      </c>
      <c r="U26" s="3" t="inlineStr">
        <is>
          <t>是</t>
        </is>
      </c>
      <c r="V26" s="3" t="inlineStr">
        <is>
          <t>否</t>
        </is>
      </c>
      <c r="W26" s="3" t="inlineStr">
        <is>
          <t>equip_qilinkui.png</t>
        </is>
      </c>
      <c r="X26" s="3" t="inlineStr"/>
      <c r="Y26" s="3" t="inlineStr">
        <is>
          <t>equip_helmet</t>
        </is>
      </c>
      <c r="Z26" s="3" t="inlineStr">
        <is>
          <t>qilin_set</t>
        </is>
      </c>
      <c r="AA26" s="3" t="inlineStr">
        <is>
          <t>无</t>
        </is>
      </c>
      <c r="AB26" s="3" t="inlineStr">
        <is>
          <t>否</t>
        </is>
      </c>
      <c r="AC26" s="3" t="inlineStr">
        <is>
          <t>是</t>
        </is>
      </c>
      <c r="AD26" s="3" t="inlineStr">
        <is>
          <t>blueprint_qilinkui</t>
        </is>
      </c>
      <c r="AE26" s="3" t="inlineStr">
        <is>
          <t>图纸合成（任务宝箱）；图纸合成（帮会图纸领取）；图纸合成（竞技场随机图纸兑换）；宝箱随机装备</t>
        </is>
      </c>
      <c r="AF26" s="3" t="inlineStr">
        <is>
          <t>{"hp":440,"defense":33,"force":28,"intellect":3,"set_key":"qilin_set","set_description":"麒麟套装","set_bonus":{"pieces":4,"bonus":{"hp":420,"force":38,"agility":18,"luck":30}}}</t>
        </is>
      </c>
      <c r="AG26" s="3" t="inlineStr">
        <is>
          <t>data/item_templates.yaml:L3647</t>
        </is>
      </c>
    </row>
    <row r="27" hidden="1">
      <c r="A27" s="3" t="n">
        <v>26</v>
      </c>
      <c r="B27" s="3" t="inlineStr">
        <is>
          <t>equip_tianjiguan</t>
        </is>
      </c>
      <c r="C27" s="3" t="inlineStr">
        <is>
          <t>天机冠</t>
        </is>
      </c>
      <c r="D27" s="3" t="n">
        <v>14500</v>
      </c>
      <c r="E27" s="3" t="n">
        <v>150</v>
      </c>
      <c r="F27" s="3" t="n">
        <v>390</v>
      </c>
      <c r="G27" s="3" t="n">
        <v>20</v>
      </c>
      <c r="H27" s="3" t="n">
        <v>0</v>
      </c>
      <c r="I27" s="3" t="n">
        <v>38</v>
      </c>
      <c r="J27" s="3" t="n">
        <v>0</v>
      </c>
      <c r="K27" s="3" t="n">
        <v>0</v>
      </c>
      <c r="L27" s="3" t="n">
        <v>14</v>
      </c>
      <c r="M27" s="6">
        <f>F27/54+G27+H27+I27+J27+L27*1.2+K27/2</f>
        <v>82.02222222222223</v>
      </c>
      <c r="N27" s="3" t="inlineStr">
        <is>
          <t>无</t>
        </is>
      </c>
      <c r="O27" s="3" t="inlineStr">
        <is>
          <t>无</t>
        </is>
      </c>
      <c r="P27" s="3" t="inlineStr">
        <is>
          <t>purple</t>
        </is>
      </c>
      <c r="Q27" s="3" t="inlineStr">
        <is>
          <t>史诗/紫</t>
        </is>
      </c>
      <c r="R27" s="3" t="inlineStr">
        <is>
          <t>头盔</t>
        </is>
      </c>
      <c r="S27" s="3" t="inlineStr">
        <is>
          <t>头盔</t>
        </is>
      </c>
      <c r="T27" s="3" t="inlineStr">
        <is>
          <t>以天机门秘法打造，冠中暗藏机括，可察天象变化。</t>
        </is>
      </c>
      <c r="U27" s="3" t="inlineStr">
        <is>
          <t>是</t>
        </is>
      </c>
      <c r="V27" s="3" t="inlineStr">
        <is>
          <t>否</t>
        </is>
      </c>
      <c r="W27" s="3" t="inlineStr">
        <is>
          <t>equip_tianjiguan.png</t>
        </is>
      </c>
      <c r="X27" s="3" t="inlineStr"/>
      <c r="Y27" s="3" t="inlineStr">
        <is>
          <t>equip_helmet</t>
        </is>
      </c>
      <c r="Z27" s="3" t="inlineStr"/>
      <c r="AA27" s="3" t="inlineStr">
        <is>
          <t>无</t>
        </is>
      </c>
      <c r="AB27" s="3" t="inlineStr">
        <is>
          <t>否</t>
        </is>
      </c>
      <c r="AC27" s="3" t="inlineStr">
        <is>
          <t>否</t>
        </is>
      </c>
      <c r="AD27" s="3" t="inlineStr"/>
      <c r="AE27" s="3" t="inlineStr">
        <is>
          <t>任务宝箱装备</t>
        </is>
      </c>
      <c r="AF27" s="3" t="inlineStr">
        <is>
          <t>{"hp":390,"defense":20,"intellect":38,"luck":14}</t>
        </is>
      </c>
      <c r="AG27" s="3" t="inlineStr">
        <is>
          <t>data/item_templates.yaml:L3742</t>
        </is>
      </c>
    </row>
    <row r="28" hidden="1">
      <c r="A28" s="3" t="n">
        <v>27</v>
      </c>
      <c r="B28" s="3" t="inlineStr">
        <is>
          <t>equip_xuanwukui</t>
        </is>
      </c>
      <c r="C28" s="3" t="inlineStr">
        <is>
          <t>玄武盔</t>
        </is>
      </c>
      <c r="D28" s="3" t="n">
        <v>16000</v>
      </c>
      <c r="E28" s="3" t="n">
        <v>150</v>
      </c>
      <c r="F28" s="3" t="n">
        <v>545</v>
      </c>
      <c r="G28" s="3" t="n">
        <v>44</v>
      </c>
      <c r="H28" s="3" t="n">
        <v>10</v>
      </c>
      <c r="I28" s="3" t="n">
        <v>10</v>
      </c>
      <c r="J28" s="3" t="n">
        <v>0</v>
      </c>
      <c r="K28" s="3" t="n">
        <v>0</v>
      </c>
      <c r="L28" s="3" t="n">
        <v>0</v>
      </c>
      <c r="M28" s="6">
        <f>F28/54+G28+H28+I28+J28+L28*1.2+K28/2</f>
        <v>74.0925925925926</v>
      </c>
      <c r="N28" s="3" t="inlineStr">
        <is>
          <t>玄武套装</t>
        </is>
      </c>
      <c r="O28" s="3" t="inlineStr">
        <is>
          <t>玄武套装4件: 生命+260、防御+70、武力+20</t>
        </is>
      </c>
      <c r="P28" s="3" t="inlineStr">
        <is>
          <t>purple</t>
        </is>
      </c>
      <c r="Q28" s="3" t="inlineStr">
        <is>
          <t>史诗/紫</t>
        </is>
      </c>
      <c r="R28" s="3" t="inlineStr">
        <is>
          <t>头盔</t>
        </is>
      </c>
      <c r="S28" s="3" t="inlineStr">
        <is>
          <t>头盔</t>
        </is>
      </c>
      <c r="T28" s="3" t="inlineStr">
        <is>
          <t>仿玄武之形锻造，背负龟壳纹样，象征长寿与坚固。</t>
        </is>
      </c>
      <c r="U28" s="3" t="inlineStr">
        <is>
          <t>是</t>
        </is>
      </c>
      <c r="V28" s="3" t="inlineStr">
        <is>
          <t>否</t>
        </is>
      </c>
      <c r="W28" s="3" t="inlineStr">
        <is>
          <t>equip_xuanwukui.png</t>
        </is>
      </c>
      <c r="X28" s="3" t="inlineStr"/>
      <c r="Y28" s="3" t="inlineStr">
        <is>
          <t>equip_helmet</t>
        </is>
      </c>
      <c r="Z28" s="3" t="inlineStr">
        <is>
          <t>xuanwu_set</t>
        </is>
      </c>
      <c r="AA28" s="3" t="inlineStr">
        <is>
          <t>无</t>
        </is>
      </c>
      <c r="AB28" s="3" t="inlineStr">
        <is>
          <t>否</t>
        </is>
      </c>
      <c r="AC28" s="3" t="inlineStr">
        <is>
          <t>是</t>
        </is>
      </c>
      <c r="AD28" s="3" t="inlineStr">
        <is>
          <t>blueprint_xuanwukui</t>
        </is>
      </c>
      <c r="AE28" s="3" t="inlineStr">
        <is>
          <t>任务宝箱装备；图纸合成（竞技场随机图纸兑换）</t>
        </is>
      </c>
      <c r="AF28" s="3" t="inlineStr">
        <is>
          <t>{"hp":545,"defense":44,"force":10,"intellect":10,"set_key":"xuanwu_set","set_description":"玄武套装","set_bonus":{"pieces":4,"bonus":{"hp":260,"defense":70,"force":20}}}</t>
        </is>
      </c>
      <c r="AG28" s="3" t="inlineStr">
        <is>
          <t>data/item_templates.yaml:L3705</t>
        </is>
      </c>
    </row>
    <row r="29" hidden="1">
      <c r="A29" s="3" t="n">
        <v>28</v>
      </c>
      <c r="B29" s="3" t="inlineStr">
        <is>
          <t>equip_diwangkui</t>
        </is>
      </c>
      <c r="C29" s="3" t="inlineStr">
        <is>
          <t>帝王盔</t>
        </is>
      </c>
      <c r="D29" s="3" t="n">
        <v>48000</v>
      </c>
      <c r="E29" s="3" t="n">
        <v>200</v>
      </c>
      <c r="F29" s="3" t="n">
        <v>503</v>
      </c>
      <c r="G29" s="3" t="n">
        <v>29</v>
      </c>
      <c r="H29" s="3" t="n">
        <v>29</v>
      </c>
      <c r="I29" s="3" t="n">
        <v>29</v>
      </c>
      <c r="J29" s="3" t="n">
        <v>0</v>
      </c>
      <c r="K29" s="3" t="n">
        <v>0</v>
      </c>
      <c r="L29" s="3" t="n">
        <v>0</v>
      </c>
      <c r="M29" s="6">
        <f>F29/54+G29+H29+I29+J29+L29*1.2+K29/2</f>
        <v>96.31481481481481</v>
      </c>
      <c r="N29" s="3" t="inlineStr">
        <is>
          <t>无</t>
        </is>
      </c>
      <c r="O29" s="3" t="inlineStr">
        <is>
          <t>无</t>
        </is>
      </c>
      <c r="P29" s="3" t="inlineStr">
        <is>
          <t>orange</t>
        </is>
      </c>
      <c r="Q29" s="3" t="inlineStr">
        <is>
          <t>传说/橙</t>
        </is>
      </c>
      <c r="R29" s="3" t="inlineStr">
        <is>
          <t>头盔</t>
        </is>
      </c>
      <c r="S29" s="3" t="inlineStr">
        <is>
          <t>头盔</t>
        </is>
      </c>
      <c r="T29" s="3" t="inlineStr">
        <is>
          <t>历代帝王御用的铠甲头盔，象征至高无上的权威。</t>
        </is>
      </c>
      <c r="U29" s="3" t="inlineStr">
        <is>
          <t>是</t>
        </is>
      </c>
      <c r="V29" s="3" t="inlineStr">
        <is>
          <t>否</t>
        </is>
      </c>
      <c r="W29" s="3" t="inlineStr">
        <is>
          <t>equip_diwangkui.png</t>
        </is>
      </c>
      <c r="X29" s="3" t="inlineStr"/>
      <c r="Y29" s="3" t="inlineStr">
        <is>
          <t>equip_helmet</t>
        </is>
      </c>
      <c r="Z29" s="3" t="inlineStr"/>
      <c r="AA29" s="3" t="inlineStr">
        <is>
          <t>无</t>
        </is>
      </c>
      <c r="AB29" s="3" t="inlineStr">
        <is>
          <t>否</t>
        </is>
      </c>
      <c r="AC29" s="3" t="inlineStr">
        <is>
          <t>否</t>
        </is>
      </c>
      <c r="AD29" s="3" t="inlineStr"/>
      <c r="AE29" s="3" t="inlineStr">
        <is>
          <t>任务宝箱装备；碎片累计兑换（任务宝箱）</t>
        </is>
      </c>
      <c r="AF29" s="3" t="inlineStr">
        <is>
          <t>{"hp":503,"defense":29,"force":29,"intellect":29}</t>
        </is>
      </c>
      <c r="AG29" s="3" t="inlineStr">
        <is>
          <t>data/item_templates.yaml:L3775</t>
        </is>
      </c>
    </row>
    <row r="30" hidden="1">
      <c r="A30" s="3" t="n">
        <v>29</v>
      </c>
      <c r="B30" s="3" t="inlineStr">
        <is>
          <t>equip_longhuangguan</t>
        </is>
      </c>
      <c r="C30" s="3" t="inlineStr">
        <is>
          <t>龙皇冠</t>
        </is>
      </c>
      <c r="D30" s="3" t="n">
        <v>50000</v>
      </c>
      <c r="E30" s="3" t="n">
        <v>200</v>
      </c>
      <c r="F30" s="3" t="n">
        <v>620</v>
      </c>
      <c r="G30" s="3" t="n">
        <v>26</v>
      </c>
      <c r="H30" s="3" t="n">
        <v>12</v>
      </c>
      <c r="I30" s="3" t="n">
        <v>32</v>
      </c>
      <c r="J30" s="3" t="n">
        <v>0</v>
      </c>
      <c r="K30" s="3" t="n">
        <v>20</v>
      </c>
      <c r="L30" s="3" t="n">
        <v>0</v>
      </c>
      <c r="M30" s="6">
        <f>F30/54+G30+H30+I30+J30+L30*1.2+K30/2</f>
        <v>91.48148148148148</v>
      </c>
      <c r="N30" s="3" t="inlineStr">
        <is>
          <t>无</t>
        </is>
      </c>
      <c r="O30" s="3" t="inlineStr">
        <is>
          <t>无</t>
        </is>
      </c>
      <c r="P30" s="3" t="inlineStr">
        <is>
          <t>orange</t>
        </is>
      </c>
      <c r="Q30" s="3" t="inlineStr">
        <is>
          <t>传说/橙</t>
        </is>
      </c>
      <c r="R30" s="3" t="inlineStr">
        <is>
          <t>头盔</t>
        </is>
      </c>
      <c r="S30" s="3" t="inlineStr">
        <is>
          <t>头盔</t>
        </is>
      </c>
      <c r="T30" s="3" t="inlineStr">
        <is>
          <t>相传为远古龙皇遗落人间的宝物，冠身隐有龙吟。</t>
        </is>
      </c>
      <c r="U30" s="3" t="inlineStr">
        <is>
          <t>是</t>
        </is>
      </c>
      <c r="V30" s="3" t="inlineStr">
        <is>
          <t>否</t>
        </is>
      </c>
      <c r="W30" s="3" t="inlineStr">
        <is>
          <t>equip_longhuangguan.png</t>
        </is>
      </c>
      <c r="X30" s="3" t="inlineStr"/>
      <c r="Y30" s="3" t="inlineStr">
        <is>
          <t>equip_helmet</t>
        </is>
      </c>
      <c r="Z30" s="3" t="inlineStr"/>
      <c r="AA30" s="3" t="inlineStr">
        <is>
          <t>无</t>
        </is>
      </c>
      <c r="AB30" s="3" t="inlineStr">
        <is>
          <t>否</t>
        </is>
      </c>
      <c r="AC30" s="3" t="inlineStr">
        <is>
          <t>否</t>
        </is>
      </c>
      <c r="AD30" s="3" t="inlineStr"/>
      <c r="AE30" s="3" t="inlineStr">
        <is>
          <t>任务宝箱装备</t>
        </is>
      </c>
      <c r="AF30" s="3" t="inlineStr">
        <is>
          <t>{"hp":620,"defense":26,"force":12,"intellect":32,"troop_capacity":20}</t>
        </is>
      </c>
      <c r="AG30" s="3" t="inlineStr">
        <is>
          <t>data/item_templates.yaml:L3759</t>
        </is>
      </c>
    </row>
    <row r="31" hidden="1">
      <c r="A31" s="3" t="n">
        <v>30</v>
      </c>
      <c r="B31" s="3" t="inlineStr">
        <is>
          <t>equip_taixudiguan</t>
        </is>
      </c>
      <c r="C31" s="3" t="inlineStr">
        <is>
          <t>太虚帝冠</t>
        </is>
      </c>
      <c r="D31" s="3" t="n">
        <v>55000</v>
      </c>
      <c r="E31" s="3" t="n">
        <v>200</v>
      </c>
      <c r="F31" s="3" t="n">
        <v>560</v>
      </c>
      <c r="G31" s="3" t="n">
        <v>30</v>
      </c>
      <c r="H31" s="3" t="n">
        <v>0</v>
      </c>
      <c r="I31" s="3" t="n">
        <v>34</v>
      </c>
      <c r="J31" s="3" t="n">
        <v>0</v>
      </c>
      <c r="K31" s="3" t="n">
        <v>0</v>
      </c>
      <c r="L31" s="3" t="n">
        <v>14</v>
      </c>
      <c r="M31" s="6">
        <f>F31/54+G31+H31+I31+J31+L31*1.2+K31/2</f>
        <v>91.17037037037036</v>
      </c>
      <c r="N31" s="3" t="inlineStr">
        <is>
          <t>无</t>
        </is>
      </c>
      <c r="O31" s="3" t="inlineStr">
        <is>
          <t>无</t>
        </is>
      </c>
      <c r="P31" s="3" t="inlineStr">
        <is>
          <t>orange</t>
        </is>
      </c>
      <c r="Q31" s="3" t="inlineStr">
        <is>
          <t>传说/橙</t>
        </is>
      </c>
      <c r="R31" s="3" t="inlineStr">
        <is>
          <t>头盔</t>
        </is>
      </c>
      <c r="S31" s="3" t="inlineStr">
        <is>
          <t>头盔</t>
        </is>
      </c>
      <c r="T31" s="3" t="inlineStr">
        <is>
          <t>传说为太虚剑宗创派祖师所佩，内藏太虚真意。</t>
        </is>
      </c>
      <c r="U31" s="3" t="inlineStr">
        <is>
          <t>是</t>
        </is>
      </c>
      <c r="V31" s="3" t="inlineStr">
        <is>
          <t>否</t>
        </is>
      </c>
      <c r="W31" s="3" t="inlineStr">
        <is>
          <t>equip_taixudiguan.png</t>
        </is>
      </c>
      <c r="X31" s="3" t="inlineStr"/>
      <c r="Y31" s="3" t="inlineStr">
        <is>
          <t>equip_helmet</t>
        </is>
      </c>
      <c r="Z31" s="3" t="inlineStr"/>
      <c r="AA31" s="3" t="inlineStr">
        <is>
          <t>无</t>
        </is>
      </c>
      <c r="AB31" s="3" t="inlineStr">
        <is>
          <t>否</t>
        </is>
      </c>
      <c r="AC31" s="3" t="inlineStr">
        <is>
          <t>否</t>
        </is>
      </c>
      <c r="AD31" s="3" t="inlineStr"/>
      <c r="AE31" s="3" t="inlineStr">
        <is>
          <t>任务宝箱装备</t>
        </is>
      </c>
      <c r="AF31" s="3" t="inlineStr">
        <is>
          <t>{"hp":560,"defense":30,"intellect":34,"luck":14}</t>
        </is>
      </c>
      <c r="AG31" s="3" t="inlineStr">
        <is>
          <t>data/item_templates.yaml:L3790</t>
        </is>
      </c>
    </row>
    <row r="32" hidden="1">
      <c r="A32" s="3" t="n">
        <v>31</v>
      </c>
      <c r="B32" s="3" t="inlineStr">
        <is>
          <t>equip_bupao</t>
        </is>
      </c>
      <c r="C32" s="3" t="inlineStr">
        <is>
          <t>布袍</t>
        </is>
      </c>
      <c r="D32" s="3" t="n">
        <v>100</v>
      </c>
      <c r="E32" s="3" t="n">
        <v>50</v>
      </c>
      <c r="F32" s="3" t="n">
        <v>80</v>
      </c>
      <c r="G32" s="3" t="n">
        <v>6</v>
      </c>
      <c r="H32" s="3" t="n">
        <v>0</v>
      </c>
      <c r="I32" s="3" t="n">
        <v>8</v>
      </c>
      <c r="J32" s="3" t="n">
        <v>0</v>
      </c>
      <c r="K32" s="3" t="n">
        <v>0</v>
      </c>
      <c r="L32" s="3" t="n">
        <v>0</v>
      </c>
      <c r="M32" s="6">
        <f>F32/54+G32+H32+I32+J32+L32*1.2+K32/2</f>
        <v>15.481481481481481</v>
      </c>
      <c r="N32" s="3" t="inlineStr">
        <is>
          <t>无</t>
        </is>
      </c>
      <c r="O32" s="3" t="inlineStr">
        <is>
          <t>无</t>
        </is>
      </c>
      <c r="P32" s="3" t="inlineStr">
        <is>
          <t>black</t>
        </is>
      </c>
      <c r="Q32" s="3" t="inlineStr">
        <is>
          <t>普通/白</t>
        </is>
      </c>
      <c r="R32" s="3" t="inlineStr">
        <is>
          <t>护甲</t>
        </is>
      </c>
      <c r="S32" s="3" t="inlineStr">
        <is>
          <t>护甲</t>
        </is>
      </c>
      <c r="T32" s="3" t="inlineStr">
        <is>
          <t>普通老百姓穿的衣服，所谓布衣。</t>
        </is>
      </c>
      <c r="U32" s="3" t="inlineStr">
        <is>
          <t>是</t>
        </is>
      </c>
      <c r="V32" s="3" t="inlineStr">
        <is>
          <t>否</t>
        </is>
      </c>
      <c r="W32" s="3" t="inlineStr">
        <is>
          <t>equip_bupao.png</t>
        </is>
      </c>
      <c r="X32" s="3" t="inlineStr"/>
      <c r="Y32" s="3" t="inlineStr">
        <is>
          <t>equip_armor</t>
        </is>
      </c>
      <c r="Z32" s="3" t="inlineStr"/>
      <c r="AA32" s="3" t="inlineStr">
        <is>
          <t>无</t>
        </is>
      </c>
      <c r="AB32" s="3" t="inlineStr">
        <is>
          <t>是</t>
        </is>
      </c>
      <c r="AC32" s="3" t="inlineStr">
        <is>
          <t>否</t>
        </is>
      </c>
      <c r="AD32" s="3" t="inlineStr"/>
      <c r="AE32" s="3" t="inlineStr">
        <is>
          <t>商铺购买；宝箱随机装备；铁匠铺直接锻造</t>
        </is>
      </c>
      <c r="AF32" s="3" t="inlineStr">
        <is>
          <t>{"hp":80,"defense":6,"intellect":8}</t>
        </is>
      </c>
      <c r="AG32" s="3" t="inlineStr">
        <is>
          <t>data/item_templates.yaml:L3809</t>
        </is>
      </c>
    </row>
    <row r="33" hidden="1">
      <c r="A33" s="3" t="n">
        <v>32</v>
      </c>
      <c r="B33" s="3" t="inlineStr">
        <is>
          <t>equip_cubujia</t>
        </is>
      </c>
      <c r="C33" s="3" t="inlineStr">
        <is>
          <t>粗布甲</t>
        </is>
      </c>
      <c r="D33" s="3" t="n">
        <v>200</v>
      </c>
      <c r="E33" s="3" t="n">
        <v>50</v>
      </c>
      <c r="F33" s="3" t="n">
        <v>150</v>
      </c>
      <c r="G33" s="3" t="n">
        <v>10</v>
      </c>
      <c r="H33" s="3" t="n">
        <v>5</v>
      </c>
      <c r="I33" s="3" t="n">
        <v>0</v>
      </c>
      <c r="J33" s="3" t="n">
        <v>5</v>
      </c>
      <c r="K33" s="3" t="n">
        <v>0</v>
      </c>
      <c r="L33" s="3" t="n">
        <v>0</v>
      </c>
      <c r="M33" s="6">
        <f>F33/54+G33+H33+I33+J33+L33*1.2+K33/2</f>
        <v>22.77777777777778</v>
      </c>
      <c r="N33" s="3" t="inlineStr">
        <is>
          <t>无</t>
        </is>
      </c>
      <c r="O33" s="3" t="inlineStr">
        <is>
          <t>无</t>
        </is>
      </c>
      <c r="P33" s="3" t="inlineStr">
        <is>
          <t>black</t>
        </is>
      </c>
      <c r="Q33" s="3" t="inlineStr">
        <is>
          <t>普通/白</t>
        </is>
      </c>
      <c r="R33" s="3" t="inlineStr">
        <is>
          <t>护甲</t>
        </is>
      </c>
      <c r="S33" s="3" t="inlineStr">
        <is>
          <t>护甲</t>
        </is>
      </c>
      <c r="T33" s="3" t="inlineStr">
        <is>
          <t>多层粗布压缝而成，出自军中后勤的批量制作。</t>
        </is>
      </c>
      <c r="U33" s="3" t="inlineStr">
        <is>
          <t>是</t>
        </is>
      </c>
      <c r="V33" s="3" t="inlineStr">
        <is>
          <t>否</t>
        </is>
      </c>
      <c r="W33" s="3" t="inlineStr">
        <is>
          <t>equip_cubujia.png</t>
        </is>
      </c>
      <c r="X33" s="3" t="inlineStr"/>
      <c r="Y33" s="3" t="inlineStr">
        <is>
          <t>equip_armor</t>
        </is>
      </c>
      <c r="Z33" s="3" t="inlineStr"/>
      <c r="AA33" s="3" t="inlineStr">
        <is>
          <t>无</t>
        </is>
      </c>
      <c r="AB33" s="3" t="inlineStr">
        <is>
          <t>否</t>
        </is>
      </c>
      <c r="AC33" s="3" t="inlineStr">
        <is>
          <t>否</t>
        </is>
      </c>
      <c r="AD33" s="3" t="inlineStr"/>
      <c r="AE33" s="3" t="inlineStr">
        <is>
          <t>宝箱随机装备</t>
        </is>
      </c>
      <c r="AF33" s="3" t="inlineStr">
        <is>
          <t>{"hp":150,"defense":10,"force":5,"agility":5}</t>
        </is>
      </c>
      <c r="AG33" s="3" t="inlineStr">
        <is>
          <t>data/item_templates.yaml:L3867</t>
        </is>
      </c>
    </row>
    <row r="34" hidden="1">
      <c r="A34" s="3" t="n">
        <v>33</v>
      </c>
      <c r="B34" s="3" t="inlineStr">
        <is>
          <t>equip_shengpijia</t>
        </is>
      </c>
      <c r="C34" s="3" t="inlineStr">
        <is>
          <t>生皮甲</t>
        </is>
      </c>
      <c r="D34" s="3" t="n">
        <v>300</v>
      </c>
      <c r="E34" s="3" t="n">
        <v>50</v>
      </c>
      <c r="F34" s="3" t="n">
        <v>160</v>
      </c>
      <c r="G34" s="3" t="n">
        <v>12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6">
        <f>F34/54+G34+H34+I34+J34+L34*1.2+K34/2</f>
        <v>18.962962962962962</v>
      </c>
      <c r="N34" s="3" t="inlineStr">
        <is>
          <t>无</t>
        </is>
      </c>
      <c r="O34" s="3" t="inlineStr">
        <is>
          <t>无</t>
        </is>
      </c>
      <c r="P34" s="3" t="inlineStr">
        <is>
          <t>black</t>
        </is>
      </c>
      <c r="Q34" s="3" t="inlineStr">
        <is>
          <t>普通/白</t>
        </is>
      </c>
      <c r="R34" s="3" t="inlineStr">
        <is>
          <t>护甲</t>
        </is>
      </c>
      <c r="S34" s="3" t="inlineStr">
        <is>
          <t>护甲</t>
        </is>
      </c>
      <c r="T34" s="3" t="inlineStr">
        <is>
          <t>没经过硝制的动物皮做成的护甲，防御力很弱。</t>
        </is>
      </c>
      <c r="U34" s="3" t="inlineStr">
        <is>
          <t>是</t>
        </is>
      </c>
      <c r="V34" s="3" t="inlineStr">
        <is>
          <t>否</t>
        </is>
      </c>
      <c r="W34" s="3" t="inlineStr">
        <is>
          <t>equip_shengpijia.png</t>
        </is>
      </c>
      <c r="X34" s="3" t="inlineStr"/>
      <c r="Y34" s="3" t="inlineStr">
        <is>
          <t>equip_armor</t>
        </is>
      </c>
      <c r="Z34" s="3" t="inlineStr"/>
      <c r="AA34" s="3" t="inlineStr">
        <is>
          <t>无</t>
        </is>
      </c>
      <c r="AB34" s="3" t="inlineStr">
        <is>
          <t>是</t>
        </is>
      </c>
      <c r="AC34" s="3" t="inlineStr">
        <is>
          <t>否</t>
        </is>
      </c>
      <c r="AD34" s="3" t="inlineStr"/>
      <c r="AE34" s="3" t="inlineStr">
        <is>
          <t>商铺购买；宝箱随机装备；铁匠铺直接锻造</t>
        </is>
      </c>
      <c r="AF34" s="3" t="inlineStr">
        <is>
          <t>{"hp":160,"defense":12,"force":4}</t>
        </is>
      </c>
      <c r="AG34" s="3" t="inlineStr">
        <is>
          <t>data/item_templates.yaml:L3823</t>
        </is>
      </c>
    </row>
    <row r="35" hidden="1">
      <c r="A35" s="3" t="n">
        <v>34</v>
      </c>
      <c r="B35" s="3" t="inlineStr">
        <is>
          <t>equip_suoyi</t>
        </is>
      </c>
      <c r="C35" s="3" t="inlineStr">
        <is>
          <t>蓑衣</t>
        </is>
      </c>
      <c r="D35" s="3" t="n">
        <v>0</v>
      </c>
      <c r="E35" s="3" t="n">
        <v>50</v>
      </c>
      <c r="F35" s="3" t="n">
        <v>100</v>
      </c>
      <c r="G35" s="3" t="n">
        <v>10</v>
      </c>
      <c r="H35" s="3" t="n">
        <v>5</v>
      </c>
      <c r="I35" s="3" t="n">
        <v>0</v>
      </c>
      <c r="J35" s="3" t="n">
        <v>5</v>
      </c>
      <c r="K35" s="3" t="n">
        <v>0</v>
      </c>
      <c r="L35" s="3" t="n">
        <v>0</v>
      </c>
      <c r="M35" s="6">
        <f>F35/54+G35+H35+I35+J35+L35*1.2+K35/2</f>
        <v>21.85185185185185</v>
      </c>
      <c r="N35" s="3" t="inlineStr">
        <is>
          <t>一蓑烟雨</t>
        </is>
      </c>
      <c r="O35" s="3" t="inlineStr">
        <is>
          <t>一蓑烟雨4件: 生命+200、武力+20、带兵上限+20、运势+15</t>
        </is>
      </c>
      <c r="P35" s="3" t="inlineStr">
        <is>
          <t>black</t>
        </is>
      </c>
      <c r="Q35" s="3" t="inlineStr">
        <is>
          <t>普通/白</t>
        </is>
      </c>
      <c r="R35" s="3" t="inlineStr">
        <is>
          <t>护甲</t>
        </is>
      </c>
      <c r="S35" s="3" t="inlineStr">
        <is>
          <t>护甲</t>
        </is>
      </c>
      <c r="T35" s="3" t="inlineStr">
        <is>
          <t>以莎草编织而成，劳动人民遮风避雨的必需品。</t>
        </is>
      </c>
      <c r="U35" s="3" t="inlineStr">
        <is>
          <t>否</t>
        </is>
      </c>
      <c r="V35" s="3" t="inlineStr">
        <is>
          <t>否</t>
        </is>
      </c>
      <c r="W35" s="3" t="inlineStr">
        <is>
          <t>buyi.png</t>
        </is>
      </c>
      <c r="X35" s="3" t="inlineStr"/>
      <c r="Y35" s="3" t="inlineStr">
        <is>
          <t>equip_armor</t>
        </is>
      </c>
      <c r="Z35" s="3" t="inlineStr">
        <is>
          <t>starter_cloth_set</t>
        </is>
      </c>
      <c r="AA35" s="3" t="inlineStr">
        <is>
          <t>无</t>
        </is>
      </c>
      <c r="AB35" s="3" t="inlineStr">
        <is>
          <t>否</t>
        </is>
      </c>
      <c r="AC35" s="3" t="inlineStr">
        <is>
          <t>否</t>
        </is>
      </c>
      <c r="AD35" s="3" t="inlineStr"/>
      <c r="AE35" s="3" t="inlineStr">
        <is>
          <t>宝箱随机装备</t>
        </is>
      </c>
      <c r="AF35" s="3" t="inlineStr">
        <is>
          <t>{"hp":100,"defense":10,"force":5,"agility":5,"set_key":"starter_cloth_set","set_description":"一蓑烟雨","set_bonus":{"pieces":4,"bonus":{"hp":200,"force":20,"troop_capacity":20,"luck":15}}}</t>
        </is>
      </c>
      <c r="AG35" s="3" t="inlineStr">
        <is>
          <t>data/item_templates.yaml:L3263</t>
        </is>
      </c>
    </row>
    <row r="36" hidden="1">
      <c r="A36" s="3" t="n">
        <v>35</v>
      </c>
      <c r="B36" s="3" t="inlineStr">
        <is>
          <t>equip_housipao</t>
        </is>
      </c>
      <c r="C36" s="3" t="inlineStr">
        <is>
          <t>厚丝袍</t>
        </is>
      </c>
      <c r="D36" s="3" t="n">
        <v>800</v>
      </c>
      <c r="E36" s="3" t="n">
        <v>75</v>
      </c>
      <c r="F36" s="3" t="n">
        <v>80</v>
      </c>
      <c r="G36" s="3" t="n">
        <v>12</v>
      </c>
      <c r="H36" s="3" t="n">
        <v>0</v>
      </c>
      <c r="I36" s="3" t="n">
        <v>4</v>
      </c>
      <c r="J36" s="3" t="n">
        <v>6</v>
      </c>
      <c r="K36" s="3" t="n">
        <v>0</v>
      </c>
      <c r="L36" s="3" t="n">
        <v>0</v>
      </c>
      <c r="M36" s="6">
        <f>F36/54+G36+H36+I36+J36+L36*1.2+K36/2</f>
        <v>23.48148148148148</v>
      </c>
      <c r="N36" s="3" t="inlineStr">
        <is>
          <t>无</t>
        </is>
      </c>
      <c r="O36" s="3" t="inlineStr">
        <is>
          <t>无</t>
        </is>
      </c>
      <c r="P36" s="3" t="inlineStr">
        <is>
          <t>green</t>
        </is>
      </c>
      <c r="Q36" s="3" t="inlineStr">
        <is>
          <t>优秀/绿</t>
        </is>
      </c>
      <c r="R36" s="3" t="inlineStr">
        <is>
          <t>护甲</t>
        </is>
      </c>
      <c r="S36" s="3" t="inlineStr">
        <is>
          <t>护甲</t>
        </is>
      </c>
      <c r="T36" s="3" t="inlineStr">
        <is>
          <t>用油浸泡过的粗丝织成，又软又轻，但却能抵挡普通刀剑。</t>
        </is>
      </c>
      <c r="U36" s="3" t="inlineStr">
        <is>
          <t>是</t>
        </is>
      </c>
      <c r="V36" s="3" t="inlineStr">
        <is>
          <t>否</t>
        </is>
      </c>
      <c r="W36" s="3" t="inlineStr">
        <is>
          <t>equip_housipao.png</t>
        </is>
      </c>
      <c r="X36" s="3" t="inlineStr"/>
      <c r="Y36" s="3" t="inlineStr">
        <is>
          <t>equip_armor</t>
        </is>
      </c>
      <c r="Z36" s="3" t="inlineStr"/>
      <c r="AA36" s="3" t="inlineStr">
        <is>
          <t>无</t>
        </is>
      </c>
      <c r="AB36" s="3" t="inlineStr">
        <is>
          <t>是</t>
        </is>
      </c>
      <c r="AC36" s="3" t="inlineStr">
        <is>
          <t>否</t>
        </is>
      </c>
      <c r="AD36" s="3" t="inlineStr"/>
      <c r="AE36" s="3" t="inlineStr">
        <is>
          <t>商铺购买；宝箱随机装备；铁匠铺直接锻造</t>
        </is>
      </c>
      <c r="AF36" s="3" t="inlineStr">
        <is>
          <t>{"hp":80,"defense":12,"intellect":4,"agility":6}</t>
        </is>
      </c>
      <c r="AG36" s="3" t="inlineStr">
        <is>
          <t>data/item_templates.yaml:L3837</t>
        </is>
      </c>
    </row>
    <row r="37" hidden="1">
      <c r="A37" s="3" t="n">
        <v>36</v>
      </c>
      <c r="B37" s="3" t="inlineStr">
        <is>
          <t>equip_nichangyuyi</t>
        </is>
      </c>
      <c r="C37" s="3" t="inlineStr">
        <is>
          <t>霓裳羽衣</t>
        </is>
      </c>
      <c r="D37" s="3" t="n">
        <v>2800</v>
      </c>
      <c r="E37" s="3" t="n">
        <v>75</v>
      </c>
      <c r="F37" s="3" t="n">
        <v>50</v>
      </c>
      <c r="G37" s="3" t="n">
        <v>15</v>
      </c>
      <c r="H37" s="3" t="n">
        <v>0</v>
      </c>
      <c r="I37" s="3" t="n">
        <v>15</v>
      </c>
      <c r="J37" s="3" t="n">
        <v>0</v>
      </c>
      <c r="K37" s="3" t="n">
        <v>0</v>
      </c>
      <c r="L37" s="3" t="n">
        <v>8</v>
      </c>
      <c r="M37" s="6">
        <f>F37/54+G37+H37+I37+J37+L37*1.2+K37/2</f>
        <v>40.525925925925925</v>
      </c>
      <c r="N37" s="3" t="inlineStr">
        <is>
          <t>霓裳</t>
        </is>
      </c>
      <c r="O37" s="3" t="inlineStr">
        <is>
          <t>霓裳3件: 生命+150、智力+20、敏捷+10、运势+15</t>
        </is>
      </c>
      <c r="P37" s="3" t="inlineStr">
        <is>
          <t>green</t>
        </is>
      </c>
      <c r="Q37" s="3" t="inlineStr">
        <is>
          <t>优秀/绿</t>
        </is>
      </c>
      <c r="R37" s="3" t="inlineStr">
        <is>
          <t>护甲</t>
        </is>
      </c>
      <c r="S37" s="3" t="inlineStr">
        <is>
          <t>护甲</t>
        </is>
      </c>
      <c r="T37" s="3" t="inlineStr">
        <is>
          <t>以流霞丝与细甲片缀成的羽衣，轻灵不失护身之力，文武门客都能穿出从容气度。</t>
        </is>
      </c>
      <c r="U37" s="3" t="inlineStr">
        <is>
          <t>是</t>
        </is>
      </c>
      <c r="V37" s="3" t="inlineStr">
        <is>
          <t>否</t>
        </is>
      </c>
      <c r="W37" s="3" t="inlineStr">
        <is>
          <t>equip_nichangyuyi.png</t>
        </is>
      </c>
      <c r="X37" s="3" t="inlineStr"/>
      <c r="Y37" s="3" t="inlineStr">
        <is>
          <t>equip_armor</t>
        </is>
      </c>
      <c r="Z37" s="3" t="inlineStr">
        <is>
          <t>nichang_set</t>
        </is>
      </c>
      <c r="AA37" s="3" t="inlineStr">
        <is>
          <t>无</t>
        </is>
      </c>
      <c r="AB37" s="3" t="inlineStr">
        <is>
          <t>否</t>
        </is>
      </c>
      <c r="AC37" s="3" t="inlineStr">
        <is>
          <t>否</t>
        </is>
      </c>
      <c r="AD37" s="3" t="inlineStr"/>
      <c r="AE37" s="3" t="inlineStr">
        <is>
          <t>任务宝箱装备；宝箱独立随机物品组</t>
        </is>
      </c>
      <c r="AF37" s="3" t="inlineStr">
        <is>
          <t>{"hp":50,"defense":15,"intellect":15,"luck":8,"set_key":"nichang_set","set_description":"霓裳","set_bonus":{"pieces":3,"bonus":{"hp":150,"intellect":20,"agility":10,"luck":15}}}</t>
        </is>
      </c>
      <c r="AG37" s="3" t="inlineStr">
        <is>
          <t>data/item_templates.yaml:L3954</t>
        </is>
      </c>
    </row>
    <row r="38" hidden="1">
      <c r="A38" s="3" t="n">
        <v>37</v>
      </c>
      <c r="B38" s="3" t="inlineStr">
        <is>
          <t>equip_qingzhujia</t>
        </is>
      </c>
      <c r="C38" s="3" t="inlineStr">
        <is>
          <t>青竹甲</t>
        </is>
      </c>
      <c r="D38" s="3" t="n">
        <v>2200</v>
      </c>
      <c r="E38" s="3" t="n">
        <v>75</v>
      </c>
      <c r="F38" s="3" t="n">
        <v>200</v>
      </c>
      <c r="G38" s="3" t="n">
        <v>20</v>
      </c>
      <c r="H38" s="3" t="n">
        <v>5</v>
      </c>
      <c r="I38" s="3" t="n">
        <v>0</v>
      </c>
      <c r="J38" s="3" t="n">
        <v>12</v>
      </c>
      <c r="K38" s="3" t="n">
        <v>0</v>
      </c>
      <c r="L38" s="3" t="n">
        <v>0</v>
      </c>
      <c r="M38" s="6">
        <f>F38/54+G38+H38+I38+J38+L38*1.2+K38/2</f>
        <v>40.7037037037037</v>
      </c>
      <c r="N38" s="3" t="inlineStr">
        <is>
          <t>无</t>
        </is>
      </c>
      <c r="O38" s="3" t="inlineStr">
        <is>
          <t>无</t>
        </is>
      </c>
      <c r="P38" s="3" t="inlineStr">
        <is>
          <t>green</t>
        </is>
      </c>
      <c r="Q38" s="3" t="inlineStr">
        <is>
          <t>优秀/绿</t>
        </is>
      </c>
      <c r="R38" s="3" t="inlineStr">
        <is>
          <t>护甲</t>
        </is>
      </c>
      <c r="S38" s="3" t="inlineStr">
        <is>
          <t>护甲</t>
        </is>
      </c>
      <c r="T38" s="3" t="inlineStr">
        <is>
          <t>以蜀中翠竹片编织而成，是巴蜀匠人的独门手艺。</t>
        </is>
      </c>
      <c r="U38" s="3" t="inlineStr">
        <is>
          <t>是</t>
        </is>
      </c>
      <c r="V38" s="3" t="inlineStr">
        <is>
          <t>否</t>
        </is>
      </c>
      <c r="W38" s="3" t="inlineStr">
        <is>
          <t>equip_qingzhujia.png</t>
        </is>
      </c>
      <c r="X38" s="3" t="inlineStr"/>
      <c r="Y38" s="3" t="inlineStr">
        <is>
          <t>equip_armor</t>
        </is>
      </c>
      <c r="Z38" s="3" t="inlineStr"/>
      <c r="AA38" s="3" t="inlineStr">
        <is>
          <t>无</t>
        </is>
      </c>
      <c r="AB38" s="3" t="inlineStr">
        <is>
          <t>否</t>
        </is>
      </c>
      <c r="AC38" s="3" t="inlineStr">
        <is>
          <t>否</t>
        </is>
      </c>
      <c r="AD38" s="3" t="inlineStr"/>
      <c r="AE38" s="3" t="inlineStr">
        <is>
          <t>任务宝箱装备；宝箱随机装备</t>
        </is>
      </c>
      <c r="AF38" s="3" t="inlineStr">
        <is>
          <t>{"hp":200,"defense":20,"force":5,"agility":12}</t>
        </is>
      </c>
      <c r="AG38" s="3" t="inlineStr">
        <is>
          <t>data/item_templates.yaml:L3925</t>
        </is>
      </c>
    </row>
    <row r="39" hidden="1">
      <c r="A39" s="3" t="n">
        <v>38</v>
      </c>
      <c r="B39" s="3" t="inlineStr">
        <is>
          <t>equip_shanwenjia</t>
        </is>
      </c>
      <c r="C39" s="3" t="inlineStr">
        <is>
          <t>山纹甲</t>
        </is>
      </c>
      <c r="D39" s="3" t="n">
        <v>2800</v>
      </c>
      <c r="E39" s="3" t="n">
        <v>75</v>
      </c>
      <c r="F39" s="3" t="n">
        <v>500</v>
      </c>
      <c r="G39" s="3" t="n">
        <v>20</v>
      </c>
      <c r="H39" s="3" t="n">
        <v>10</v>
      </c>
      <c r="I39" s="3" t="n">
        <v>0</v>
      </c>
      <c r="J39" s="3" t="n">
        <v>0</v>
      </c>
      <c r="K39" s="3" t="n">
        <v>0</v>
      </c>
      <c r="L39" s="3" t="n">
        <v>0</v>
      </c>
      <c r="M39" s="6">
        <f>F39/54+G39+H39+I39+J39+L39*1.2+K39/2</f>
        <v>39.25925925925926</v>
      </c>
      <c r="N39" s="3" t="inlineStr">
        <is>
          <t>无</t>
        </is>
      </c>
      <c r="O39" s="3" t="inlineStr">
        <is>
          <t>无</t>
        </is>
      </c>
      <c r="P39" s="3" t="inlineStr">
        <is>
          <t>green</t>
        </is>
      </c>
      <c r="Q39" s="3" t="inlineStr">
        <is>
          <t>优秀/绿</t>
        </is>
      </c>
      <c r="R39" s="3" t="inlineStr">
        <is>
          <t>护甲</t>
        </is>
      </c>
      <c r="S39" s="3" t="inlineStr">
        <is>
          <t>护甲</t>
        </is>
      </c>
      <c r="T39" s="3" t="inlineStr">
        <is>
          <t>甲面刻有五岳山纹，相传是五岳派镇派之物。</t>
        </is>
      </c>
      <c r="U39" s="3" t="inlineStr">
        <is>
          <t>是</t>
        </is>
      </c>
      <c r="V39" s="3" t="inlineStr">
        <is>
          <t>否</t>
        </is>
      </c>
      <c r="W39" s="3" t="inlineStr">
        <is>
          <t>equip_shanwenjia.png</t>
        </is>
      </c>
      <c r="X39" s="3" t="inlineStr"/>
      <c r="Y39" s="3" t="inlineStr">
        <is>
          <t>equip_armor</t>
        </is>
      </c>
      <c r="Z39" s="3" t="inlineStr"/>
      <c r="AA39" s="3" t="inlineStr">
        <is>
          <t>无</t>
        </is>
      </c>
      <c r="AB39" s="3" t="inlineStr">
        <is>
          <t>否</t>
        </is>
      </c>
      <c r="AC39" s="3" t="inlineStr">
        <is>
          <t>否</t>
        </is>
      </c>
      <c r="AD39" s="3" t="inlineStr"/>
      <c r="AE39" s="3" t="inlineStr">
        <is>
          <t>任务宝箱装备；宝箱随机装备</t>
        </is>
      </c>
      <c r="AF39" s="3" t="inlineStr">
        <is>
          <t>{"hp":500,"defense":20,"force":10}</t>
        </is>
      </c>
      <c r="AG39" s="3" t="inlineStr">
        <is>
          <t>data/item_templates.yaml:L3911</t>
        </is>
      </c>
    </row>
    <row r="40" hidden="1">
      <c r="A40" s="3" t="n">
        <v>39</v>
      </c>
      <c r="B40" s="3" t="inlineStr">
        <is>
          <t>equip_shapijia</t>
        </is>
      </c>
      <c r="C40" s="3" t="inlineStr">
        <is>
          <t>鲨皮甲</t>
        </is>
      </c>
      <c r="D40" s="3" t="n">
        <v>1500</v>
      </c>
      <c r="E40" s="3" t="n">
        <v>75</v>
      </c>
      <c r="F40" s="3" t="n">
        <v>200</v>
      </c>
      <c r="G40" s="3" t="n">
        <v>14</v>
      </c>
      <c r="H40" s="3" t="n">
        <v>4</v>
      </c>
      <c r="I40" s="3" t="n">
        <v>0</v>
      </c>
      <c r="J40" s="3" t="n">
        <v>4</v>
      </c>
      <c r="K40" s="3" t="n">
        <v>0</v>
      </c>
      <c r="L40" s="3" t="n">
        <v>0</v>
      </c>
      <c r="M40" s="6">
        <f>F40/54+G40+H40+I40+J40+L40*1.2+K40/2</f>
        <v>25.703703703703702</v>
      </c>
      <c r="N40" s="3" t="inlineStr">
        <is>
          <t>无</t>
        </is>
      </c>
      <c r="O40" s="3" t="inlineStr">
        <is>
          <t>无</t>
        </is>
      </c>
      <c r="P40" s="3" t="inlineStr">
        <is>
          <t>green</t>
        </is>
      </c>
      <c r="Q40" s="3" t="inlineStr">
        <is>
          <t>优秀/绿</t>
        </is>
      </c>
      <c r="R40" s="3" t="inlineStr">
        <is>
          <t>护甲</t>
        </is>
      </c>
      <c r="S40" s="3" t="inlineStr">
        <is>
          <t>护甲</t>
        </is>
      </c>
      <c r="T40" s="3" t="inlineStr">
        <is>
          <t>鲨鱼皮做成的铠甲，是轻便铠甲中最坚固的。</t>
        </is>
      </c>
      <c r="U40" s="3" t="inlineStr">
        <is>
          <t>是</t>
        </is>
      </c>
      <c r="V40" s="3" t="inlineStr">
        <is>
          <t>否</t>
        </is>
      </c>
      <c r="W40" s="3" t="inlineStr">
        <is>
          <t>equip_shapijia.png</t>
        </is>
      </c>
      <c r="X40" s="3" t="inlineStr"/>
      <c r="Y40" s="3" t="inlineStr">
        <is>
          <t>equip_armor</t>
        </is>
      </c>
      <c r="Z40" s="3" t="inlineStr"/>
      <c r="AA40" s="3" t="inlineStr">
        <is>
          <t>无</t>
        </is>
      </c>
      <c r="AB40" s="3" t="inlineStr">
        <is>
          <t>是</t>
        </is>
      </c>
      <c r="AC40" s="3" t="inlineStr">
        <is>
          <t>否</t>
        </is>
      </c>
      <c r="AD40" s="3" t="inlineStr"/>
      <c r="AE40" s="3" t="inlineStr">
        <is>
          <t>商铺购买；宝箱随机装备；铁匠铺直接锻造</t>
        </is>
      </c>
      <c r="AF40" s="3" t="inlineStr">
        <is>
          <t>{"hp":200,"defense":14,"force":4,"agility":4}</t>
        </is>
      </c>
      <c r="AG40" s="3" t="inlineStr">
        <is>
          <t>data/item_templates.yaml:L3852</t>
        </is>
      </c>
    </row>
    <row r="41" hidden="1">
      <c r="A41" s="3" t="n">
        <v>40</v>
      </c>
      <c r="B41" s="3" t="inlineStr">
        <is>
          <t>equip_suozijia</t>
        </is>
      </c>
      <c r="C41" s="3" t="inlineStr">
        <is>
          <t>锁子甲</t>
        </is>
      </c>
      <c r="D41" s="3" t="n">
        <v>2000</v>
      </c>
      <c r="E41" s="3" t="n">
        <v>75</v>
      </c>
      <c r="F41" s="3" t="n">
        <v>500</v>
      </c>
      <c r="G41" s="3" t="n">
        <v>25</v>
      </c>
      <c r="H41" s="3" t="n">
        <v>5</v>
      </c>
      <c r="I41" s="3" t="n">
        <v>0</v>
      </c>
      <c r="J41" s="3" t="n">
        <v>0</v>
      </c>
      <c r="K41" s="3" t="n">
        <v>0</v>
      </c>
      <c r="L41" s="3" t="n">
        <v>0</v>
      </c>
      <c r="M41" s="6">
        <f>F41/54+G41+H41+I41+J41+L41*1.2+K41/2</f>
        <v>39.25925925925926</v>
      </c>
      <c r="N41" s="3" t="inlineStr">
        <is>
          <t>无</t>
        </is>
      </c>
      <c r="O41" s="3" t="inlineStr">
        <is>
          <t>无</t>
        </is>
      </c>
      <c r="P41" s="3" t="inlineStr">
        <is>
          <t>green</t>
        </is>
      </c>
      <c r="Q41" s="3" t="inlineStr">
        <is>
          <t>优秀/绿</t>
        </is>
      </c>
      <c r="R41" s="3" t="inlineStr">
        <is>
          <t>护甲</t>
        </is>
      </c>
      <c r="S41" s="3" t="inlineStr">
        <is>
          <t>护甲</t>
        </is>
      </c>
      <c r="T41" s="3" t="inlineStr">
        <is>
          <t>西域工匠的杰作，环环相扣，传入中原已逾百年。</t>
        </is>
      </c>
      <c r="U41" s="3" t="inlineStr">
        <is>
          <t>是</t>
        </is>
      </c>
      <c r="V41" s="3" t="inlineStr">
        <is>
          <t>否</t>
        </is>
      </c>
      <c r="W41" s="3" t="inlineStr">
        <is>
          <t>equip_suozijia.png</t>
        </is>
      </c>
      <c r="X41" s="3" t="inlineStr"/>
      <c r="Y41" s="3" t="inlineStr">
        <is>
          <t>equip_armor</t>
        </is>
      </c>
      <c r="Z41" s="3" t="inlineStr"/>
      <c r="AA41" s="3" t="inlineStr">
        <is>
          <t>无</t>
        </is>
      </c>
      <c r="AB41" s="3" t="inlineStr">
        <is>
          <t>否</t>
        </is>
      </c>
      <c r="AC41" s="3" t="inlineStr">
        <is>
          <t>否</t>
        </is>
      </c>
      <c r="AD41" s="3" t="inlineStr"/>
      <c r="AE41" s="3" t="inlineStr">
        <is>
          <t>任务宝箱装备；宝箱随机装备</t>
        </is>
      </c>
      <c r="AF41" s="3" t="inlineStr">
        <is>
          <t>{"hp":500,"defense":25,"force":5}</t>
        </is>
      </c>
      <c r="AG41" s="3" t="inlineStr">
        <is>
          <t>data/item_templates.yaml:L3884</t>
        </is>
      </c>
    </row>
    <row r="42" hidden="1">
      <c r="A42" s="3" t="n">
        <v>41</v>
      </c>
      <c r="B42" s="3" t="inlineStr">
        <is>
          <t>equip_tiexianjia</t>
        </is>
      </c>
      <c r="C42" s="3" t="inlineStr">
        <is>
          <t>铁线甲</t>
        </is>
      </c>
      <c r="D42" s="3" t="n">
        <v>3000</v>
      </c>
      <c r="E42" s="3" t="n">
        <v>75</v>
      </c>
      <c r="F42" s="3" t="n">
        <v>800</v>
      </c>
      <c r="G42" s="3" t="n">
        <v>15</v>
      </c>
      <c r="H42" s="3" t="n">
        <v>15</v>
      </c>
      <c r="I42" s="3" t="n">
        <v>0</v>
      </c>
      <c r="J42" s="3" t="n">
        <v>0</v>
      </c>
      <c r="K42" s="3" t="n">
        <v>0</v>
      </c>
      <c r="L42" s="3" t="n">
        <v>0</v>
      </c>
      <c r="M42" s="6">
        <f>F42/54+G42+H42+I42+J42+L42*1.2+K42/2</f>
        <v>44.81481481481482</v>
      </c>
      <c r="N42" s="3" t="inlineStr">
        <is>
          <t>无</t>
        </is>
      </c>
      <c r="O42" s="3" t="inlineStr">
        <is>
          <t>无</t>
        </is>
      </c>
      <c r="P42" s="3" t="inlineStr">
        <is>
          <t>green</t>
        </is>
      </c>
      <c r="Q42" s="3" t="inlineStr">
        <is>
          <t>优秀/绿</t>
        </is>
      </c>
      <c r="R42" s="3" t="inlineStr">
        <is>
          <t>护甲</t>
        </is>
      </c>
      <c r="S42" s="3" t="inlineStr">
        <is>
          <t>护甲</t>
        </is>
      </c>
      <c r="T42" s="3" t="inlineStr">
        <is>
          <t>以铁线缠织加固的战甲，源自北方军中的改良工艺。</t>
        </is>
      </c>
      <c r="U42" s="3" t="inlineStr">
        <is>
          <t>是</t>
        </is>
      </c>
      <c r="V42" s="3" t="inlineStr">
        <is>
          <t>否</t>
        </is>
      </c>
      <c r="W42" s="3" t="inlineStr">
        <is>
          <t>equip_tiexianjia.png</t>
        </is>
      </c>
      <c r="X42" s="3" t="inlineStr"/>
      <c r="Y42" s="3" t="inlineStr">
        <is>
          <t>equip_armor</t>
        </is>
      </c>
      <c r="Z42" s="3" t="inlineStr"/>
      <c r="AA42" s="3" t="inlineStr">
        <is>
          <t>无</t>
        </is>
      </c>
      <c r="AB42" s="3" t="inlineStr">
        <is>
          <t>否</t>
        </is>
      </c>
      <c r="AC42" s="3" t="inlineStr">
        <is>
          <t>否</t>
        </is>
      </c>
      <c r="AD42" s="3" t="inlineStr"/>
      <c r="AE42" s="3" t="inlineStr">
        <is>
          <t>任务宝箱装备；宝箱随机装备</t>
        </is>
      </c>
      <c r="AF42" s="3" t="inlineStr">
        <is>
          <t>{"hp":800,"defense":15,"force":15}</t>
        </is>
      </c>
      <c r="AG42" s="3" t="inlineStr">
        <is>
          <t>data/item_templates.yaml:L3940</t>
        </is>
      </c>
    </row>
    <row r="43" hidden="1">
      <c r="A43" s="3" t="n">
        <v>42</v>
      </c>
      <c r="B43" s="3" t="inlineStr">
        <is>
          <t>equip_xuantiejia</t>
        </is>
      </c>
      <c r="C43" s="3" t="inlineStr">
        <is>
          <t>玄铁甲</t>
        </is>
      </c>
      <c r="D43" s="3" t="n">
        <v>2500</v>
      </c>
      <c r="E43" s="3" t="n">
        <v>75</v>
      </c>
      <c r="F43" s="3" t="n">
        <v>800</v>
      </c>
      <c r="G43" s="3" t="n">
        <v>30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6">
        <f>F43/54+G43+H43+I43+J43+L43*1.2+K43/2</f>
        <v>44.81481481481482</v>
      </c>
      <c r="N43" s="3" t="inlineStr">
        <is>
          <t>无</t>
        </is>
      </c>
      <c r="O43" s="3" t="inlineStr">
        <is>
          <t>无</t>
        </is>
      </c>
      <c r="P43" s="3" t="inlineStr">
        <is>
          <t>green</t>
        </is>
      </c>
      <c r="Q43" s="3" t="inlineStr">
        <is>
          <t>优秀/绿</t>
        </is>
      </c>
      <c r="R43" s="3" t="inlineStr">
        <is>
          <t>护甲</t>
        </is>
      </c>
      <c r="S43" s="3" t="inlineStr">
        <is>
          <t>护甲</t>
        </is>
      </c>
      <c r="T43" s="3" t="inlineStr">
        <is>
          <t>以稀有玄铁锻造的重甲，据传出自"铁胆神侯"之手。</t>
        </is>
      </c>
      <c r="U43" s="3" t="inlineStr">
        <is>
          <t>是</t>
        </is>
      </c>
      <c r="V43" s="3" t="inlineStr">
        <is>
          <t>否</t>
        </is>
      </c>
      <c r="W43" s="3" t="inlineStr">
        <is>
          <t>equip_xuantiejia.png</t>
        </is>
      </c>
      <c r="X43" s="3" t="inlineStr"/>
      <c r="Y43" s="3" t="inlineStr">
        <is>
          <t>equip_armor</t>
        </is>
      </c>
      <c r="Z43" s="3" t="inlineStr"/>
      <c r="AA43" s="3" t="inlineStr">
        <is>
          <t>无</t>
        </is>
      </c>
      <c r="AB43" s="3" t="inlineStr">
        <is>
          <t>否</t>
        </is>
      </c>
      <c r="AC43" s="3" t="inlineStr">
        <is>
          <t>否</t>
        </is>
      </c>
      <c r="AD43" s="3" t="inlineStr"/>
      <c r="AE43" s="3" t="inlineStr">
        <is>
          <t>任务宝箱装备；宝箱随机装备</t>
        </is>
      </c>
      <c r="AF43" s="3" t="inlineStr">
        <is>
          <t>{"hp":800,"defense":30}</t>
        </is>
      </c>
      <c r="AG43" s="3" t="inlineStr">
        <is>
          <t>data/item_templates.yaml:L3898</t>
        </is>
      </c>
    </row>
    <row r="44" hidden="1">
      <c r="A44" s="3" t="n">
        <v>43</v>
      </c>
      <c r="B44" s="3" t="inlineStr">
        <is>
          <t>equip_jiaodoushixiongjia</t>
        </is>
      </c>
      <c r="C44" s="3" t="inlineStr">
        <is>
          <t>角斗士胸甲</t>
        </is>
      </c>
      <c r="D44" s="3" t="n">
        <v>7600</v>
      </c>
      <c r="E44" s="3" t="n">
        <v>100</v>
      </c>
      <c r="F44" s="3" t="n">
        <v>450</v>
      </c>
      <c r="G44" s="3" t="n">
        <v>35</v>
      </c>
      <c r="H44" s="3" t="n">
        <v>20</v>
      </c>
      <c r="I44" s="3" t="n">
        <v>0</v>
      </c>
      <c r="J44" s="3" t="n">
        <v>0</v>
      </c>
      <c r="K44" s="3" t="n">
        <v>0</v>
      </c>
      <c r="L44" s="3" t="n">
        <v>0</v>
      </c>
      <c r="M44" s="6">
        <f>F44/54+G44+H44+I44+J44+L44*1.2+K44/2</f>
        <v>63.333333333333336</v>
      </c>
      <c r="N44" s="3" t="inlineStr">
        <is>
          <t>角斗士套装</t>
        </is>
      </c>
      <c r="O44" s="3" t="inlineStr">
        <is>
          <t>角斗士套装4件: 生命+280、防御+10、武力+30、敏捷+15</t>
        </is>
      </c>
      <c r="P44" s="3" t="inlineStr">
        <is>
          <t>blue</t>
        </is>
      </c>
      <c r="Q44" s="3" t="inlineStr">
        <is>
          <t>稀有/蓝</t>
        </is>
      </c>
      <c r="R44" s="3" t="inlineStr">
        <is>
          <t>护甲</t>
        </is>
      </c>
      <c r="S44" s="3" t="inlineStr">
        <is>
          <t>护甲</t>
        </is>
      </c>
      <c r="T44" s="3" t="inlineStr">
        <is>
          <t>胸甲以整片锻钢打造，常见于斗技场前排猛士，抗冲击能力出众。</t>
        </is>
      </c>
      <c r="U44" s="3" t="inlineStr">
        <is>
          <t>是</t>
        </is>
      </c>
      <c r="V44" s="3" t="inlineStr">
        <is>
          <t>否</t>
        </is>
      </c>
      <c r="W44" s="3" t="inlineStr">
        <is>
          <t>equip_jiaodoushixiongjia.png</t>
        </is>
      </c>
      <c r="X44" s="3" t="inlineStr"/>
      <c r="Y44" s="3" t="inlineStr">
        <is>
          <t>equip_armor</t>
        </is>
      </c>
      <c r="Z44" s="3" t="inlineStr">
        <is>
          <t>jiaodoushi_set</t>
        </is>
      </c>
      <c r="AA44" s="3" t="inlineStr">
        <is>
          <t>无</t>
        </is>
      </c>
      <c r="AB44" s="3" t="inlineStr">
        <is>
          <t>否</t>
        </is>
      </c>
      <c r="AC44" s="3" t="inlineStr">
        <is>
          <t>否</t>
        </is>
      </c>
      <c r="AD44" s="3" t="inlineStr"/>
      <c r="AE44" s="3" t="inlineStr">
        <is>
          <t>宝箱随机装备；竞技场随机兑换</t>
        </is>
      </c>
      <c r="AF44" s="3" t="inlineStr">
        <is>
          <t>{"hp":450,"defense":35,"force":20,"set_key":"jiaodoushi_set","set_description":"角斗士套装","set_bonus":{"pieces":4,"bonus":{"hp":280,"defense":10,"force":30,"agility":15}}}</t>
        </is>
      </c>
      <c r="AG44" s="3" t="inlineStr">
        <is>
          <t>data/item_templates.yaml:L4000</t>
        </is>
      </c>
    </row>
    <row r="45" hidden="1">
      <c r="A45" s="3" t="n">
        <v>44</v>
      </c>
      <c r="B45" s="3" t="inlineStr">
        <is>
          <t>equip_kasukabe_satchel</t>
        </is>
      </c>
      <c r="C45" s="3" t="inlineStr">
        <is>
          <t>春日部小书包</t>
        </is>
      </c>
      <c r="D45" s="3" t="n">
        <v>6200</v>
      </c>
      <c r="E45" s="3" t="n">
        <v>100</v>
      </c>
      <c r="F45" s="3" t="n">
        <v>420</v>
      </c>
      <c r="G45" s="3" t="n">
        <v>20</v>
      </c>
      <c r="H45" s="3" t="n">
        <v>0</v>
      </c>
      <c r="I45" s="3" t="n">
        <v>0</v>
      </c>
      <c r="J45" s="3" t="n">
        <v>10</v>
      </c>
      <c r="K45" s="3" t="n">
        <v>0</v>
      </c>
      <c r="L45" s="3" t="n">
        <v>10</v>
      </c>
      <c r="M45" s="6">
        <f>F45/54+G45+H45+I45+J45+L45*1.2+K45/2</f>
        <v>49.77777777777778</v>
      </c>
      <c r="N45" s="3" t="inlineStr">
        <is>
          <t>春日部防卫队</t>
        </is>
      </c>
      <c r="O45" s="3" t="inlineStr">
        <is>
          <t>春日部防卫队2件: 防御+20、攻击+30；春日部防卫队4件: 生命+600、敏捷+20、运势+15</t>
        </is>
      </c>
      <c r="P45" s="3" t="inlineStr">
        <is>
          <t>blue</t>
        </is>
      </c>
      <c r="Q45" s="3" t="inlineStr">
        <is>
          <t>稀有/蓝</t>
        </is>
      </c>
      <c r="R45" s="3" t="inlineStr">
        <is>
          <t>护甲</t>
        </is>
      </c>
      <c r="S45" s="3" t="inlineStr">
        <is>
          <t>护甲</t>
        </is>
      </c>
      <c r="T45" s="3" t="inlineStr">
        <is>
          <t>塞满点心、画纸和奇怪作战计划的小书包，防护意外地可靠。</t>
        </is>
      </c>
      <c r="U45" s="3" t="inlineStr">
        <is>
          <t>是</t>
        </is>
      </c>
      <c r="V45" s="3" t="inlineStr">
        <is>
          <t>否</t>
        </is>
      </c>
      <c r="W45" s="3" t="inlineStr">
        <is>
          <t>equip_kasukabe_satchel.png</t>
        </is>
      </c>
      <c r="X45" s="3" t="inlineStr"/>
      <c r="Y45" s="3" t="inlineStr">
        <is>
          <t>equip_armor</t>
        </is>
      </c>
      <c r="Z45" s="3" t="inlineStr">
        <is>
          <t>kasukabe_defense_set</t>
        </is>
      </c>
      <c r="AA45" s="3" t="inlineStr">
        <is>
          <t>无</t>
        </is>
      </c>
      <c r="AB45" s="3" t="inlineStr">
        <is>
          <t>否</t>
        </is>
      </c>
      <c r="AC45" s="3" t="inlineStr">
        <is>
          <t>否</t>
        </is>
      </c>
      <c r="AD45" s="3" t="inlineStr"/>
      <c r="AE45" s="3" t="inlineStr">
        <is>
          <t>任务宝箱装备</t>
        </is>
      </c>
      <c r="AF45" s="3" t="inlineStr">
        <is>
          <t>{"hp":420,"defense":20,"agility":10,"luck":10,"set_key":"kasukabe_defense_set","set_description":"春日部防卫队","set_bonus":[{"pieces":2,"bonus":{"defense":20,"attack":30}},{"pieces":4,"bonus":{"hp":600,"agility":20,"luck":15}}]}</t>
        </is>
      </c>
      <c r="AG45" s="3" t="inlineStr">
        <is>
          <t>data/item_templates.yaml:L3165</t>
        </is>
      </c>
    </row>
    <row r="46" hidden="1">
      <c r="A46" s="3" t="n">
        <v>45</v>
      </c>
      <c r="B46" s="3" t="inlineStr">
        <is>
          <t>equip_linwenzhanjia</t>
        </is>
      </c>
      <c r="C46" s="3" t="inlineStr">
        <is>
          <t>鳞纹战甲</t>
        </is>
      </c>
      <c r="D46" s="3" t="n">
        <v>7500</v>
      </c>
      <c r="E46" s="3" t="n">
        <v>100</v>
      </c>
      <c r="F46" s="3" t="n">
        <v>500</v>
      </c>
      <c r="G46" s="3" t="n">
        <v>30</v>
      </c>
      <c r="H46" s="3" t="n">
        <v>15</v>
      </c>
      <c r="I46" s="3" t="n">
        <v>0</v>
      </c>
      <c r="J46" s="3" t="n">
        <v>0</v>
      </c>
      <c r="K46" s="3" t="n">
        <v>0</v>
      </c>
      <c r="L46" s="3" t="n">
        <v>0</v>
      </c>
      <c r="M46" s="6">
        <f>F46/54+G46+H46+I46+J46+L46*1.2+K46/2</f>
        <v>54.25925925925926</v>
      </c>
      <c r="N46" s="3" t="inlineStr">
        <is>
          <t>无</t>
        </is>
      </c>
      <c r="O46" s="3" t="inlineStr">
        <is>
          <t>无</t>
        </is>
      </c>
      <c r="P46" s="3" t="inlineStr">
        <is>
          <t>blue</t>
        </is>
      </c>
      <c r="Q46" s="3" t="inlineStr">
        <is>
          <t>稀有/蓝</t>
        </is>
      </c>
      <c r="R46" s="3" t="inlineStr">
        <is>
          <t>护甲</t>
        </is>
      </c>
      <c r="S46" s="3" t="inlineStr">
        <is>
          <t>护甲</t>
        </is>
      </c>
      <c r="T46" s="3" t="inlineStr">
        <is>
          <t>仿龙鳞锻造的战甲，据传灵感来自某位铸甲师的梦境。</t>
        </is>
      </c>
      <c r="U46" s="3" t="inlineStr">
        <is>
          <t>是</t>
        </is>
      </c>
      <c r="V46" s="3" t="inlineStr">
        <is>
          <t>否</t>
        </is>
      </c>
      <c r="W46" s="3" t="inlineStr">
        <is>
          <t>equip_linwenzhanjia.png</t>
        </is>
      </c>
      <c r="X46" s="3" t="inlineStr"/>
      <c r="Y46" s="3" t="inlineStr">
        <is>
          <t>equip_armor</t>
        </is>
      </c>
      <c r="Z46" s="3" t="inlineStr"/>
      <c r="AA46" s="3" t="inlineStr">
        <is>
          <t>无</t>
        </is>
      </c>
      <c r="AB46" s="3" t="inlineStr">
        <is>
          <t>否</t>
        </is>
      </c>
      <c r="AC46" s="3" t="inlineStr">
        <is>
          <t>否</t>
        </is>
      </c>
      <c r="AD46" s="3" t="inlineStr"/>
      <c r="AE46" s="3" t="inlineStr">
        <is>
          <t>任务宝箱装备</t>
        </is>
      </c>
      <c r="AF46" s="3" t="inlineStr">
        <is>
          <t>{"hp":500,"defense":30,"force":15}</t>
        </is>
      </c>
      <c r="AG46" s="3" t="inlineStr">
        <is>
          <t>data/item_templates.yaml:L4059</t>
        </is>
      </c>
    </row>
    <row r="47" hidden="1">
      <c r="A47" s="3" t="n">
        <v>46</v>
      </c>
      <c r="B47" s="3" t="inlineStr">
        <is>
          <t>equip_qinglongjia</t>
        </is>
      </c>
      <c r="C47" s="3" t="inlineStr">
        <is>
          <t>青龙甲</t>
        </is>
      </c>
      <c r="D47" s="3" t="n">
        <v>6500</v>
      </c>
      <c r="E47" s="3" t="n">
        <v>100</v>
      </c>
      <c r="F47" s="3" t="n">
        <v>350</v>
      </c>
      <c r="G47" s="3" t="n">
        <v>24</v>
      </c>
      <c r="H47" s="3" t="n">
        <v>15</v>
      </c>
      <c r="I47" s="3" t="n">
        <v>18</v>
      </c>
      <c r="J47" s="3" t="n">
        <v>0</v>
      </c>
      <c r="K47" s="3" t="n">
        <v>0</v>
      </c>
      <c r="L47" s="3" t="n">
        <v>0</v>
      </c>
      <c r="M47" s="6">
        <f>F47/54+G47+H47+I47+J47+L47*1.2+K47/2</f>
        <v>63.48148148148148</v>
      </c>
      <c r="N47" s="3" t="inlineStr">
        <is>
          <t>四象套装</t>
        </is>
      </c>
      <c r="O47" s="3" t="inlineStr">
        <is>
          <t>四象套装4件: 生命+360、武力+35、智力+35、敏捷+20</t>
        </is>
      </c>
      <c r="P47" s="3" t="inlineStr">
        <is>
          <t>blue</t>
        </is>
      </c>
      <c r="Q47" s="3" t="inlineStr">
        <is>
          <t>稀有/蓝</t>
        </is>
      </c>
      <c r="R47" s="3" t="inlineStr">
        <is>
          <t>护甲</t>
        </is>
      </c>
      <c r="S47" s="3" t="inlineStr">
        <is>
          <t>护甲</t>
        </is>
      </c>
      <c r="T47" s="3" t="inlineStr">
        <is>
          <t>甲身绘有青龙图腾，相传曾是青龙堂护法所穿。</t>
        </is>
      </c>
      <c r="U47" s="3" t="inlineStr">
        <is>
          <t>是</t>
        </is>
      </c>
      <c r="V47" s="3" t="inlineStr">
        <is>
          <t>否</t>
        </is>
      </c>
      <c r="W47" s="3" t="inlineStr">
        <is>
          <t>equip_qinglongjia.png</t>
        </is>
      </c>
      <c r="X47" s="3" t="inlineStr"/>
      <c r="Y47" s="3" t="inlineStr">
        <is>
          <t>equip_armor</t>
        </is>
      </c>
      <c r="Z47" s="3" t="inlineStr">
        <is>
          <t>sixiang_set</t>
        </is>
      </c>
      <c r="AA47" s="3" t="inlineStr">
        <is>
          <t>无</t>
        </is>
      </c>
      <c r="AB47" s="3" t="inlineStr">
        <is>
          <t>否</t>
        </is>
      </c>
      <c r="AC47" s="3" t="inlineStr">
        <is>
          <t>是</t>
        </is>
      </c>
      <c r="AD47" s="3" t="inlineStr">
        <is>
          <t>blueprint_qinglongjia</t>
        </is>
      </c>
      <c r="AE47" s="3" t="inlineStr">
        <is>
          <t>图纸合成（任务宝箱）；图纸合成（帮会图纸领取）；图纸合成（竞技场随机图纸兑换）</t>
        </is>
      </c>
      <c r="AF47" s="3" t="inlineStr">
        <is>
          <t>{"hp":350,"defense":24,"force":15,"intellect":18,"set_key":"sixiang_set","set_description":"四象套装","set_bonus":{"pieces":4,"bonus":{"hp":360,"force":35,"intellect":35,"agility":20}}}</t>
        </is>
      </c>
      <c r="AG47" s="3" t="inlineStr">
        <is>
          <t>data/item_templates.yaml:L4022</t>
        </is>
      </c>
    </row>
    <row r="48" hidden="1">
      <c r="A48" s="3" t="n">
        <v>47</v>
      </c>
      <c r="B48" s="3" t="inlineStr">
        <is>
          <t>equip_wujinjia</t>
        </is>
      </c>
      <c r="C48" s="3" t="inlineStr">
        <is>
          <t>乌金甲</t>
        </is>
      </c>
      <c r="D48" s="3" t="n">
        <v>7000</v>
      </c>
      <c r="E48" s="3" t="n">
        <v>100</v>
      </c>
      <c r="F48" s="3" t="n">
        <v>400</v>
      </c>
      <c r="G48" s="3" t="n">
        <v>25</v>
      </c>
      <c r="H48" s="3" t="n">
        <v>20</v>
      </c>
      <c r="I48" s="3" t="n">
        <v>0</v>
      </c>
      <c r="J48" s="3" t="n">
        <v>0</v>
      </c>
      <c r="K48" s="3" t="n">
        <v>0</v>
      </c>
      <c r="L48" s="3" t="n">
        <v>0</v>
      </c>
      <c r="M48" s="6">
        <f>F48/54+G48+H48+I48+J48+L48*1.2+K48/2</f>
        <v>52.407407407407405</v>
      </c>
      <c r="N48" s="3" t="inlineStr">
        <is>
          <t>无</t>
        </is>
      </c>
      <c r="O48" s="3" t="inlineStr">
        <is>
          <t>无</t>
        </is>
      </c>
      <c r="P48" s="3" t="inlineStr">
        <is>
          <t>blue</t>
        </is>
      </c>
      <c r="Q48" s="3" t="inlineStr">
        <is>
          <t>稀有/蓝</t>
        </is>
      </c>
      <c r="R48" s="3" t="inlineStr">
        <is>
          <t>护甲</t>
        </is>
      </c>
      <c r="S48" s="3" t="inlineStr">
        <is>
          <t>护甲</t>
        </is>
      </c>
      <c r="T48" s="3" t="inlineStr">
        <is>
          <t>以乌金铸就的战甲，出自西域某个神秘的铸甲世家。</t>
        </is>
      </c>
      <c r="U48" s="3" t="inlineStr">
        <is>
          <t>是</t>
        </is>
      </c>
      <c r="V48" s="3" t="inlineStr">
        <is>
          <t>否</t>
        </is>
      </c>
      <c r="W48" s="3" t="inlineStr">
        <is>
          <t>equip_wujinjia.png</t>
        </is>
      </c>
      <c r="X48" s="3" t="inlineStr"/>
      <c r="Y48" s="3" t="inlineStr">
        <is>
          <t>equip_armor</t>
        </is>
      </c>
      <c r="Z48" s="3" t="inlineStr"/>
      <c r="AA48" s="3" t="inlineStr">
        <is>
          <t>无</t>
        </is>
      </c>
      <c r="AB48" s="3" t="inlineStr">
        <is>
          <t>否</t>
        </is>
      </c>
      <c r="AC48" s="3" t="inlineStr">
        <is>
          <t>否</t>
        </is>
      </c>
      <c r="AD48" s="3" t="inlineStr"/>
      <c r="AE48" s="3" t="inlineStr">
        <is>
          <t>任务宝箱装备</t>
        </is>
      </c>
      <c r="AF48" s="3" t="inlineStr">
        <is>
          <t>{"hp":400,"defense":25,"force":20}</t>
        </is>
      </c>
      <c r="AG48" s="3" t="inlineStr">
        <is>
          <t>data/item_templates.yaml:L4045</t>
        </is>
      </c>
    </row>
    <row r="49" hidden="1">
      <c r="A49" s="3" t="n">
        <v>48</v>
      </c>
      <c r="B49" s="3" t="inlineStr">
        <is>
          <t>equip_xiaoweikaijia</t>
        </is>
      </c>
      <c r="C49" s="3" t="inlineStr">
        <is>
          <t>校尉铠甲</t>
        </is>
      </c>
      <c r="D49" s="3" t="n">
        <v>6000</v>
      </c>
      <c r="E49" s="3" t="n">
        <v>100</v>
      </c>
      <c r="F49" s="3" t="n">
        <v>440</v>
      </c>
      <c r="G49" s="3" t="n">
        <v>25</v>
      </c>
      <c r="H49" s="3" t="n">
        <v>10</v>
      </c>
      <c r="I49" s="3" t="n">
        <v>0</v>
      </c>
      <c r="J49" s="3" t="n">
        <v>0</v>
      </c>
      <c r="K49" s="3" t="n">
        <v>30</v>
      </c>
      <c r="L49" s="3" t="n">
        <v>0</v>
      </c>
      <c r="M49" s="6">
        <f>F49/54+G49+H49+I49+J49+L49*1.2+K49/2</f>
        <v>58.14814814814815</v>
      </c>
      <c r="N49" s="3" t="inlineStr">
        <is>
          <t>校尉套装</t>
        </is>
      </c>
      <c r="O49" s="3" t="inlineStr">
        <is>
          <t>校尉套装4件: 生命+360、防御+15、武力+40、带兵上限+100</t>
        </is>
      </c>
      <c r="P49" s="3" t="inlineStr">
        <is>
          <t>blue</t>
        </is>
      </c>
      <c r="Q49" s="3" t="inlineStr">
        <is>
          <t>稀有/蓝</t>
        </is>
      </c>
      <c r="R49" s="3" t="inlineStr">
        <is>
          <t>护甲</t>
        </is>
      </c>
      <c r="S49" s="3" t="inlineStr">
        <is>
          <t>护甲</t>
        </is>
      </c>
      <c r="T49" s="3" t="inlineStr">
        <is>
          <t>军中校尉的制式铠甲，胸口铸有军阶徽记。</t>
        </is>
      </c>
      <c r="U49" s="3" t="inlineStr">
        <is>
          <t>是</t>
        </is>
      </c>
      <c r="V49" s="3" t="inlineStr">
        <is>
          <t>否</t>
        </is>
      </c>
      <c r="W49" s="3" t="inlineStr">
        <is>
          <t>equip_xiaoweikaijia.png</t>
        </is>
      </c>
      <c r="X49" s="3" t="inlineStr"/>
      <c r="Y49" s="3" t="inlineStr">
        <is>
          <t>equip_armor</t>
        </is>
      </c>
      <c r="Z49" s="3" t="inlineStr">
        <is>
          <t>xiaowei_set</t>
        </is>
      </c>
      <c r="AA49" s="3" t="inlineStr">
        <is>
          <t>无</t>
        </is>
      </c>
      <c r="AB49" s="3" t="inlineStr">
        <is>
          <t>否</t>
        </is>
      </c>
      <c r="AC49" s="3" t="inlineStr">
        <is>
          <t>是</t>
        </is>
      </c>
      <c r="AD49" s="3" t="inlineStr">
        <is>
          <t>blueprint_xiaoweikaijia</t>
        </is>
      </c>
      <c r="AE49" s="3" t="inlineStr">
        <is>
          <t>任务宝箱装备；图纸合成（任务宝箱）；图纸合成（帮会图纸领取）；图纸合成（竞技场随机图纸兑换）；宝箱随机装备</t>
        </is>
      </c>
      <c r="AF49" s="3" t="inlineStr">
        <is>
          <t>{"hp":440,"defense":25,"force":10,"troop_capacity":30,"set_key":"xiaowei_set","set_description":"校尉套装","set_bonus":{"pieces":4,"bonus":{"hp":360,"defense":15,"force":40,"troop_capacity":100}}}</t>
        </is>
      </c>
      <c r="AG49" s="3" t="inlineStr">
        <is>
          <t>data/item_templates.yaml:L3977</t>
        </is>
      </c>
    </row>
    <row r="50" hidden="1">
      <c r="A50" s="3" t="n">
        <v>49</v>
      </c>
      <c r="B50" s="3" t="inlineStr">
        <is>
          <t>equip_xuanjiazhanbao</t>
        </is>
      </c>
      <c r="C50" s="3" t="inlineStr">
        <is>
          <t>玄甲战袍</t>
        </is>
      </c>
      <c r="D50" s="3" t="n">
        <v>8000</v>
      </c>
      <c r="E50" s="3" t="n">
        <v>100</v>
      </c>
      <c r="F50" s="3" t="n">
        <v>550</v>
      </c>
      <c r="G50" s="3" t="n">
        <v>30</v>
      </c>
      <c r="H50" s="3" t="n">
        <v>0</v>
      </c>
      <c r="I50" s="3" t="n">
        <v>20</v>
      </c>
      <c r="J50" s="3" t="n">
        <v>0</v>
      </c>
      <c r="K50" s="3" t="n">
        <v>0</v>
      </c>
      <c r="L50" s="3" t="n">
        <v>0</v>
      </c>
      <c r="M50" s="6">
        <f>F50/54+G50+H50+I50+J50+L50*1.2+K50/2</f>
        <v>60.18518518518518</v>
      </c>
      <c r="N50" s="3" t="inlineStr">
        <is>
          <t>无</t>
        </is>
      </c>
      <c r="O50" s="3" t="inlineStr">
        <is>
          <t>无</t>
        </is>
      </c>
      <c r="P50" s="3" t="inlineStr">
        <is>
          <t>blue</t>
        </is>
      </c>
      <c r="Q50" s="3" t="inlineStr">
        <is>
          <t>稀有/蓝</t>
        </is>
      </c>
      <c r="R50" s="3" t="inlineStr">
        <is>
          <t>护甲</t>
        </is>
      </c>
      <c r="S50" s="3" t="inlineStr">
        <is>
          <t>护甲</t>
        </is>
      </c>
      <c r="T50" s="3" t="inlineStr">
        <is>
          <t>外观如袍内藏甲片，是江湖刺客常用的隐蔽战衣。</t>
        </is>
      </c>
      <c r="U50" s="3" t="inlineStr">
        <is>
          <t>是</t>
        </is>
      </c>
      <c r="V50" s="3" t="inlineStr">
        <is>
          <t>否</t>
        </is>
      </c>
      <c r="W50" s="3" t="inlineStr">
        <is>
          <t>equip_xuanjiazhanbao.png</t>
        </is>
      </c>
      <c r="X50" s="3" t="inlineStr"/>
      <c r="Y50" s="3" t="inlineStr">
        <is>
          <t>equip_armor</t>
        </is>
      </c>
      <c r="Z50" s="3" t="inlineStr"/>
      <c r="AA50" s="3" t="inlineStr">
        <is>
          <t>无</t>
        </is>
      </c>
      <c r="AB50" s="3" t="inlineStr">
        <is>
          <t>否</t>
        </is>
      </c>
      <c r="AC50" s="3" t="inlineStr">
        <is>
          <t>否</t>
        </is>
      </c>
      <c r="AD50" s="3" t="inlineStr"/>
      <c r="AE50" s="3" t="inlineStr">
        <is>
          <t>任务宝箱装备</t>
        </is>
      </c>
      <c r="AF50" s="3" t="inlineStr">
        <is>
          <t>{"hp":550,"defense":30,"intellect":20}</t>
        </is>
      </c>
      <c r="AG50" s="3" t="inlineStr">
        <is>
          <t>data/item_templates.yaml:L4088</t>
        </is>
      </c>
    </row>
    <row r="51" hidden="1">
      <c r="A51" s="3" t="n">
        <v>50</v>
      </c>
      <c r="B51" s="3" t="inlineStr">
        <is>
          <t>equip_yunwenfayi</t>
        </is>
      </c>
      <c r="C51" s="3" t="inlineStr">
        <is>
          <t>云纹法衣</t>
        </is>
      </c>
      <c r="D51" s="3" t="n">
        <v>6200</v>
      </c>
      <c r="E51" s="3" t="n">
        <v>100</v>
      </c>
      <c r="F51" s="3" t="n">
        <v>350</v>
      </c>
      <c r="G51" s="3" t="n">
        <v>10</v>
      </c>
      <c r="H51" s="3" t="n">
        <v>0</v>
      </c>
      <c r="I51" s="3" t="n">
        <v>30</v>
      </c>
      <c r="J51" s="3" t="n">
        <v>0</v>
      </c>
      <c r="K51" s="3" t="n">
        <v>0</v>
      </c>
      <c r="L51" s="3" t="n">
        <v>10</v>
      </c>
      <c r="M51" s="6">
        <f>F51/54+G51+H51+I51+J51+L51*1.2+K51/2</f>
        <v>58.48148148148148</v>
      </c>
      <c r="N51" s="3" t="inlineStr">
        <is>
          <t>无</t>
        </is>
      </c>
      <c r="O51" s="3" t="inlineStr">
        <is>
          <t>无</t>
        </is>
      </c>
      <c r="P51" s="3" t="inlineStr">
        <is>
          <t>blue</t>
        </is>
      </c>
      <c r="Q51" s="3" t="inlineStr">
        <is>
          <t>稀有/蓝</t>
        </is>
      </c>
      <c r="R51" s="3" t="inlineStr">
        <is>
          <t>护甲</t>
        </is>
      </c>
      <c r="S51" s="3" t="inlineStr">
        <is>
          <t>护甲</t>
        </is>
      </c>
      <c r="T51" s="3" t="inlineStr">
        <is>
          <t>道门高功法师的礼服，袍面云纹暗合天地之道。</t>
        </is>
      </c>
      <c r="U51" s="3" t="inlineStr">
        <is>
          <t>是</t>
        </is>
      </c>
      <c r="V51" s="3" t="inlineStr">
        <is>
          <t>否</t>
        </is>
      </c>
      <c r="W51" s="3" t="inlineStr">
        <is>
          <t>equip_yunwenfayi.png</t>
        </is>
      </c>
      <c r="X51" s="3" t="inlineStr"/>
      <c r="Y51" s="3" t="inlineStr">
        <is>
          <t>equip_armor</t>
        </is>
      </c>
      <c r="Z51" s="3" t="inlineStr"/>
      <c r="AA51" s="3" t="inlineStr">
        <is>
          <t>无</t>
        </is>
      </c>
      <c r="AB51" s="3" t="inlineStr">
        <is>
          <t>否</t>
        </is>
      </c>
      <c r="AC51" s="3" t="inlineStr">
        <is>
          <t>否</t>
        </is>
      </c>
      <c r="AD51" s="3" t="inlineStr"/>
      <c r="AE51" s="3" t="inlineStr">
        <is>
          <t>任务宝箱装备</t>
        </is>
      </c>
      <c r="AF51" s="3" t="inlineStr">
        <is>
          <t>{"hp":350,"defense":10,"intellect":30,"luck":10}</t>
        </is>
      </c>
      <c r="AG51" s="3" t="inlineStr">
        <is>
          <t>data/item_templates.yaml:L4073</t>
        </is>
      </c>
    </row>
    <row r="52" hidden="1">
      <c r="A52" s="3" t="n">
        <v>51</v>
      </c>
      <c r="B52" s="3" t="inlineStr">
        <is>
          <t>equip_huxianpao</t>
        </is>
      </c>
      <c r="C52" s="3" t="inlineStr">
        <is>
          <t>狐仙袍</t>
        </is>
      </c>
      <c r="D52" s="3" t="n">
        <v>15000</v>
      </c>
      <c r="E52" s="3" t="n">
        <v>150</v>
      </c>
      <c r="F52" s="3" t="n">
        <v>535</v>
      </c>
      <c r="G52" s="3" t="n">
        <v>25</v>
      </c>
      <c r="H52" s="3" t="n">
        <v>3</v>
      </c>
      <c r="I52" s="3" t="n">
        <v>34</v>
      </c>
      <c r="J52" s="3" t="n">
        <v>0</v>
      </c>
      <c r="K52" s="3" t="n">
        <v>0</v>
      </c>
      <c r="L52" s="3" t="n">
        <v>0</v>
      </c>
      <c r="M52" s="6">
        <f>F52/54+G52+H52+I52+J52+L52*1.2+K52/2</f>
        <v>71.9074074074074</v>
      </c>
      <c r="N52" s="3" t="inlineStr">
        <is>
          <t>狐仙套装</t>
        </is>
      </c>
      <c r="O52" s="3" t="inlineStr">
        <is>
          <t>狐仙套装3件: 生命+280、智力+64、运势+18</t>
        </is>
      </c>
      <c r="P52" s="3" t="inlineStr">
        <is>
          <t>purple</t>
        </is>
      </c>
      <c r="Q52" s="3" t="inlineStr">
        <is>
          <t>史诗/紫</t>
        </is>
      </c>
      <c r="R52" s="3" t="inlineStr">
        <is>
          <t>护甲</t>
        </is>
      </c>
      <c r="S52" s="3" t="inlineStr">
        <is>
          <t>护甲</t>
        </is>
      </c>
      <c r="T52" s="3" t="inlineStr">
        <is>
          <t>相传为涂山狐族遗物，袍上隐有狐狸图纹。</t>
        </is>
      </c>
      <c r="U52" s="3" t="inlineStr">
        <is>
          <t>是</t>
        </is>
      </c>
      <c r="V52" s="3" t="inlineStr">
        <is>
          <t>否</t>
        </is>
      </c>
      <c r="W52" s="3" t="inlineStr">
        <is>
          <t>equip_huxianpao.png</t>
        </is>
      </c>
      <c r="X52" s="3" t="inlineStr"/>
      <c r="Y52" s="3" t="inlineStr">
        <is>
          <t>equip_armor</t>
        </is>
      </c>
      <c r="Z52" s="3" t="inlineStr">
        <is>
          <t>huxian_set</t>
        </is>
      </c>
      <c r="AA52" s="3" t="inlineStr">
        <is>
          <t>无</t>
        </is>
      </c>
      <c r="AB52" s="3" t="inlineStr">
        <is>
          <t>否</t>
        </is>
      </c>
      <c r="AC52" s="3" t="inlineStr">
        <is>
          <t>是</t>
        </is>
      </c>
      <c r="AD52" s="3" t="inlineStr">
        <is>
          <t>blueprint_huxianpao</t>
        </is>
      </c>
      <c r="AE52" s="3" t="inlineStr">
        <is>
          <t>图纸合成（任务宝箱）；图纸合成（帮会图纸领取）；图纸合成（竞技场随机图纸兑换）；宝箱随机装备</t>
        </is>
      </c>
      <c r="AF52" s="3" t="inlineStr">
        <is>
          <t>{"hp":535,"defense":25,"force":3,"intellect":34,"set_key":"huxian_set","set_description":"狐仙套装","set_bonus":{"pieces":3,"bonus":{"hp":280,"intellect":64,"luck":18}}}</t>
        </is>
      </c>
      <c r="AG52" s="3" t="inlineStr">
        <is>
          <t>data/item_templates.yaml:L4104</t>
        </is>
      </c>
    </row>
    <row r="53" hidden="1">
      <c r="A53" s="3" t="n">
        <v>52</v>
      </c>
      <c r="B53" s="3" t="inlineStr">
        <is>
          <t>equip_pojunzhanjia</t>
        </is>
      </c>
      <c r="C53" s="3" t="inlineStr">
        <is>
          <t>破军战甲</t>
        </is>
      </c>
      <c r="D53" s="3" t="n">
        <v>19000</v>
      </c>
      <c r="E53" s="3" t="n">
        <v>150</v>
      </c>
      <c r="F53" s="3" t="n">
        <v>630</v>
      </c>
      <c r="G53" s="3" t="n">
        <v>29</v>
      </c>
      <c r="H53" s="3" t="n">
        <v>31</v>
      </c>
      <c r="I53" s="3" t="n">
        <v>0</v>
      </c>
      <c r="J53" s="3" t="n">
        <v>0</v>
      </c>
      <c r="K53" s="3" t="n">
        <v>0</v>
      </c>
      <c r="L53" s="3" t="n">
        <v>0</v>
      </c>
      <c r="M53" s="6">
        <f>F53/54+G53+H53+I53+J53+L53*1.2+K53/2</f>
        <v>71.66666666666666</v>
      </c>
      <c r="N53" s="3" t="inlineStr">
        <is>
          <t>无</t>
        </is>
      </c>
      <c r="O53" s="3" t="inlineStr">
        <is>
          <t>无</t>
        </is>
      </c>
      <c r="P53" s="3" t="inlineStr">
        <is>
          <t>purple</t>
        </is>
      </c>
      <c r="Q53" s="3" t="inlineStr">
        <is>
          <t>史诗/紫</t>
        </is>
      </c>
      <c r="R53" s="3" t="inlineStr">
        <is>
          <t>护甲</t>
        </is>
      </c>
      <c r="S53" s="3" t="inlineStr">
        <is>
          <t>护甲</t>
        </is>
      </c>
      <c r="T53" s="3" t="inlineStr">
        <is>
          <t>破军星君法相所铸，据传曾助某位将军连破七城。</t>
        </is>
      </c>
      <c r="U53" s="3" t="inlineStr">
        <is>
          <t>是</t>
        </is>
      </c>
      <c r="V53" s="3" t="inlineStr">
        <is>
          <t>否</t>
        </is>
      </c>
      <c r="W53" s="3" t="inlineStr">
        <is>
          <t>equip_pojunzhanjia.png</t>
        </is>
      </c>
      <c r="X53" s="3" t="inlineStr"/>
      <c r="Y53" s="3" t="inlineStr">
        <is>
          <t>equip_armor</t>
        </is>
      </c>
      <c r="Z53" s="3" t="inlineStr"/>
      <c r="AA53" s="3" t="inlineStr">
        <is>
          <t>无</t>
        </is>
      </c>
      <c r="AB53" s="3" t="inlineStr">
        <is>
          <t>否</t>
        </is>
      </c>
      <c r="AC53" s="3" t="inlineStr">
        <is>
          <t>否</t>
        </is>
      </c>
      <c r="AD53" s="3" t="inlineStr"/>
      <c r="AE53" s="3" t="inlineStr">
        <is>
          <t>任务宝箱装备</t>
        </is>
      </c>
      <c r="AF53" s="3" t="inlineStr">
        <is>
          <t>{"hp":630,"defense":29,"force":31}</t>
        </is>
      </c>
      <c r="AG53" s="3" t="inlineStr">
        <is>
          <t>data/item_templates.yaml:L4186</t>
        </is>
      </c>
    </row>
    <row r="54" hidden="1">
      <c r="A54" s="3" t="n">
        <v>53</v>
      </c>
      <c r="B54" s="3" t="inlineStr">
        <is>
          <t>equip_qilinjia</t>
        </is>
      </c>
      <c r="C54" s="3" t="inlineStr">
        <is>
          <t>麒麟甲</t>
        </is>
      </c>
      <c r="D54" s="3" t="n">
        <v>18000</v>
      </c>
      <c r="E54" s="3" t="n">
        <v>150</v>
      </c>
      <c r="F54" s="3" t="n">
        <v>575</v>
      </c>
      <c r="G54" s="3" t="n">
        <v>35</v>
      </c>
      <c r="H54" s="3" t="n">
        <v>25</v>
      </c>
      <c r="I54" s="3" t="n">
        <v>4</v>
      </c>
      <c r="J54" s="3" t="n">
        <v>0</v>
      </c>
      <c r="K54" s="3" t="n">
        <v>0</v>
      </c>
      <c r="L54" s="3" t="n">
        <v>0</v>
      </c>
      <c r="M54" s="6">
        <f>F54/54+G54+H54+I54+J54+L54*1.2+K54/2</f>
        <v>74.64814814814815</v>
      </c>
      <c r="N54" s="3" t="inlineStr">
        <is>
          <t>麒麟套装</t>
        </is>
      </c>
      <c r="O54" s="3" t="inlineStr">
        <is>
          <t>麒麟套装4件: 生命+420、武力+38、敏捷+18、运势+30</t>
        </is>
      </c>
      <c r="P54" s="3" t="inlineStr">
        <is>
          <t>purple</t>
        </is>
      </c>
      <c r="Q54" s="3" t="inlineStr">
        <is>
          <t>史诗/紫</t>
        </is>
      </c>
      <c r="R54" s="3" t="inlineStr">
        <is>
          <t>护甲</t>
        </is>
      </c>
      <c r="S54" s="3" t="inlineStr">
        <is>
          <t>护甲</t>
        </is>
      </c>
      <c r="T54" s="3" t="inlineStr">
        <is>
          <t>仿麒麟鳞甲锻造，相传曾是某位麒麟卫统领的战甲。</t>
        </is>
      </c>
      <c r="U54" s="3" t="inlineStr">
        <is>
          <t>是</t>
        </is>
      </c>
      <c r="V54" s="3" t="inlineStr">
        <is>
          <t>否</t>
        </is>
      </c>
      <c r="W54" s="3" t="inlineStr">
        <is>
          <t>equip_qilinjia.png</t>
        </is>
      </c>
      <c r="X54" s="3" t="inlineStr"/>
      <c r="Y54" s="3" t="inlineStr">
        <is>
          <t>equip_armor</t>
        </is>
      </c>
      <c r="Z54" s="3" t="inlineStr">
        <is>
          <t>qilin_set</t>
        </is>
      </c>
      <c r="AA54" s="3" t="inlineStr">
        <is>
          <t>无</t>
        </is>
      </c>
      <c r="AB54" s="3" t="inlineStr">
        <is>
          <t>否</t>
        </is>
      </c>
      <c r="AC54" s="3" t="inlineStr">
        <is>
          <t>是</t>
        </is>
      </c>
      <c r="AD54" s="3" t="inlineStr">
        <is>
          <t>blueprint_qilinjia</t>
        </is>
      </c>
      <c r="AE54" s="3" t="inlineStr">
        <is>
          <t>图纸合成（任务宝箱）；图纸合成（帮会图纸领取）；图纸合成（竞技场随机图纸兑换）；宝箱随机装备</t>
        </is>
      </c>
      <c r="AF54" s="3" t="inlineStr">
        <is>
          <t>{"hp":575,"defense":35,"force":25,"intellect":4,"set_key":"qilin_set","set_description":"麒麟套装","set_bonus":{"pieces":4,"bonus":{"hp":420,"force":38,"agility":18,"luck":30}}}</t>
        </is>
      </c>
      <c r="AG54" s="3" t="inlineStr">
        <is>
          <t>data/item_templates.yaml:L4126</t>
        </is>
      </c>
    </row>
    <row r="55" hidden="1">
      <c r="A55" s="3" t="n">
        <v>54</v>
      </c>
      <c r="B55" s="3" t="inlineStr">
        <is>
          <t>equip_tiancanbaoyi</t>
        </is>
      </c>
      <c r="C55" s="3" t="inlineStr">
        <is>
          <t>天蚕宝衣</t>
        </is>
      </c>
      <c r="D55" s="3" t="n">
        <v>16000</v>
      </c>
      <c r="E55" s="3" t="n">
        <v>150</v>
      </c>
      <c r="F55" s="3" t="n">
        <v>560</v>
      </c>
      <c r="G55" s="3" t="n">
        <v>30</v>
      </c>
      <c r="H55" s="3" t="n">
        <v>6</v>
      </c>
      <c r="I55" s="3" t="n">
        <v>0</v>
      </c>
      <c r="J55" s="3" t="n">
        <v>34</v>
      </c>
      <c r="K55" s="3" t="n">
        <v>0</v>
      </c>
      <c r="L55" s="3" t="n">
        <v>0</v>
      </c>
      <c r="M55" s="6">
        <f>F55/54+G55+H55+I55+J55+L55*1.2+K55/2</f>
        <v>80.37037037037037</v>
      </c>
      <c r="N55" s="3" t="inlineStr">
        <is>
          <t>无</t>
        </is>
      </c>
      <c r="O55" s="3" t="inlineStr">
        <is>
          <t>无</t>
        </is>
      </c>
      <c r="P55" s="3" t="inlineStr">
        <is>
          <t>purple</t>
        </is>
      </c>
      <c r="Q55" s="3" t="inlineStr">
        <is>
          <t>史诗/紫</t>
        </is>
      </c>
      <c r="R55" s="3" t="inlineStr">
        <is>
          <t>护甲</t>
        </is>
      </c>
      <c r="S55" s="3" t="inlineStr">
        <is>
          <t>护甲</t>
        </is>
      </c>
      <c r="T55" s="3" t="inlineStr">
        <is>
          <t>以雪域天蚕丝织就，轻若无物却刀枪不入。</t>
        </is>
      </c>
      <c r="U55" s="3" t="inlineStr">
        <is>
          <t>是</t>
        </is>
      </c>
      <c r="V55" s="3" t="inlineStr">
        <is>
          <t>否</t>
        </is>
      </c>
      <c r="W55" s="3" t="inlineStr">
        <is>
          <t>equip_tiancanbaoyi.png</t>
        </is>
      </c>
      <c r="X55" s="3" t="inlineStr"/>
      <c r="Y55" s="3" t="inlineStr">
        <is>
          <t>equip_armor</t>
        </is>
      </c>
      <c r="Z55" s="3" t="inlineStr"/>
      <c r="AA55" s="3" t="inlineStr">
        <is>
          <t>无</t>
        </is>
      </c>
      <c r="AB55" s="3" t="inlineStr">
        <is>
          <t>否</t>
        </is>
      </c>
      <c r="AC55" s="3" t="inlineStr">
        <is>
          <t>否</t>
        </is>
      </c>
      <c r="AD55" s="3" t="inlineStr"/>
      <c r="AE55" s="3" t="inlineStr">
        <is>
          <t>任务宝箱装备</t>
        </is>
      </c>
      <c r="AF55" s="3" t="inlineStr">
        <is>
          <t>{"hp":560,"defense":30,"force":6,"agility":34}</t>
        </is>
      </c>
      <c r="AG55" s="3" t="inlineStr">
        <is>
          <t>data/item_templates.yaml:L4171</t>
        </is>
      </c>
    </row>
    <row r="56" hidden="1">
      <c r="A56" s="3" t="n">
        <v>55</v>
      </c>
      <c r="B56" s="3" t="inlineStr">
        <is>
          <t>equip_tianjidaopao</t>
        </is>
      </c>
      <c r="C56" s="3" t="inlineStr">
        <is>
          <t>天机道袍</t>
        </is>
      </c>
      <c r="D56" s="3" t="n">
        <v>17000</v>
      </c>
      <c r="E56" s="3" t="n">
        <v>150</v>
      </c>
      <c r="F56" s="3" t="n">
        <v>376</v>
      </c>
      <c r="G56" s="3" t="n">
        <v>19</v>
      </c>
      <c r="H56" s="3" t="n">
        <v>0</v>
      </c>
      <c r="I56" s="3" t="n">
        <v>35</v>
      </c>
      <c r="J56" s="3" t="n">
        <v>0</v>
      </c>
      <c r="K56" s="3" t="n">
        <v>0</v>
      </c>
      <c r="L56" s="3" t="n">
        <v>17</v>
      </c>
      <c r="M56" s="6">
        <f>F56/54+G56+H56+I56+J56+L56*1.2+K56/2</f>
        <v>81.36296296296297</v>
      </c>
      <c r="N56" s="3" t="inlineStr">
        <is>
          <t>无</t>
        </is>
      </c>
      <c r="O56" s="3" t="inlineStr">
        <is>
          <t>无</t>
        </is>
      </c>
      <c r="P56" s="3" t="inlineStr">
        <is>
          <t>purple</t>
        </is>
      </c>
      <c r="Q56" s="3" t="inlineStr">
        <is>
          <t>史诗/紫</t>
        </is>
      </c>
      <c r="R56" s="3" t="inlineStr">
        <is>
          <t>护甲</t>
        </is>
      </c>
      <c r="S56" s="3" t="inlineStr">
        <is>
          <t>护甲</t>
        </is>
      </c>
      <c r="T56" s="3" t="inlineStr">
        <is>
          <t>天机门祖师的旧物，袍内暗藏机关纹路。</t>
        </is>
      </c>
      <c r="U56" s="3" t="inlineStr">
        <is>
          <t>是</t>
        </is>
      </c>
      <c r="V56" s="3" t="inlineStr">
        <is>
          <t>否</t>
        </is>
      </c>
      <c r="W56" s="3" t="inlineStr">
        <is>
          <t>equip_tianjidaopao.png</t>
        </is>
      </c>
      <c r="X56" s="3" t="inlineStr"/>
      <c r="Y56" s="3" t="inlineStr">
        <is>
          <t>equip_armor</t>
        </is>
      </c>
      <c r="Z56" s="3" t="inlineStr"/>
      <c r="AA56" s="3" t="inlineStr">
        <is>
          <t>无</t>
        </is>
      </c>
      <c r="AB56" s="3" t="inlineStr">
        <is>
          <t>否</t>
        </is>
      </c>
      <c r="AC56" s="3" t="inlineStr">
        <is>
          <t>否</t>
        </is>
      </c>
      <c r="AD56" s="3" t="inlineStr"/>
      <c r="AE56" s="3" t="inlineStr">
        <is>
          <t>当前主要配置未发现明确途径</t>
        </is>
      </c>
      <c r="AF56" s="3" t="inlineStr">
        <is>
          <t>{"hp":376,"defense":19,"intellect":35,"luck":17}</t>
        </is>
      </c>
      <c r="AG56" s="3" t="inlineStr">
        <is>
          <t>data/item_templates.yaml:L4200</t>
        </is>
      </c>
    </row>
    <row r="57" hidden="1">
      <c r="A57" s="3" t="n">
        <v>56</v>
      </c>
      <c r="B57" s="3" t="inlineStr">
        <is>
          <t>equip_xuanwujia</t>
        </is>
      </c>
      <c r="C57" s="3" t="inlineStr">
        <is>
          <t>玄武甲</t>
        </is>
      </c>
      <c r="D57" s="3" t="n">
        <v>20000</v>
      </c>
      <c r="E57" s="3" t="n">
        <v>150</v>
      </c>
      <c r="F57" s="3" t="n">
        <v>676</v>
      </c>
      <c r="G57" s="3" t="n">
        <v>48</v>
      </c>
      <c r="H57" s="3" t="n">
        <v>7</v>
      </c>
      <c r="I57" s="3" t="n">
        <v>7</v>
      </c>
      <c r="J57" s="3" t="n">
        <v>0</v>
      </c>
      <c r="K57" s="3" t="n">
        <v>0</v>
      </c>
      <c r="L57" s="3" t="n">
        <v>0</v>
      </c>
      <c r="M57" s="6">
        <f>F57/54+G57+H57+I57+J57+L57*1.2+K57/2</f>
        <v>74.51851851851852</v>
      </c>
      <c r="N57" s="3" t="inlineStr">
        <is>
          <t>玄武套装</t>
        </is>
      </c>
      <c r="O57" s="3" t="inlineStr">
        <is>
          <t>玄武套装4件: 生命+260、防御+70、武力+20</t>
        </is>
      </c>
      <c r="P57" s="3" t="inlineStr">
        <is>
          <t>purple</t>
        </is>
      </c>
      <c r="Q57" s="3" t="inlineStr">
        <is>
          <t>史诗/紫</t>
        </is>
      </c>
      <c r="R57" s="3" t="inlineStr">
        <is>
          <t>护甲</t>
        </is>
      </c>
      <c r="S57" s="3" t="inlineStr">
        <is>
          <t>护甲</t>
        </is>
      </c>
      <c r="T57" s="3" t="inlineStr">
        <is>
          <t>以玄武为形铸造，龟纹蛇鳞交织，出自玄武山庄。</t>
        </is>
      </c>
      <c r="U57" s="3" t="inlineStr">
        <is>
          <t>是</t>
        </is>
      </c>
      <c r="V57" s="3" t="inlineStr">
        <is>
          <t>否</t>
        </is>
      </c>
      <c r="W57" s="3" t="inlineStr">
        <is>
          <t>equip_xuanwujia.png</t>
        </is>
      </c>
      <c r="X57" s="3" t="inlineStr"/>
      <c r="Y57" s="3" t="inlineStr">
        <is>
          <t>equip_armor</t>
        </is>
      </c>
      <c r="Z57" s="3" t="inlineStr">
        <is>
          <t>xuanwu_set</t>
        </is>
      </c>
      <c r="AA57" s="3" t="inlineStr">
        <is>
          <t>无</t>
        </is>
      </c>
      <c r="AB57" s="3" t="inlineStr">
        <is>
          <t>否</t>
        </is>
      </c>
      <c r="AC57" s="3" t="inlineStr">
        <is>
          <t>是</t>
        </is>
      </c>
      <c r="AD57" s="3" t="inlineStr">
        <is>
          <t>blueprint_xuanwujia</t>
        </is>
      </c>
      <c r="AE57" s="3" t="inlineStr">
        <is>
          <t>任务宝箱装备；图纸合成（竞技场随机图纸兑换）</t>
        </is>
      </c>
      <c r="AF57" s="3" t="inlineStr">
        <is>
          <t>{"hp":676,"defense":48,"force":7,"intellect":7,"set_key":"xuanwu_set","set_description":"玄武套装","set_bonus":{"pieces":4,"bonus":{"hp":260,"defense":70,"force":20}}}</t>
        </is>
      </c>
      <c r="AG57" s="3" t="inlineStr">
        <is>
          <t>data/item_templates.yaml:L4149</t>
        </is>
      </c>
    </row>
    <row r="58" hidden="1">
      <c r="A58" s="3" t="n">
        <v>57</v>
      </c>
      <c r="B58" s="3" t="inlineStr">
        <is>
          <t>equip_hundunlongpao</t>
        </is>
      </c>
      <c r="C58" s="3" t="inlineStr">
        <is>
          <t>混沌龙袍</t>
        </is>
      </c>
      <c r="D58" s="3" t="n">
        <v>65000</v>
      </c>
      <c r="E58" s="3" t="n">
        <v>200</v>
      </c>
      <c r="F58" s="3" t="n">
        <v>540</v>
      </c>
      <c r="G58" s="3" t="n">
        <v>23</v>
      </c>
      <c r="H58" s="3" t="n">
        <v>0</v>
      </c>
      <c r="I58" s="3" t="n">
        <v>40</v>
      </c>
      <c r="J58" s="3" t="n">
        <v>0</v>
      </c>
      <c r="K58" s="3" t="n">
        <v>0</v>
      </c>
      <c r="L58" s="3" t="n">
        <v>15</v>
      </c>
      <c r="M58" s="6">
        <f>F58/54+G58+H58+I58+J58+L58*1.2+K58/2</f>
        <v>91.0</v>
      </c>
      <c r="N58" s="3" t="inlineStr">
        <is>
          <t>无</t>
        </is>
      </c>
      <c r="O58" s="3" t="inlineStr">
        <is>
          <t>无</t>
        </is>
      </c>
      <c r="P58" s="3" t="inlineStr">
        <is>
          <t>orange</t>
        </is>
      </c>
      <c r="Q58" s="3" t="inlineStr">
        <is>
          <t>传说/橙</t>
        </is>
      </c>
      <c r="R58" s="3" t="inlineStr">
        <is>
          <t>护甲</t>
        </is>
      </c>
      <c r="S58" s="3" t="inlineStr">
        <is>
          <t>护甲</t>
        </is>
      </c>
      <c r="T58" s="3" t="inlineStr">
        <is>
          <t>以混沌之气淬炼的龙袍，来历成谜，据说出自上古。</t>
        </is>
      </c>
      <c r="U58" s="3" t="inlineStr">
        <is>
          <t>是</t>
        </is>
      </c>
      <c r="V58" s="3" t="inlineStr">
        <is>
          <t>否</t>
        </is>
      </c>
      <c r="W58" s="3" t="inlineStr">
        <is>
          <t>equip_hundunlongpao.png</t>
        </is>
      </c>
      <c r="X58" s="3" t="inlineStr"/>
      <c r="Y58" s="3" t="inlineStr">
        <is>
          <t>equip_armor</t>
        </is>
      </c>
      <c r="Z58" s="3" t="inlineStr"/>
      <c r="AA58" s="3" t="inlineStr">
        <is>
          <t>无</t>
        </is>
      </c>
      <c r="AB58" s="3" t="inlineStr">
        <is>
          <t>否</t>
        </is>
      </c>
      <c r="AC58" s="3" t="inlineStr">
        <is>
          <t>否</t>
        </is>
      </c>
      <c r="AD58" s="3" t="inlineStr"/>
      <c r="AE58" s="3" t="inlineStr">
        <is>
          <t>任务宝箱装备</t>
        </is>
      </c>
      <c r="AF58" s="3" t="inlineStr">
        <is>
          <t>{"hp":540,"defense":23,"intellect":40,"luck":15}</t>
        </is>
      </c>
      <c r="AG58" s="3" t="inlineStr">
        <is>
          <t>data/item_templates.yaml:L4247</t>
        </is>
      </c>
    </row>
    <row r="59" hidden="1">
      <c r="A59" s="3" t="n">
        <v>58</v>
      </c>
      <c r="B59" s="3" t="inlineStr">
        <is>
          <t>equip_jinsirujia</t>
        </is>
      </c>
      <c r="C59" s="3" t="inlineStr">
        <is>
          <t>金丝软甲</t>
        </is>
      </c>
      <c r="D59" s="3" t="n">
        <v>55000</v>
      </c>
      <c r="E59" s="3" t="n">
        <v>200</v>
      </c>
      <c r="F59" s="3" t="n">
        <v>640</v>
      </c>
      <c r="G59" s="3" t="n">
        <v>32</v>
      </c>
      <c r="H59" s="3" t="n">
        <v>0</v>
      </c>
      <c r="I59" s="3" t="n">
        <v>0</v>
      </c>
      <c r="J59" s="3" t="n">
        <v>28</v>
      </c>
      <c r="K59" s="3" t="n">
        <v>0</v>
      </c>
      <c r="L59" s="3" t="n">
        <v>18</v>
      </c>
      <c r="M59" s="6">
        <f>F59/54+G59+H59+I59+J59+L59*1.2+K59/2</f>
        <v>93.45185185185184</v>
      </c>
      <c r="N59" s="3" t="inlineStr">
        <is>
          <t>无</t>
        </is>
      </c>
      <c r="O59" s="3" t="inlineStr">
        <is>
          <t>无</t>
        </is>
      </c>
      <c r="P59" s="3" t="inlineStr">
        <is>
          <t>orange</t>
        </is>
      </c>
      <c r="Q59" s="3" t="inlineStr">
        <is>
          <t>传说/橙</t>
        </is>
      </c>
      <c r="R59" s="3" t="inlineStr">
        <is>
          <t>护甲</t>
        </is>
      </c>
      <c r="S59" s="3" t="inlineStr">
        <is>
          <t>护甲</t>
        </is>
      </c>
      <c r="T59" s="3" t="inlineStr">
        <is>
          <t>以金丝编织的软甲，相传出自波斯国的神秘工坊。</t>
        </is>
      </c>
      <c r="U59" s="3" t="inlineStr">
        <is>
          <t>是</t>
        </is>
      </c>
      <c r="V59" s="3" t="inlineStr">
        <is>
          <t>否</t>
        </is>
      </c>
      <c r="W59" s="3" t="inlineStr">
        <is>
          <t>equip_jinsirujia.png</t>
        </is>
      </c>
      <c r="X59" s="3" t="inlineStr"/>
      <c r="Y59" s="3" t="inlineStr">
        <is>
          <t>equip_armor</t>
        </is>
      </c>
      <c r="Z59" s="3" t="inlineStr"/>
      <c r="AA59" s="3" t="inlineStr">
        <is>
          <t>无</t>
        </is>
      </c>
      <c r="AB59" s="3" t="inlineStr">
        <is>
          <t>否</t>
        </is>
      </c>
      <c r="AC59" s="3" t="inlineStr">
        <is>
          <t>否</t>
        </is>
      </c>
      <c r="AD59" s="3" t="inlineStr"/>
      <c r="AE59" s="3" t="inlineStr">
        <is>
          <t>任务宝箱装备</t>
        </is>
      </c>
      <c r="AF59" s="3" t="inlineStr">
        <is>
          <t>{"hp":640,"defense":32,"agility":28,"luck":18}</t>
        </is>
      </c>
      <c r="AG59" s="3" t="inlineStr">
        <is>
          <t>data/item_templates.yaml:L4232</t>
        </is>
      </c>
    </row>
    <row r="60" hidden="1">
      <c r="A60" s="3" t="n">
        <v>59</v>
      </c>
      <c r="B60" s="3" t="inlineStr">
        <is>
          <t>equip_longlinzhanjia</t>
        </is>
      </c>
      <c r="C60" s="3" t="inlineStr">
        <is>
          <t>龙鳞战甲</t>
        </is>
      </c>
      <c r="D60" s="3" t="n">
        <v>60000</v>
      </c>
      <c r="E60" s="3" t="n">
        <v>200</v>
      </c>
      <c r="F60" s="3" t="n">
        <v>720</v>
      </c>
      <c r="G60" s="3" t="n">
        <v>38</v>
      </c>
      <c r="H60" s="3" t="n">
        <v>39</v>
      </c>
      <c r="I60" s="3" t="n">
        <v>3</v>
      </c>
      <c r="J60" s="3" t="n">
        <v>0</v>
      </c>
      <c r="K60" s="3" t="n">
        <v>0</v>
      </c>
      <c r="L60" s="3" t="n">
        <v>0</v>
      </c>
      <c r="M60" s="6">
        <f>F60/54+G60+H60+I60+J60+L60*1.2+K60/2</f>
        <v>93.33333333333334</v>
      </c>
      <c r="N60" s="3" t="inlineStr">
        <is>
          <t>无</t>
        </is>
      </c>
      <c r="O60" s="3" t="inlineStr">
        <is>
          <t>无</t>
        </is>
      </c>
      <c r="P60" s="3" t="inlineStr">
        <is>
          <t>orange</t>
        </is>
      </c>
      <c r="Q60" s="3" t="inlineStr">
        <is>
          <t>传说/橙</t>
        </is>
      </c>
      <c r="R60" s="3" t="inlineStr">
        <is>
          <t>护甲</t>
        </is>
      </c>
      <c r="S60" s="3" t="inlineStr">
        <is>
          <t>护甲</t>
        </is>
      </c>
      <c r="T60" s="3" t="inlineStr">
        <is>
          <t>以真龙脱落之鳞锻造，极为稀有，世间仅存数件。</t>
        </is>
      </c>
      <c r="U60" s="3" t="inlineStr">
        <is>
          <t>是</t>
        </is>
      </c>
      <c r="V60" s="3" t="inlineStr">
        <is>
          <t>否</t>
        </is>
      </c>
      <c r="W60" s="3" t="inlineStr">
        <is>
          <t>equip_longlinzhanjia.png</t>
        </is>
      </c>
      <c r="X60" s="3" t="inlineStr"/>
      <c r="Y60" s="3" t="inlineStr">
        <is>
          <t>equip_armor</t>
        </is>
      </c>
      <c r="Z60" s="3" t="inlineStr"/>
      <c r="AA60" s="3" t="inlineStr">
        <is>
          <t>无</t>
        </is>
      </c>
      <c r="AB60" s="3" t="inlineStr">
        <is>
          <t>否</t>
        </is>
      </c>
      <c r="AC60" s="3" t="inlineStr">
        <is>
          <t>否</t>
        </is>
      </c>
      <c r="AD60" s="3" t="inlineStr"/>
      <c r="AE60" s="3" t="inlineStr">
        <is>
          <t>任务宝箱装备</t>
        </is>
      </c>
      <c r="AF60" s="3" t="inlineStr">
        <is>
          <t>{"hp":720,"defense":38,"force":39,"intellect":3}</t>
        </is>
      </c>
      <c r="AG60" s="3" t="inlineStr">
        <is>
          <t>data/item_templates.yaml:L4217</t>
        </is>
      </c>
    </row>
    <row r="61" hidden="1">
      <c r="A61" s="3" t="n">
        <v>60</v>
      </c>
      <c r="B61" s="3" t="inlineStr">
        <is>
          <t>equip_ruanweijia</t>
        </is>
      </c>
      <c r="C61" s="3" t="inlineStr">
        <is>
          <t>软猬甲</t>
        </is>
      </c>
      <c r="D61" s="3" t="n">
        <v>58000</v>
      </c>
      <c r="E61" s="3" t="n">
        <v>200</v>
      </c>
      <c r="F61" s="3" t="n">
        <v>665</v>
      </c>
      <c r="G61" s="3" t="n">
        <v>46</v>
      </c>
      <c r="H61" s="3" t="n">
        <v>8</v>
      </c>
      <c r="I61" s="3" t="n">
        <v>0</v>
      </c>
      <c r="J61" s="3" t="n">
        <v>28</v>
      </c>
      <c r="K61" s="3" t="n">
        <v>0</v>
      </c>
      <c r="L61" s="3" t="n">
        <v>0</v>
      </c>
      <c r="M61" s="6">
        <f>F61/54+G61+H61+I61+J61+L61*1.2+K61/2</f>
        <v>94.31481481481481</v>
      </c>
      <c r="N61" s="3" t="inlineStr">
        <is>
          <t>无</t>
        </is>
      </c>
      <c r="O61" s="3" t="inlineStr">
        <is>
          <t>无</t>
        </is>
      </c>
      <c r="P61" s="3" t="inlineStr">
        <is>
          <t>orange</t>
        </is>
      </c>
      <c r="Q61" s="3" t="inlineStr">
        <is>
          <t>传说/橙</t>
        </is>
      </c>
      <c r="R61" s="3" t="inlineStr">
        <is>
          <t>护甲</t>
        </is>
      </c>
      <c r="S61" s="3" t="inlineStr">
        <is>
          <t>护甲</t>
        </is>
      </c>
      <c r="T61" s="3" t="inlineStr">
        <is>
          <t>以千年老刺猬皮制成，来自五毒教的邪门手艺。</t>
        </is>
      </c>
      <c r="U61" s="3" t="inlineStr">
        <is>
          <t>是</t>
        </is>
      </c>
      <c r="V61" s="3" t="inlineStr">
        <is>
          <t>否</t>
        </is>
      </c>
      <c r="W61" s="3" t="inlineStr">
        <is>
          <t>equip_ruanweijia.png</t>
        </is>
      </c>
      <c r="X61" s="3" t="inlineStr"/>
      <c r="Y61" s="3" t="inlineStr">
        <is>
          <t>equip_armor</t>
        </is>
      </c>
      <c r="Z61" s="3" t="inlineStr"/>
      <c r="AA61" s="3" t="inlineStr">
        <is>
          <t>无</t>
        </is>
      </c>
      <c r="AB61" s="3" t="inlineStr">
        <is>
          <t>否</t>
        </is>
      </c>
      <c r="AC61" s="3" t="inlineStr">
        <is>
          <t>否</t>
        </is>
      </c>
      <c r="AD61" s="3" t="inlineStr"/>
      <c r="AE61" s="3" t="inlineStr">
        <is>
          <t>任务宝箱装备；竞技场随机兑换</t>
        </is>
      </c>
      <c r="AF61" s="3" t="inlineStr">
        <is>
          <t>{"hp":665,"defense":46,"force":8,"agility":28}</t>
        </is>
      </c>
      <c r="AG61" s="3" t="inlineStr">
        <is>
          <t>data/item_templates.yaml:L4262</t>
        </is>
      </c>
    </row>
    <row r="62" hidden="1">
      <c r="A62" s="3" t="n">
        <v>61</v>
      </c>
      <c r="B62" s="3" t="inlineStr">
        <is>
          <t>equip_buxie</t>
        </is>
      </c>
      <c r="C62" s="3" t="inlineStr">
        <is>
          <t>布鞋</t>
        </is>
      </c>
      <c r="D62" s="3" t="n">
        <v>100</v>
      </c>
      <c r="E62" s="3" t="n">
        <v>50</v>
      </c>
      <c r="F62" s="3" t="n">
        <v>80</v>
      </c>
      <c r="G62" s="3" t="n">
        <v>4</v>
      </c>
      <c r="H62" s="3" t="n">
        <v>0</v>
      </c>
      <c r="I62" s="3" t="n">
        <v>4</v>
      </c>
      <c r="J62" s="3" t="n">
        <v>6</v>
      </c>
      <c r="K62" s="3" t="n">
        <v>0</v>
      </c>
      <c r="L62" s="3" t="n">
        <v>0</v>
      </c>
      <c r="M62" s="6">
        <f>F62/54+G62+H62+I62+J62+L62*1.2+K62/2</f>
        <v>15.481481481481481</v>
      </c>
      <c r="N62" s="3" t="inlineStr">
        <is>
          <t>无</t>
        </is>
      </c>
      <c r="O62" s="3" t="inlineStr">
        <is>
          <t>无</t>
        </is>
      </c>
      <c r="P62" s="3" t="inlineStr">
        <is>
          <t>black</t>
        </is>
      </c>
      <c r="Q62" s="3" t="inlineStr">
        <is>
          <t>普通/白</t>
        </is>
      </c>
      <c r="R62" s="3" t="inlineStr">
        <is>
          <t>鞋子</t>
        </is>
      </c>
      <c r="S62" s="3" t="inlineStr">
        <is>
          <t>鞋子</t>
        </is>
      </c>
      <c r="T62" s="3" t="inlineStr">
        <is>
          <t>手工缝制的布鞋，价格和质量一样低劣。</t>
        </is>
      </c>
      <c r="U62" s="3" t="inlineStr">
        <is>
          <t>是</t>
        </is>
      </c>
      <c r="V62" s="3" t="inlineStr">
        <is>
          <t>否</t>
        </is>
      </c>
      <c r="W62" s="3" t="inlineStr">
        <is>
          <t>equip_buxie.png</t>
        </is>
      </c>
      <c r="X62" s="3" t="inlineStr"/>
      <c r="Y62" s="3" t="inlineStr">
        <is>
          <t>equip_shoes</t>
        </is>
      </c>
      <c r="Z62" s="3" t="inlineStr"/>
      <c r="AA62" s="3" t="inlineStr">
        <is>
          <t>无</t>
        </is>
      </c>
      <c r="AB62" s="3" t="inlineStr">
        <is>
          <t>是</t>
        </is>
      </c>
      <c r="AC62" s="3" t="inlineStr">
        <is>
          <t>否</t>
        </is>
      </c>
      <c r="AD62" s="3" t="inlineStr"/>
      <c r="AE62" s="3" t="inlineStr">
        <is>
          <t>商铺购买；宝箱随机装备；铁匠铺直接锻造</t>
        </is>
      </c>
      <c r="AF62" s="3" t="inlineStr">
        <is>
          <t>{"hp":80,"defense":4,"intellect":4,"agility":6}</t>
        </is>
      </c>
      <c r="AG62" s="3" t="inlineStr">
        <is>
          <t>data/item_templates.yaml:L4281</t>
        </is>
      </c>
    </row>
    <row r="63" hidden="1">
      <c r="A63" s="3" t="n">
        <v>62</v>
      </c>
      <c r="B63" s="3" t="inlineStr">
        <is>
          <t>equip_caoxie</t>
        </is>
      </c>
      <c r="C63" s="3" t="inlineStr">
        <is>
          <t>草鞋</t>
        </is>
      </c>
      <c r="D63" s="3" t="n">
        <v>0</v>
      </c>
      <c r="E63" s="3" t="n">
        <v>50</v>
      </c>
      <c r="F63" s="3" t="n">
        <v>200</v>
      </c>
      <c r="G63" s="3" t="n">
        <v>5</v>
      </c>
      <c r="H63" s="3" t="n">
        <v>0</v>
      </c>
      <c r="I63" s="3" t="n">
        <v>0</v>
      </c>
      <c r="J63" s="3" t="n">
        <v>10</v>
      </c>
      <c r="K63" s="3" t="n">
        <v>0</v>
      </c>
      <c r="L63" s="3" t="n">
        <v>0</v>
      </c>
      <c r="M63" s="6">
        <f>F63/54+G63+H63+I63+J63+L63*1.2+K63/2</f>
        <v>18.703703703703702</v>
      </c>
      <c r="N63" s="3" t="inlineStr">
        <is>
          <t>一蓑烟雨</t>
        </is>
      </c>
      <c r="O63" s="3" t="inlineStr">
        <is>
          <t>一蓑烟雨4件: 生命+200、武力+20、带兵上限+20、运势+15</t>
        </is>
      </c>
      <c r="P63" s="3" t="inlineStr">
        <is>
          <t>black</t>
        </is>
      </c>
      <c r="Q63" s="3" t="inlineStr">
        <is>
          <t>普通/白</t>
        </is>
      </c>
      <c r="R63" s="3" t="inlineStr">
        <is>
          <t>鞋子</t>
        </is>
      </c>
      <c r="S63" s="3" t="inlineStr">
        <is>
          <t>鞋子</t>
        </is>
      </c>
      <c r="T63" s="3" t="inlineStr">
        <is>
          <t>由稻草编织而成的鞋子，透水但也透气。</t>
        </is>
      </c>
      <c r="U63" s="3" t="inlineStr">
        <is>
          <t>否</t>
        </is>
      </c>
      <c r="V63" s="3" t="inlineStr">
        <is>
          <t>否</t>
        </is>
      </c>
      <c r="W63" s="3" t="inlineStr">
        <is>
          <t>equip_caoxie.png</t>
        </is>
      </c>
      <c r="X63" s="3" t="inlineStr"/>
      <c r="Y63" s="3" t="inlineStr">
        <is>
          <t>equip_shoes</t>
        </is>
      </c>
      <c r="Z63" s="3" t="inlineStr">
        <is>
          <t>starter_cloth_set</t>
        </is>
      </c>
      <c r="AA63" s="3" t="inlineStr">
        <is>
          <t>无</t>
        </is>
      </c>
      <c r="AB63" s="3" t="inlineStr">
        <is>
          <t>否</t>
        </is>
      </c>
      <c r="AC63" s="3" t="inlineStr">
        <is>
          <t>否</t>
        </is>
      </c>
      <c r="AD63" s="3" t="inlineStr"/>
      <c r="AE63" s="3" t="inlineStr">
        <is>
          <t>宝箱随机装备</t>
        </is>
      </c>
      <c r="AF63" s="3" t="inlineStr">
        <is>
          <t>{"hp":200,"defense":5,"agility":10,"set_key":"starter_cloth_set","set_description":"一蓑烟雨","set_bonus":{"pieces":4,"bonus":{"hp":200,"force":20,"troop_capacity":20,"luck":15}}}</t>
        </is>
      </c>
      <c r="AG63" s="3" t="inlineStr">
        <is>
          <t>data/item_templates.yaml:L3287</t>
        </is>
      </c>
    </row>
    <row r="64" hidden="1">
      <c r="A64" s="3" t="n">
        <v>63</v>
      </c>
      <c r="B64" s="3" t="inlineStr">
        <is>
          <t>equip_mabuxue</t>
        </is>
      </c>
      <c r="C64" s="3" t="inlineStr">
        <is>
          <t>麻布靴</t>
        </is>
      </c>
      <c r="D64" s="3" t="n">
        <v>200</v>
      </c>
      <c r="E64" s="3" t="n">
        <v>50</v>
      </c>
      <c r="F64" s="3" t="n">
        <v>150</v>
      </c>
      <c r="G64" s="3" t="n">
        <v>8</v>
      </c>
      <c r="H64" s="3" t="n">
        <v>0</v>
      </c>
      <c r="I64" s="3" t="n">
        <v>5</v>
      </c>
      <c r="J64" s="3" t="n">
        <v>6</v>
      </c>
      <c r="K64" s="3" t="n">
        <v>0</v>
      </c>
      <c r="L64" s="3" t="n">
        <v>0</v>
      </c>
      <c r="M64" s="6">
        <f>F64/54+G64+H64+I64+J64+L64*1.2+K64/2</f>
        <v>21.77777777777778</v>
      </c>
      <c r="N64" s="3" t="inlineStr">
        <is>
          <t>无</t>
        </is>
      </c>
      <c r="O64" s="3" t="inlineStr">
        <is>
          <t>无</t>
        </is>
      </c>
      <c r="P64" s="3" t="inlineStr">
        <is>
          <t>black</t>
        </is>
      </c>
      <c r="Q64" s="3" t="inlineStr">
        <is>
          <t>普通/白</t>
        </is>
      </c>
      <c r="R64" s="3" t="inlineStr">
        <is>
          <t>鞋子</t>
        </is>
      </c>
      <c r="S64" s="3" t="inlineStr">
        <is>
          <t>鞋子</t>
        </is>
      </c>
      <c r="T64" s="3" t="inlineStr">
        <is>
          <t>军中士卒的标配鞋履，耐穿且易于大量制作。</t>
        </is>
      </c>
      <c r="U64" s="3" t="inlineStr">
        <is>
          <t>是</t>
        </is>
      </c>
      <c r="V64" s="3" t="inlineStr">
        <is>
          <t>否</t>
        </is>
      </c>
      <c r="W64" s="3" t="inlineStr">
        <is>
          <t>equip_mabuxue.png</t>
        </is>
      </c>
      <c r="X64" s="3" t="inlineStr"/>
      <c r="Y64" s="3" t="inlineStr">
        <is>
          <t>equip_shoes</t>
        </is>
      </c>
      <c r="Z64" s="3" t="inlineStr"/>
      <c r="AA64" s="3" t="inlineStr">
        <is>
          <t>无</t>
        </is>
      </c>
      <c r="AB64" s="3" t="inlineStr">
        <is>
          <t>否</t>
        </is>
      </c>
      <c r="AC64" s="3" t="inlineStr">
        <is>
          <t>否</t>
        </is>
      </c>
      <c r="AD64" s="3" t="inlineStr"/>
      <c r="AE64" s="3" t="inlineStr">
        <is>
          <t>宝箱随机装备</t>
        </is>
      </c>
      <c r="AF64" s="3" t="inlineStr">
        <is>
          <t>{"hp":150,"defense":8,"intellect":5,"agility":6}</t>
        </is>
      </c>
      <c r="AG64" s="3" t="inlineStr">
        <is>
          <t>data/item_templates.yaml:L4341</t>
        </is>
      </c>
    </row>
    <row r="65" hidden="1">
      <c r="A65" s="3" t="n">
        <v>64</v>
      </c>
      <c r="B65" s="3" t="inlineStr">
        <is>
          <t>equip_yangpixue</t>
        </is>
      </c>
      <c r="C65" s="3" t="inlineStr">
        <is>
          <t>羊皮靴</t>
        </is>
      </c>
      <c r="D65" s="3" t="n">
        <v>300</v>
      </c>
      <c r="E65" s="3" t="n">
        <v>50</v>
      </c>
      <c r="F65" s="3" t="n">
        <v>120</v>
      </c>
      <c r="G65" s="3" t="n">
        <v>2</v>
      </c>
      <c r="H65" s="3" t="n">
        <v>4</v>
      </c>
      <c r="I65" s="3" t="n">
        <v>0</v>
      </c>
      <c r="J65" s="3" t="n">
        <v>8</v>
      </c>
      <c r="K65" s="3" t="n">
        <v>0</v>
      </c>
      <c r="L65" s="3" t="n">
        <v>0</v>
      </c>
      <c r="M65" s="6">
        <f>F65/54+G65+H65+I65+J65+L65*1.2+K65/2</f>
        <v>16.22222222222222</v>
      </c>
      <c r="N65" s="3" t="inlineStr">
        <is>
          <t>无</t>
        </is>
      </c>
      <c r="O65" s="3" t="inlineStr">
        <is>
          <t>无</t>
        </is>
      </c>
      <c r="P65" s="3" t="inlineStr">
        <is>
          <t>black</t>
        </is>
      </c>
      <c r="Q65" s="3" t="inlineStr">
        <is>
          <t>普通/白</t>
        </is>
      </c>
      <c r="R65" s="3" t="inlineStr">
        <is>
          <t>鞋子</t>
        </is>
      </c>
      <c r="S65" s="3" t="inlineStr">
        <is>
          <t>鞋子</t>
        </is>
      </c>
      <c r="T65" s="3" t="inlineStr">
        <is>
          <t>羔皮做的短靴，看来相当结实。</t>
        </is>
      </c>
      <c r="U65" s="3" t="inlineStr">
        <is>
          <t>是</t>
        </is>
      </c>
      <c r="V65" s="3" t="inlineStr">
        <is>
          <t>否</t>
        </is>
      </c>
      <c r="W65" s="3" t="inlineStr">
        <is>
          <t>equip_yangpixue.png</t>
        </is>
      </c>
      <c r="X65" s="3" t="inlineStr"/>
      <c r="Y65" s="3" t="inlineStr">
        <is>
          <t>equip_shoes</t>
        </is>
      </c>
      <c r="Z65" s="3" t="inlineStr"/>
      <c r="AA65" s="3" t="inlineStr">
        <is>
          <t>无</t>
        </is>
      </c>
      <c r="AB65" s="3" t="inlineStr">
        <is>
          <t>是</t>
        </is>
      </c>
      <c r="AC65" s="3" t="inlineStr">
        <is>
          <t>否</t>
        </is>
      </c>
      <c r="AD65" s="3" t="inlineStr"/>
      <c r="AE65" s="3" t="inlineStr">
        <is>
          <t>商铺购买；宝箱随机装备；铁匠铺直接锻造</t>
        </is>
      </c>
      <c r="AF65" s="3" t="inlineStr">
        <is>
          <t>{"hp":120,"defense":2,"force":4,"agility":8}</t>
        </is>
      </c>
      <c r="AG65" s="3" t="inlineStr">
        <is>
          <t>data/item_templates.yaml:L4296</t>
        </is>
      </c>
    </row>
    <row r="66" hidden="1">
      <c r="A66" s="3" t="n">
        <v>65</v>
      </c>
      <c r="B66" s="3" t="inlineStr">
        <is>
          <t>equip_gangpianxue</t>
        </is>
      </c>
      <c r="C66" s="3" t="inlineStr">
        <is>
          <t>钢片靴</t>
        </is>
      </c>
      <c r="D66" s="3" t="n">
        <v>800</v>
      </c>
      <c r="E66" s="3" t="n">
        <v>75</v>
      </c>
      <c r="F66" s="3" t="n">
        <v>240</v>
      </c>
      <c r="G66" s="3" t="n">
        <v>8</v>
      </c>
      <c r="H66" s="3" t="n">
        <v>4</v>
      </c>
      <c r="I66" s="3" t="n">
        <v>0</v>
      </c>
      <c r="J66" s="3" t="n">
        <v>10</v>
      </c>
      <c r="K66" s="3" t="n">
        <v>0</v>
      </c>
      <c r="L66" s="3" t="n">
        <v>0</v>
      </c>
      <c r="M66" s="6">
        <f>F66/54+G66+H66+I66+J66+L66*1.2+K66/2</f>
        <v>26.444444444444443</v>
      </c>
      <c r="N66" s="3" t="inlineStr">
        <is>
          <t>无</t>
        </is>
      </c>
      <c r="O66" s="3" t="inlineStr">
        <is>
          <t>无</t>
        </is>
      </c>
      <c r="P66" s="3" t="inlineStr">
        <is>
          <t>green</t>
        </is>
      </c>
      <c r="Q66" s="3" t="inlineStr">
        <is>
          <t>优秀/绿</t>
        </is>
      </c>
      <c r="R66" s="3" t="inlineStr">
        <is>
          <t>鞋子</t>
        </is>
      </c>
      <c r="S66" s="3" t="inlineStr">
        <is>
          <t>鞋子</t>
        </is>
      </c>
      <c r="T66" s="3" t="inlineStr">
        <is>
          <t>缀有薄钢片的短靴，虽然笨重些，却牢固了不少。</t>
        </is>
      </c>
      <c r="U66" s="3" t="inlineStr">
        <is>
          <t>是</t>
        </is>
      </c>
      <c r="V66" s="3" t="inlineStr">
        <is>
          <t>否</t>
        </is>
      </c>
      <c r="W66" s="3" t="inlineStr">
        <is>
          <t>equip_gangpianxue.png</t>
        </is>
      </c>
      <c r="X66" s="3" t="inlineStr"/>
      <c r="Y66" s="3" t="inlineStr">
        <is>
          <t>equip_shoes</t>
        </is>
      </c>
      <c r="Z66" s="3" t="inlineStr"/>
      <c r="AA66" s="3" t="inlineStr">
        <is>
          <t>无</t>
        </is>
      </c>
      <c r="AB66" s="3" t="inlineStr">
        <is>
          <t>是</t>
        </is>
      </c>
      <c r="AC66" s="3" t="inlineStr">
        <is>
          <t>否</t>
        </is>
      </c>
      <c r="AD66" s="3" t="inlineStr"/>
      <c r="AE66" s="3" t="inlineStr">
        <is>
          <t>商铺购买；宝箱随机装备；铁匠铺直接锻造</t>
        </is>
      </c>
      <c r="AF66" s="3" t="inlineStr">
        <is>
          <t>{"hp":240,"defense":8,"force":4,"agility":10}</t>
        </is>
      </c>
      <c r="AG66" s="3" t="inlineStr">
        <is>
          <t>data/item_templates.yaml:L4311</t>
        </is>
      </c>
    </row>
    <row r="67" hidden="1" ht="13" customHeight="1">
      <c r="A67" s="3" t="n">
        <v>66</v>
      </c>
      <c r="B67" s="3" t="inlineStr">
        <is>
          <t>equip_hupixue</t>
        </is>
      </c>
      <c r="C67" s="3" t="inlineStr">
        <is>
          <t>虎皮靴</t>
        </is>
      </c>
      <c r="D67" s="3" t="n">
        <v>2000</v>
      </c>
      <c r="E67" s="3" t="n">
        <v>75</v>
      </c>
      <c r="F67" s="3" t="n">
        <v>300</v>
      </c>
      <c r="G67" s="3" t="n">
        <v>5</v>
      </c>
      <c r="H67" s="3" t="n">
        <v>10</v>
      </c>
      <c r="I67" s="3" t="n">
        <v>0</v>
      </c>
      <c r="J67" s="3" t="n">
        <v>15</v>
      </c>
      <c r="K67" s="3" t="n">
        <v>0</v>
      </c>
      <c r="L67" s="3" t="n">
        <v>0</v>
      </c>
      <c r="M67" s="6">
        <f>F67/54+G67+H67+I67+J67+L67*1.2+K67/2</f>
        <v>35.55555555555556</v>
      </c>
      <c r="N67" s="3" t="inlineStr">
        <is>
          <t>无</t>
        </is>
      </c>
      <c r="O67" s="3" t="inlineStr">
        <is>
          <t>无</t>
        </is>
      </c>
      <c r="P67" s="3" t="inlineStr">
        <is>
          <t>green</t>
        </is>
      </c>
      <c r="Q67" s="3" t="inlineStr">
        <is>
          <t>优秀/绿</t>
        </is>
      </c>
      <c r="R67" s="3" t="inlineStr">
        <is>
          <t>鞋子</t>
        </is>
      </c>
      <c r="S67" s="3" t="inlineStr">
        <is>
          <t>鞋子</t>
        </is>
      </c>
      <c r="T67" s="3" t="inlineStr">
        <is>
          <t>以猛虎皮革制成，相传是某位打虎英雄的战利品。</t>
        </is>
      </c>
      <c r="U67" s="3" t="inlineStr">
        <is>
          <t>是</t>
        </is>
      </c>
      <c r="V67" s="3" t="inlineStr">
        <is>
          <t>否</t>
        </is>
      </c>
      <c r="W67" s="3" t="inlineStr">
        <is>
          <t>equip_hupixue.png</t>
        </is>
      </c>
      <c r="X67" s="3" t="inlineStr"/>
      <c r="Y67" s="3" t="inlineStr">
        <is>
          <t>equip_shoes</t>
        </is>
      </c>
      <c r="Z67" s="3" t="inlineStr"/>
      <c r="AA67" s="3" t="inlineStr">
        <is>
          <t>无</t>
        </is>
      </c>
      <c r="AB67" s="3" t="inlineStr">
        <is>
          <t>否</t>
        </is>
      </c>
      <c r="AC67" s="3" t="inlineStr">
        <is>
          <t>否</t>
        </is>
      </c>
      <c r="AD67" s="3" t="inlineStr"/>
      <c r="AE67" s="3" t="inlineStr">
        <is>
          <t>任务宝箱装备</t>
        </is>
      </c>
      <c r="AF67" s="3" t="inlineStr">
        <is>
          <t>{"hp":300,"defense":5,"force":10,"agility":15}</t>
        </is>
      </c>
      <c r="AG67" s="3" t="inlineStr">
        <is>
          <t>data/item_templates.yaml:L4358</t>
        </is>
      </c>
    </row>
    <row r="68" hidden="1">
      <c r="A68" s="3" t="n">
        <v>67</v>
      </c>
      <c r="B68" s="3" t="inlineStr">
        <is>
          <t>equip_jifengxue</t>
        </is>
      </c>
      <c r="C68" s="3" t="inlineStr">
        <is>
          <t>疾风靴</t>
        </is>
      </c>
      <c r="D68" s="3" t="n">
        <v>2500</v>
      </c>
      <c r="E68" s="3" t="n">
        <v>75</v>
      </c>
      <c r="F68" s="3" t="n">
        <v>240</v>
      </c>
      <c r="G68" s="3" t="n">
        <v>10</v>
      </c>
      <c r="H68" s="3" t="n">
        <v>0</v>
      </c>
      <c r="I68" s="3" t="n">
        <v>0</v>
      </c>
      <c r="J68" s="3" t="n">
        <v>25</v>
      </c>
      <c r="K68" s="3" t="n">
        <v>0</v>
      </c>
      <c r="L68" s="3" t="n">
        <v>0</v>
      </c>
      <c r="M68" s="6">
        <f>F68/54+G68+H68+I68+J68+L68*1.2+K68/2</f>
        <v>39.44444444444444</v>
      </c>
      <c r="N68" s="3" t="inlineStr">
        <is>
          <t>无</t>
        </is>
      </c>
      <c r="O68" s="3" t="inlineStr">
        <is>
          <t>无</t>
        </is>
      </c>
      <c r="P68" s="3" t="inlineStr">
        <is>
          <t>green</t>
        </is>
      </c>
      <c r="Q68" s="3" t="inlineStr">
        <is>
          <t>优秀/绿</t>
        </is>
      </c>
      <c r="R68" s="3" t="inlineStr">
        <is>
          <t>鞋子</t>
        </is>
      </c>
      <c r="S68" s="3" t="inlineStr">
        <is>
          <t>鞋子</t>
        </is>
      </c>
      <c r="T68" s="3" t="inlineStr">
        <is>
          <t>神行太保戴宗的弟子所制，暗藏甲马神行之术。</t>
        </is>
      </c>
      <c r="U68" s="3" t="inlineStr">
        <is>
          <t>是</t>
        </is>
      </c>
      <c r="V68" s="3" t="inlineStr">
        <is>
          <t>否</t>
        </is>
      </c>
      <c r="W68" s="3" t="inlineStr">
        <is>
          <t>equip_jifengxue.png</t>
        </is>
      </c>
      <c r="X68" s="3" t="inlineStr"/>
      <c r="Y68" s="3" t="inlineStr">
        <is>
          <t>equip_shoes</t>
        </is>
      </c>
      <c r="Z68" s="3" t="inlineStr"/>
      <c r="AA68" s="3" t="inlineStr">
        <is>
          <t>无</t>
        </is>
      </c>
      <c r="AB68" s="3" t="inlineStr">
        <is>
          <t>否</t>
        </is>
      </c>
      <c r="AC68" s="3" t="inlineStr">
        <is>
          <t>否</t>
        </is>
      </c>
      <c r="AD68" s="3" t="inlineStr"/>
      <c r="AE68" s="3" t="inlineStr">
        <is>
          <t>任务宝箱装备</t>
        </is>
      </c>
      <c r="AF68" s="3" t="inlineStr">
        <is>
          <t>{"hp":240,"defense":10,"agility":25}</t>
        </is>
      </c>
      <c r="AG68" s="3" t="inlineStr">
        <is>
          <t>data/item_templates.yaml:L4388</t>
        </is>
      </c>
    </row>
    <row r="69" hidden="1">
      <c r="A69" s="3" t="n">
        <v>68</v>
      </c>
      <c r="B69" s="3" t="inlineStr">
        <is>
          <t>equip_nichangwuxie</t>
        </is>
      </c>
      <c r="C69" s="3" t="inlineStr">
        <is>
          <t>霓裳舞鞋</t>
        </is>
      </c>
      <c r="D69" s="3" t="n">
        <v>2400</v>
      </c>
      <c r="E69" s="3" t="n">
        <v>75</v>
      </c>
      <c r="F69" s="3" t="n">
        <v>150</v>
      </c>
      <c r="G69" s="3" t="n">
        <v>5</v>
      </c>
      <c r="H69" s="3" t="n">
        <v>0</v>
      </c>
      <c r="I69" s="3" t="n">
        <v>10</v>
      </c>
      <c r="J69" s="3" t="n">
        <v>20</v>
      </c>
      <c r="K69" s="3" t="n">
        <v>0</v>
      </c>
      <c r="L69" s="3" t="n">
        <v>0</v>
      </c>
      <c r="M69" s="6">
        <f>F69/54+G69+H69+I69+J69+L69*1.2+K69/2</f>
        <v>37.77777777777778</v>
      </c>
      <c r="N69" s="3" t="inlineStr">
        <is>
          <t>霓裳</t>
        </is>
      </c>
      <c r="O69" s="3" t="inlineStr">
        <is>
          <t>霓裳3件: 生命+150、智力+20、敏捷+10、运势+15</t>
        </is>
      </c>
      <c r="P69" s="3" t="inlineStr">
        <is>
          <t>green</t>
        </is>
      </c>
      <c r="Q69" s="3" t="inlineStr">
        <is>
          <t>优秀/绿</t>
        </is>
      </c>
      <c r="R69" s="3" t="inlineStr">
        <is>
          <t>鞋子</t>
        </is>
      </c>
      <c r="S69" s="3" t="inlineStr">
        <is>
          <t>鞋子</t>
        </is>
      </c>
      <c r="T69" s="3" t="inlineStr">
        <is>
          <t>鞋底柔韧而稳，鞋面缀有彩羽流纹，既便于腾挪闪转，也能稳住长途奔袭时的气息。</t>
        </is>
      </c>
      <c r="U69" s="3" t="inlineStr">
        <is>
          <t>是</t>
        </is>
      </c>
      <c r="V69" s="3" t="inlineStr">
        <is>
          <t>否</t>
        </is>
      </c>
      <c r="W69" s="3" t="inlineStr">
        <is>
          <t>equip_nichangwuxie.png</t>
        </is>
      </c>
      <c r="X69" s="3" t="inlineStr"/>
      <c r="Y69" s="3" t="inlineStr">
        <is>
          <t>equip_shoes</t>
        </is>
      </c>
      <c r="Z69" s="3" t="inlineStr">
        <is>
          <t>nichang_set</t>
        </is>
      </c>
      <c r="AA69" s="3" t="inlineStr">
        <is>
          <t>无</t>
        </is>
      </c>
      <c r="AB69" s="3" t="inlineStr">
        <is>
          <t>否</t>
        </is>
      </c>
      <c r="AC69" s="3" t="inlineStr">
        <is>
          <t>否</t>
        </is>
      </c>
      <c r="AD69" s="3" t="inlineStr"/>
      <c r="AE69" s="3" t="inlineStr">
        <is>
          <t>任务宝箱装备</t>
        </is>
      </c>
      <c r="AF69" s="3" t="inlineStr">
        <is>
          <t>{"hp":150,"defense":5,"intellect":10,"agility":20,"set_key":"nichang_set","set_description":"霓裳","set_bonus":{"pieces":3,"bonus":{"hp":150,"intellect":20,"agility":10,"luck":15}}}</t>
        </is>
      </c>
      <c r="AG69" s="3" t="inlineStr">
        <is>
          <t>data/item_templates.yaml:L4432</t>
        </is>
      </c>
    </row>
    <row r="70" hidden="1">
      <c r="A70" s="3" t="n">
        <v>69</v>
      </c>
      <c r="B70" s="3" t="inlineStr">
        <is>
          <t>equip_tayunxue</t>
        </is>
      </c>
      <c r="C70" s="3" t="inlineStr">
        <is>
          <t>踏云靴</t>
        </is>
      </c>
      <c r="D70" s="3" t="n">
        <v>2200</v>
      </c>
      <c r="E70" s="3" t="n">
        <v>75</v>
      </c>
      <c r="F70" s="3" t="n">
        <v>100</v>
      </c>
      <c r="G70" s="3" t="n">
        <v>5</v>
      </c>
      <c r="H70" s="3" t="n">
        <v>5</v>
      </c>
      <c r="I70" s="3" t="n">
        <v>0</v>
      </c>
      <c r="J70" s="3" t="n">
        <v>25</v>
      </c>
      <c r="K70" s="3" t="n">
        <v>0</v>
      </c>
      <c r="L70" s="3" t="n">
        <v>0</v>
      </c>
      <c r="M70" s="6">
        <f>F70/54+G70+H70+I70+J70+L70*1.2+K70/2</f>
        <v>36.85185185185185</v>
      </c>
      <c r="N70" s="3" t="inlineStr">
        <is>
          <t>无</t>
        </is>
      </c>
      <c r="O70" s="3" t="inlineStr">
        <is>
          <t>无</t>
        </is>
      </c>
      <c r="P70" s="3" t="inlineStr">
        <is>
          <t>green</t>
        </is>
      </c>
      <c r="Q70" s="3" t="inlineStr">
        <is>
          <t>优秀/绿</t>
        </is>
      </c>
      <c r="R70" s="3" t="inlineStr">
        <is>
          <t>鞋子</t>
        </is>
      </c>
      <c r="S70" s="3" t="inlineStr">
        <is>
          <t>鞋子</t>
        </is>
      </c>
      <c r="T70" s="3" t="inlineStr">
        <is>
          <t>道门弟子修行所穿，相传踏云子祖师曾穿此靴登仙。</t>
        </is>
      </c>
      <c r="U70" s="3" t="inlineStr">
        <is>
          <t>是</t>
        </is>
      </c>
      <c r="V70" s="3" t="inlineStr">
        <is>
          <t>否</t>
        </is>
      </c>
      <c r="W70" s="3" t="inlineStr">
        <is>
          <t>equip_tayunxue.png</t>
        </is>
      </c>
      <c r="X70" s="3" t="inlineStr"/>
      <c r="Y70" s="3" t="inlineStr">
        <is>
          <t>equip_shoes</t>
        </is>
      </c>
      <c r="Z70" s="3" t="inlineStr"/>
      <c r="AA70" s="3" t="inlineStr">
        <is>
          <t>无</t>
        </is>
      </c>
      <c r="AB70" s="3" t="inlineStr">
        <is>
          <t>否</t>
        </is>
      </c>
      <c r="AC70" s="3" t="inlineStr">
        <is>
          <t>否</t>
        </is>
      </c>
      <c r="AD70" s="3" t="inlineStr"/>
      <c r="AE70" s="3" t="inlineStr">
        <is>
          <t>任务宝箱装备</t>
        </is>
      </c>
      <c r="AF70" s="3" t="inlineStr">
        <is>
          <t>{"hp":100,"defense":5,"force":5,"agility":25}</t>
        </is>
      </c>
      <c r="AG70" s="3" t="inlineStr">
        <is>
          <t>data/item_templates.yaml:L4373</t>
        </is>
      </c>
    </row>
    <row r="71" hidden="1">
      <c r="A71" s="3" t="n">
        <v>70</v>
      </c>
      <c r="B71" s="3" t="inlineStr">
        <is>
          <t>equip_yanyuxue</t>
        </is>
      </c>
      <c r="C71" s="3" t="inlineStr">
        <is>
          <t>燕羽靴</t>
        </is>
      </c>
      <c r="D71" s="3" t="n">
        <v>1500</v>
      </c>
      <c r="E71" s="3" t="n">
        <v>75</v>
      </c>
      <c r="F71" s="3" t="n">
        <v>160</v>
      </c>
      <c r="G71" s="3" t="n">
        <v>8</v>
      </c>
      <c r="H71" s="3" t="n">
        <v>4</v>
      </c>
      <c r="I71" s="3" t="n">
        <v>0</v>
      </c>
      <c r="J71" s="3" t="n">
        <v>14</v>
      </c>
      <c r="K71" s="3" t="n">
        <v>0</v>
      </c>
      <c r="L71" s="3" t="n">
        <v>0</v>
      </c>
      <c r="M71" s="6">
        <f>F71/54+G71+H71+I71+J71+L71*1.2+K71/2</f>
        <v>28.962962962962962</v>
      </c>
      <c r="N71" s="3" t="inlineStr">
        <is>
          <t>无</t>
        </is>
      </c>
      <c r="O71" s="3" t="inlineStr">
        <is>
          <t>无</t>
        </is>
      </c>
      <c r="P71" s="3" t="inlineStr">
        <is>
          <t>green</t>
        </is>
      </c>
      <c r="Q71" s="3" t="inlineStr">
        <is>
          <t>优秀/绿</t>
        </is>
      </c>
      <c r="R71" s="3" t="inlineStr">
        <is>
          <t>鞋子</t>
        </is>
      </c>
      <c r="S71" s="3" t="inlineStr">
        <is>
          <t>鞋子</t>
        </is>
      </c>
      <c r="T71" s="3" t="inlineStr">
        <is>
          <t>非常轻快的薄底靴，有燕子样轻灵的感觉。</t>
        </is>
      </c>
      <c r="U71" s="3" t="inlineStr">
        <is>
          <t>是</t>
        </is>
      </c>
      <c r="V71" s="3" t="inlineStr">
        <is>
          <t>否</t>
        </is>
      </c>
      <c r="W71" s="3" t="inlineStr">
        <is>
          <t>equip_yanyuxue.png</t>
        </is>
      </c>
      <c r="X71" s="3" t="inlineStr"/>
      <c r="Y71" s="3" t="inlineStr">
        <is>
          <t>equip_shoes</t>
        </is>
      </c>
      <c r="Z71" s="3" t="inlineStr"/>
      <c r="AA71" s="3" t="inlineStr">
        <is>
          <t>无</t>
        </is>
      </c>
      <c r="AB71" s="3" t="inlineStr">
        <is>
          <t>是</t>
        </is>
      </c>
      <c r="AC71" s="3" t="inlineStr">
        <is>
          <t>否</t>
        </is>
      </c>
      <c r="AD71" s="3" t="inlineStr"/>
      <c r="AE71" s="3" t="inlineStr">
        <is>
          <t>商铺购买；宝箱随机装备；铁匠铺直接锻造</t>
        </is>
      </c>
      <c r="AF71" s="3" t="inlineStr">
        <is>
          <t>{"hp":160,"defense":8,"force":4,"agility":14}</t>
        </is>
      </c>
      <c r="AG71" s="3" t="inlineStr">
        <is>
          <t>data/item_templates.yaml:L4326</t>
        </is>
      </c>
    </row>
    <row r="72" hidden="1">
      <c r="A72" s="3" t="n">
        <v>71</v>
      </c>
      <c r="B72" s="3" t="inlineStr">
        <is>
          <t>equip_youxiaxue</t>
        </is>
      </c>
      <c r="C72" s="3" t="inlineStr">
        <is>
          <t>游侠靴</t>
        </is>
      </c>
      <c r="D72" s="3" t="n">
        <v>2300</v>
      </c>
      <c r="E72" s="3" t="n">
        <v>75</v>
      </c>
      <c r="F72" s="3" t="n">
        <v>200</v>
      </c>
      <c r="G72" s="3" t="n">
        <v>5</v>
      </c>
      <c r="H72" s="3" t="n">
        <v>10</v>
      </c>
      <c r="I72" s="3" t="n">
        <v>0</v>
      </c>
      <c r="J72" s="3" t="n">
        <v>20</v>
      </c>
      <c r="K72" s="3" t="n">
        <v>0</v>
      </c>
      <c r="L72" s="3" t="n">
        <v>0</v>
      </c>
      <c r="M72" s="6">
        <f>F72/54+G72+H72+I72+J72+L72*1.2+K72/2</f>
        <v>38.7037037037037</v>
      </c>
      <c r="N72" s="3" t="inlineStr">
        <is>
          <t>无</t>
        </is>
      </c>
      <c r="O72" s="3" t="inlineStr">
        <is>
          <t>无</t>
        </is>
      </c>
      <c r="P72" s="3" t="inlineStr">
        <is>
          <t>green</t>
        </is>
      </c>
      <c r="Q72" s="3" t="inlineStr">
        <is>
          <t>优秀/绿</t>
        </is>
      </c>
      <c r="R72" s="3" t="inlineStr">
        <is>
          <t>鞋子</t>
        </is>
      </c>
      <c r="S72" s="3" t="inlineStr">
        <is>
          <t>鞋子</t>
        </is>
      </c>
      <c r="T72" s="3" t="inlineStr">
        <is>
          <t>江湖侠客们偏爱的款式，在各地驿站都能见到。</t>
        </is>
      </c>
      <c r="U72" s="3" t="inlineStr">
        <is>
          <t>是</t>
        </is>
      </c>
      <c r="V72" s="3" t="inlineStr">
        <is>
          <t>否</t>
        </is>
      </c>
      <c r="W72" s="3" t="inlineStr">
        <is>
          <t>equip_youxiaxue.png</t>
        </is>
      </c>
      <c r="X72" s="3" t="inlineStr"/>
      <c r="Y72" s="3" t="inlineStr">
        <is>
          <t>equip_shoes</t>
        </is>
      </c>
      <c r="Z72" s="3" t="inlineStr"/>
      <c r="AA72" s="3" t="inlineStr">
        <is>
          <t>无</t>
        </is>
      </c>
      <c r="AB72" s="3" t="inlineStr">
        <is>
          <t>否</t>
        </is>
      </c>
      <c r="AC72" s="3" t="inlineStr">
        <is>
          <t>否</t>
        </is>
      </c>
      <c r="AD72" s="3" t="inlineStr"/>
      <c r="AE72" s="3" t="inlineStr">
        <is>
          <t>任务宝箱装备</t>
        </is>
      </c>
      <c r="AF72" s="3" t="inlineStr">
        <is>
          <t>{"hp":200,"defense":5,"force":10,"agility":20}</t>
        </is>
      </c>
      <c r="AG72" s="3" t="inlineStr">
        <is>
          <t>data/item_templates.yaml:L4402</t>
        </is>
      </c>
    </row>
    <row r="73" hidden="1">
      <c r="A73" s="3" t="n">
        <v>72</v>
      </c>
      <c r="B73" s="3" t="inlineStr">
        <is>
          <t>equip_zhuyelu</t>
        </is>
      </c>
      <c r="C73" s="3" t="inlineStr">
        <is>
          <t>竹叶履</t>
        </is>
      </c>
      <c r="D73" s="3" t="n">
        <v>2100</v>
      </c>
      <c r="E73" s="3" t="n">
        <v>75</v>
      </c>
      <c r="F73" s="3" t="n">
        <v>100</v>
      </c>
      <c r="G73" s="3" t="n">
        <v>5</v>
      </c>
      <c r="H73" s="3" t="n">
        <v>0</v>
      </c>
      <c r="I73" s="3" t="n">
        <v>0</v>
      </c>
      <c r="J73" s="3" t="n">
        <v>20</v>
      </c>
      <c r="K73" s="3" t="n">
        <v>0</v>
      </c>
      <c r="L73" s="3" t="n">
        <v>8</v>
      </c>
      <c r="M73" s="6">
        <f>F73/54+G73+H73+I73+J73+L73*1.2+K73/2</f>
        <v>36.45185185185185</v>
      </c>
      <c r="N73" s="3" t="inlineStr">
        <is>
          <t>无</t>
        </is>
      </c>
      <c r="O73" s="3" t="inlineStr">
        <is>
          <t>无</t>
        </is>
      </c>
      <c r="P73" s="3" t="inlineStr">
        <is>
          <t>green</t>
        </is>
      </c>
      <c r="Q73" s="3" t="inlineStr">
        <is>
          <t>优秀/绿</t>
        </is>
      </c>
      <c r="R73" s="3" t="inlineStr">
        <is>
          <t>鞋子</t>
        </is>
      </c>
      <c r="S73" s="3" t="inlineStr">
        <is>
          <t>鞋子</t>
        </is>
      </c>
      <c r="T73" s="3" t="inlineStr">
        <is>
          <t>以翠竹叶片装饰的轻履，是竹林隐士的标志之物。</t>
        </is>
      </c>
      <c r="U73" s="3" t="inlineStr">
        <is>
          <t>是</t>
        </is>
      </c>
      <c r="V73" s="3" t="inlineStr">
        <is>
          <t>否</t>
        </is>
      </c>
      <c r="W73" s="3" t="inlineStr">
        <is>
          <t>equip_zhuyelu.png</t>
        </is>
      </c>
      <c r="X73" s="3" t="inlineStr"/>
      <c r="Y73" s="3" t="inlineStr">
        <is>
          <t>equip_shoes</t>
        </is>
      </c>
      <c r="Z73" s="3" t="inlineStr"/>
      <c r="AA73" s="3" t="inlineStr">
        <is>
          <t>无</t>
        </is>
      </c>
      <c r="AB73" s="3" t="inlineStr">
        <is>
          <t>否</t>
        </is>
      </c>
      <c r="AC73" s="3" t="inlineStr">
        <is>
          <t>否</t>
        </is>
      </c>
      <c r="AD73" s="3" t="inlineStr"/>
      <c r="AE73" s="3" t="inlineStr">
        <is>
          <t>任务宝箱装备；宝箱独立随机物品组</t>
        </is>
      </c>
      <c r="AF73" s="3" t="inlineStr">
        <is>
          <t>{"hp":100,"defense":5,"agility":20,"luck":8}</t>
        </is>
      </c>
      <c r="AG73" s="3" t="inlineStr">
        <is>
          <t>data/item_templates.yaml:L4417</t>
        </is>
      </c>
    </row>
    <row r="74" hidden="1">
      <c r="A74" s="3" t="n">
        <v>73</v>
      </c>
      <c r="B74" s="3" t="inlineStr">
        <is>
          <t>equip_jiaodoushizhixue</t>
        </is>
      </c>
      <c r="C74" s="3" t="inlineStr">
        <is>
          <t>角斗士之靴</t>
        </is>
      </c>
      <c r="D74" s="3" t="n">
        <v>6000</v>
      </c>
      <c r="E74" s="3" t="n">
        <v>100</v>
      </c>
      <c r="F74" s="3" t="n">
        <v>250</v>
      </c>
      <c r="G74" s="3" t="n">
        <v>16</v>
      </c>
      <c r="H74" s="3" t="n">
        <v>13</v>
      </c>
      <c r="I74" s="3" t="n">
        <v>0</v>
      </c>
      <c r="J74" s="3" t="n">
        <v>24</v>
      </c>
      <c r="K74" s="3" t="n">
        <v>0</v>
      </c>
      <c r="L74" s="3" t="n">
        <v>0</v>
      </c>
      <c r="M74" s="6">
        <f>F74/54+G74+H74+I74+J74+L74*1.2+K74/2</f>
        <v>57.62962962962963</v>
      </c>
      <c r="N74" s="3" t="inlineStr">
        <is>
          <t>角斗士套装</t>
        </is>
      </c>
      <c r="O74" s="3" t="inlineStr">
        <is>
          <t>角斗士套装4件: 生命+280、防御+10、武力+30、敏捷+15</t>
        </is>
      </c>
      <c r="P74" s="3" t="inlineStr">
        <is>
          <t>blue</t>
        </is>
      </c>
      <c r="Q74" s="3" t="inlineStr">
        <is>
          <t>稀有/蓝</t>
        </is>
      </c>
      <c r="R74" s="3" t="inlineStr">
        <is>
          <t>鞋子</t>
        </is>
      </c>
      <c r="S74" s="3" t="inlineStr">
        <is>
          <t>鞋子</t>
        </is>
      </c>
      <c r="T74" s="3" t="inlineStr">
        <is>
          <t>靴底嵌有防滑钢钉，专为近身缠斗设计，步法稳定且爆发力更强。</t>
        </is>
      </c>
      <c r="U74" s="3" t="inlineStr">
        <is>
          <t>是</t>
        </is>
      </c>
      <c r="V74" s="3" t="inlineStr">
        <is>
          <t>否</t>
        </is>
      </c>
      <c r="W74" s="3" t="inlineStr">
        <is>
          <t>equip_jiaodoushizhixue.png</t>
        </is>
      </c>
      <c r="X74" s="3" t="inlineStr"/>
      <c r="Y74" s="3" t="inlineStr">
        <is>
          <t>equip_shoes</t>
        </is>
      </c>
      <c r="Z74" s="3" t="inlineStr">
        <is>
          <t>jiaodoushi_set</t>
        </is>
      </c>
      <c r="AA74" s="3" t="inlineStr">
        <is>
          <t>无</t>
        </is>
      </c>
      <c r="AB74" s="3" t="inlineStr">
        <is>
          <t>否</t>
        </is>
      </c>
      <c r="AC74" s="3" t="inlineStr">
        <is>
          <t>否</t>
        </is>
      </c>
      <c r="AD74" s="3" t="inlineStr"/>
      <c r="AE74" s="3" t="inlineStr">
        <is>
          <t>宝箱随机装备；竞技场随机兑换</t>
        </is>
      </c>
      <c r="AF74" s="3" t="inlineStr">
        <is>
          <t>{"hp":250,"defense":16,"force":13,"agility":24,"set_key":"jiaodoushi_set","set_description":"角斗士套装","set_bonus":{"pieces":4,"bonus":{"hp":280,"defense":10,"force":30,"agility":15}}}</t>
        </is>
      </c>
      <c r="AG74" s="3" t="inlineStr">
        <is>
          <t>data/item_templates.yaml:L4479</t>
        </is>
      </c>
    </row>
    <row r="75" hidden="1">
      <c r="A75" s="3" t="n">
        <v>74</v>
      </c>
      <c r="B75" s="3" t="inlineStr">
        <is>
          <t>equip_jinlinxue</t>
        </is>
      </c>
      <c r="C75" s="3" t="inlineStr">
        <is>
          <t>金鳞靴</t>
        </is>
      </c>
      <c r="D75" s="3" t="n">
        <v>6200</v>
      </c>
      <c r="E75" s="3" t="n">
        <v>100</v>
      </c>
      <c r="F75" s="3" t="n">
        <v>200</v>
      </c>
      <c r="G75" s="3" t="n">
        <v>18</v>
      </c>
      <c r="H75" s="3" t="n">
        <v>11</v>
      </c>
      <c r="I75" s="3" t="n">
        <v>0</v>
      </c>
      <c r="J75" s="3" t="n">
        <v>26</v>
      </c>
      <c r="K75" s="3" t="n">
        <v>0</v>
      </c>
      <c r="L75" s="3" t="n">
        <v>0</v>
      </c>
      <c r="M75" s="6">
        <f>F75/54+G75+H75+I75+J75+L75*1.2+K75/2</f>
        <v>58.7037037037037</v>
      </c>
      <c r="N75" s="3" t="inlineStr">
        <is>
          <t>无</t>
        </is>
      </c>
      <c r="O75" s="3" t="inlineStr">
        <is>
          <t>无</t>
        </is>
      </c>
      <c r="P75" s="3" t="inlineStr">
        <is>
          <t>blue</t>
        </is>
      </c>
      <c r="Q75" s="3" t="inlineStr">
        <is>
          <t>稀有/蓝</t>
        </is>
      </c>
      <c r="R75" s="3" t="inlineStr">
        <is>
          <t>鞋子</t>
        </is>
      </c>
      <c r="S75" s="3" t="inlineStr">
        <is>
          <t>鞋子</t>
        </is>
      </c>
      <c r="T75" s="3" t="inlineStr">
        <is>
          <t>以金色鳞片装饰的战靴，出自龙门镖局的镖头遗物。</t>
        </is>
      </c>
      <c r="U75" s="3" t="inlineStr">
        <is>
          <t>是</t>
        </is>
      </c>
      <c r="V75" s="3" t="inlineStr">
        <is>
          <t>否</t>
        </is>
      </c>
      <c r="W75" s="3" t="inlineStr">
        <is>
          <t>equip_jinlinxue.png</t>
        </is>
      </c>
      <c r="X75" s="3" t="inlineStr"/>
      <c r="Y75" s="3" t="inlineStr">
        <is>
          <t>equip_shoes</t>
        </is>
      </c>
      <c r="Z75" s="3" t="inlineStr"/>
      <c r="AA75" s="3" t="inlineStr">
        <is>
          <t>无</t>
        </is>
      </c>
      <c r="AB75" s="3" t="inlineStr">
        <is>
          <t>否</t>
        </is>
      </c>
      <c r="AC75" s="3" t="inlineStr">
        <is>
          <t>否</t>
        </is>
      </c>
      <c r="AD75" s="3" t="inlineStr"/>
      <c r="AE75" s="3" t="inlineStr">
        <is>
          <t>任务宝箱装备</t>
        </is>
      </c>
      <c r="AF75" s="3" t="inlineStr">
        <is>
          <t>{"hp":200,"defense":18,"force":11,"agility":26}</t>
        </is>
      </c>
      <c r="AG75" s="3" t="inlineStr">
        <is>
          <t>data/item_templates.yaml:L4583</t>
        </is>
      </c>
    </row>
    <row r="76" hidden="1">
      <c r="A76" s="3" t="n">
        <v>75</v>
      </c>
      <c r="B76" s="3" t="inlineStr">
        <is>
          <t>equip_lingboxie</t>
        </is>
      </c>
      <c r="C76" s="3" t="inlineStr">
        <is>
          <t>凌波鞋</t>
        </is>
      </c>
      <c r="D76" s="3" t="n">
        <v>6000</v>
      </c>
      <c r="E76" s="3" t="n">
        <v>100</v>
      </c>
      <c r="F76" s="3" t="n">
        <v>220</v>
      </c>
      <c r="G76" s="3" t="n">
        <v>10</v>
      </c>
      <c r="H76" s="3" t="n">
        <v>0</v>
      </c>
      <c r="I76" s="3" t="n">
        <v>0</v>
      </c>
      <c r="J76" s="3" t="n">
        <v>40</v>
      </c>
      <c r="K76" s="3" t="n">
        <v>0</v>
      </c>
      <c r="L76" s="3" t="n">
        <v>0</v>
      </c>
      <c r="M76" s="6">
        <f>F76/54+G76+H76+I76+J76+L76*1.2+K76/2</f>
        <v>54.074074074074076</v>
      </c>
      <c r="N76" s="3" t="inlineStr">
        <is>
          <t>无</t>
        </is>
      </c>
      <c r="O76" s="3" t="inlineStr">
        <is>
          <t>无</t>
        </is>
      </c>
      <c r="P76" s="3" t="inlineStr">
        <is>
          <t>blue</t>
        </is>
      </c>
      <c r="Q76" s="3" t="inlineStr">
        <is>
          <t>稀有/蓝</t>
        </is>
      </c>
      <c r="R76" s="3" t="inlineStr">
        <is>
          <t>鞋子</t>
        </is>
      </c>
      <c r="S76" s="3" t="inlineStr">
        <is>
          <t>鞋子</t>
        </is>
      </c>
      <c r="T76" s="3" t="inlineStr">
        <is>
          <t>据传是凌波微步的配套之物，出自逍遥派遗藏。</t>
        </is>
      </c>
      <c r="U76" s="3" t="inlineStr">
        <is>
          <t>是</t>
        </is>
      </c>
      <c r="V76" s="3" t="inlineStr">
        <is>
          <t>否</t>
        </is>
      </c>
      <c r="W76" s="3" t="inlineStr">
        <is>
          <t>equip_lingboxie.png</t>
        </is>
      </c>
      <c r="X76" s="3" t="inlineStr"/>
      <c r="Y76" s="3" t="inlineStr">
        <is>
          <t>equip_shoes</t>
        </is>
      </c>
      <c r="Z76" s="3" t="inlineStr"/>
      <c r="AA76" s="3" t="inlineStr">
        <is>
          <t>无</t>
        </is>
      </c>
      <c r="AB76" s="3" t="inlineStr">
        <is>
          <t>否</t>
        </is>
      </c>
      <c r="AC76" s="3" t="inlineStr">
        <is>
          <t>否</t>
        </is>
      </c>
      <c r="AD76" s="3" t="inlineStr"/>
      <c r="AE76" s="3" t="inlineStr">
        <is>
          <t>任务宝箱装备</t>
        </is>
      </c>
      <c r="AF76" s="3" t="inlineStr">
        <is>
          <t>{"hp":220,"defense":10,"agility":40}</t>
        </is>
      </c>
      <c r="AG76" s="3" t="inlineStr">
        <is>
          <t>data/item_templates.yaml:L4526</t>
        </is>
      </c>
    </row>
    <row r="77" hidden="1">
      <c r="A77" s="3" t="n">
        <v>76</v>
      </c>
      <c r="B77" s="3" t="inlineStr">
        <is>
          <t>equip_pojunxue</t>
        </is>
      </c>
      <c r="C77" s="3" t="inlineStr">
        <is>
          <t>破军靴</t>
        </is>
      </c>
      <c r="D77" s="3" t="n">
        <v>5800</v>
      </c>
      <c r="E77" s="3" t="n">
        <v>100</v>
      </c>
      <c r="F77" s="3" t="n">
        <v>270</v>
      </c>
      <c r="G77" s="3" t="n">
        <v>16</v>
      </c>
      <c r="H77" s="3" t="n">
        <v>15</v>
      </c>
      <c r="I77" s="3" t="n">
        <v>0</v>
      </c>
      <c r="J77" s="3" t="n">
        <v>20</v>
      </c>
      <c r="K77" s="3" t="n">
        <v>0</v>
      </c>
      <c r="L77" s="3" t="n">
        <v>0</v>
      </c>
      <c r="M77" s="6">
        <f>F77/54+G77+H77+I77+J77+L77*1.2+K77/2</f>
        <v>56.0</v>
      </c>
      <c r="N77" s="3" t="inlineStr">
        <is>
          <t>无</t>
        </is>
      </c>
      <c r="O77" s="3" t="inlineStr">
        <is>
          <t>无</t>
        </is>
      </c>
      <c r="P77" s="3" t="inlineStr">
        <is>
          <t>blue</t>
        </is>
      </c>
      <c r="Q77" s="3" t="inlineStr">
        <is>
          <t>稀有/蓝</t>
        </is>
      </c>
      <c r="R77" s="3" t="inlineStr">
        <is>
          <t>鞋子</t>
        </is>
      </c>
      <c r="S77" s="3" t="inlineStr">
        <is>
          <t>鞋子</t>
        </is>
      </c>
      <c r="T77" s="3" t="inlineStr">
        <is>
          <t>破军星位所铸，是一套破军战甲的配套之一。</t>
        </is>
      </c>
      <c r="U77" s="3" t="inlineStr">
        <is>
          <t>是</t>
        </is>
      </c>
      <c r="V77" s="3" t="inlineStr">
        <is>
          <t>否</t>
        </is>
      </c>
      <c r="W77" s="3" t="inlineStr">
        <is>
          <t>equip_pojunxue.png</t>
        </is>
      </c>
      <c r="X77" s="3" t="inlineStr"/>
      <c r="Y77" s="3" t="inlineStr">
        <is>
          <t>equip_shoes</t>
        </is>
      </c>
      <c r="Z77" s="3" t="inlineStr"/>
      <c r="AA77" s="3" t="inlineStr">
        <is>
          <t>无</t>
        </is>
      </c>
      <c r="AB77" s="3" t="inlineStr">
        <is>
          <t>否</t>
        </is>
      </c>
      <c r="AC77" s="3" t="inlineStr">
        <is>
          <t>否</t>
        </is>
      </c>
      <c r="AD77" s="3" t="inlineStr"/>
      <c r="AE77" s="3" t="inlineStr">
        <is>
          <t>任务宝箱装备</t>
        </is>
      </c>
      <c r="AF77" s="3" t="inlineStr">
        <is>
          <t>{"hp":270,"defense":16,"force":15,"agility":20}</t>
        </is>
      </c>
      <c r="AG77" s="3" t="inlineStr">
        <is>
          <t>data/item_templates.yaml:L4554</t>
        </is>
      </c>
    </row>
    <row r="78" hidden="1">
      <c r="A78" s="3" t="n">
        <v>77</v>
      </c>
      <c r="B78" s="3" t="inlineStr">
        <is>
          <t>equip_qinglongxue</t>
        </is>
      </c>
      <c r="C78" s="3" t="inlineStr">
        <is>
          <t>青龙靴</t>
        </is>
      </c>
      <c r="D78" s="3" t="n">
        <v>5500</v>
      </c>
      <c r="E78" s="3" t="n">
        <v>100</v>
      </c>
      <c r="F78" s="3" t="n">
        <v>216</v>
      </c>
      <c r="G78" s="3" t="n">
        <v>10</v>
      </c>
      <c r="H78" s="3" t="n">
        <v>15</v>
      </c>
      <c r="I78" s="3" t="n">
        <v>15</v>
      </c>
      <c r="J78" s="3" t="n">
        <v>20</v>
      </c>
      <c r="K78" s="3" t="n">
        <v>0</v>
      </c>
      <c r="L78" s="3" t="n">
        <v>0</v>
      </c>
      <c r="M78" s="6">
        <f>F78/54+G78+H78+I78+J78+L78*1.2+K78/2</f>
        <v>64.0</v>
      </c>
      <c r="N78" s="3" t="inlineStr">
        <is>
          <t>四象套装</t>
        </is>
      </c>
      <c r="O78" s="3" t="inlineStr">
        <is>
          <t>四象套装4件: 生命+360、武力+35、智力+35、敏捷+20</t>
        </is>
      </c>
      <c r="P78" s="3" t="inlineStr">
        <is>
          <t>blue</t>
        </is>
      </c>
      <c r="Q78" s="3" t="inlineStr">
        <is>
          <t>稀有/蓝</t>
        </is>
      </c>
      <c r="R78" s="3" t="inlineStr">
        <is>
          <t>鞋子</t>
        </is>
      </c>
      <c r="S78" s="3" t="inlineStr">
        <is>
          <t>鞋子</t>
        </is>
      </c>
      <c r="T78" s="3" t="inlineStr">
        <is>
          <t>绣有青龙纹样的战靴，相传曾是青龙门弟子所穿。</t>
        </is>
      </c>
      <c r="U78" s="3" t="inlineStr">
        <is>
          <t>是</t>
        </is>
      </c>
      <c r="V78" s="3" t="inlineStr">
        <is>
          <t>否</t>
        </is>
      </c>
      <c r="W78" s="3" t="inlineStr">
        <is>
          <t>equip_qinglongxue.png</t>
        </is>
      </c>
      <c r="X78" s="3" t="inlineStr"/>
      <c r="Y78" s="3" t="inlineStr">
        <is>
          <t>equip_shoes</t>
        </is>
      </c>
      <c r="Z78" s="3" t="inlineStr">
        <is>
          <t>sixiang_set</t>
        </is>
      </c>
      <c r="AA78" s="3" t="inlineStr">
        <is>
          <t>无</t>
        </is>
      </c>
      <c r="AB78" s="3" t="inlineStr">
        <is>
          <t>否</t>
        </is>
      </c>
      <c r="AC78" s="3" t="inlineStr">
        <is>
          <t>是</t>
        </is>
      </c>
      <c r="AD78" s="3" t="inlineStr">
        <is>
          <t>blueprint_qinglongxue</t>
        </is>
      </c>
      <c r="AE78" s="3" t="inlineStr">
        <is>
          <t>图纸合成（任务宝箱）；图纸合成（竞技场随机图纸兑换）</t>
        </is>
      </c>
      <c r="AF78" s="3" t="inlineStr">
        <is>
          <t>{"hp":216,"defense":10,"force":15,"intellect":15,"agility":20,"set_key":"sixiang_set","set_description":"四象套装","set_bonus":{"pieces":4,"bonus":{"hp":360,"force":35,"intellect":35,"agility":20}}}</t>
        </is>
      </c>
      <c r="AG78" s="3" t="inlineStr">
        <is>
          <t>data/item_templates.yaml:L4502</t>
        </is>
      </c>
    </row>
    <row r="79" hidden="1">
      <c r="A79" s="3" t="n">
        <v>78</v>
      </c>
      <c r="B79" s="3" t="inlineStr">
        <is>
          <t>equip_xiaoweichangxue</t>
        </is>
      </c>
      <c r="C79" s="3" t="inlineStr">
        <is>
          <t>校尉长靴</t>
        </is>
      </c>
      <c r="D79" s="3" t="n">
        <v>5000</v>
      </c>
      <c r="E79" s="3" t="n">
        <v>100</v>
      </c>
      <c r="F79" s="3" t="n">
        <v>250</v>
      </c>
      <c r="G79" s="3" t="n">
        <v>20</v>
      </c>
      <c r="H79" s="3" t="n">
        <v>5</v>
      </c>
      <c r="I79" s="3" t="n">
        <v>0</v>
      </c>
      <c r="J79" s="3" t="n">
        <v>20</v>
      </c>
      <c r="K79" s="3" t="n">
        <v>20</v>
      </c>
      <c r="L79" s="3" t="n">
        <v>0</v>
      </c>
      <c r="M79" s="6">
        <f>F79/54+G79+H79+I79+J79+L79*1.2+K79/2</f>
        <v>59.62962962962963</v>
      </c>
      <c r="N79" s="3" t="inlineStr">
        <is>
          <t>校尉套装</t>
        </is>
      </c>
      <c r="O79" s="3" t="inlineStr">
        <is>
          <t>校尉套装4件: 生命+360、防御+15、武力+40、带兵上限+100</t>
        </is>
      </c>
      <c r="P79" s="3" t="inlineStr">
        <is>
          <t>blue</t>
        </is>
      </c>
      <c r="Q79" s="3" t="inlineStr">
        <is>
          <t>稀有/蓝</t>
        </is>
      </c>
      <c r="R79" s="3" t="inlineStr">
        <is>
          <t>鞋子</t>
        </is>
      </c>
      <c r="S79" s="3" t="inlineStr">
        <is>
          <t>鞋子</t>
        </is>
      </c>
      <c r="T79" s="3" t="inlineStr">
        <is>
          <t>军中校尉的制式长靴，靴筒刻有军阶标识。</t>
        </is>
      </c>
      <c r="U79" s="3" t="inlineStr">
        <is>
          <t>是</t>
        </is>
      </c>
      <c r="V79" s="3" t="inlineStr">
        <is>
          <t>否</t>
        </is>
      </c>
      <c r="W79" s="3" t="inlineStr">
        <is>
          <t>equip_xiaoweichangxue.png</t>
        </is>
      </c>
      <c r="X79" s="3" t="inlineStr"/>
      <c r="Y79" s="3" t="inlineStr">
        <is>
          <t>equip_shoes</t>
        </is>
      </c>
      <c r="Z79" s="3" t="inlineStr">
        <is>
          <t>xiaowei_set</t>
        </is>
      </c>
      <c r="AA79" s="3" t="inlineStr">
        <is>
          <t>无</t>
        </is>
      </c>
      <c r="AB79" s="3" t="inlineStr">
        <is>
          <t>否</t>
        </is>
      </c>
      <c r="AC79" s="3" t="inlineStr">
        <is>
          <t>是</t>
        </is>
      </c>
      <c r="AD79" s="3" t="inlineStr">
        <is>
          <t>blueprint_xiaoweichangxue</t>
        </is>
      </c>
      <c r="AE79" s="3" t="inlineStr">
        <is>
          <t>任务宝箱装备；图纸合成（任务宝箱）；图纸合成（竞技场随机图纸兑换）；宝箱随机装备</t>
        </is>
      </c>
      <c r="AF79" s="3" t="inlineStr">
        <is>
          <t>{"hp":250,"defense":20,"force":5,"agility":20,"troop_capacity":20,"set_key":"xiaowei_set","set_description":"校尉套装","set_bonus":{"pieces":4,"bonus":{"hp":360,"defense":15,"force":40,"troop_capacity":100}}}</t>
        </is>
      </c>
      <c r="AG79" s="3" t="inlineStr">
        <is>
          <t>data/item_templates.yaml:L4455</t>
        </is>
      </c>
    </row>
    <row r="80" hidden="1">
      <c r="A80" s="3" t="n">
        <v>79</v>
      </c>
      <c r="B80" s="3" t="inlineStr">
        <is>
          <t>equip_yingxingxue</t>
        </is>
      </c>
      <c r="C80" s="3" t="inlineStr">
        <is>
          <t>影行靴</t>
        </is>
      </c>
      <c r="D80" s="3" t="n">
        <v>5600</v>
      </c>
      <c r="E80" s="3" t="n">
        <v>100</v>
      </c>
      <c r="F80" s="3" t="n">
        <v>200</v>
      </c>
      <c r="G80" s="3" t="n">
        <v>10</v>
      </c>
      <c r="H80" s="3" t="n">
        <v>0</v>
      </c>
      <c r="I80" s="3" t="n">
        <v>0</v>
      </c>
      <c r="J80" s="3" t="n">
        <v>35</v>
      </c>
      <c r="K80" s="3" t="n">
        <v>0</v>
      </c>
      <c r="L80" s="3" t="n">
        <v>0</v>
      </c>
      <c r="M80" s="6">
        <f>F80/54+G80+H80+I80+J80+L80*1.2+K80/2</f>
        <v>48.7037037037037</v>
      </c>
      <c r="N80" s="3" t="inlineStr">
        <is>
          <t>无</t>
        </is>
      </c>
      <c r="O80" s="3" t="inlineStr">
        <is>
          <t>无</t>
        </is>
      </c>
      <c r="P80" s="3" t="inlineStr">
        <is>
          <t>blue</t>
        </is>
      </c>
      <c r="Q80" s="3" t="inlineStr">
        <is>
          <t>稀有/蓝</t>
        </is>
      </c>
      <c r="R80" s="3" t="inlineStr">
        <is>
          <t>鞋子</t>
        </is>
      </c>
      <c r="S80" s="3" t="inlineStr">
        <is>
          <t>鞋子</t>
        </is>
      </c>
      <c r="T80" s="3" t="inlineStr">
        <is>
          <t>刺客组织"影楼"的秘制战靴，穿上后行走无声。</t>
        </is>
      </c>
      <c r="U80" s="3" t="inlineStr">
        <is>
          <t>是</t>
        </is>
      </c>
      <c r="V80" s="3" t="inlineStr">
        <is>
          <t>否</t>
        </is>
      </c>
      <c r="W80" s="3" t="inlineStr">
        <is>
          <t>equip_yingxingxue.png</t>
        </is>
      </c>
      <c r="X80" s="3" t="inlineStr"/>
      <c r="Y80" s="3" t="inlineStr">
        <is>
          <t>equip_shoes</t>
        </is>
      </c>
      <c r="Z80" s="3" t="inlineStr"/>
      <c r="AA80" s="3" t="inlineStr">
        <is>
          <t>无</t>
        </is>
      </c>
      <c r="AB80" s="3" t="inlineStr">
        <is>
          <t>否</t>
        </is>
      </c>
      <c r="AC80" s="3" t="inlineStr">
        <is>
          <t>否</t>
        </is>
      </c>
      <c r="AD80" s="3" t="inlineStr"/>
      <c r="AE80" s="3" t="inlineStr">
        <is>
          <t>任务宝箱装备</t>
        </is>
      </c>
      <c r="AF80" s="3" t="inlineStr">
        <is>
          <t>{"hp":200,"defense":10,"agility":35}</t>
        </is>
      </c>
      <c r="AG80" s="3" t="inlineStr">
        <is>
          <t>data/item_templates.yaml:L4569</t>
        </is>
      </c>
    </row>
    <row r="81" hidden="1">
      <c r="A81" s="3" t="n">
        <v>80</v>
      </c>
      <c r="B81" s="3" t="inlineStr">
        <is>
          <t>equip_zhuifengxue</t>
        </is>
      </c>
      <c r="C81" s="3" t="inlineStr">
        <is>
          <t>追风靴</t>
        </is>
      </c>
      <c r="D81" s="3" t="n">
        <v>5200</v>
      </c>
      <c r="E81" s="3" t="n">
        <v>100</v>
      </c>
      <c r="F81" s="3" t="n">
        <v>180</v>
      </c>
      <c r="G81" s="3" t="n">
        <v>8</v>
      </c>
      <c r="H81" s="3" t="n">
        <v>0</v>
      </c>
      <c r="I81" s="3" t="n">
        <v>0</v>
      </c>
      <c r="J81" s="3" t="n">
        <v>42</v>
      </c>
      <c r="K81" s="3" t="n">
        <v>0</v>
      </c>
      <c r="L81" s="3" t="n">
        <v>0</v>
      </c>
      <c r="M81" s="6">
        <f>F81/54+G81+H81+I81+J81+L81*1.2+K81/2</f>
        <v>53.333333333333336</v>
      </c>
      <c r="N81" s="3" t="inlineStr">
        <is>
          <t>无</t>
        </is>
      </c>
      <c r="O81" s="3" t="inlineStr">
        <is>
          <t>无</t>
        </is>
      </c>
      <c r="P81" s="3" t="inlineStr">
        <is>
          <t>blue</t>
        </is>
      </c>
      <c r="Q81" s="3" t="inlineStr">
        <is>
          <t>稀有/蓝</t>
        </is>
      </c>
      <c r="R81" s="3" t="inlineStr">
        <is>
          <t>鞋子</t>
        </is>
      </c>
      <c r="S81" s="3" t="inlineStr">
        <is>
          <t>鞋子</t>
        </is>
      </c>
      <c r="T81" s="3" t="inlineStr">
        <is>
          <t>相传某位追风少年穿此靴日行千里，名动江湖。</t>
        </is>
      </c>
      <c r="U81" s="3" t="inlineStr">
        <is>
          <t>是</t>
        </is>
      </c>
      <c r="V81" s="3" t="inlineStr">
        <is>
          <t>否</t>
        </is>
      </c>
      <c r="W81" s="3" t="inlineStr">
        <is>
          <t>equip_zhuifengxue.png</t>
        </is>
      </c>
      <c r="X81" s="3" t="inlineStr"/>
      <c r="Y81" s="3" t="inlineStr">
        <is>
          <t>equip_shoes</t>
        </is>
      </c>
      <c r="Z81" s="3" t="inlineStr"/>
      <c r="AA81" s="3" t="inlineStr">
        <is>
          <t>无</t>
        </is>
      </c>
      <c r="AB81" s="3" t="inlineStr">
        <is>
          <t>否</t>
        </is>
      </c>
      <c r="AC81" s="3" t="inlineStr">
        <is>
          <t>否</t>
        </is>
      </c>
      <c r="AD81" s="3" t="inlineStr"/>
      <c r="AE81" s="3" t="inlineStr">
        <is>
          <t>任务宝箱装备</t>
        </is>
      </c>
      <c r="AF81" s="3" t="inlineStr">
        <is>
          <t>{"hp":180,"defense":8,"agility":42}</t>
        </is>
      </c>
      <c r="AG81" s="3" t="inlineStr">
        <is>
          <t>data/item_templates.yaml:L4540</t>
        </is>
      </c>
    </row>
    <row r="82" hidden="1">
      <c r="A82" s="3" t="n">
        <v>81</v>
      </c>
      <c r="B82" s="3" t="inlineStr">
        <is>
          <t>equip_huxianxie</t>
        </is>
      </c>
      <c r="C82" s="3" t="inlineStr">
        <is>
          <t>狐仙鞋</t>
        </is>
      </c>
      <c r="D82" s="3" t="n">
        <v>14000</v>
      </c>
      <c r="E82" s="3" t="n">
        <v>150</v>
      </c>
      <c r="F82" s="3" t="n">
        <v>320</v>
      </c>
      <c r="G82" s="3" t="n">
        <v>10</v>
      </c>
      <c r="H82" s="3" t="n">
        <v>0</v>
      </c>
      <c r="I82" s="3" t="n">
        <v>24</v>
      </c>
      <c r="J82" s="3" t="n">
        <v>32</v>
      </c>
      <c r="K82" s="3" t="n">
        <v>0</v>
      </c>
      <c r="L82" s="3" t="n">
        <v>0</v>
      </c>
      <c r="M82" s="6">
        <f>F82/54+G82+H82+I82+J82+L82*1.2+K82/2</f>
        <v>71.92592592592592</v>
      </c>
      <c r="N82" s="3" t="inlineStr">
        <is>
          <t>狐仙套装</t>
        </is>
      </c>
      <c r="O82" s="3" t="inlineStr">
        <is>
          <t>狐仙套装3件: 生命+280、智力+64、运势+18</t>
        </is>
      </c>
      <c r="P82" s="3" t="inlineStr">
        <is>
          <t>purple</t>
        </is>
      </c>
      <c r="Q82" s="3" t="inlineStr">
        <is>
          <t>史诗/紫</t>
        </is>
      </c>
      <c r="R82" s="3" t="inlineStr">
        <is>
          <t>鞋子</t>
        </is>
      </c>
      <c r="S82" s="3" t="inlineStr">
        <is>
          <t>鞋子</t>
        </is>
      </c>
      <c r="T82" s="3" t="inlineStr">
        <is>
          <t>涂山狐族遗留人间的宝物，轻巧灵动如狐步。</t>
        </is>
      </c>
      <c r="U82" s="3" t="inlineStr">
        <is>
          <t>是</t>
        </is>
      </c>
      <c r="V82" s="3" t="inlineStr">
        <is>
          <t>否</t>
        </is>
      </c>
      <c r="W82" s="3" t="inlineStr">
        <is>
          <t>equip_huxianxie.png</t>
        </is>
      </c>
      <c r="X82" s="3" t="inlineStr"/>
      <c r="Y82" s="3" t="inlineStr">
        <is>
          <t>equip_shoes</t>
        </is>
      </c>
      <c r="Z82" s="3" t="inlineStr">
        <is>
          <t>huxian_set</t>
        </is>
      </c>
      <c r="AA82" s="3" t="inlineStr">
        <is>
          <t>无</t>
        </is>
      </c>
      <c r="AB82" s="3" t="inlineStr">
        <is>
          <t>否</t>
        </is>
      </c>
      <c r="AC82" s="3" t="inlineStr">
        <is>
          <t>是</t>
        </is>
      </c>
      <c r="AD82" s="3" t="inlineStr">
        <is>
          <t>blueprint_huxianxie</t>
        </is>
      </c>
      <c r="AE82" s="3" t="inlineStr">
        <is>
          <t>图纸合成（任务宝箱）；图纸合成（帮会图纸领取）；图纸合成（竞技场随机图纸兑换）；宝箱随机装备</t>
        </is>
      </c>
      <c r="AF82" s="3" t="inlineStr">
        <is>
          <t>{"hp":320,"defense":10,"intellect":24,"agility":32,"set_key":"huxian_set","set_description":"狐仙套装","set_bonus":{"pieces":3,"bonus":{"hp":280,"intellect":64,"luck":18}}}</t>
        </is>
      </c>
      <c r="AG82" s="3" t="inlineStr">
        <is>
          <t>data/item_templates.yaml:L4600</t>
        </is>
      </c>
    </row>
    <row r="83" hidden="1">
      <c r="A83" s="3" t="n">
        <v>82</v>
      </c>
      <c r="B83" s="3" t="inlineStr">
        <is>
          <t>equip_liekongxue</t>
        </is>
      </c>
      <c r="C83" s="3" t="inlineStr">
        <is>
          <t>裂空靴</t>
        </is>
      </c>
      <c r="D83" s="3" t="n">
        <v>16500</v>
      </c>
      <c r="E83" s="3" t="n">
        <v>150</v>
      </c>
      <c r="F83" s="3" t="n">
        <v>286</v>
      </c>
      <c r="G83" s="3" t="n">
        <v>16</v>
      </c>
      <c r="H83" s="3" t="n">
        <v>16</v>
      </c>
      <c r="I83" s="3" t="n">
        <v>0</v>
      </c>
      <c r="J83" s="3" t="n">
        <v>40</v>
      </c>
      <c r="K83" s="3" t="n">
        <v>0</v>
      </c>
      <c r="L83" s="3" t="n">
        <v>0</v>
      </c>
      <c r="M83" s="6">
        <f>F83/54+G83+H83+I83+J83+L83*1.2+K83/2</f>
        <v>77.2962962962963</v>
      </c>
      <c r="N83" s="3" t="inlineStr">
        <is>
          <t>无</t>
        </is>
      </c>
      <c r="O83" s="3" t="inlineStr">
        <is>
          <t>无</t>
        </is>
      </c>
      <c r="P83" s="3" t="inlineStr">
        <is>
          <t>purple</t>
        </is>
      </c>
      <c r="Q83" s="3" t="inlineStr">
        <is>
          <t>史诗/紫</t>
        </is>
      </c>
      <c r="R83" s="3" t="inlineStr">
        <is>
          <t>鞋子</t>
        </is>
      </c>
      <c r="S83" s="3" t="inlineStr">
        <is>
          <t>鞋子</t>
        </is>
      </c>
      <c r="T83" s="3" t="inlineStr">
        <is>
          <t>据传穿上可踏破虚空，是某位飞行高手的遗物。</t>
        </is>
      </c>
      <c r="U83" s="3" t="inlineStr">
        <is>
          <t>是</t>
        </is>
      </c>
      <c r="V83" s="3" t="inlineStr">
        <is>
          <t>否</t>
        </is>
      </c>
      <c r="W83" s="3" t="inlineStr">
        <is>
          <t>equip_liekongxue.png</t>
        </is>
      </c>
      <c r="X83" s="3" t="inlineStr"/>
      <c r="Y83" s="3" t="inlineStr">
        <is>
          <t>equip_shoes</t>
        </is>
      </c>
      <c r="Z83" s="3" t="inlineStr"/>
      <c r="AA83" s="3" t="inlineStr">
        <is>
          <t>无</t>
        </is>
      </c>
      <c r="AB83" s="3" t="inlineStr">
        <is>
          <t>否</t>
        </is>
      </c>
      <c r="AC83" s="3" t="inlineStr">
        <is>
          <t>否</t>
        </is>
      </c>
      <c r="AD83" s="3" t="inlineStr"/>
      <c r="AE83" s="3" t="inlineStr">
        <is>
          <t>任务宝箱装备</t>
        </is>
      </c>
      <c r="AF83" s="3" t="inlineStr">
        <is>
          <t>{"hp":286,"defense":16,"force":16,"agility":40}</t>
        </is>
      </c>
      <c r="AG83" s="3" t="inlineStr">
        <is>
          <t>data/item_templates.yaml:L4697</t>
        </is>
      </c>
    </row>
    <row r="84" hidden="1">
      <c r="A84" s="3" t="n">
        <v>83</v>
      </c>
      <c r="B84" s="3" t="inlineStr">
        <is>
          <t>equip_qilinxue</t>
        </is>
      </c>
      <c r="C84" s="3" t="inlineStr">
        <is>
          <t>麒麟靴</t>
        </is>
      </c>
      <c r="D84" s="3" t="n">
        <v>16000</v>
      </c>
      <c r="E84" s="3" t="n">
        <v>150</v>
      </c>
      <c r="F84" s="3" t="n">
        <v>308</v>
      </c>
      <c r="G84" s="3" t="n">
        <v>21</v>
      </c>
      <c r="H84" s="3" t="n">
        <v>18</v>
      </c>
      <c r="I84" s="3" t="n">
        <v>0</v>
      </c>
      <c r="J84" s="3" t="n">
        <v>30</v>
      </c>
      <c r="K84" s="3" t="n">
        <v>0</v>
      </c>
      <c r="L84" s="3" t="n">
        <v>0</v>
      </c>
      <c r="M84" s="6">
        <f>F84/54+G84+H84+I84+J84+L84*1.2+K84/2</f>
        <v>74.7037037037037</v>
      </c>
      <c r="N84" s="3" t="inlineStr">
        <is>
          <t>麒麟套装</t>
        </is>
      </c>
      <c r="O84" s="3" t="inlineStr">
        <is>
          <t>麒麟套装4件: 生命+420、武力+38、敏捷+18、运势+30</t>
        </is>
      </c>
      <c r="P84" s="3" t="inlineStr">
        <is>
          <t>purple</t>
        </is>
      </c>
      <c r="Q84" s="3" t="inlineStr">
        <is>
          <t>史诗/紫</t>
        </is>
      </c>
      <c r="R84" s="3" t="inlineStr">
        <is>
          <t>鞋子</t>
        </is>
      </c>
      <c r="S84" s="3" t="inlineStr">
        <is>
          <t>鞋子</t>
        </is>
      </c>
      <c r="T84" s="3" t="inlineStr">
        <is>
          <t>仿麒麟蹄形锻造，相传是麒麟卫的标志装备。</t>
        </is>
      </c>
      <c r="U84" s="3" t="inlineStr">
        <is>
          <t>是</t>
        </is>
      </c>
      <c r="V84" s="3" t="inlineStr">
        <is>
          <t>否</t>
        </is>
      </c>
      <c r="W84" s="3" t="inlineStr">
        <is>
          <t>equip_qilinxue.png</t>
        </is>
      </c>
      <c r="X84" s="3" t="inlineStr"/>
      <c r="Y84" s="3" t="inlineStr">
        <is>
          <t>equip_shoes</t>
        </is>
      </c>
      <c r="Z84" s="3" t="inlineStr">
        <is>
          <t>qilin_set</t>
        </is>
      </c>
      <c r="AA84" s="3" t="inlineStr">
        <is>
          <t>无</t>
        </is>
      </c>
      <c r="AB84" s="3" t="inlineStr">
        <is>
          <t>否</t>
        </is>
      </c>
      <c r="AC84" s="3" t="inlineStr">
        <is>
          <t>是</t>
        </is>
      </c>
      <c r="AD84" s="3" t="inlineStr">
        <is>
          <t>blueprint_qilinxue</t>
        </is>
      </c>
      <c r="AE84" s="3" t="inlineStr">
        <is>
          <t>图纸合成（任务宝箱）；图纸合成（竞技场随机图纸兑换）；宝箱随机装备</t>
        </is>
      </c>
      <c r="AF84" s="3" t="inlineStr">
        <is>
          <t>{"hp":308,"defense":21,"force":18,"agility":30,"set_key":"qilin_set","set_description":"麒麟套装","set_bonus":{"pieces":4,"bonus":{"hp":420,"force":38,"agility":18,"luck":30}}}</t>
        </is>
      </c>
      <c r="AG84" s="3" t="inlineStr">
        <is>
          <t>data/item_templates.yaml:L4622</t>
        </is>
      </c>
    </row>
    <row r="85" hidden="1">
      <c r="A85" s="3" t="n">
        <v>84</v>
      </c>
      <c r="B85" s="3" t="inlineStr">
        <is>
          <t>equip_tianjilu</t>
        </is>
      </c>
      <c r="C85" s="3" t="inlineStr">
        <is>
          <t>天机履</t>
        </is>
      </c>
      <c r="D85" s="3" t="n">
        <v>15500</v>
      </c>
      <c r="E85" s="3" t="n">
        <v>150</v>
      </c>
      <c r="F85" s="3" t="n">
        <v>283</v>
      </c>
      <c r="G85" s="3" t="n">
        <v>15</v>
      </c>
      <c r="H85" s="3" t="n">
        <v>0</v>
      </c>
      <c r="I85" s="3" t="n">
        <v>22</v>
      </c>
      <c r="J85" s="3" t="n">
        <v>39</v>
      </c>
      <c r="K85" s="3" t="n">
        <v>0</v>
      </c>
      <c r="L85" s="3" t="n">
        <v>0</v>
      </c>
      <c r="M85" s="6">
        <f>F85/54+G85+H85+I85+J85+L85*1.2+K85/2</f>
        <v>81.24074074074073</v>
      </c>
      <c r="N85" s="3" t="inlineStr">
        <is>
          <t>无</t>
        </is>
      </c>
      <c r="O85" s="3" t="inlineStr">
        <is>
          <t>无</t>
        </is>
      </c>
      <c r="P85" s="3" t="inlineStr">
        <is>
          <t>purple</t>
        </is>
      </c>
      <c r="Q85" s="3" t="inlineStr">
        <is>
          <t>史诗/紫</t>
        </is>
      </c>
      <c r="R85" s="3" t="inlineStr">
        <is>
          <t>鞋子</t>
        </is>
      </c>
      <c r="S85" s="3" t="inlineStr">
        <is>
          <t>鞋子</t>
        </is>
      </c>
      <c r="T85" s="3" t="inlineStr">
        <is>
          <t>天机门的秘传之物，履底暗藏机关可助行。</t>
        </is>
      </c>
      <c r="U85" s="3" t="inlineStr">
        <is>
          <t>是</t>
        </is>
      </c>
      <c r="V85" s="3" t="inlineStr">
        <is>
          <t>否</t>
        </is>
      </c>
      <c r="W85" s="3" t="inlineStr">
        <is>
          <t>equip_tianjilu.png</t>
        </is>
      </c>
      <c r="X85" s="3" t="inlineStr"/>
      <c r="Y85" s="3" t="inlineStr">
        <is>
          <t>equip_shoes</t>
        </is>
      </c>
      <c r="Z85" s="3" t="inlineStr"/>
      <c r="AA85" s="3" t="inlineStr">
        <is>
          <t>无</t>
        </is>
      </c>
      <c r="AB85" s="3" t="inlineStr">
        <is>
          <t>否</t>
        </is>
      </c>
      <c r="AC85" s="3" t="inlineStr">
        <is>
          <t>否</t>
        </is>
      </c>
      <c r="AD85" s="3" t="inlineStr"/>
      <c r="AE85" s="3" t="inlineStr">
        <is>
          <t>当前主要配置未发现明确途径</t>
        </is>
      </c>
      <c r="AF85" s="3" t="inlineStr">
        <is>
          <t>{"hp":283,"defense":15,"intellect":22,"agility":39}</t>
        </is>
      </c>
      <c r="AG85" s="3" t="inlineStr">
        <is>
          <t>data/item_templates.yaml:L4682</t>
        </is>
      </c>
    </row>
    <row r="86" hidden="1">
      <c r="A86" s="3" t="n">
        <v>85</v>
      </c>
      <c r="B86" s="3" t="inlineStr">
        <is>
          <t>equip_xuanwuxue</t>
        </is>
      </c>
      <c r="C86" s="3" t="inlineStr">
        <is>
          <t>玄武靴</t>
        </is>
      </c>
      <c r="D86" s="3" t="n">
        <v>17000</v>
      </c>
      <c r="E86" s="3" t="n">
        <v>150</v>
      </c>
      <c r="F86" s="3" t="n">
        <v>362</v>
      </c>
      <c r="G86" s="3" t="n">
        <v>30</v>
      </c>
      <c r="H86" s="3" t="n">
        <v>7</v>
      </c>
      <c r="I86" s="3" t="n">
        <v>0</v>
      </c>
      <c r="J86" s="3" t="n">
        <v>30</v>
      </c>
      <c r="K86" s="3" t="n">
        <v>0</v>
      </c>
      <c r="L86" s="3" t="n">
        <v>0</v>
      </c>
      <c r="M86" s="6">
        <f>F86/54+G86+H86+I86+J86+L86*1.2+K86/2</f>
        <v>73.7037037037037</v>
      </c>
      <c r="N86" s="3" t="inlineStr">
        <is>
          <t>玄武套装</t>
        </is>
      </c>
      <c r="O86" s="3" t="inlineStr">
        <is>
          <t>玄武套装4件: 生命+260、防御+70、武力+20</t>
        </is>
      </c>
      <c r="P86" s="3" t="inlineStr">
        <is>
          <t>purple</t>
        </is>
      </c>
      <c r="Q86" s="3" t="inlineStr">
        <is>
          <t>史诗/紫</t>
        </is>
      </c>
      <c r="R86" s="3" t="inlineStr">
        <is>
          <t>鞋子</t>
        </is>
      </c>
      <c r="S86" s="3" t="inlineStr">
        <is>
          <t>鞋子</t>
        </is>
      </c>
      <c r="T86" s="3" t="inlineStr">
        <is>
          <t>玄武山庄的传承之物，靴底刻有玄武阵图。</t>
        </is>
      </c>
      <c r="U86" s="3" t="inlineStr">
        <is>
          <t>是</t>
        </is>
      </c>
      <c r="V86" s="3" t="inlineStr">
        <is>
          <t>否</t>
        </is>
      </c>
      <c r="W86" s="3" t="inlineStr">
        <is>
          <t>equip_xuanwuxue.png</t>
        </is>
      </c>
      <c r="X86" s="3" t="inlineStr"/>
      <c r="Y86" s="3" t="inlineStr">
        <is>
          <t>equip_shoes</t>
        </is>
      </c>
      <c r="Z86" s="3" t="inlineStr">
        <is>
          <t>xuanwu_set</t>
        </is>
      </c>
      <c r="AA86" s="3" t="inlineStr">
        <is>
          <t>无</t>
        </is>
      </c>
      <c r="AB86" s="3" t="inlineStr">
        <is>
          <t>否</t>
        </is>
      </c>
      <c r="AC86" s="3" t="inlineStr">
        <is>
          <t>是</t>
        </is>
      </c>
      <c r="AD86" s="3" t="inlineStr">
        <is>
          <t>blueprint_xuanwuxue</t>
        </is>
      </c>
      <c r="AE86" s="3" t="inlineStr">
        <is>
          <t>任务宝箱装备；图纸合成（竞技场随机图纸兑换）</t>
        </is>
      </c>
      <c r="AF86" s="3" t="inlineStr">
        <is>
          <t>{"hp":362,"defense":30,"force":7,"agility":30,"set_key":"xuanwu_set","set_description":"玄武套装","set_bonus":{"pieces":4,"bonus":{"hp":260,"defense":70,"force":20}}}</t>
        </is>
      </c>
      <c r="AG86" s="3" t="inlineStr">
        <is>
          <t>data/item_templates.yaml:L4645</t>
        </is>
      </c>
    </row>
    <row r="87" hidden="1">
      <c r="A87" s="3" t="n">
        <v>86</v>
      </c>
      <c r="B87" s="3" t="inlineStr">
        <is>
          <t>equip_zhurixue</t>
        </is>
      </c>
      <c r="C87" s="3" t="inlineStr">
        <is>
          <t>逐日靴</t>
        </is>
      </c>
      <c r="D87" s="3" t="n">
        <v>15000</v>
      </c>
      <c r="E87" s="3" t="n">
        <v>150</v>
      </c>
      <c r="F87" s="3" t="n">
        <v>266</v>
      </c>
      <c r="G87" s="3" t="n">
        <v>23</v>
      </c>
      <c r="H87" s="3" t="n">
        <v>10</v>
      </c>
      <c r="I87" s="3" t="n">
        <v>0</v>
      </c>
      <c r="J87" s="3" t="n">
        <v>45</v>
      </c>
      <c r="K87" s="3" t="n">
        <v>0</v>
      </c>
      <c r="L87" s="3" t="n">
        <v>0</v>
      </c>
      <c r="M87" s="6">
        <f>F87/54+G87+H87+I87+J87+L87*1.2+K87/2</f>
        <v>82.92592592592592</v>
      </c>
      <c r="N87" s="3" t="inlineStr">
        <is>
          <t>无</t>
        </is>
      </c>
      <c r="O87" s="3" t="inlineStr">
        <is>
          <t>无</t>
        </is>
      </c>
      <c r="P87" s="3" t="inlineStr">
        <is>
          <t>purple</t>
        </is>
      </c>
      <c r="Q87" s="3" t="inlineStr">
        <is>
          <t>史诗/紫</t>
        </is>
      </c>
      <c r="R87" s="3" t="inlineStr">
        <is>
          <t>鞋子</t>
        </is>
      </c>
      <c r="S87" s="3" t="inlineStr">
        <is>
          <t>鞋子</t>
        </is>
      </c>
      <c r="T87" s="3" t="inlineStr">
        <is>
          <t>相传夸父逐日时所穿，后来落入人间被重新锻造。</t>
        </is>
      </c>
      <c r="U87" s="3" t="inlineStr">
        <is>
          <t>是</t>
        </is>
      </c>
      <c r="V87" s="3" t="inlineStr">
        <is>
          <t>否</t>
        </is>
      </c>
      <c r="W87" s="3" t="inlineStr">
        <is>
          <t>equip_zhurixue.png</t>
        </is>
      </c>
      <c r="X87" s="3" t="inlineStr"/>
      <c r="Y87" s="3" t="inlineStr">
        <is>
          <t>equip_shoes</t>
        </is>
      </c>
      <c r="Z87" s="3" t="inlineStr"/>
      <c r="AA87" s="3" t="inlineStr">
        <is>
          <t>无</t>
        </is>
      </c>
      <c r="AB87" s="3" t="inlineStr">
        <is>
          <t>否</t>
        </is>
      </c>
      <c r="AC87" s="3" t="inlineStr">
        <is>
          <t>否</t>
        </is>
      </c>
      <c r="AD87" s="3" t="inlineStr"/>
      <c r="AE87" s="3" t="inlineStr">
        <is>
          <t>任务宝箱装备</t>
        </is>
      </c>
      <c r="AF87" s="3" t="inlineStr">
        <is>
          <t>{"hp":266,"defense":23,"force":10,"agility":45}</t>
        </is>
      </c>
      <c r="AG87" s="3" t="inlineStr">
        <is>
          <t>data/item_templates.yaml:L4667</t>
        </is>
      </c>
    </row>
    <row r="88" hidden="1">
      <c r="A88" s="3" t="n">
        <v>87</v>
      </c>
      <c r="B88" s="3" t="inlineStr">
        <is>
          <t>equip_shenxingxue</t>
        </is>
      </c>
      <c r="C88" s="3" t="inlineStr">
        <is>
          <t>神行靴</t>
        </is>
      </c>
      <c r="D88" s="3" t="n">
        <v>48000</v>
      </c>
      <c r="E88" s="3" t="n">
        <v>200</v>
      </c>
      <c r="F88" s="3" t="n">
        <v>330</v>
      </c>
      <c r="G88" s="3" t="n">
        <v>24</v>
      </c>
      <c r="H88" s="3" t="n">
        <v>5</v>
      </c>
      <c r="I88" s="3" t="n">
        <v>0</v>
      </c>
      <c r="J88" s="3" t="n">
        <v>60</v>
      </c>
      <c r="K88" s="3" t="n">
        <v>0</v>
      </c>
      <c r="L88" s="3" t="n">
        <v>0</v>
      </c>
      <c r="M88" s="6">
        <f>F88/54+G88+H88+I88+J88+L88*1.2+K88/2</f>
        <v>95.11111111111111</v>
      </c>
      <c r="N88" s="3" t="inlineStr">
        <is>
          <t>无</t>
        </is>
      </c>
      <c r="O88" s="3" t="inlineStr">
        <is>
          <t>无</t>
        </is>
      </c>
      <c r="P88" s="3" t="inlineStr">
        <is>
          <t>orange</t>
        </is>
      </c>
      <c r="Q88" s="3" t="inlineStr">
        <is>
          <t>传说/橙</t>
        </is>
      </c>
      <c r="R88" s="3" t="inlineStr">
        <is>
          <t>鞋子</t>
        </is>
      </c>
      <c r="S88" s="3" t="inlineStr">
        <is>
          <t>鞋子</t>
        </is>
      </c>
      <c r="T88" s="3" t="inlineStr">
        <is>
          <t>神行太保戴宗的亲传之物，内藏神行甲马。</t>
        </is>
      </c>
      <c r="U88" s="3" t="inlineStr">
        <is>
          <t>是</t>
        </is>
      </c>
      <c r="V88" s="3" t="inlineStr">
        <is>
          <t>否</t>
        </is>
      </c>
      <c r="W88" s="3" t="inlineStr">
        <is>
          <t>equip_shenxingxue.png</t>
        </is>
      </c>
      <c r="X88" s="3" t="inlineStr"/>
      <c r="Y88" s="3" t="inlineStr">
        <is>
          <t>equip_shoes</t>
        </is>
      </c>
      <c r="Z88" s="3" t="inlineStr"/>
      <c r="AA88" s="3" t="inlineStr">
        <is>
          <t>无</t>
        </is>
      </c>
      <c r="AB88" s="3" t="inlineStr">
        <is>
          <t>否</t>
        </is>
      </c>
      <c r="AC88" s="3" t="inlineStr">
        <is>
          <t>否</t>
        </is>
      </c>
      <c r="AD88" s="3" t="inlineStr"/>
      <c r="AE88" s="3" t="inlineStr">
        <is>
          <t>任务宝箱装备</t>
        </is>
      </c>
      <c r="AF88" s="3" t="inlineStr">
        <is>
          <t>{"hp":330,"defense":24,"force":5,"agility":60}</t>
        </is>
      </c>
      <c r="AG88" s="3" t="inlineStr">
        <is>
          <t>data/item_templates.yaml:L4730</t>
        </is>
      </c>
    </row>
    <row r="89" hidden="1">
      <c r="A89" s="3" t="n">
        <v>88</v>
      </c>
      <c r="B89" s="3" t="inlineStr">
        <is>
          <t>equip_tatianxue</t>
        </is>
      </c>
      <c r="C89" s="3" t="inlineStr">
        <is>
          <t>踏天靴</t>
        </is>
      </c>
      <c r="D89" s="3" t="n">
        <v>50000</v>
      </c>
      <c r="E89" s="3" t="n">
        <v>200</v>
      </c>
      <c r="F89" s="3" t="n">
        <v>340</v>
      </c>
      <c r="G89" s="3" t="n">
        <v>15</v>
      </c>
      <c r="H89" s="3" t="n">
        <v>14</v>
      </c>
      <c r="I89" s="3" t="n">
        <v>9</v>
      </c>
      <c r="J89" s="3" t="n">
        <v>44</v>
      </c>
      <c r="K89" s="3" t="n">
        <v>0</v>
      </c>
      <c r="L89" s="3" t="n">
        <v>0</v>
      </c>
      <c r="M89" s="6">
        <f>F89/54+G89+H89+I89+J89+L89*1.2+K89/2</f>
        <v>88.2962962962963</v>
      </c>
      <c r="N89" s="3" t="inlineStr">
        <is>
          <t>无</t>
        </is>
      </c>
      <c r="O89" s="3" t="inlineStr">
        <is>
          <t>无</t>
        </is>
      </c>
      <c r="P89" s="3" t="inlineStr">
        <is>
          <t>orange</t>
        </is>
      </c>
      <c r="Q89" s="3" t="inlineStr">
        <is>
          <t>传说/橙</t>
        </is>
      </c>
      <c r="R89" s="3" t="inlineStr">
        <is>
          <t>鞋子</t>
        </is>
      </c>
      <c r="S89" s="3" t="inlineStr">
        <is>
          <t>鞋子</t>
        </is>
      </c>
      <c r="T89" s="3" t="inlineStr">
        <is>
          <t>相传可踏天而行，是凌霄宫遗落凡间的神物。</t>
        </is>
      </c>
      <c r="U89" s="3" t="inlineStr">
        <is>
          <t>是</t>
        </is>
      </c>
      <c r="V89" s="3" t="inlineStr">
        <is>
          <t>否</t>
        </is>
      </c>
      <c r="W89" s="3" t="inlineStr">
        <is>
          <t>equip_tatianxue.png</t>
        </is>
      </c>
      <c r="X89" s="3" t="inlineStr"/>
      <c r="Y89" s="3" t="inlineStr">
        <is>
          <t>equip_shoes</t>
        </is>
      </c>
      <c r="Z89" s="3" t="inlineStr"/>
      <c r="AA89" s="3" t="inlineStr">
        <is>
          <t>无</t>
        </is>
      </c>
      <c r="AB89" s="3" t="inlineStr">
        <is>
          <t>否</t>
        </is>
      </c>
      <c r="AC89" s="3" t="inlineStr">
        <is>
          <t>否</t>
        </is>
      </c>
      <c r="AD89" s="3" t="inlineStr"/>
      <c r="AE89" s="3" t="inlineStr">
        <is>
          <t>当前主要配置未发现明确途径</t>
        </is>
      </c>
      <c r="AF89" s="3" t="inlineStr">
        <is>
          <t>{"hp":340,"defense":15,"force":14,"intellect":9,"agility":44}</t>
        </is>
      </c>
      <c r="AG89" s="3" t="inlineStr">
        <is>
          <t>data/item_templates.yaml:L4714</t>
        </is>
      </c>
    </row>
    <row r="90" hidden="1">
      <c r="A90" s="3" t="n">
        <v>89</v>
      </c>
      <c r="B90" s="3" t="inlineStr">
        <is>
          <t>equip_wujixingxue</t>
        </is>
      </c>
      <c r="C90" s="3" t="inlineStr">
        <is>
          <t>无极行靴</t>
        </is>
      </c>
      <c r="D90" s="3" t="n">
        <v>55000</v>
      </c>
      <c r="E90" s="3" t="n">
        <v>200</v>
      </c>
      <c r="F90" s="3" t="n">
        <v>330</v>
      </c>
      <c r="G90" s="3" t="n">
        <v>24</v>
      </c>
      <c r="H90" s="3" t="n">
        <v>7</v>
      </c>
      <c r="I90" s="3" t="n">
        <v>0</v>
      </c>
      <c r="J90" s="3" t="n">
        <v>60</v>
      </c>
      <c r="K90" s="3" t="n">
        <v>0</v>
      </c>
      <c r="L90" s="3" t="n">
        <v>0</v>
      </c>
      <c r="M90" s="6">
        <f>F90/54+G90+H90+I90+J90+L90*1.2+K90/2</f>
        <v>97.11111111111111</v>
      </c>
      <c r="N90" s="3" t="inlineStr">
        <is>
          <t>无</t>
        </is>
      </c>
      <c r="O90" s="3" t="inlineStr">
        <is>
          <t>无</t>
        </is>
      </c>
      <c r="P90" s="3" t="inlineStr">
        <is>
          <t>orange</t>
        </is>
      </c>
      <c r="Q90" s="3" t="inlineStr">
        <is>
          <t>传说/橙</t>
        </is>
      </c>
      <c r="R90" s="3" t="inlineStr">
        <is>
          <t>鞋子</t>
        </is>
      </c>
      <c r="S90" s="3" t="inlineStr">
        <is>
          <t>鞋子</t>
        </is>
      </c>
      <c r="T90" s="3" t="inlineStr">
        <is>
          <t>无极门祖师的遗物，暗合太极阴阳之理。</t>
        </is>
      </c>
      <c r="U90" s="3" t="inlineStr">
        <is>
          <t>是</t>
        </is>
      </c>
      <c r="V90" s="3" t="inlineStr">
        <is>
          <t>否</t>
        </is>
      </c>
      <c r="W90" s="3" t="inlineStr">
        <is>
          <t>equip_wujixingxue.png</t>
        </is>
      </c>
      <c r="X90" s="3" t="inlineStr"/>
      <c r="Y90" s="3" t="inlineStr">
        <is>
          <t>equip_shoes</t>
        </is>
      </c>
      <c r="Z90" s="3" t="inlineStr"/>
      <c r="AA90" s="3" t="inlineStr">
        <is>
          <t>无</t>
        </is>
      </c>
      <c r="AB90" s="3" t="inlineStr">
        <is>
          <t>否</t>
        </is>
      </c>
      <c r="AC90" s="3" t="inlineStr">
        <is>
          <t>否</t>
        </is>
      </c>
      <c r="AD90" s="3" t="inlineStr"/>
      <c r="AE90" s="3" t="inlineStr">
        <is>
          <t>当前主要配置未发现明确途径</t>
        </is>
      </c>
      <c r="AF90" s="3" t="inlineStr">
        <is>
          <t>{"hp":330,"defense":24,"force":7,"agility":60}</t>
        </is>
      </c>
      <c r="AG90" s="3" t="inlineStr">
        <is>
          <t>data/item_templates.yaml:L4745</t>
        </is>
      </c>
    </row>
    <row r="91" hidden="1" ht="25.5" customHeight="1">
      <c r="A91" s="3" t="n">
        <v>90</v>
      </c>
      <c r="B91" s="3" t="inlineStr">
        <is>
          <t>equip_dakandao</t>
        </is>
      </c>
      <c r="C91" s="3" t="inlineStr">
        <is>
          <t>大砍刀</t>
        </is>
      </c>
      <c r="D91" s="3" t="n">
        <v>300</v>
      </c>
      <c r="E91" s="3" t="n">
        <v>50</v>
      </c>
      <c r="F91" s="3" t="n">
        <v>80</v>
      </c>
      <c r="G91" s="3" t="n">
        <v>0</v>
      </c>
      <c r="H91" s="3" t="n">
        <v>16</v>
      </c>
      <c r="I91" s="3" t="n">
        <v>0</v>
      </c>
      <c r="J91" s="3" t="n">
        <v>0</v>
      </c>
      <c r="K91" s="3" t="n">
        <v>0</v>
      </c>
      <c r="L91" s="3" t="n">
        <v>0</v>
      </c>
      <c r="M91" s="6">
        <f>F91/54+G91+H91+I91+J91+L91*1.2+K91/2</f>
        <v>17.48148148148148</v>
      </c>
      <c r="N91" s="3" t="inlineStr">
        <is>
          <t>无</t>
        </is>
      </c>
      <c r="O91" s="3" t="inlineStr">
        <is>
          <t>无</t>
        </is>
      </c>
      <c r="P91" s="3" t="inlineStr">
        <is>
          <t>black</t>
        </is>
      </c>
      <c r="Q91" s="3" t="inlineStr">
        <is>
          <t>普通/白</t>
        </is>
      </c>
      <c r="R91" s="3" t="inlineStr">
        <is>
          <t>武器</t>
        </is>
      </c>
      <c r="S91" s="3" t="inlineStr">
        <is>
          <t>刀</t>
        </is>
      </c>
      <c r="T91" s="3" t="inlineStr">
        <is>
          <t>江湖豪客常用的刀，相当好使。</t>
        </is>
      </c>
      <c r="U91" s="3" t="inlineStr">
        <is>
          <t>是</t>
        </is>
      </c>
      <c r="V91" s="3" t="inlineStr">
        <is>
          <t>否</t>
        </is>
      </c>
      <c r="W91" s="3" t="inlineStr">
        <is>
          <t>equip_dakandao.png</t>
        </is>
      </c>
      <c r="X91" s="3" t="inlineStr"/>
      <c r="Y91" s="3" t="inlineStr">
        <is>
          <t>equip_weapon</t>
        </is>
      </c>
      <c r="Z91" s="3" t="inlineStr"/>
      <c r="AA91" s="3" t="inlineStr">
        <is>
          <t>无</t>
        </is>
      </c>
      <c r="AB91" s="3" t="inlineStr">
        <is>
          <t>是</t>
        </is>
      </c>
      <c r="AC91" s="3" t="inlineStr">
        <is>
          <t>否</t>
        </is>
      </c>
      <c r="AD91" s="3" t="inlineStr"/>
      <c r="AE91" s="3" t="inlineStr">
        <is>
          <t>商铺购买；宝箱随机装备；铁匠铺直接锻造</t>
        </is>
      </c>
      <c r="AF91" s="3" t="inlineStr">
        <is>
          <t>{"hp":80,"force":16}</t>
        </is>
      </c>
      <c r="AG91" s="3" t="inlineStr">
        <is>
          <t>data/item_templates.yaml:L4837</t>
        </is>
      </c>
    </row>
    <row r="92" hidden="1">
      <c r="A92" s="3" t="n">
        <v>91</v>
      </c>
      <c r="B92" s="3" t="inlineStr">
        <is>
          <t>equip_duandao</t>
        </is>
      </c>
      <c r="C92" s="3" t="inlineStr">
        <is>
          <t>短刀</t>
        </is>
      </c>
      <c r="D92" s="3" t="n">
        <v>100</v>
      </c>
      <c r="E92" s="3" t="n">
        <v>50</v>
      </c>
      <c r="F92" s="3" t="n">
        <v>40</v>
      </c>
      <c r="G92" s="3" t="n">
        <v>0</v>
      </c>
      <c r="H92" s="3" t="n">
        <v>12</v>
      </c>
      <c r="I92" s="3" t="n">
        <v>0</v>
      </c>
      <c r="J92" s="3" t="n">
        <v>4</v>
      </c>
      <c r="K92" s="3" t="n">
        <v>0</v>
      </c>
      <c r="L92" s="3" t="n">
        <v>0</v>
      </c>
      <c r="M92" s="6">
        <f>F92/54+G92+H92+I92+J92+L92*1.2+K92/2</f>
        <v>16.74074074074074</v>
      </c>
      <c r="N92" s="3" t="inlineStr">
        <is>
          <t>无</t>
        </is>
      </c>
      <c r="O92" s="3" t="inlineStr">
        <is>
          <t>无</t>
        </is>
      </c>
      <c r="P92" s="3" t="inlineStr">
        <is>
          <t>black</t>
        </is>
      </c>
      <c r="Q92" s="3" t="inlineStr">
        <is>
          <t>普通/白</t>
        </is>
      </c>
      <c r="R92" s="3" t="inlineStr">
        <is>
          <t>武器</t>
        </is>
      </c>
      <c r="S92" s="3" t="inlineStr">
        <is>
          <t>刀</t>
        </is>
      </c>
      <c r="T92" s="3" t="inlineStr">
        <is>
          <t>粗钢打造的刀，勉强够防身用。</t>
        </is>
      </c>
      <c r="U92" s="3" t="inlineStr">
        <is>
          <t>是</t>
        </is>
      </c>
      <c r="V92" s="3" t="inlineStr">
        <is>
          <t>否</t>
        </is>
      </c>
      <c r="W92" s="3" t="inlineStr">
        <is>
          <t>equip_duandao.png</t>
        </is>
      </c>
      <c r="X92" s="3" t="inlineStr"/>
      <c r="Y92" s="3" t="inlineStr">
        <is>
          <t>equip_weapon</t>
        </is>
      </c>
      <c r="Z92" s="3" t="inlineStr"/>
      <c r="AA92" s="3" t="inlineStr">
        <is>
          <t>无</t>
        </is>
      </c>
      <c r="AB92" s="3" t="inlineStr">
        <is>
          <t>是</t>
        </is>
      </c>
      <c r="AC92" s="3" t="inlineStr">
        <is>
          <t>否</t>
        </is>
      </c>
      <c r="AD92" s="3" t="inlineStr"/>
      <c r="AE92" s="3" t="inlineStr">
        <is>
          <t>商铺购买；宝箱随机装备；铁匠铺直接锻造</t>
        </is>
      </c>
      <c r="AF92" s="3" t="inlineStr">
        <is>
          <t>{"hp":40,"force":12,"agility":4}</t>
        </is>
      </c>
      <c r="AG92" s="3" t="inlineStr">
        <is>
          <t>data/item_templates.yaml:L4823</t>
        </is>
      </c>
    </row>
    <row r="93" hidden="1">
      <c r="A93" s="3" t="n">
        <v>92</v>
      </c>
      <c r="B93" s="3" t="inlineStr">
        <is>
          <t>equip_changjian</t>
        </is>
      </c>
      <c r="C93" s="3" t="inlineStr">
        <is>
          <t>长剑</t>
        </is>
      </c>
      <c r="D93" s="3" t="n">
        <v>300</v>
      </c>
      <c r="E93" s="3" t="n">
        <v>50</v>
      </c>
      <c r="F93" s="3" t="n">
        <v>120</v>
      </c>
      <c r="G93" s="3" t="n">
        <v>1</v>
      </c>
      <c r="H93" s="3" t="n">
        <v>14</v>
      </c>
      <c r="I93" s="3" t="n">
        <v>0</v>
      </c>
      <c r="J93" s="3" t="n">
        <v>0</v>
      </c>
      <c r="K93" s="3" t="n">
        <v>0</v>
      </c>
      <c r="L93" s="3" t="n">
        <v>0</v>
      </c>
      <c r="M93" s="6">
        <f>F93/54+G93+H93+I93+J93+L93*1.2+K93/2</f>
        <v>17.22222222222222</v>
      </c>
      <c r="N93" s="3" t="inlineStr">
        <is>
          <t>无</t>
        </is>
      </c>
      <c r="O93" s="3" t="inlineStr">
        <is>
          <t>无</t>
        </is>
      </c>
      <c r="P93" s="3" t="inlineStr">
        <is>
          <t>black</t>
        </is>
      </c>
      <c r="Q93" s="3" t="inlineStr">
        <is>
          <t>普通/白</t>
        </is>
      </c>
      <c r="R93" s="3" t="inlineStr">
        <is>
          <t>武器</t>
        </is>
      </c>
      <c r="S93" s="3" t="inlineStr">
        <is>
          <t>剑</t>
        </is>
      </c>
      <c r="T93" s="3" t="inlineStr">
        <is>
          <t>兵器铺必备的东西，行走江湖时可用来防身和装潇洒。</t>
        </is>
      </c>
      <c r="U93" s="3" t="inlineStr">
        <is>
          <t>是</t>
        </is>
      </c>
      <c r="V93" s="3" t="inlineStr">
        <is>
          <t>否</t>
        </is>
      </c>
      <c r="W93" s="3" t="inlineStr">
        <is>
          <t>changjian.png</t>
        </is>
      </c>
      <c r="X93" s="3" t="inlineStr"/>
      <c r="Y93" s="3" t="inlineStr">
        <is>
          <t>equip_weapon</t>
        </is>
      </c>
      <c r="Z93" s="3" t="inlineStr"/>
      <c r="AA93" s="3" t="inlineStr">
        <is>
          <t>无</t>
        </is>
      </c>
      <c r="AB93" s="3" t="inlineStr">
        <is>
          <t>是</t>
        </is>
      </c>
      <c r="AC93" s="3" t="inlineStr">
        <is>
          <t>否</t>
        </is>
      </c>
      <c r="AD93" s="3" t="inlineStr"/>
      <c r="AE93" s="3" t="inlineStr">
        <is>
          <t>商铺购买；宝箱随机装备；铁匠铺直接锻造</t>
        </is>
      </c>
      <c r="AF93" s="3" t="inlineStr">
        <is>
          <t>{"hp":120,"defense":1,"force":14}</t>
        </is>
      </c>
      <c r="AG93" s="3" t="inlineStr">
        <is>
          <t>data/item_templates.yaml:L4778</t>
        </is>
      </c>
    </row>
    <row r="94" hidden="1">
      <c r="A94" s="3" t="n">
        <v>93</v>
      </c>
      <c r="B94" s="3" t="inlineStr">
        <is>
          <t>equip_duanjian</t>
        </is>
      </c>
      <c r="C94" s="3" t="inlineStr">
        <is>
          <t>短剑</t>
        </is>
      </c>
      <c r="D94" s="3" t="n">
        <v>100</v>
      </c>
      <c r="E94" s="3" t="n">
        <v>50</v>
      </c>
      <c r="F94" s="3" t="n">
        <v>80</v>
      </c>
      <c r="G94" s="3" t="n">
        <v>0</v>
      </c>
      <c r="H94" s="3" t="n">
        <v>8</v>
      </c>
      <c r="I94" s="3" t="n">
        <v>0</v>
      </c>
      <c r="J94" s="3" t="n">
        <v>6</v>
      </c>
      <c r="K94" s="3" t="n">
        <v>0</v>
      </c>
      <c r="L94" s="3" t="n">
        <v>0</v>
      </c>
      <c r="M94" s="6">
        <f>F94/54+G94+H94+I94+J94+L94*1.2+K94/2</f>
        <v>15.481481481481481</v>
      </c>
      <c r="N94" s="3" t="inlineStr">
        <is>
          <t>无</t>
        </is>
      </c>
      <c r="O94" s="3" t="inlineStr">
        <is>
          <t>无</t>
        </is>
      </c>
      <c r="P94" s="3" t="inlineStr">
        <is>
          <t>black</t>
        </is>
      </c>
      <c r="Q94" s="3" t="inlineStr">
        <is>
          <t>普通/白</t>
        </is>
      </c>
      <c r="R94" s="3" t="inlineStr">
        <is>
          <t>武器</t>
        </is>
      </c>
      <c r="S94" s="3" t="inlineStr">
        <is>
          <t>剑</t>
        </is>
      </c>
      <c r="T94" s="3" t="inlineStr">
        <is>
          <t>粗钢打造的剑，勉强够防身用。</t>
        </is>
      </c>
      <c r="U94" s="3" t="inlineStr">
        <is>
          <t>是</t>
        </is>
      </c>
      <c r="V94" s="3" t="inlineStr">
        <is>
          <t>否</t>
        </is>
      </c>
      <c r="W94" s="3" t="inlineStr">
        <is>
          <t>duanjian.png</t>
        </is>
      </c>
      <c r="X94" s="3" t="inlineStr"/>
      <c r="Y94" s="3" t="inlineStr">
        <is>
          <t>equip_weapon</t>
        </is>
      </c>
      <c r="Z94" s="3" t="inlineStr"/>
      <c r="AA94" s="3" t="inlineStr">
        <is>
          <t>无</t>
        </is>
      </c>
      <c r="AB94" s="3" t="inlineStr">
        <is>
          <t>是</t>
        </is>
      </c>
      <c r="AC94" s="3" t="inlineStr">
        <is>
          <t>否</t>
        </is>
      </c>
      <c r="AD94" s="3" t="inlineStr"/>
      <c r="AE94" s="3" t="inlineStr">
        <is>
          <t>商铺购买；宝箱随机装备；铁匠铺直接锻造</t>
        </is>
      </c>
      <c r="AF94" s="3" t="inlineStr">
        <is>
          <t>{"hp":80,"force":8,"agility":6}</t>
        </is>
      </c>
      <c r="AG94" s="3" t="inlineStr">
        <is>
          <t>data/item_templates.yaml:L4764</t>
        </is>
      </c>
    </row>
    <row r="95" hidden="1">
      <c r="A95" s="3" t="n">
        <v>94</v>
      </c>
      <c r="B95" s="3" t="inlineStr">
        <is>
          <t>equip_changgong</t>
        </is>
      </c>
      <c r="C95" s="3" t="inlineStr">
        <is>
          <t>长弓</t>
        </is>
      </c>
      <c r="D95" s="3" t="n">
        <v>100</v>
      </c>
      <c r="E95" s="3" t="n">
        <v>50</v>
      </c>
      <c r="F95" s="3" t="n">
        <v>0</v>
      </c>
      <c r="G95" s="3" t="n">
        <v>0</v>
      </c>
      <c r="H95" s="3" t="n">
        <v>12</v>
      </c>
      <c r="I95" s="3" t="n">
        <v>0</v>
      </c>
      <c r="J95" s="3" t="n">
        <v>4</v>
      </c>
      <c r="K95" s="3" t="n">
        <v>0</v>
      </c>
      <c r="L95" s="3" t="n">
        <v>0</v>
      </c>
      <c r="M95" s="6">
        <f>F95/54+G95+H95+I95+J95+L95*1.2+K95/2</f>
        <v>16.0</v>
      </c>
      <c r="N95" s="3" t="inlineStr">
        <is>
          <t>无</t>
        </is>
      </c>
      <c r="O95" s="3" t="inlineStr">
        <is>
          <t>无</t>
        </is>
      </c>
      <c r="P95" s="3" t="inlineStr">
        <is>
          <t>black</t>
        </is>
      </c>
      <c r="Q95" s="3" t="inlineStr">
        <is>
          <t>普通/白</t>
        </is>
      </c>
      <c r="R95" s="3" t="inlineStr">
        <is>
          <t>武器</t>
        </is>
      </c>
      <c r="S95" s="3" t="inlineStr">
        <is>
          <t>弓</t>
        </is>
      </c>
      <c r="T95" s="3" t="inlineStr">
        <is>
          <t>白木制的弓，随处可见的东西。</t>
        </is>
      </c>
      <c r="U95" s="3" t="inlineStr">
        <is>
          <t>是</t>
        </is>
      </c>
      <c r="V95" s="3" t="inlineStr">
        <is>
          <t>否</t>
        </is>
      </c>
      <c r="W95" s="3" t="inlineStr">
        <is>
          <t>changgong.png</t>
        </is>
      </c>
      <c r="X95" s="3" t="inlineStr"/>
      <c r="Y95" s="3" t="inlineStr">
        <is>
          <t>equip_weapon</t>
        </is>
      </c>
      <c r="Z95" s="3" t="inlineStr"/>
      <c r="AA95" s="3" t="inlineStr">
        <is>
          <t>无</t>
        </is>
      </c>
      <c r="AB95" s="3" t="inlineStr">
        <is>
          <t>是</t>
        </is>
      </c>
      <c r="AC95" s="3" t="inlineStr">
        <is>
          <t>否</t>
        </is>
      </c>
      <c r="AD95" s="3" t="inlineStr"/>
      <c r="AE95" s="3" t="inlineStr">
        <is>
          <t>商铺购买；宝箱随机装备；铁匠铺直接锻造</t>
        </is>
      </c>
      <c r="AF95" s="3" t="inlineStr">
        <is>
          <t>{"force":12,"agility":4}</t>
        </is>
      </c>
      <c r="AG95" s="3" t="inlineStr">
        <is>
          <t>data/item_templates.yaml:L4942</t>
        </is>
      </c>
    </row>
    <row r="96" hidden="1">
      <c r="A96" s="3" t="n">
        <v>95</v>
      </c>
      <c r="B96" s="3" t="inlineStr">
        <is>
          <t>equip_fanqugong</t>
        </is>
      </c>
      <c r="C96" s="3" t="inlineStr">
        <is>
          <t>反曲弓</t>
        </is>
      </c>
      <c r="D96" s="3" t="n">
        <v>300</v>
      </c>
      <c r="E96" s="3" t="n">
        <v>50</v>
      </c>
      <c r="F96" s="3" t="n">
        <v>0</v>
      </c>
      <c r="G96" s="3" t="n">
        <v>0</v>
      </c>
      <c r="H96" s="3" t="n">
        <v>12</v>
      </c>
      <c r="I96" s="3" t="n">
        <v>0</v>
      </c>
      <c r="J96" s="3" t="n">
        <v>6</v>
      </c>
      <c r="K96" s="3" t="n">
        <v>0</v>
      </c>
      <c r="L96" s="3" t="n">
        <v>0</v>
      </c>
      <c r="M96" s="6">
        <f>F96/54+G96+H96+I96+J96+L96*1.2+K96/2</f>
        <v>18.0</v>
      </c>
      <c r="N96" s="3" t="inlineStr">
        <is>
          <t>无</t>
        </is>
      </c>
      <c r="O96" s="3" t="inlineStr">
        <is>
          <t>无</t>
        </is>
      </c>
      <c r="P96" s="3" t="inlineStr">
        <is>
          <t>black</t>
        </is>
      </c>
      <c r="Q96" s="3" t="inlineStr">
        <is>
          <t>普通/白</t>
        </is>
      </c>
      <c r="R96" s="3" t="inlineStr">
        <is>
          <t>武器</t>
        </is>
      </c>
      <c r="S96" s="3" t="inlineStr">
        <is>
          <t>弓</t>
        </is>
      </c>
      <c r="T96" s="3" t="inlineStr">
        <is>
          <t>以干角筋胶丝漆六材制成的弓，相当精致。</t>
        </is>
      </c>
      <c r="U96" s="3" t="inlineStr">
        <is>
          <t>是</t>
        </is>
      </c>
      <c r="V96" s="3" t="inlineStr">
        <is>
          <t>否</t>
        </is>
      </c>
      <c r="W96" s="3" t="inlineStr">
        <is>
          <t>fanqugong.png</t>
        </is>
      </c>
      <c r="X96" s="3" t="inlineStr"/>
      <c r="Y96" s="3" t="inlineStr">
        <is>
          <t>equip_weapon</t>
        </is>
      </c>
      <c r="Z96" s="3" t="inlineStr"/>
      <c r="AA96" s="3" t="inlineStr">
        <is>
          <t>无</t>
        </is>
      </c>
      <c r="AB96" s="3" t="inlineStr">
        <is>
          <t>是</t>
        </is>
      </c>
      <c r="AC96" s="3" t="inlineStr">
        <is>
          <t>否</t>
        </is>
      </c>
      <c r="AD96" s="3" t="inlineStr"/>
      <c r="AE96" s="3" t="inlineStr">
        <is>
          <t>商铺购买；宝箱随机装备；铁匠铺直接锻造</t>
        </is>
      </c>
      <c r="AF96" s="3" t="inlineStr">
        <is>
          <t>{"force":12,"agility":6}</t>
        </is>
      </c>
      <c r="AG96" s="3" t="inlineStr">
        <is>
          <t>data/item_templates.yaml:L4955</t>
        </is>
      </c>
    </row>
    <row r="97" hidden="1">
      <c r="A97" s="3" t="n">
        <v>96</v>
      </c>
      <c r="B97" s="3" t="inlineStr">
        <is>
          <t>equip_baoweiqiang</t>
        </is>
      </c>
      <c r="C97" s="3" t="inlineStr">
        <is>
          <t>豹尾枪</t>
        </is>
      </c>
      <c r="D97" s="3" t="n">
        <v>300</v>
      </c>
      <c r="E97" s="3" t="n">
        <v>50</v>
      </c>
      <c r="F97" s="3" t="n">
        <v>0</v>
      </c>
      <c r="G97" s="3" t="n">
        <v>4</v>
      </c>
      <c r="H97" s="3" t="n">
        <v>8</v>
      </c>
      <c r="I97" s="3" t="n">
        <v>0</v>
      </c>
      <c r="J97" s="3" t="n">
        <v>0</v>
      </c>
      <c r="K97" s="3" t="n">
        <v>20</v>
      </c>
      <c r="L97" s="3" t="n">
        <v>0</v>
      </c>
      <c r="M97" s="6">
        <f>F97/54+G97+H97+I97+J97+L97*1.2+K97/2</f>
        <v>22.0</v>
      </c>
      <c r="N97" s="3" t="inlineStr">
        <is>
          <t>无</t>
        </is>
      </c>
      <c r="O97" s="3" t="inlineStr">
        <is>
          <t>无</t>
        </is>
      </c>
      <c r="P97" s="3" t="inlineStr">
        <is>
          <t>black</t>
        </is>
      </c>
      <c r="Q97" s="3" t="inlineStr">
        <is>
          <t>普通/白</t>
        </is>
      </c>
      <c r="R97" s="3" t="inlineStr">
        <is>
          <t>武器</t>
        </is>
      </c>
      <c r="S97" s="3" t="inlineStr">
        <is>
          <t>枪</t>
        </is>
      </c>
      <c r="T97" s="3" t="inlineStr">
        <is>
          <t>头有兽尾为饰，看来稍微华贵些。</t>
        </is>
      </c>
      <c r="U97" s="3" t="inlineStr">
        <is>
          <t>是</t>
        </is>
      </c>
      <c r="V97" s="3" t="inlineStr">
        <is>
          <t>否</t>
        </is>
      </c>
      <c r="W97" s="3" t="inlineStr">
        <is>
          <t>equip_baoweiqiang.png</t>
        </is>
      </c>
      <c r="X97" s="3" t="inlineStr"/>
      <c r="Y97" s="3" t="inlineStr">
        <is>
          <t>equip_weapon</t>
        </is>
      </c>
      <c r="Z97" s="3" t="inlineStr"/>
      <c r="AA97" s="3" t="inlineStr">
        <is>
          <t>无</t>
        </is>
      </c>
      <c r="AB97" s="3" t="inlineStr">
        <is>
          <t>是</t>
        </is>
      </c>
      <c r="AC97" s="3" t="inlineStr">
        <is>
          <t>否</t>
        </is>
      </c>
      <c r="AD97" s="3" t="inlineStr"/>
      <c r="AE97" s="3" t="inlineStr">
        <is>
          <t>商铺购买；宝箱随机装备；铁匠铺直接锻造</t>
        </is>
      </c>
      <c r="AF97" s="3" t="inlineStr">
        <is>
          <t>{"defense":4,"force":8,"troop_capacity":20}</t>
        </is>
      </c>
      <c r="AG97" s="3" t="inlineStr">
        <is>
          <t>data/item_templates.yaml:L4896</t>
        </is>
      </c>
    </row>
    <row r="98" hidden="1">
      <c r="A98" s="3" t="n">
        <v>97</v>
      </c>
      <c r="B98" s="3" t="inlineStr">
        <is>
          <t>equip_changqiang</t>
        </is>
      </c>
      <c r="C98" s="3" t="inlineStr">
        <is>
          <t>长枪</t>
        </is>
      </c>
      <c r="D98" s="3" t="n">
        <v>100</v>
      </c>
      <c r="E98" s="3" t="n">
        <v>50</v>
      </c>
      <c r="F98" s="3" t="n">
        <v>160</v>
      </c>
      <c r="G98" s="3" t="n">
        <v>0</v>
      </c>
      <c r="H98" s="3" t="n">
        <v>9</v>
      </c>
      <c r="I98" s="3" t="n">
        <v>0</v>
      </c>
      <c r="J98" s="3" t="n">
        <v>0</v>
      </c>
      <c r="K98" s="3" t="n">
        <v>12</v>
      </c>
      <c r="L98" s="3" t="n">
        <v>0</v>
      </c>
      <c r="M98" s="6">
        <f>F98/54+G98+H98+I98+J98+L98*1.2+K98/2</f>
        <v>17.962962962962962</v>
      </c>
      <c r="N98" s="3" t="inlineStr">
        <is>
          <t>无</t>
        </is>
      </c>
      <c r="O98" s="3" t="inlineStr">
        <is>
          <t>无</t>
        </is>
      </c>
      <c r="P98" s="3" t="inlineStr">
        <is>
          <t>black</t>
        </is>
      </c>
      <c r="Q98" s="3" t="inlineStr">
        <is>
          <t>普通/白</t>
        </is>
      </c>
      <c r="R98" s="3" t="inlineStr">
        <is>
          <t>武器</t>
        </is>
      </c>
      <c r="S98" s="3" t="inlineStr">
        <is>
          <t>枪</t>
        </is>
      </c>
      <c r="T98" s="3" t="inlineStr">
        <is>
          <t>普通的红缨点钢枪，士兵常使的武器。</t>
        </is>
      </c>
      <c r="U98" s="3" t="inlineStr">
        <is>
          <t>是</t>
        </is>
      </c>
      <c r="V98" s="3" t="inlineStr">
        <is>
          <t>否</t>
        </is>
      </c>
      <c r="W98" s="3" t="inlineStr">
        <is>
          <t>changqiang.png</t>
        </is>
      </c>
      <c r="X98" s="3" t="inlineStr"/>
      <c r="Y98" s="3" t="inlineStr">
        <is>
          <t>equip_weapon</t>
        </is>
      </c>
      <c r="Z98" s="3" t="inlineStr"/>
      <c r="AA98" s="3" t="inlineStr">
        <is>
          <t>无</t>
        </is>
      </c>
      <c r="AB98" s="3" t="inlineStr">
        <is>
          <t>是</t>
        </is>
      </c>
      <c r="AC98" s="3" t="inlineStr">
        <is>
          <t>否</t>
        </is>
      </c>
      <c r="AD98" s="3" t="inlineStr"/>
      <c r="AE98" s="3" t="inlineStr">
        <is>
          <t>商铺购买；宝箱随机装备；铁匠铺直接锻造</t>
        </is>
      </c>
      <c r="AF98" s="3" t="inlineStr">
        <is>
          <t>{"hp":160,"defense":0,"force":9,"troop_capacity":12}</t>
        </is>
      </c>
      <c r="AG98" s="3" t="inlineStr">
        <is>
          <t>data/item_templates.yaml:L4881</t>
        </is>
      </c>
    </row>
    <row r="99" hidden="1">
      <c r="A99" s="3" t="n">
        <v>98</v>
      </c>
      <c r="B99" s="3" t="inlineStr">
        <is>
          <t>equip_tiejian</t>
        </is>
      </c>
      <c r="C99" s="3" t="inlineStr">
        <is>
          <t>铁剑</t>
        </is>
      </c>
      <c r="D99" s="3" t="n">
        <v>0</v>
      </c>
      <c r="E99" s="3" t="n">
        <v>50</v>
      </c>
      <c r="F99" s="3" t="n">
        <v>0</v>
      </c>
      <c r="G99" s="3" t="n">
        <v>5</v>
      </c>
      <c r="H99" s="3" t="n">
        <v>15</v>
      </c>
      <c r="I99" s="3" t="n">
        <v>0</v>
      </c>
      <c r="J99" s="3" t="n">
        <v>0</v>
      </c>
      <c r="K99" s="3" t="n">
        <v>0</v>
      </c>
      <c r="L99" s="3" t="n">
        <v>0</v>
      </c>
      <c r="M99" s="6">
        <f>F99/54+G99+H99+I99+J99+L99*1.2+K99/2</f>
        <v>20.0</v>
      </c>
      <c r="N99" s="3" t="inlineStr">
        <is>
          <t>一蓑烟雨</t>
        </is>
      </c>
      <c r="O99" s="3" t="inlineStr">
        <is>
          <t>一蓑烟雨4件: 生命+200、武力+20、带兵上限+20、运势+15</t>
        </is>
      </c>
      <c r="P99" s="3" t="inlineStr">
        <is>
          <t>black</t>
        </is>
      </c>
      <c r="Q99" s="3" t="inlineStr">
        <is>
          <t>普通/白</t>
        </is>
      </c>
      <c r="R99" s="3" t="inlineStr">
        <is>
          <t>武器</t>
        </is>
      </c>
      <c r="S99" s="3" t="inlineStr">
        <is>
          <t>武器</t>
        </is>
      </c>
      <c r="T99" s="3" t="inlineStr">
        <is>
          <t>一柄简朴耐用的铁剑，适合初入江湖之人防身。</t>
        </is>
      </c>
      <c r="U99" s="3" t="inlineStr">
        <is>
          <t>否</t>
        </is>
      </c>
      <c r="V99" s="3" t="inlineStr">
        <is>
          <t>否</t>
        </is>
      </c>
      <c r="W99" s="3" t="inlineStr">
        <is>
          <t>equip_tiejian.png</t>
        </is>
      </c>
      <c r="X99" s="3" t="inlineStr"/>
      <c r="Y99" s="3" t="inlineStr">
        <is>
          <t>equip_weapon</t>
        </is>
      </c>
      <c r="Z99" s="3" t="inlineStr">
        <is>
          <t>starter_cloth_set</t>
        </is>
      </c>
      <c r="AA99" s="3" t="inlineStr">
        <is>
          <t>无</t>
        </is>
      </c>
      <c r="AB99" s="3" t="inlineStr">
        <is>
          <t>否</t>
        </is>
      </c>
      <c r="AC99" s="3" t="inlineStr">
        <is>
          <t>否</t>
        </is>
      </c>
      <c r="AD99" s="3" t="inlineStr"/>
      <c r="AE99" s="3" t="inlineStr">
        <is>
          <t>宝箱随机装备</t>
        </is>
      </c>
      <c r="AF99" s="3" t="inlineStr">
        <is>
          <t>{"defense":5,"force":15,"set_key":"starter_cloth_set","set_description":"一蓑烟雨","set_bonus":{"pieces":4,"bonus":{"hp":200,"force":20,"troop_capacity":20,"luck":15}}}</t>
        </is>
      </c>
      <c r="AG99" s="3" t="inlineStr">
        <is>
          <t>data/item_templates.yaml:L3310</t>
        </is>
      </c>
    </row>
    <row r="100" hidden="1">
      <c r="A100" s="3" t="n">
        <v>99</v>
      </c>
      <c r="B100" s="3" t="inlineStr">
        <is>
          <t>equip_changbian</t>
        </is>
      </c>
      <c r="C100" s="3" t="inlineStr">
        <is>
          <t>长鞭</t>
        </is>
      </c>
      <c r="D100" s="3" t="n">
        <v>100</v>
      </c>
      <c r="E100" s="3" t="n">
        <v>50</v>
      </c>
      <c r="F100" s="3" t="n">
        <v>0</v>
      </c>
      <c r="G100" s="3" t="n">
        <v>0</v>
      </c>
      <c r="H100" s="3" t="n">
        <v>12</v>
      </c>
      <c r="I100" s="3" t="n">
        <v>0</v>
      </c>
      <c r="J100" s="3" t="n">
        <v>8</v>
      </c>
      <c r="K100" s="3" t="n">
        <v>0</v>
      </c>
      <c r="L100" s="3" t="n">
        <v>0</v>
      </c>
      <c r="M100" s="6">
        <f>F100/54+G100+H100+I100+J100+L100*1.2+K100/2</f>
        <v>20.0</v>
      </c>
      <c r="N100" s="3" t="inlineStr">
        <is>
          <t>无</t>
        </is>
      </c>
      <c r="O100" s="3" t="inlineStr">
        <is>
          <t>无</t>
        </is>
      </c>
      <c r="P100" s="3" t="inlineStr">
        <is>
          <t>black</t>
        </is>
      </c>
      <c r="Q100" s="3" t="inlineStr">
        <is>
          <t>普通/白</t>
        </is>
      </c>
      <c r="R100" s="3" t="inlineStr">
        <is>
          <t>武器</t>
        </is>
      </c>
      <c r="S100" s="3" t="inlineStr">
        <is>
          <t>鞭</t>
        </is>
      </c>
      <c r="T100" s="3" t="inlineStr">
        <is>
          <t>细藤搓成的鞭子，通常只能用来赶羊。</t>
        </is>
      </c>
      <c r="U100" s="3" t="inlineStr">
        <is>
          <t>是</t>
        </is>
      </c>
      <c r="V100" s="3" t="inlineStr">
        <is>
          <t>否</t>
        </is>
      </c>
      <c r="W100" s="3" t="inlineStr">
        <is>
          <t>changbian.png</t>
        </is>
      </c>
      <c r="X100" s="3" t="inlineStr"/>
      <c r="Y100" s="3" t="inlineStr">
        <is>
          <t>equip_weapon</t>
        </is>
      </c>
      <c r="Z100" s="3" t="inlineStr"/>
      <c r="AA100" s="3" t="inlineStr">
        <is>
          <t>无</t>
        </is>
      </c>
      <c r="AB100" s="3" t="inlineStr">
        <is>
          <t>是</t>
        </is>
      </c>
      <c r="AC100" s="3" t="inlineStr">
        <is>
          <t>否</t>
        </is>
      </c>
      <c r="AD100" s="3" t="inlineStr"/>
      <c r="AE100" s="3" t="inlineStr">
        <is>
          <t>铁匠铺直接锻造</t>
        </is>
      </c>
      <c r="AF100" s="3" t="inlineStr">
        <is>
          <t>{"force":12,"agility":8}</t>
        </is>
      </c>
      <c r="AG100" s="3" t="inlineStr">
        <is>
          <t>data/item_templates.yaml:L4999</t>
        </is>
      </c>
    </row>
    <row r="101" hidden="1" ht="25.5" customHeight="1">
      <c r="A101" s="3" t="n">
        <v>100</v>
      </c>
      <c r="B101" s="3" t="inlineStr">
        <is>
          <t>equip_niupibian</t>
        </is>
      </c>
      <c r="C101" s="3" t="inlineStr">
        <is>
          <t>牛皮鞭</t>
        </is>
      </c>
      <c r="D101" s="3" t="n">
        <v>300</v>
      </c>
      <c r="E101" s="3" t="n">
        <v>50</v>
      </c>
      <c r="F101" s="3" t="n">
        <v>0</v>
      </c>
      <c r="G101" s="3" t="n">
        <v>0</v>
      </c>
      <c r="H101" s="3" t="n">
        <v>10</v>
      </c>
      <c r="I101" s="3" t="n">
        <v>0</v>
      </c>
      <c r="J101" s="3" t="n">
        <v>6</v>
      </c>
      <c r="K101" s="3" t="n">
        <v>0</v>
      </c>
      <c r="L101" s="3" t="n">
        <v>4</v>
      </c>
      <c r="M101" s="6">
        <f>F101/54+G101+H101+I101+J101+L101*1.2+K101/2</f>
        <v>20.8</v>
      </c>
      <c r="N101" s="3" t="inlineStr">
        <is>
          <t>无</t>
        </is>
      </c>
      <c r="O101" s="3" t="inlineStr">
        <is>
          <t>无</t>
        </is>
      </c>
      <c r="P101" s="3" t="inlineStr">
        <is>
          <t>black</t>
        </is>
      </c>
      <c r="Q101" s="3" t="inlineStr">
        <is>
          <t>普通/白</t>
        </is>
      </c>
      <c r="R101" s="3" t="inlineStr">
        <is>
          <t>武器</t>
        </is>
      </c>
      <c r="S101" s="3" t="inlineStr">
        <is>
          <t>鞭</t>
        </is>
      </c>
      <c r="T101" s="3" t="inlineStr">
        <is>
          <t>生牛皮编制的长鞭，相当难用。</t>
        </is>
      </c>
      <c r="U101" s="3" t="inlineStr">
        <is>
          <t>是</t>
        </is>
      </c>
      <c r="V101" s="3" t="inlineStr">
        <is>
          <t>否</t>
        </is>
      </c>
      <c r="W101" s="3" t="inlineStr">
        <is>
          <t>niupibian.png</t>
        </is>
      </c>
      <c r="X101" s="3" t="inlineStr"/>
      <c r="Y101" s="3" t="inlineStr">
        <is>
          <t>equip_weapon</t>
        </is>
      </c>
      <c r="Z101" s="3" t="inlineStr"/>
      <c r="AA101" s="3" t="inlineStr">
        <is>
          <t>无</t>
        </is>
      </c>
      <c r="AB101" s="3" t="inlineStr">
        <is>
          <t>是</t>
        </is>
      </c>
      <c r="AC101" s="3" t="inlineStr">
        <is>
          <t>否</t>
        </is>
      </c>
      <c r="AD101" s="3" t="inlineStr"/>
      <c r="AE101" s="3" t="inlineStr">
        <is>
          <t>商铺购买；宝箱随机装备；铁匠铺直接锻造</t>
        </is>
      </c>
      <c r="AF101" s="3" t="inlineStr">
        <is>
          <t>{"force":10,"agility":6,"luck":4}</t>
        </is>
      </c>
      <c r="AG101" s="3" t="inlineStr">
        <is>
          <t>data/item_templates.yaml:L5012</t>
        </is>
      </c>
    </row>
    <row r="102" hidden="1">
      <c r="A102" s="3" t="n">
        <v>101</v>
      </c>
      <c r="B102" s="3" t="inlineStr">
        <is>
          <t>equip_jingtiedao</t>
        </is>
      </c>
      <c r="C102" s="3" t="inlineStr">
        <is>
          <t>精铁刀</t>
        </is>
      </c>
      <c r="D102" s="3" t="n">
        <v>1500</v>
      </c>
      <c r="E102" s="3" t="n">
        <v>75</v>
      </c>
      <c r="F102" s="3" t="n">
        <v>40</v>
      </c>
      <c r="G102" s="3" t="n">
        <v>0</v>
      </c>
      <c r="H102" s="3" t="n">
        <v>28</v>
      </c>
      <c r="I102" s="3" t="n">
        <v>0</v>
      </c>
      <c r="J102" s="3" t="n">
        <v>0</v>
      </c>
      <c r="K102" s="3" t="n">
        <v>0</v>
      </c>
      <c r="L102" s="3" t="n">
        <v>0</v>
      </c>
      <c r="M102" s="6">
        <f>F102/54+G102+H102+I102+J102+L102*1.2+K102/2</f>
        <v>28.74074074074074</v>
      </c>
      <c r="N102" s="3" t="inlineStr">
        <is>
          <t>无</t>
        </is>
      </c>
      <c r="O102" s="3" t="inlineStr">
        <is>
          <t>无</t>
        </is>
      </c>
      <c r="P102" s="3" t="inlineStr">
        <is>
          <t>green</t>
        </is>
      </c>
      <c r="Q102" s="3" t="inlineStr">
        <is>
          <t>优秀/绿</t>
        </is>
      </c>
      <c r="R102" s="3" t="inlineStr">
        <is>
          <t>武器</t>
        </is>
      </c>
      <c r="S102" s="3" t="inlineStr">
        <is>
          <t>刀</t>
        </is>
      </c>
      <c r="T102" s="3" t="inlineStr">
        <is>
          <t>上好精铁打造而成，锋利无比。</t>
        </is>
      </c>
      <c r="U102" s="3" t="inlineStr">
        <is>
          <t>是</t>
        </is>
      </c>
      <c r="V102" s="3" t="inlineStr">
        <is>
          <t>否</t>
        </is>
      </c>
      <c r="W102" s="3" t="inlineStr">
        <is>
          <t>jingtiedao.png</t>
        </is>
      </c>
      <c r="X102" s="3" t="inlineStr"/>
      <c r="Y102" s="3" t="inlineStr">
        <is>
          <t>equip_weapon</t>
        </is>
      </c>
      <c r="Z102" s="3" t="inlineStr"/>
      <c r="AA102" s="3" t="inlineStr">
        <is>
          <t>无</t>
        </is>
      </c>
      <c r="AB102" s="3" t="inlineStr">
        <is>
          <t>是</t>
        </is>
      </c>
      <c r="AC102" s="3" t="inlineStr">
        <is>
          <t>否</t>
        </is>
      </c>
      <c r="AD102" s="3" t="inlineStr"/>
      <c r="AE102" s="3" t="inlineStr">
        <is>
          <t>商铺购买；宝箱随机装备；铁匠铺直接锻造</t>
        </is>
      </c>
      <c r="AF102" s="3" t="inlineStr">
        <is>
          <t>{"hp":40,"force":28}</t>
        </is>
      </c>
      <c r="AG102" s="3" t="inlineStr">
        <is>
          <t>data/item_templates.yaml:L4864</t>
        </is>
      </c>
    </row>
    <row r="103" hidden="1">
      <c r="A103" s="3" t="n">
        <v>102</v>
      </c>
      <c r="B103" s="3" t="inlineStr">
        <is>
          <t>equip_tongchangdao</t>
        </is>
      </c>
      <c r="C103" s="3" t="inlineStr">
        <is>
          <t>铜长刀</t>
        </is>
      </c>
      <c r="D103" s="3" t="n">
        <v>800</v>
      </c>
      <c r="E103" s="3" t="n">
        <v>75</v>
      </c>
      <c r="F103" s="3" t="n">
        <v>80</v>
      </c>
      <c r="G103" s="3" t="n">
        <v>4</v>
      </c>
      <c r="H103" s="3" t="n">
        <v>22</v>
      </c>
      <c r="I103" s="3" t="n">
        <v>0</v>
      </c>
      <c r="J103" s="3" t="n">
        <v>0</v>
      </c>
      <c r="K103" s="3" t="n">
        <v>0</v>
      </c>
      <c r="L103" s="3" t="n">
        <v>0</v>
      </c>
      <c r="M103" s="6">
        <f>F103/54+G103+H103+I103+J103+L103*1.2+K103/2</f>
        <v>27.48148148148148</v>
      </c>
      <c r="N103" s="3" t="inlineStr">
        <is>
          <t>无</t>
        </is>
      </c>
      <c r="O103" s="3" t="inlineStr">
        <is>
          <t>无</t>
        </is>
      </c>
      <c r="P103" s="3" t="inlineStr">
        <is>
          <t>green</t>
        </is>
      </c>
      <c r="Q103" s="3" t="inlineStr">
        <is>
          <t>优秀/绿</t>
        </is>
      </c>
      <c r="R103" s="3" t="inlineStr">
        <is>
          <t>武器</t>
        </is>
      </c>
      <c r="S103" s="3" t="inlineStr">
        <is>
          <t>刀</t>
        </is>
      </c>
      <c r="T103" s="3" t="inlineStr">
        <is>
          <t>使用铜和钢混合打造，看起来闪闪发亮。</t>
        </is>
      </c>
      <c r="U103" s="3" t="inlineStr">
        <is>
          <t>是</t>
        </is>
      </c>
      <c r="V103" s="3" t="inlineStr">
        <is>
          <t>否</t>
        </is>
      </c>
      <c r="W103" s="3" t="inlineStr">
        <is>
          <t>equip_tongchangdao.png</t>
        </is>
      </c>
      <c r="X103" s="3" t="inlineStr"/>
      <c r="Y103" s="3" t="inlineStr">
        <is>
          <t>equip_weapon</t>
        </is>
      </c>
      <c r="Z103" s="3" t="inlineStr"/>
      <c r="AA103" s="3" t="inlineStr">
        <is>
          <t>无</t>
        </is>
      </c>
      <c r="AB103" s="3" t="inlineStr">
        <is>
          <t>是</t>
        </is>
      </c>
      <c r="AC103" s="3" t="inlineStr">
        <is>
          <t>否</t>
        </is>
      </c>
      <c r="AD103" s="3" t="inlineStr"/>
      <c r="AE103" s="3" t="inlineStr">
        <is>
          <t>商铺购买；宝箱随机装备；铁匠铺直接锻造</t>
        </is>
      </c>
      <c r="AF103" s="3" t="inlineStr">
        <is>
          <t>{"hp":80,"defense":4,"force":22}</t>
        </is>
      </c>
      <c r="AG103" s="3" t="inlineStr">
        <is>
          <t>data/item_templates.yaml:L4850</t>
        </is>
      </c>
    </row>
    <row r="104" hidden="1">
      <c r="A104" s="3" t="n">
        <v>103</v>
      </c>
      <c r="B104" s="3" t="inlineStr">
        <is>
          <t>equip_duanmajian</t>
        </is>
      </c>
      <c r="C104" s="3" t="inlineStr">
        <is>
          <t>断马剑</t>
        </is>
      </c>
      <c r="D104" s="3" t="n">
        <v>1500</v>
      </c>
      <c r="E104" s="3" t="n">
        <v>75</v>
      </c>
      <c r="F104" s="3" t="n">
        <v>0</v>
      </c>
      <c r="G104" s="3" t="n">
        <v>0</v>
      </c>
      <c r="H104" s="3" t="n">
        <v>20</v>
      </c>
      <c r="I104" s="3" t="n">
        <v>0</v>
      </c>
      <c r="J104" s="3" t="n">
        <v>8</v>
      </c>
      <c r="K104" s="3" t="n">
        <v>0</v>
      </c>
      <c r="L104" s="3" t="n">
        <v>0</v>
      </c>
      <c r="M104" s="6">
        <f>F104/54+G104+H104+I104+J104+L104*1.2+K104/2</f>
        <v>28.0</v>
      </c>
      <c r="N104" s="3" t="inlineStr">
        <is>
          <t>无</t>
        </is>
      </c>
      <c r="O104" s="3" t="inlineStr">
        <is>
          <t>无</t>
        </is>
      </c>
      <c r="P104" s="3" t="inlineStr">
        <is>
          <t>green</t>
        </is>
      </c>
      <c r="Q104" s="3" t="inlineStr">
        <is>
          <t>优秀/绿</t>
        </is>
      </c>
      <c r="R104" s="3" t="inlineStr">
        <is>
          <t>武器</t>
        </is>
      </c>
      <c r="S104" s="3" t="inlineStr">
        <is>
          <t>剑</t>
        </is>
      </c>
      <c r="T104" s="3" t="inlineStr">
        <is>
          <t>特长特厚的刀刃，一击甚至可以将马斩断。</t>
        </is>
      </c>
      <c r="U104" s="3" t="inlineStr">
        <is>
          <t>是</t>
        </is>
      </c>
      <c r="V104" s="3" t="inlineStr">
        <is>
          <t>否</t>
        </is>
      </c>
      <c r="W104" s="3" t="inlineStr">
        <is>
          <t>equip_duanmajian.png</t>
        </is>
      </c>
      <c r="X104" s="3" t="inlineStr"/>
      <c r="Y104" s="3" t="inlineStr">
        <is>
          <t>equip_weapon</t>
        </is>
      </c>
      <c r="Z104" s="3" t="inlineStr"/>
      <c r="AA104" s="3" t="inlineStr">
        <is>
          <t>无</t>
        </is>
      </c>
      <c r="AB104" s="3" t="inlineStr">
        <is>
          <t>是</t>
        </is>
      </c>
      <c r="AC104" s="3" t="inlineStr">
        <is>
          <t>否</t>
        </is>
      </c>
      <c r="AD104" s="3" t="inlineStr"/>
      <c r="AE104" s="3" t="inlineStr">
        <is>
          <t>商铺购买；宝箱随机装备；铁匠铺直接锻造</t>
        </is>
      </c>
      <c r="AF104" s="3" t="inlineStr">
        <is>
          <t>{"force":20,"agility":8}</t>
        </is>
      </c>
      <c r="AG104" s="3" t="inlineStr">
        <is>
          <t>data/item_templates.yaml:L4806</t>
        </is>
      </c>
    </row>
    <row r="105" hidden="1">
      <c r="A105" s="3" t="n">
        <v>104</v>
      </c>
      <c r="B105" s="3" t="inlineStr">
        <is>
          <t>equip_qingmangjian</t>
        </is>
      </c>
      <c r="C105" s="3" t="inlineStr">
        <is>
          <t>青芒剑</t>
        </is>
      </c>
      <c r="D105" s="3" t="n">
        <v>800</v>
      </c>
      <c r="E105" s="3" t="n">
        <v>75</v>
      </c>
      <c r="F105" s="3" t="n">
        <v>0</v>
      </c>
      <c r="G105" s="3" t="n">
        <v>4</v>
      </c>
      <c r="H105" s="3" t="n">
        <v>16</v>
      </c>
      <c r="I105" s="3" t="n">
        <v>0</v>
      </c>
      <c r="J105" s="3" t="n">
        <v>5</v>
      </c>
      <c r="K105" s="3" t="n">
        <v>0</v>
      </c>
      <c r="L105" s="3" t="n">
        <v>0</v>
      </c>
      <c r="M105" s="6">
        <f>F105/54+G105+H105+I105+J105+L105*1.2+K105/2</f>
        <v>25.0</v>
      </c>
      <c r="N105" s="3" t="inlineStr">
        <is>
          <t>无</t>
        </is>
      </c>
      <c r="O105" s="3" t="inlineStr">
        <is>
          <t>无</t>
        </is>
      </c>
      <c r="P105" s="3" t="inlineStr">
        <is>
          <t>green</t>
        </is>
      </c>
      <c r="Q105" s="3" t="inlineStr">
        <is>
          <t>优秀/绿</t>
        </is>
      </c>
      <c r="R105" s="3" t="inlineStr">
        <is>
          <t>武器</t>
        </is>
      </c>
      <c r="S105" s="3" t="inlineStr">
        <is>
          <t>剑</t>
        </is>
      </c>
      <c r="T105" s="3" t="inlineStr">
        <is>
          <t>当代名师铸的宝剑，剑锋有青光透出。</t>
        </is>
      </c>
      <c r="U105" s="3" t="inlineStr">
        <is>
          <t>是</t>
        </is>
      </c>
      <c r="V105" s="3" t="inlineStr">
        <is>
          <t>否</t>
        </is>
      </c>
      <c r="W105" s="3" t="inlineStr">
        <is>
          <t>equip_qingmangjian.png</t>
        </is>
      </c>
      <c r="X105" s="3" t="inlineStr"/>
      <c r="Y105" s="3" t="inlineStr">
        <is>
          <t>equip_weapon</t>
        </is>
      </c>
      <c r="Z105" s="3" t="inlineStr"/>
      <c r="AA105" s="3" t="inlineStr">
        <is>
          <t>无</t>
        </is>
      </c>
      <c r="AB105" s="3" t="inlineStr">
        <is>
          <t>是</t>
        </is>
      </c>
      <c r="AC105" s="3" t="inlineStr">
        <is>
          <t>否</t>
        </is>
      </c>
      <c r="AD105" s="3" t="inlineStr"/>
      <c r="AE105" s="3" t="inlineStr">
        <is>
          <t>商铺购买；宝箱随机装备；铁匠铺直接锻造</t>
        </is>
      </c>
      <c r="AF105" s="3" t="inlineStr">
        <is>
          <t>{"defense":4,"force":16,"agility":5}</t>
        </is>
      </c>
      <c r="AG105" s="3" t="inlineStr">
        <is>
          <t>data/item_templates.yaml:L4792</t>
        </is>
      </c>
    </row>
    <row r="106" hidden="1">
      <c r="A106" s="3" t="n">
        <v>105</v>
      </c>
      <c r="B106" s="3" t="inlineStr">
        <is>
          <t>equip_shenbigong</t>
        </is>
      </c>
      <c r="C106" s="3" t="inlineStr">
        <is>
          <t>神臂弓</t>
        </is>
      </c>
      <c r="D106" s="3" t="n">
        <v>1500</v>
      </c>
      <c r="E106" s="3" t="n">
        <v>75</v>
      </c>
      <c r="F106" s="3" t="n">
        <v>0</v>
      </c>
      <c r="G106" s="3" t="n">
        <v>0</v>
      </c>
      <c r="H106" s="3" t="n">
        <v>16</v>
      </c>
      <c r="I106" s="3" t="n">
        <v>0</v>
      </c>
      <c r="J106" s="3" t="n">
        <v>12</v>
      </c>
      <c r="K106" s="3" t="n">
        <v>0</v>
      </c>
      <c r="L106" s="3" t="n">
        <v>0</v>
      </c>
      <c r="M106" s="6">
        <f>F106/54+G106+H106+I106+J106+L106*1.2+K106/2</f>
        <v>28.0</v>
      </c>
      <c r="N106" s="3" t="inlineStr">
        <is>
          <t>无</t>
        </is>
      </c>
      <c r="O106" s="3" t="inlineStr">
        <is>
          <t>无</t>
        </is>
      </c>
      <c r="P106" s="3" t="inlineStr">
        <is>
          <t>green</t>
        </is>
      </c>
      <c r="Q106" s="3" t="inlineStr">
        <is>
          <t>优秀/绿</t>
        </is>
      </c>
      <c r="R106" s="3" t="inlineStr">
        <is>
          <t>武器</t>
        </is>
      </c>
      <c r="S106" s="3" t="inlineStr">
        <is>
          <t>弓</t>
        </is>
      </c>
      <c r="T106" s="3" t="inlineStr">
        <is>
          <t>机括击发的弩机，力可穿透铁甲。</t>
        </is>
      </c>
      <c r="U106" s="3" t="inlineStr">
        <is>
          <t>是</t>
        </is>
      </c>
      <c r="V106" s="3" t="inlineStr">
        <is>
          <t>否</t>
        </is>
      </c>
      <c r="W106" s="3" t="inlineStr">
        <is>
          <t>shenbigong.png</t>
        </is>
      </c>
      <c r="X106" s="3" t="inlineStr"/>
      <c r="Y106" s="3" t="inlineStr">
        <is>
          <t>equip_weapon</t>
        </is>
      </c>
      <c r="Z106" s="3" t="inlineStr"/>
      <c r="AA106" s="3" t="inlineStr">
        <is>
          <t>无</t>
        </is>
      </c>
      <c r="AB106" s="3" t="inlineStr">
        <is>
          <t>是</t>
        </is>
      </c>
      <c r="AC106" s="3" t="inlineStr">
        <is>
          <t>否</t>
        </is>
      </c>
      <c r="AD106" s="3" t="inlineStr"/>
      <c r="AE106" s="3" t="inlineStr">
        <is>
          <t>商铺购买；宝箱随机装备；铁匠铺直接锻造</t>
        </is>
      </c>
      <c r="AF106" s="3" t="inlineStr">
        <is>
          <t>{"force":16,"agility":12}</t>
        </is>
      </c>
      <c r="AG106" s="3" t="inlineStr">
        <is>
          <t>data/item_templates.yaml:L4982</t>
        </is>
      </c>
    </row>
    <row r="107" hidden="1">
      <c r="A107" s="3" t="n">
        <v>106</v>
      </c>
      <c r="B107" s="3" t="inlineStr">
        <is>
          <t>equip_tietaigong</t>
        </is>
      </c>
      <c r="C107" s="3" t="inlineStr">
        <is>
          <t>铁胎弓</t>
        </is>
      </c>
      <c r="D107" s="3" t="n">
        <v>800</v>
      </c>
      <c r="E107" s="3" t="n">
        <v>75</v>
      </c>
      <c r="F107" s="3" t="n">
        <v>0</v>
      </c>
      <c r="G107" s="3" t="n">
        <v>4</v>
      </c>
      <c r="H107" s="3" t="n">
        <v>12</v>
      </c>
      <c r="I107" s="3" t="n">
        <v>0</v>
      </c>
      <c r="J107" s="3" t="n">
        <v>9</v>
      </c>
      <c r="K107" s="3" t="n">
        <v>0</v>
      </c>
      <c r="L107" s="3" t="n">
        <v>0</v>
      </c>
      <c r="M107" s="6">
        <f>F107/54+G107+H107+I107+J107+L107*1.2+K107/2</f>
        <v>25.0</v>
      </c>
      <c r="N107" s="3" t="inlineStr">
        <is>
          <t>无</t>
        </is>
      </c>
      <c r="O107" s="3" t="inlineStr">
        <is>
          <t>无</t>
        </is>
      </c>
      <c r="P107" s="3" t="inlineStr">
        <is>
          <t>green</t>
        </is>
      </c>
      <c r="Q107" s="3" t="inlineStr">
        <is>
          <t>优秀/绿</t>
        </is>
      </c>
      <c r="R107" s="3" t="inlineStr">
        <is>
          <t>武器</t>
        </is>
      </c>
      <c r="S107" s="3" t="inlineStr">
        <is>
          <t>弓</t>
        </is>
      </c>
      <c r="T107" s="3" t="inlineStr">
        <is>
          <t>弓身以钢片加固，得有相当的臂力才能拉开。</t>
        </is>
      </c>
      <c r="U107" s="3" t="inlineStr">
        <is>
          <t>是</t>
        </is>
      </c>
      <c r="V107" s="3" t="inlineStr">
        <is>
          <t>否</t>
        </is>
      </c>
      <c r="W107" s="3" t="inlineStr">
        <is>
          <t>equip_tietaigong.png</t>
        </is>
      </c>
      <c r="X107" s="3" t="inlineStr"/>
      <c r="Y107" s="3" t="inlineStr">
        <is>
          <t>equip_weapon</t>
        </is>
      </c>
      <c r="Z107" s="3" t="inlineStr"/>
      <c r="AA107" s="3" t="inlineStr">
        <is>
          <t>无</t>
        </is>
      </c>
      <c r="AB107" s="3" t="inlineStr">
        <is>
          <t>是</t>
        </is>
      </c>
      <c r="AC107" s="3" t="inlineStr">
        <is>
          <t>否</t>
        </is>
      </c>
      <c r="AD107" s="3" t="inlineStr"/>
      <c r="AE107" s="3" t="inlineStr">
        <is>
          <t>商铺购买；宝箱随机装备；铁匠铺直接锻造</t>
        </is>
      </c>
      <c r="AF107" s="3" t="inlineStr">
        <is>
          <t>{"defense":4,"force":12,"agility":9}</t>
        </is>
      </c>
      <c r="AG107" s="3" t="inlineStr">
        <is>
          <t>data/item_templates.yaml:L4968</t>
        </is>
      </c>
    </row>
    <row r="108" hidden="1">
      <c r="A108" s="3" t="n">
        <v>107</v>
      </c>
      <c r="B108" s="3" t="inlineStr">
        <is>
          <t>equip_hutoumao</t>
        </is>
      </c>
      <c r="C108" s="3" t="inlineStr">
        <is>
          <t>虎头矛</t>
        </is>
      </c>
      <c r="D108" s="3" t="n">
        <v>800</v>
      </c>
      <c r="E108" s="3" t="n">
        <v>75</v>
      </c>
      <c r="F108" s="3" t="n">
        <v>0</v>
      </c>
      <c r="G108" s="3" t="n">
        <v>4</v>
      </c>
      <c r="H108" s="3" t="n">
        <v>16</v>
      </c>
      <c r="I108" s="3" t="n">
        <v>0</v>
      </c>
      <c r="J108" s="3" t="n">
        <v>0</v>
      </c>
      <c r="K108" s="3" t="n">
        <v>16</v>
      </c>
      <c r="L108" s="3" t="n">
        <v>0</v>
      </c>
      <c r="M108" s="6">
        <f>F108/54+G108+H108+I108+J108+L108*1.2+K108/2</f>
        <v>28.0</v>
      </c>
      <c r="N108" s="3" t="inlineStr">
        <is>
          <t>无</t>
        </is>
      </c>
      <c r="O108" s="3" t="inlineStr">
        <is>
          <t>无</t>
        </is>
      </c>
      <c r="P108" s="3" t="inlineStr">
        <is>
          <t>green</t>
        </is>
      </c>
      <c r="Q108" s="3" t="inlineStr">
        <is>
          <t>优秀/绿</t>
        </is>
      </c>
      <c r="R108" s="3" t="inlineStr">
        <is>
          <t>武器</t>
        </is>
      </c>
      <c r="S108" s="3" t="inlineStr">
        <is>
          <t>枪</t>
        </is>
      </c>
      <c r="T108" s="3" t="inlineStr">
        <is>
          <t>矛头上刻有虎头吞刃，让人望而生畏。</t>
        </is>
      </c>
      <c r="U108" s="3" t="inlineStr">
        <is>
          <t>是</t>
        </is>
      </c>
      <c r="V108" s="3" t="inlineStr">
        <is>
          <t>否</t>
        </is>
      </c>
      <c r="W108" s="3" t="inlineStr">
        <is>
          <t>equip_hutoumao.png</t>
        </is>
      </c>
      <c r="X108" s="3" t="inlineStr"/>
      <c r="Y108" s="3" t="inlineStr">
        <is>
          <t>equip_weapon</t>
        </is>
      </c>
      <c r="Z108" s="3" t="inlineStr"/>
      <c r="AA108" s="3" t="inlineStr">
        <is>
          <t>无</t>
        </is>
      </c>
      <c r="AB108" s="3" t="inlineStr">
        <is>
          <t>是</t>
        </is>
      </c>
      <c r="AC108" s="3" t="inlineStr">
        <is>
          <t>否</t>
        </is>
      </c>
      <c r="AD108" s="3" t="inlineStr"/>
      <c r="AE108" s="3" t="inlineStr">
        <is>
          <t>商铺购买；宝箱随机装备；铁匠铺直接锻造</t>
        </is>
      </c>
      <c r="AF108" s="3" t="inlineStr">
        <is>
          <t>{"defense":4,"force":16,"troop_capacity":16}</t>
        </is>
      </c>
      <c r="AG108" s="3" t="inlineStr">
        <is>
          <t>data/item_templates.yaml:L4910</t>
        </is>
      </c>
    </row>
    <row r="109" hidden="1">
      <c r="A109" s="3" t="n">
        <v>108</v>
      </c>
      <c r="B109" s="3" t="inlineStr">
        <is>
          <t>equip_pansheqiang</t>
        </is>
      </c>
      <c r="C109" s="3" t="inlineStr">
        <is>
          <t>盘蛇枪</t>
        </is>
      </c>
      <c r="D109" s="3" t="n">
        <v>1500</v>
      </c>
      <c r="E109" s="3" t="n">
        <v>75</v>
      </c>
      <c r="F109" s="3" t="n">
        <v>0</v>
      </c>
      <c r="G109" s="3" t="n">
        <v>0</v>
      </c>
      <c r="H109" s="3" t="n">
        <v>16</v>
      </c>
      <c r="I109" s="3" t="n">
        <v>0</v>
      </c>
      <c r="J109" s="3" t="n">
        <v>4</v>
      </c>
      <c r="K109" s="3" t="n">
        <v>16</v>
      </c>
      <c r="L109" s="3" t="n">
        <v>0</v>
      </c>
      <c r="M109" s="6">
        <f>F109/54+G109+H109+I109+J109+L109*1.2+K109/2</f>
        <v>28.0</v>
      </c>
      <c r="N109" s="3" t="inlineStr">
        <is>
          <t>无</t>
        </is>
      </c>
      <c r="O109" s="3" t="inlineStr">
        <is>
          <t>无</t>
        </is>
      </c>
      <c r="P109" s="3" t="inlineStr">
        <is>
          <t>green</t>
        </is>
      </c>
      <c r="Q109" s="3" t="inlineStr">
        <is>
          <t>优秀/绿</t>
        </is>
      </c>
      <c r="R109" s="3" t="inlineStr">
        <is>
          <t>武器</t>
        </is>
      </c>
      <c r="S109" s="3" t="inlineStr">
        <is>
          <t>枪</t>
        </is>
      </c>
      <c r="T109" s="3" t="inlineStr">
        <is>
          <t>枪身柔性十足，在高手手中如出洞毒蛇般狠辣。</t>
        </is>
      </c>
      <c r="U109" s="3" t="inlineStr">
        <is>
          <t>是</t>
        </is>
      </c>
      <c r="V109" s="3" t="inlineStr">
        <is>
          <t>否</t>
        </is>
      </c>
      <c r="W109" s="3" t="inlineStr">
        <is>
          <t>equip_pansheqiang.png</t>
        </is>
      </c>
      <c r="X109" s="3" t="inlineStr"/>
      <c r="Y109" s="3" t="inlineStr">
        <is>
          <t>equip_weapon</t>
        </is>
      </c>
      <c r="Z109" s="3" t="inlineStr"/>
      <c r="AA109" s="3" t="inlineStr">
        <is>
          <t>无</t>
        </is>
      </c>
      <c r="AB109" s="3" t="inlineStr">
        <is>
          <t>是</t>
        </is>
      </c>
      <c r="AC109" s="3" t="inlineStr">
        <is>
          <t>否</t>
        </is>
      </c>
      <c r="AD109" s="3" t="inlineStr"/>
      <c r="AE109" s="3" t="inlineStr">
        <is>
          <t>商铺购买；宝箱随机装备；铁匠铺直接锻造</t>
        </is>
      </c>
      <c r="AF109" s="3" t="inlineStr">
        <is>
          <t>{"force":16,"agility":4,"troop_capacity":16}</t>
        </is>
      </c>
      <c r="AG109" s="3" t="inlineStr">
        <is>
          <t>data/item_templates.yaml:L4924</t>
        </is>
      </c>
    </row>
    <row r="110" hidden="1">
      <c r="A110" s="3" t="n">
        <v>109</v>
      </c>
      <c r="B110" s="3" t="inlineStr">
        <is>
          <t>equip_pofengji</t>
        </is>
      </c>
      <c r="C110" s="3" t="inlineStr">
        <is>
          <t>破风戟</t>
        </is>
      </c>
      <c r="D110" s="3" t="n">
        <v>2000</v>
      </c>
      <c r="E110" s="3" t="n">
        <v>75</v>
      </c>
      <c r="F110" s="3" t="n">
        <v>0</v>
      </c>
      <c r="G110" s="3" t="n">
        <v>0</v>
      </c>
      <c r="H110" s="3" t="n">
        <v>25</v>
      </c>
      <c r="I110" s="3" t="n">
        <v>0</v>
      </c>
      <c r="J110" s="3" t="n">
        <v>5</v>
      </c>
      <c r="K110" s="3" t="n">
        <v>50</v>
      </c>
      <c r="L110" s="3" t="n">
        <v>0</v>
      </c>
      <c r="M110" s="6">
        <f>F110/54+G110+H110+I110+J110+L110*1.2+K110/2</f>
        <v>55.0</v>
      </c>
      <c r="N110" s="3" t="inlineStr">
        <is>
          <t>无</t>
        </is>
      </c>
      <c r="O110" s="3" t="inlineStr">
        <is>
          <t>无</t>
        </is>
      </c>
      <c r="P110" s="3" t="inlineStr">
        <is>
          <t>green</t>
        </is>
      </c>
      <c r="Q110" s="3" t="inlineStr">
        <is>
          <t>优秀/绿</t>
        </is>
      </c>
      <c r="R110" s="3" t="inlineStr">
        <is>
          <t>武器</t>
        </is>
      </c>
      <c r="S110" s="3" t="inlineStr">
        <is>
          <t>武器</t>
        </is>
      </c>
      <c r="T110" s="3" t="inlineStr">
        <is>
          <t>戟刃锋利可破风声，相传是仿照吕布方天画戟所铸。</t>
        </is>
      </c>
      <c r="U110" s="3" t="inlineStr">
        <is>
          <t>是</t>
        </is>
      </c>
      <c r="V110" s="3" t="inlineStr">
        <is>
          <t>否</t>
        </is>
      </c>
      <c r="W110" s="3" t="inlineStr">
        <is>
          <t>equip_pofengji.png</t>
        </is>
      </c>
      <c r="X110" s="3" t="inlineStr"/>
      <c r="Y110" s="3" t="inlineStr">
        <is>
          <t>equip_weapon</t>
        </is>
      </c>
      <c r="Z110" s="3" t="inlineStr"/>
      <c r="AA110" s="3" t="inlineStr">
        <is>
          <t>无</t>
        </is>
      </c>
      <c r="AB110" s="3" t="inlineStr">
        <is>
          <t>否</t>
        </is>
      </c>
      <c r="AC110" s="3" t="inlineStr">
        <is>
          <t>否</t>
        </is>
      </c>
      <c r="AD110" s="3" t="inlineStr"/>
      <c r="AE110" s="3" t="inlineStr">
        <is>
          <t>任务宝箱装备</t>
        </is>
      </c>
      <c r="AF110" s="3" t="inlineStr">
        <is>
          <t>{"force":25,"agility":5,"troop_capacity":50}</t>
        </is>
      </c>
      <c r="AG110" s="3" t="inlineStr">
        <is>
          <t>data/item_templates.yaml:L5119</t>
        </is>
      </c>
    </row>
    <row r="111" hidden="1">
      <c r="A111" s="3" t="n">
        <v>110</v>
      </c>
      <c r="B111" s="3" t="inlineStr">
        <is>
          <t>equip_shushengzhesan</t>
        </is>
      </c>
      <c r="C111" s="3" t="inlineStr">
        <is>
          <t>书生折扇</t>
        </is>
      </c>
      <c r="D111" s="3" t="n">
        <v>2000</v>
      </c>
      <c r="E111" s="3" t="n">
        <v>75</v>
      </c>
      <c r="F111" s="3" t="n">
        <v>0</v>
      </c>
      <c r="G111" s="3" t="n">
        <v>0</v>
      </c>
      <c r="H111" s="3" t="n">
        <v>5</v>
      </c>
      <c r="I111" s="3" t="n">
        <v>25</v>
      </c>
      <c r="J111" s="3" t="n">
        <v>0</v>
      </c>
      <c r="K111" s="3" t="n">
        <v>0</v>
      </c>
      <c r="L111" s="3" t="n">
        <v>10</v>
      </c>
      <c r="M111" s="6">
        <f>F111/54+G111+H111+I111+J111+L111*1.2+K111/2</f>
        <v>42.0</v>
      </c>
      <c r="N111" s="3" t="inlineStr">
        <is>
          <t>无</t>
        </is>
      </c>
      <c r="O111" s="3" t="inlineStr">
        <is>
          <t>无</t>
        </is>
      </c>
      <c r="P111" s="3" t="inlineStr">
        <is>
          <t>green</t>
        </is>
      </c>
      <c r="Q111" s="3" t="inlineStr">
        <is>
          <t>优秀/绿</t>
        </is>
      </c>
      <c r="R111" s="3" t="inlineStr">
        <is>
          <t>武器</t>
        </is>
      </c>
      <c r="S111" s="3" t="inlineStr">
        <is>
          <t>武器</t>
        </is>
      </c>
      <c r="T111" s="3" t="inlineStr">
        <is>
          <t>看似文人雅物，扇骨却以精钢铸成，是文人侠客的专属。</t>
        </is>
      </c>
      <c r="U111" s="3" t="inlineStr">
        <is>
          <t>是</t>
        </is>
      </c>
      <c r="V111" s="3" t="inlineStr">
        <is>
          <t>否</t>
        </is>
      </c>
      <c r="W111" s="3" t="inlineStr">
        <is>
          <t>equip_shushengzhesan.png</t>
        </is>
      </c>
      <c r="X111" s="3" t="inlineStr"/>
      <c r="Y111" s="3" t="inlineStr">
        <is>
          <t>equip_weapon</t>
        </is>
      </c>
      <c r="Z111" s="3" t="inlineStr"/>
      <c r="AA111" s="3" t="inlineStr">
        <is>
          <t>无</t>
        </is>
      </c>
      <c r="AB111" s="3" t="inlineStr">
        <is>
          <t>否</t>
        </is>
      </c>
      <c r="AC111" s="3" t="inlineStr">
        <is>
          <t>否</t>
        </is>
      </c>
      <c r="AD111" s="3" t="inlineStr"/>
      <c r="AE111" s="3" t="inlineStr">
        <is>
          <t>任务宝箱装备</t>
        </is>
      </c>
      <c r="AF111" s="3" t="inlineStr">
        <is>
          <t>{"force":5,"intellect":25,"luck":10}</t>
        </is>
      </c>
      <c r="AG111" s="3" t="inlineStr">
        <is>
          <t>data/item_templates.yaml:L5133</t>
        </is>
      </c>
    </row>
    <row r="112" hidden="1">
      <c r="A112" s="3" t="n">
        <v>111</v>
      </c>
      <c r="B112" s="3" t="inlineStr">
        <is>
          <t>equip_tiegugun</t>
        </is>
      </c>
      <c r="C112" s="3" t="inlineStr">
        <is>
          <t>铁骨棍</t>
        </is>
      </c>
      <c r="D112" s="3" t="n">
        <v>2000</v>
      </c>
      <c r="E112" s="3" t="n">
        <v>75</v>
      </c>
      <c r="F112" s="3" t="n">
        <v>0</v>
      </c>
      <c r="G112" s="3" t="n">
        <v>5</v>
      </c>
      <c r="H112" s="3" t="n">
        <v>30</v>
      </c>
      <c r="I112" s="3" t="n">
        <v>0</v>
      </c>
      <c r="J112" s="3" t="n">
        <v>0</v>
      </c>
      <c r="K112" s="3" t="n">
        <v>0</v>
      </c>
      <c r="L112" s="3" t="n">
        <v>0</v>
      </c>
      <c r="M112" s="6">
        <f>F112/54+G112+H112+I112+J112+L112*1.2+K112/2</f>
        <v>35.0</v>
      </c>
      <c r="N112" s="3" t="inlineStr">
        <is>
          <t>无</t>
        </is>
      </c>
      <c r="O112" s="3" t="inlineStr">
        <is>
          <t>无</t>
        </is>
      </c>
      <c r="P112" s="3" t="inlineStr">
        <is>
          <t>green</t>
        </is>
      </c>
      <c r="Q112" s="3" t="inlineStr">
        <is>
          <t>优秀/绿</t>
        </is>
      </c>
      <c r="R112" s="3" t="inlineStr">
        <is>
          <t>武器</t>
        </is>
      </c>
      <c r="S112" s="3" t="inlineStr">
        <is>
          <t>武器</t>
        </is>
      </c>
      <c r="T112" s="3" t="inlineStr">
        <is>
          <t>以精铁为芯、硬木为皮的哨棍，是少林护法僧的常用兵器。</t>
        </is>
      </c>
      <c r="U112" s="3" t="inlineStr">
        <is>
          <t>是</t>
        </is>
      </c>
      <c r="V112" s="3" t="inlineStr">
        <is>
          <t>否</t>
        </is>
      </c>
      <c r="W112" s="3" t="inlineStr">
        <is>
          <t>equip_tiegugun.png</t>
        </is>
      </c>
      <c r="X112" s="3" t="inlineStr"/>
      <c r="Y112" s="3" t="inlineStr">
        <is>
          <t>equip_weapon</t>
        </is>
      </c>
      <c r="Z112" s="3" t="inlineStr"/>
      <c r="AA112" s="3" t="inlineStr">
        <is>
          <t>无</t>
        </is>
      </c>
      <c r="AB112" s="3" t="inlineStr">
        <is>
          <t>否</t>
        </is>
      </c>
      <c r="AC112" s="3" t="inlineStr">
        <is>
          <t>否</t>
        </is>
      </c>
      <c r="AD112" s="3" t="inlineStr"/>
      <c r="AE112" s="3" t="inlineStr">
        <is>
          <t>任务宝箱装备</t>
        </is>
      </c>
      <c r="AF112" s="3" t="inlineStr">
        <is>
          <t>{"defense":5,"force":30}</t>
        </is>
      </c>
      <c r="AG112" s="3" t="inlineStr">
        <is>
          <t>data/item_templates.yaml:L5092</t>
        </is>
      </c>
    </row>
    <row r="113" hidden="1">
      <c r="A113" s="3" t="n">
        <v>112</v>
      </c>
      <c r="B113" s="3" t="inlineStr">
        <is>
          <t>equip_tongshanchui</t>
        </is>
      </c>
      <c r="C113" s="3" t="inlineStr">
        <is>
          <t>铜山锤</t>
        </is>
      </c>
      <c r="D113" s="3" t="n">
        <v>2000</v>
      </c>
      <c r="E113" s="3" t="n">
        <v>75</v>
      </c>
      <c r="F113" s="3" t="n">
        <v>200</v>
      </c>
      <c r="G113" s="3" t="n">
        <v>5</v>
      </c>
      <c r="H113" s="3" t="n">
        <v>32</v>
      </c>
      <c r="I113" s="3" t="n">
        <v>0</v>
      </c>
      <c r="J113" s="3" t="n">
        <v>0</v>
      </c>
      <c r="K113" s="3" t="n">
        <v>0</v>
      </c>
      <c r="L113" s="3" t="n">
        <v>0</v>
      </c>
      <c r="M113" s="6">
        <f>F113/54+G113+H113+I113+J113+L113*1.2+K113/2</f>
        <v>40.7037037037037</v>
      </c>
      <c r="N113" s="3" t="inlineStr">
        <is>
          <t>无</t>
        </is>
      </c>
      <c r="O113" s="3" t="inlineStr">
        <is>
          <t>无</t>
        </is>
      </c>
      <c r="P113" s="3" t="inlineStr">
        <is>
          <t>green</t>
        </is>
      </c>
      <c r="Q113" s="3" t="inlineStr">
        <is>
          <t>优秀/绿</t>
        </is>
      </c>
      <c r="R113" s="3" t="inlineStr">
        <is>
          <t>武器</t>
        </is>
      </c>
      <c r="S113" s="3" t="inlineStr">
        <is>
          <t>武器</t>
        </is>
      </c>
      <c r="T113" s="3" t="inlineStr">
        <is>
          <t>仿照铜山形状铸造的重锤，据说是某位力士的心爱之物。</t>
        </is>
      </c>
      <c r="U113" s="3" t="inlineStr">
        <is>
          <t>是</t>
        </is>
      </c>
      <c r="V113" s="3" t="inlineStr">
        <is>
          <t>否</t>
        </is>
      </c>
      <c r="W113" s="3" t="inlineStr">
        <is>
          <t>equip_tongshanchui.png</t>
        </is>
      </c>
      <c r="X113" s="3" t="inlineStr"/>
      <c r="Y113" s="3" t="inlineStr">
        <is>
          <t>equip_weapon</t>
        </is>
      </c>
      <c r="Z113" s="3" t="inlineStr"/>
      <c r="AA113" s="3" t="inlineStr">
        <is>
          <t>无</t>
        </is>
      </c>
      <c r="AB113" s="3" t="inlineStr">
        <is>
          <t>否</t>
        </is>
      </c>
      <c r="AC113" s="3" t="inlineStr">
        <is>
          <t>否</t>
        </is>
      </c>
      <c r="AD113" s="3" t="inlineStr"/>
      <c r="AE113" s="3" t="inlineStr">
        <is>
          <t>任务宝箱装备</t>
        </is>
      </c>
      <c r="AF113" s="3" t="inlineStr">
        <is>
          <t>{"hp":200,"defense":5,"force":32}</t>
        </is>
      </c>
      <c r="AG113" s="3" t="inlineStr">
        <is>
          <t>data/item_templates.yaml:L5105</t>
        </is>
      </c>
    </row>
    <row r="114" hidden="1">
      <c r="A114" s="3" t="n">
        <v>113</v>
      </c>
      <c r="B114" s="3" t="inlineStr">
        <is>
          <t>equip_yemankandao</t>
        </is>
      </c>
      <c r="C114" s="3" t="inlineStr">
        <is>
          <t>野蛮砍刀</t>
        </is>
      </c>
      <c r="D114" s="3" t="n">
        <v>2000</v>
      </c>
      <c r="E114" s="3" t="n">
        <v>75</v>
      </c>
      <c r="F114" s="3" t="n">
        <v>0</v>
      </c>
      <c r="G114" s="3" t="n">
        <v>0</v>
      </c>
      <c r="H114" s="3" t="n">
        <v>40</v>
      </c>
      <c r="I114" s="3" t="n">
        <v>0</v>
      </c>
      <c r="J114" s="3" t="n">
        <v>0</v>
      </c>
      <c r="K114" s="3" t="n">
        <v>0</v>
      </c>
      <c r="L114" s="3" t="n">
        <v>0</v>
      </c>
      <c r="M114" s="6">
        <f>F114/54+G114+H114+I114+J114+L114*1.2+K114/2</f>
        <v>40.0</v>
      </c>
      <c r="N114" s="3" t="inlineStr">
        <is>
          <t>野蛮套装</t>
        </is>
      </c>
      <c r="O114" s="3" t="inlineStr">
        <is>
          <t>野蛮套装2件: 生命+300、武力+25、防御+10</t>
        </is>
      </c>
      <c r="P114" s="3" t="inlineStr">
        <is>
          <t>green</t>
        </is>
      </c>
      <c r="Q114" s="3" t="inlineStr">
        <is>
          <t>优秀/绿</t>
        </is>
      </c>
      <c r="R114" s="3" t="inlineStr">
        <is>
          <t>武器</t>
        </is>
      </c>
      <c r="S114" s="3" t="inlineStr">
        <is>
          <t>武器</t>
        </is>
      </c>
      <c r="T114" s="3" t="inlineStr">
        <is>
          <t>北方蛮族的战利品，刀身带有异域纹饰，做工粗犷。</t>
        </is>
      </c>
      <c r="U114" s="3" t="inlineStr">
        <is>
          <t>是</t>
        </is>
      </c>
      <c r="V114" s="3" t="inlineStr">
        <is>
          <t>否</t>
        </is>
      </c>
      <c r="W114" s="3" t="inlineStr">
        <is>
          <t>equip_yemankandao.png</t>
        </is>
      </c>
      <c r="X114" s="3" t="inlineStr"/>
      <c r="Y114" s="3" t="inlineStr">
        <is>
          <t>equip_weapon</t>
        </is>
      </c>
      <c r="Z114" s="3" t="inlineStr">
        <is>
          <t>yeman_set</t>
        </is>
      </c>
      <c r="AA114" s="3" t="inlineStr">
        <is>
          <t>无</t>
        </is>
      </c>
      <c r="AB114" s="3" t="inlineStr">
        <is>
          <t>否</t>
        </is>
      </c>
      <c r="AC114" s="3" t="inlineStr">
        <is>
          <t>否</t>
        </is>
      </c>
      <c r="AD114" s="3" t="inlineStr"/>
      <c r="AE114" s="3" t="inlineStr">
        <is>
          <t>任务宝箱装备</t>
        </is>
      </c>
      <c r="AF114" s="3" t="inlineStr">
        <is>
          <t>{"force":40,"set_key":"yeman_set","set_description":"野蛮套装","set_bonus":{"pieces":2,"bonus":{"hp":300,"force":25,"defense":10}}}</t>
        </is>
      </c>
      <c r="AG114" s="3" t="inlineStr">
        <is>
          <t>data/item_templates.yaml:L5073</t>
        </is>
      </c>
    </row>
    <row r="115" hidden="1">
      <c r="A115" s="3" t="n">
        <v>114</v>
      </c>
      <c r="B115" s="3" t="inlineStr">
        <is>
          <t>equip_jicibian</t>
        </is>
      </c>
      <c r="C115" s="3" t="inlineStr">
        <is>
          <t>棘刺鞭</t>
        </is>
      </c>
      <c r="D115" s="3" t="n">
        <v>800</v>
      </c>
      <c r="E115" s="3" t="n">
        <v>75</v>
      </c>
      <c r="F115" s="3" t="n">
        <v>0</v>
      </c>
      <c r="G115" s="3" t="n">
        <v>0</v>
      </c>
      <c r="H115" s="3" t="n">
        <v>12</v>
      </c>
      <c r="I115" s="3" t="n">
        <v>0</v>
      </c>
      <c r="J115" s="3" t="n">
        <v>6</v>
      </c>
      <c r="K115" s="3" t="n">
        <v>0</v>
      </c>
      <c r="L115" s="3" t="n">
        <v>6</v>
      </c>
      <c r="M115" s="6">
        <f>F115/54+G115+H115+I115+J115+L115*1.2+K115/2</f>
        <v>25.2</v>
      </c>
      <c r="N115" s="3" t="inlineStr">
        <is>
          <t>无</t>
        </is>
      </c>
      <c r="O115" s="3" t="inlineStr">
        <is>
          <t>无</t>
        </is>
      </c>
      <c r="P115" s="3" t="inlineStr">
        <is>
          <t>green</t>
        </is>
      </c>
      <c r="Q115" s="3" t="inlineStr">
        <is>
          <t>优秀/绿</t>
        </is>
      </c>
      <c r="R115" s="3" t="inlineStr">
        <is>
          <t>武器</t>
        </is>
      </c>
      <c r="S115" s="3" t="inlineStr">
        <is>
          <t>鞭</t>
        </is>
      </c>
      <c r="T115" s="3" t="inlineStr">
        <is>
          <t>鞭身带有荆棘倒刺，抽人可不是一般的痛。</t>
        </is>
      </c>
      <c r="U115" s="3" t="inlineStr">
        <is>
          <t>是</t>
        </is>
      </c>
      <c r="V115" s="3" t="inlineStr">
        <is>
          <t>否</t>
        </is>
      </c>
      <c r="W115" s="3" t="inlineStr">
        <is>
          <t>jicibian.png</t>
        </is>
      </c>
      <c r="X115" s="3" t="inlineStr"/>
      <c r="Y115" s="3" t="inlineStr">
        <is>
          <t>equip_weapon</t>
        </is>
      </c>
      <c r="Z115" s="3" t="inlineStr"/>
      <c r="AA115" s="3" t="inlineStr">
        <is>
          <t>无</t>
        </is>
      </c>
      <c r="AB115" s="3" t="inlineStr">
        <is>
          <t>是</t>
        </is>
      </c>
      <c r="AC115" s="3" t="inlineStr">
        <is>
          <t>否</t>
        </is>
      </c>
      <c r="AD115" s="3" t="inlineStr"/>
      <c r="AE115" s="3" t="inlineStr">
        <is>
          <t>商铺购买；铁匠铺直接锻造</t>
        </is>
      </c>
      <c r="AF115" s="3" t="inlineStr">
        <is>
          <t>{"force":12,"agility":6,"luck":6}</t>
        </is>
      </c>
      <c r="AG115" s="3" t="inlineStr">
        <is>
          <t>data/item_templates.yaml:L5026</t>
        </is>
      </c>
    </row>
    <row r="116" hidden="1" ht="25.5" customHeight="1">
      <c r="A116" s="3" t="n">
        <v>115</v>
      </c>
      <c r="B116" s="3" t="inlineStr">
        <is>
          <t>equip_jiulonggangbian</t>
        </is>
      </c>
      <c r="C116" s="3" t="inlineStr">
        <is>
          <t>九龙钢鞭</t>
        </is>
      </c>
      <c r="D116" s="3" t="n">
        <v>1500</v>
      </c>
      <c r="E116" s="3" t="n">
        <v>75</v>
      </c>
      <c r="F116" s="3" t="n">
        <v>0</v>
      </c>
      <c r="G116" s="3" t="n">
        <v>0</v>
      </c>
      <c r="H116" s="3" t="n">
        <v>12</v>
      </c>
      <c r="I116" s="3" t="n">
        <v>0</v>
      </c>
      <c r="J116" s="3" t="n">
        <v>8</v>
      </c>
      <c r="K116" s="3" t="n">
        <v>0</v>
      </c>
      <c r="L116" s="3" t="n">
        <v>6</v>
      </c>
      <c r="M116" s="6">
        <f>F116/54+G116+H116+I116+J116+L116*1.2+K116/2</f>
        <v>27.2</v>
      </c>
      <c r="N116" s="3" t="inlineStr">
        <is>
          <t>无</t>
        </is>
      </c>
      <c r="O116" s="3" t="inlineStr">
        <is>
          <t>无</t>
        </is>
      </c>
      <c r="P116" s="3" t="inlineStr">
        <is>
          <t>green</t>
        </is>
      </c>
      <c r="Q116" s="3" t="inlineStr">
        <is>
          <t>优秀/绿</t>
        </is>
      </c>
      <c r="R116" s="3" t="inlineStr">
        <is>
          <t>武器</t>
        </is>
      </c>
      <c r="S116" s="3" t="inlineStr">
        <is>
          <t>鞭</t>
        </is>
      </c>
      <c r="T116" s="3" t="inlineStr">
        <is>
          <t>钢鞭分九节，铸有九龙盘身，精光耀眼。</t>
        </is>
      </c>
      <c r="U116" s="3" t="inlineStr">
        <is>
          <t>是</t>
        </is>
      </c>
      <c r="V116" s="3" t="inlineStr">
        <is>
          <t>否</t>
        </is>
      </c>
      <c r="W116" s="3" t="inlineStr">
        <is>
          <t>jiulonggangbian.png</t>
        </is>
      </c>
      <c r="X116" s="3" t="inlineStr"/>
      <c r="Y116" s="3" t="inlineStr">
        <is>
          <t>equip_weapon</t>
        </is>
      </c>
      <c r="Z116" s="3" t="inlineStr"/>
      <c r="AA116" s="3" t="inlineStr">
        <is>
          <t>无</t>
        </is>
      </c>
      <c r="AB116" s="3" t="inlineStr">
        <is>
          <t>是</t>
        </is>
      </c>
      <c r="AC116" s="3" t="inlineStr">
        <is>
          <t>否</t>
        </is>
      </c>
      <c r="AD116" s="3" t="inlineStr"/>
      <c r="AE116" s="3" t="inlineStr">
        <is>
          <t>商铺购买；铁匠铺直接锻造</t>
        </is>
      </c>
      <c r="AF116" s="3" t="inlineStr">
        <is>
          <t>{"force":12,"agility":8,"luck":6}</t>
        </is>
      </c>
      <c r="AG116" s="3" t="inlineStr">
        <is>
          <t>data/item_templates.yaml:L5040</t>
        </is>
      </c>
    </row>
    <row r="117" hidden="1">
      <c r="A117" s="3" t="n">
        <v>116</v>
      </c>
      <c r="B117" s="3" t="inlineStr">
        <is>
          <t>equip_mingshejiebian</t>
        </is>
      </c>
      <c r="C117" s="3" t="inlineStr">
        <is>
          <t>冥蛇节鞭</t>
        </is>
      </c>
      <c r="D117" s="3" t="n">
        <v>3000</v>
      </c>
      <c r="E117" s="3" t="n">
        <v>75</v>
      </c>
      <c r="F117" s="3" t="n">
        <v>40</v>
      </c>
      <c r="G117" s="3" t="n">
        <v>0</v>
      </c>
      <c r="H117" s="3" t="n">
        <v>12</v>
      </c>
      <c r="I117" s="3" t="n">
        <v>0</v>
      </c>
      <c r="J117" s="3" t="n">
        <v>6</v>
      </c>
      <c r="K117" s="3" t="n">
        <v>0</v>
      </c>
      <c r="L117" s="3" t="n">
        <v>8</v>
      </c>
      <c r="M117" s="6">
        <f>F117/54+G117+H117+I117+J117+L117*1.2+K117/2</f>
        <v>28.340740740740742</v>
      </c>
      <c r="N117" s="3" t="inlineStr">
        <is>
          <t>无</t>
        </is>
      </c>
      <c r="O117" s="3" t="inlineStr">
        <is>
          <t>无</t>
        </is>
      </c>
      <c r="P117" s="3" t="inlineStr">
        <is>
          <t>green</t>
        </is>
      </c>
      <c r="Q117" s="3" t="inlineStr">
        <is>
          <t>优秀/绿</t>
        </is>
      </c>
      <c r="R117" s="3" t="inlineStr">
        <is>
          <t>武器</t>
        </is>
      </c>
      <c r="S117" s="3" t="inlineStr">
        <is>
          <t>鞭</t>
        </is>
      </c>
      <c r="T117" s="3" t="inlineStr">
        <is>
          <t>鞭身乌黑，做蛇形蠕动噬人。</t>
        </is>
      </c>
      <c r="U117" s="3" t="inlineStr">
        <is>
          <t>是</t>
        </is>
      </c>
      <c r="V117" s="3" t="inlineStr">
        <is>
          <t>否</t>
        </is>
      </c>
      <c r="W117" s="3" t="inlineStr">
        <is>
          <t>equip_mingshejiebian.png</t>
        </is>
      </c>
      <c r="X117" s="3" t="inlineStr"/>
      <c r="Y117" s="3" t="inlineStr">
        <is>
          <t>equip_weapon</t>
        </is>
      </c>
      <c r="Z117" s="3" t="inlineStr"/>
      <c r="AA117" s="3" t="inlineStr">
        <is>
          <t>无</t>
        </is>
      </c>
      <c r="AB117" s="3" t="inlineStr">
        <is>
          <t>是</t>
        </is>
      </c>
      <c r="AC117" s="3" t="inlineStr">
        <is>
          <t>否</t>
        </is>
      </c>
      <c r="AD117" s="3" t="inlineStr"/>
      <c r="AE117" s="3" t="inlineStr">
        <is>
          <t>商铺购买；宝箱随机装备；铁匠铺直接锻造</t>
        </is>
      </c>
      <c r="AF117" s="3" t="inlineStr">
        <is>
          <t>{"hp":40,"force":12,"agility":6,"luck":8}</t>
        </is>
      </c>
      <c r="AG117" s="3" t="inlineStr">
        <is>
          <t>data/item_templates.yaml:L5054</t>
        </is>
      </c>
    </row>
    <row r="118" hidden="1">
      <c r="A118" s="3" t="n">
        <v>117</v>
      </c>
      <c r="B118" s="3" t="inlineStr">
        <is>
          <t>equip_action_beam_glove</t>
        </is>
      </c>
      <c r="C118" s="3" t="inlineStr">
        <is>
          <t>动感光波手套</t>
        </is>
      </c>
      <c r="D118" s="3" t="n">
        <v>7000</v>
      </c>
      <c r="E118" s="3" t="n">
        <v>100</v>
      </c>
      <c r="F118" s="3" t="n">
        <v>0</v>
      </c>
      <c r="G118" s="3" t="n">
        <v>0</v>
      </c>
      <c r="H118" s="3" t="n">
        <v>40</v>
      </c>
      <c r="I118" s="3" t="n">
        <v>0</v>
      </c>
      <c r="J118" s="3" t="n">
        <v>15</v>
      </c>
      <c r="K118" s="3" t="n">
        <v>0</v>
      </c>
      <c r="L118" s="3" t="n">
        <v>0</v>
      </c>
      <c r="M118" s="6">
        <f>F118/54+G118+H118+I118+J118+L118*1.2+K118/2</f>
        <v>55.0</v>
      </c>
      <c r="N118" s="3" t="inlineStr">
        <is>
          <t>春日部防卫队</t>
        </is>
      </c>
      <c r="O118" s="3" t="inlineStr">
        <is>
          <t>春日部防卫队2件: 防御+20、攻击+30；春日部防卫队4件: 生命+600、敏捷+20、运势+15</t>
        </is>
      </c>
      <c r="P118" s="3" t="inlineStr">
        <is>
          <t>blue</t>
        </is>
      </c>
      <c r="Q118" s="3" t="inlineStr">
        <is>
          <t>稀有/蓝</t>
        </is>
      </c>
      <c r="R118" s="3" t="inlineStr">
        <is>
          <t>武器</t>
        </is>
      </c>
      <c r="S118" s="3" t="inlineStr">
        <is>
          <t>武器</t>
        </is>
      </c>
      <c r="T118" s="3" t="inlineStr">
        <is>
          <t>模仿动感超人招式制作的手套，挥动时能带出夸张的战斗节奏。</t>
        </is>
      </c>
      <c r="U118" s="3" t="inlineStr">
        <is>
          <t>是</t>
        </is>
      </c>
      <c r="V118" s="3" t="inlineStr">
        <is>
          <t>否</t>
        </is>
      </c>
      <c r="W118" s="3" t="inlineStr">
        <is>
          <t>equip_action_beam_glove.png</t>
        </is>
      </c>
      <c r="X118" s="3" t="inlineStr"/>
      <c r="Y118" s="3" t="inlineStr">
        <is>
          <t>equip_weapon</t>
        </is>
      </c>
      <c r="Z118" s="3" t="inlineStr">
        <is>
          <t>kasukabe_defense_set</t>
        </is>
      </c>
      <c r="AA118" s="3" t="inlineStr">
        <is>
          <t>无</t>
        </is>
      </c>
      <c r="AB118" s="3" t="inlineStr">
        <is>
          <t>否</t>
        </is>
      </c>
      <c r="AC118" s="3" t="inlineStr">
        <is>
          <t>否</t>
        </is>
      </c>
      <c r="AD118" s="3" t="inlineStr"/>
      <c r="AE118" s="3" t="inlineStr">
        <is>
          <t>任务宝箱装备</t>
        </is>
      </c>
      <c r="AF118" s="3" t="inlineStr">
        <is>
          <t>{"force":40,"agility":15,"set_key":"kasukabe_defense_set","set_description":"春日部防卫队","set_bonus":[{"pieces":2,"bonus":{"defense":20,"attack":30}},{"pieces":4,"bonus":{"hp":600,"agility":20,"luck":15}}]}</t>
        </is>
      </c>
      <c r="AG118" s="3" t="inlineStr">
        <is>
          <t>data/item_templates.yaml:L3191</t>
        </is>
      </c>
    </row>
    <row r="119" hidden="1">
      <c r="A119" s="3" t="n">
        <v>118</v>
      </c>
      <c r="B119" s="3" t="inlineStr">
        <is>
          <t>equip_baguadao</t>
        </is>
      </c>
      <c r="C119" s="3" t="inlineStr">
        <is>
          <t>八卦刀</t>
        </is>
      </c>
      <c r="D119" s="3" t="n">
        <v>6000</v>
      </c>
      <c r="E119" s="3" t="n">
        <v>100</v>
      </c>
      <c r="F119" s="3" t="n">
        <v>200</v>
      </c>
      <c r="G119" s="3" t="n">
        <v>5</v>
      </c>
      <c r="H119" s="3" t="n">
        <v>40</v>
      </c>
      <c r="I119" s="3" t="n">
        <v>20</v>
      </c>
      <c r="J119" s="3" t="n">
        <v>0</v>
      </c>
      <c r="K119" s="3" t="n">
        <v>0</v>
      </c>
      <c r="L119" s="3" t="n">
        <v>0</v>
      </c>
      <c r="M119" s="6">
        <f>F119/54+G119+H119+I119+J119+L119*1.2+K119/2</f>
        <v>68.7037037037037</v>
      </c>
      <c r="N119" s="3" t="inlineStr">
        <is>
          <t>无</t>
        </is>
      </c>
      <c r="O119" s="3" t="inlineStr">
        <is>
          <t>无</t>
        </is>
      </c>
      <c r="P119" s="3" t="inlineStr">
        <is>
          <t>blue</t>
        </is>
      </c>
      <c r="Q119" s="3" t="inlineStr">
        <is>
          <t>稀有/蓝</t>
        </is>
      </c>
      <c r="R119" s="3" t="inlineStr">
        <is>
          <t>武器</t>
        </is>
      </c>
      <c r="S119" s="3" t="inlineStr">
        <is>
          <t>武器</t>
        </is>
      </c>
      <c r="T119" s="3" t="inlineStr">
        <is>
          <t>刀脊镌有八卦方位与阴阳回纹，挥斩之间善借转势破局，越在乱阵中越显锋芒。</t>
        </is>
      </c>
      <c r="U119" s="3" t="inlineStr">
        <is>
          <t>是</t>
        </is>
      </c>
      <c r="V119" s="3" t="inlineStr">
        <is>
          <t>否</t>
        </is>
      </c>
      <c r="W119" s="3" t="inlineStr">
        <is>
          <t>equip_baguadao.png</t>
        </is>
      </c>
      <c r="X119" s="3" t="inlineStr"/>
      <c r="Y119" s="3" t="inlineStr">
        <is>
          <t>equip_weapon</t>
        </is>
      </c>
      <c r="Z119" s="3" t="inlineStr"/>
      <c r="AA119" s="3" t="inlineStr">
        <is>
          <t>无</t>
        </is>
      </c>
      <c r="AB119" s="3" t="inlineStr">
        <is>
          <t>否</t>
        </is>
      </c>
      <c r="AC119" s="3" t="inlineStr">
        <is>
          <t>否</t>
        </is>
      </c>
      <c r="AD119" s="3" t="inlineStr"/>
      <c r="AE119" s="3" t="inlineStr">
        <is>
          <t>任务宝箱装备</t>
        </is>
      </c>
      <c r="AF119" s="3" t="inlineStr">
        <is>
          <t>{"hp":200,"defense":5,"force":40,"intellect":20}</t>
        </is>
      </c>
      <c r="AG119" s="3" t="inlineStr">
        <is>
          <t>data/item_templates.yaml:L5501</t>
        </is>
      </c>
    </row>
    <row r="120" hidden="1">
      <c r="A120" s="3" t="n">
        <v>119</v>
      </c>
      <c r="B120" s="3" t="inlineStr">
        <is>
          <t>equip_chuanyungong</t>
        </is>
      </c>
      <c r="C120" s="3" t="inlineStr">
        <is>
          <t>穿云弓</t>
        </is>
      </c>
      <c r="D120" s="3" t="n">
        <v>6000</v>
      </c>
      <c r="E120" s="3" t="n">
        <v>100</v>
      </c>
      <c r="F120" s="3" t="n">
        <v>0</v>
      </c>
      <c r="G120" s="3" t="n">
        <v>0</v>
      </c>
      <c r="H120" s="3" t="n">
        <v>40</v>
      </c>
      <c r="I120" s="3" t="n">
        <v>0</v>
      </c>
      <c r="J120" s="3" t="n">
        <v>18</v>
      </c>
      <c r="K120" s="3" t="n">
        <v>0</v>
      </c>
      <c r="L120" s="3" t="n">
        <v>0</v>
      </c>
      <c r="M120" s="6">
        <f>F120/54+G120+H120+I120+J120+L120*1.2+K120/2</f>
        <v>58.0</v>
      </c>
      <c r="N120" s="3" t="inlineStr">
        <is>
          <t>无</t>
        </is>
      </c>
      <c r="O120" s="3" t="inlineStr">
        <is>
          <t>无</t>
        </is>
      </c>
      <c r="P120" s="3" t="inlineStr">
        <is>
          <t>blue</t>
        </is>
      </c>
      <c r="Q120" s="3" t="inlineStr">
        <is>
          <t>稀有/蓝</t>
        </is>
      </c>
      <c r="R120" s="3" t="inlineStr">
        <is>
          <t>武器</t>
        </is>
      </c>
      <c r="S120" s="3" t="inlineStr">
        <is>
          <t>武器</t>
        </is>
      </c>
      <c r="T120" s="3" t="inlineStr">
        <is>
          <t>传说某位神箭手以此弓射穿云雾中的飞鹰，因而得名。</t>
        </is>
      </c>
      <c r="U120" s="3" t="inlineStr">
        <is>
          <t>是</t>
        </is>
      </c>
      <c r="V120" s="3" t="inlineStr">
        <is>
          <t>否</t>
        </is>
      </c>
      <c r="W120" s="3" t="inlineStr">
        <is>
          <t>chuanyungong.png</t>
        </is>
      </c>
      <c r="X120" s="3" t="inlineStr"/>
      <c r="Y120" s="3" t="inlineStr">
        <is>
          <t>equip_weapon</t>
        </is>
      </c>
      <c r="Z120" s="3" t="inlineStr"/>
      <c r="AA120" s="3" t="inlineStr">
        <is>
          <t>无</t>
        </is>
      </c>
      <c r="AB120" s="3" t="inlineStr">
        <is>
          <t>否</t>
        </is>
      </c>
      <c r="AC120" s="3" t="inlineStr">
        <is>
          <t>否</t>
        </is>
      </c>
      <c r="AD120" s="3" t="inlineStr"/>
      <c r="AE120" s="3" t="inlineStr">
        <is>
          <t>任务宝箱装备；宝箱随机装备</t>
        </is>
      </c>
      <c r="AF120" s="3" t="inlineStr">
        <is>
          <t>{"force":40,"agility":18}</t>
        </is>
      </c>
      <c r="AG120" s="3" t="inlineStr">
        <is>
          <t>data/item_templates.yaml:L5265</t>
        </is>
      </c>
    </row>
    <row r="121" hidden="1">
      <c r="A121" s="3" t="n">
        <v>120</v>
      </c>
      <c r="B121" s="3" t="inlineStr">
        <is>
          <t>equip_duanhunbian</t>
        </is>
      </c>
      <c r="C121" s="3" t="inlineStr">
        <is>
          <t>断魂鞭</t>
        </is>
      </c>
      <c r="D121" s="3" t="n">
        <v>6000</v>
      </c>
      <c r="E121" s="3" t="n">
        <v>100</v>
      </c>
      <c r="F121" s="3" t="n">
        <v>0</v>
      </c>
      <c r="G121" s="3" t="n">
        <v>0</v>
      </c>
      <c r="H121" s="3" t="n">
        <v>35</v>
      </c>
      <c r="I121" s="3" t="n">
        <v>0</v>
      </c>
      <c r="J121" s="3" t="n">
        <v>20</v>
      </c>
      <c r="K121" s="3" t="n">
        <v>0</v>
      </c>
      <c r="L121" s="3" t="n">
        <v>10</v>
      </c>
      <c r="M121" s="6">
        <f>F121/54+G121+H121+I121+J121+L121*1.2+K121/2</f>
        <v>67.0</v>
      </c>
      <c r="N121" s="3" t="inlineStr">
        <is>
          <t>无</t>
        </is>
      </c>
      <c r="O121" s="3" t="inlineStr">
        <is>
          <t>无</t>
        </is>
      </c>
      <c r="P121" s="3" t="inlineStr">
        <is>
          <t>blue</t>
        </is>
      </c>
      <c r="Q121" s="3" t="inlineStr">
        <is>
          <t>稀有/蓝</t>
        </is>
      </c>
      <c r="R121" s="3" t="inlineStr">
        <is>
          <t>武器</t>
        </is>
      </c>
      <c r="S121" s="3" t="inlineStr">
        <is>
          <t>武器</t>
        </is>
      </c>
      <c r="T121" s="3" t="inlineStr">
        <is>
          <t>江湖暗杀组织"断魂谷"的标志性兵器，来历神秘。</t>
        </is>
      </c>
      <c r="U121" s="3" t="inlineStr">
        <is>
          <t>是</t>
        </is>
      </c>
      <c r="V121" s="3" t="inlineStr">
        <is>
          <t>否</t>
        </is>
      </c>
      <c r="W121" s="3" t="inlineStr">
        <is>
          <t>equip_duanhunbian.png</t>
        </is>
      </c>
      <c r="X121" s="3" t="inlineStr"/>
      <c r="Y121" s="3" t="inlineStr">
        <is>
          <t>equip_weapon</t>
        </is>
      </c>
      <c r="Z121" s="3" t="inlineStr"/>
      <c r="AA121" s="3" t="inlineStr">
        <is>
          <t>无</t>
        </is>
      </c>
      <c r="AB121" s="3" t="inlineStr">
        <is>
          <t>否</t>
        </is>
      </c>
      <c r="AC121" s="3" t="inlineStr">
        <is>
          <t>否</t>
        </is>
      </c>
      <c r="AD121" s="3" t="inlineStr"/>
      <c r="AE121" s="3" t="inlineStr">
        <is>
          <t>任务宝箱装备</t>
        </is>
      </c>
      <c r="AF121" s="3" t="inlineStr">
        <is>
          <t>{"force":35,"agility":20,"luck":10}</t>
        </is>
      </c>
      <c r="AG121" s="3" t="inlineStr">
        <is>
          <t>data/item_templates.yaml:L5305</t>
        </is>
      </c>
    </row>
    <row r="122" hidden="1">
      <c r="A122" s="3" t="n">
        <v>121</v>
      </c>
      <c r="B122" s="3" t="inlineStr">
        <is>
          <t>equip_hanyuejian</t>
        </is>
      </c>
      <c r="C122" s="3" t="inlineStr">
        <is>
          <t>寒月剑</t>
        </is>
      </c>
      <c r="D122" s="3" t="n">
        <v>6000</v>
      </c>
      <c r="E122" s="3" t="n">
        <v>100</v>
      </c>
      <c r="F122" s="3" t="n">
        <v>0</v>
      </c>
      <c r="G122" s="3" t="n">
        <v>10</v>
      </c>
      <c r="H122" s="3" t="n">
        <v>35</v>
      </c>
      <c r="I122" s="3" t="n">
        <v>0</v>
      </c>
      <c r="J122" s="3" t="n">
        <v>15</v>
      </c>
      <c r="K122" s="3" t="n">
        <v>0</v>
      </c>
      <c r="L122" s="3" t="n">
        <v>0</v>
      </c>
      <c r="M122" s="6">
        <f>F122/54+G122+H122+I122+J122+L122*1.2+K122/2</f>
        <v>60.0</v>
      </c>
      <c r="N122" s="3" t="inlineStr">
        <is>
          <t>无</t>
        </is>
      </c>
      <c r="O122" s="3" t="inlineStr">
        <is>
          <t>无</t>
        </is>
      </c>
      <c r="P122" s="3" t="inlineStr">
        <is>
          <t>blue</t>
        </is>
      </c>
      <c r="Q122" s="3" t="inlineStr">
        <is>
          <t>稀有/蓝</t>
        </is>
      </c>
      <c r="R122" s="3" t="inlineStr">
        <is>
          <t>武器</t>
        </is>
      </c>
      <c r="S122" s="3" t="inlineStr">
        <is>
          <t>武器</t>
        </is>
      </c>
      <c r="T122" s="3" t="inlineStr">
        <is>
          <t>剑身泛着寒光如月，相传是某位刺客组织头目的佩剑。</t>
        </is>
      </c>
      <c r="U122" s="3" t="inlineStr">
        <is>
          <t>是</t>
        </is>
      </c>
      <c r="V122" s="3" t="inlineStr">
        <is>
          <t>否</t>
        </is>
      </c>
      <c r="W122" s="3" t="inlineStr">
        <is>
          <t>hanyuejian.png</t>
        </is>
      </c>
      <c r="X122" s="3" t="inlineStr"/>
      <c r="Y122" s="3" t="inlineStr">
        <is>
          <t>equip_weapon</t>
        </is>
      </c>
      <c r="Z122" s="3" t="inlineStr"/>
      <c r="AA122" s="3" t="inlineStr">
        <is>
          <t>无</t>
        </is>
      </c>
      <c r="AB122" s="3" t="inlineStr">
        <is>
          <t>否</t>
        </is>
      </c>
      <c r="AC122" s="3" t="inlineStr">
        <is>
          <t>否</t>
        </is>
      </c>
      <c r="AD122" s="3" t="inlineStr"/>
      <c r="AE122" s="3" t="inlineStr">
        <is>
          <t>任务宝箱装备；宝箱独立随机物品组</t>
        </is>
      </c>
      <c r="AF122" s="3" t="inlineStr">
        <is>
          <t>{"defense":10,"force":35,"agility":15}</t>
        </is>
      </c>
      <c r="AG122" s="3" t="inlineStr">
        <is>
          <t>data/item_templates.yaml:L5278</t>
        </is>
      </c>
    </row>
    <row r="123" hidden="1">
      <c r="A123" s="3" t="n">
        <v>122</v>
      </c>
      <c r="B123" s="3" t="inlineStr">
        <is>
          <t>equip_jiaodoushizhichui</t>
        </is>
      </c>
      <c r="C123" s="3" t="inlineStr">
        <is>
          <t>角斗士之锤</t>
        </is>
      </c>
      <c r="D123" s="3" t="n">
        <v>6500</v>
      </c>
      <c r="E123" s="3" t="n">
        <v>100</v>
      </c>
      <c r="F123" s="3" t="n">
        <v>250</v>
      </c>
      <c r="G123" s="3" t="n">
        <v>8</v>
      </c>
      <c r="H123" s="3" t="n">
        <v>45</v>
      </c>
      <c r="I123" s="3" t="n">
        <v>0</v>
      </c>
      <c r="J123" s="3" t="n">
        <v>0</v>
      </c>
      <c r="K123" s="3" t="n">
        <v>0</v>
      </c>
      <c r="L123" s="3" t="n">
        <v>0</v>
      </c>
      <c r="M123" s="6">
        <f>F123/54+G123+H123+I123+J123+L123*1.2+K123/2</f>
        <v>57.62962962962963</v>
      </c>
      <c r="N123" s="3" t="inlineStr">
        <is>
          <t>角斗士套装</t>
        </is>
      </c>
      <c r="O123" s="3" t="inlineStr">
        <is>
          <t>角斗士套装4件: 生命+280、防御+10、武力+30、敏捷+15</t>
        </is>
      </c>
      <c r="P123" s="3" t="inlineStr">
        <is>
          <t>blue</t>
        </is>
      </c>
      <c r="Q123" s="3" t="inlineStr">
        <is>
          <t>稀有/蓝</t>
        </is>
      </c>
      <c r="R123" s="3" t="inlineStr">
        <is>
          <t>武器</t>
        </is>
      </c>
      <c r="S123" s="3" t="inlineStr">
        <is>
          <t>武器</t>
        </is>
      </c>
      <c r="T123" s="3" t="inlineStr">
        <is>
          <t>角斗场常见的重型战锤，锤头配重厚实，擅长正面破防压制。</t>
        </is>
      </c>
      <c r="U123" s="3" t="inlineStr">
        <is>
          <t>是</t>
        </is>
      </c>
      <c r="V123" s="3" t="inlineStr">
        <is>
          <t>否</t>
        </is>
      </c>
      <c r="W123" s="3" t="inlineStr">
        <is>
          <t>equip_jiaodoushizhichui.png</t>
        </is>
      </c>
      <c r="X123" s="3" t="inlineStr"/>
      <c r="Y123" s="3" t="inlineStr">
        <is>
          <t>equip_weapon</t>
        </is>
      </c>
      <c r="Z123" s="3" t="inlineStr">
        <is>
          <t>jiaodoushi_set</t>
        </is>
      </c>
      <c r="AA123" s="3" t="inlineStr">
        <is>
          <t>无</t>
        </is>
      </c>
      <c r="AB123" s="3" t="inlineStr">
        <is>
          <t>否</t>
        </is>
      </c>
      <c r="AC123" s="3" t="inlineStr">
        <is>
          <t>否</t>
        </is>
      </c>
      <c r="AD123" s="3" t="inlineStr"/>
      <c r="AE123" s="3" t="inlineStr">
        <is>
          <t>竞技场随机兑换</t>
        </is>
      </c>
      <c r="AF123" s="3" t="inlineStr">
        <is>
          <t>{"hp":250,"defense":8,"force":45,"set_key":"jiaodoushi_set","set_description":"角斗士套装","set_bonus":{"pieces":4,"bonus":{"hp":280,"defense":10,"force":30,"agility":15}}}</t>
        </is>
      </c>
      <c r="AG123" s="3" t="inlineStr">
        <is>
          <t>data/item_templates.yaml:L5193</t>
        </is>
      </c>
    </row>
    <row r="124" hidden="1">
      <c r="A124" s="3" t="n">
        <v>123</v>
      </c>
      <c r="B124" s="3" t="inlineStr">
        <is>
          <t>equip_junzijian</t>
        </is>
      </c>
      <c r="C124" s="3" t="inlineStr">
        <is>
          <t>君子剑</t>
        </is>
      </c>
      <c r="D124" s="3" t="n">
        <v>6000</v>
      </c>
      <c r="E124" s="3" t="n">
        <v>100</v>
      </c>
      <c r="F124" s="3" t="n">
        <v>0</v>
      </c>
      <c r="G124" s="3" t="n">
        <v>0</v>
      </c>
      <c r="H124" s="3" t="n">
        <v>25</v>
      </c>
      <c r="I124" s="3" t="n">
        <v>35</v>
      </c>
      <c r="J124" s="3" t="n">
        <v>15</v>
      </c>
      <c r="K124" s="3" t="n">
        <v>0</v>
      </c>
      <c r="L124" s="3" t="n">
        <v>0</v>
      </c>
      <c r="M124" s="6">
        <f>F124/54+G124+H124+I124+J124+L124*1.2+K124/2</f>
        <v>75.0</v>
      </c>
      <c r="N124" s="3" t="inlineStr">
        <is>
          <t>无</t>
        </is>
      </c>
      <c r="O124" s="3" t="inlineStr">
        <is>
          <t>无</t>
        </is>
      </c>
      <c r="P124" s="3" t="inlineStr">
        <is>
          <t>blue</t>
        </is>
      </c>
      <c r="Q124" s="3" t="inlineStr">
        <is>
          <t>稀有/蓝</t>
        </is>
      </c>
      <c r="R124" s="3" t="inlineStr">
        <is>
          <t>武器</t>
        </is>
      </c>
      <c r="S124" s="3" t="inlineStr">
        <is>
          <t>武器</t>
        </is>
      </c>
      <c r="T124" s="3" t="inlineStr">
        <is>
          <t>传说是某位儒门宗师以仁义为剑名所铸，剑身刻有《论语》句。</t>
        </is>
      </c>
      <c r="U124" s="3" t="inlineStr">
        <is>
          <t>是</t>
        </is>
      </c>
      <c r="V124" s="3" t="inlineStr">
        <is>
          <t>否</t>
        </is>
      </c>
      <c r="W124" s="3" t="inlineStr">
        <is>
          <t>junzijian.png</t>
        </is>
      </c>
      <c r="X124" s="3" t="inlineStr"/>
      <c r="Y124" s="3" t="inlineStr">
        <is>
          <t>equip_weapon</t>
        </is>
      </c>
      <c r="Z124" s="3" t="inlineStr"/>
      <c r="AA124" s="3" t="inlineStr">
        <is>
          <t>无</t>
        </is>
      </c>
      <c r="AB124" s="3" t="inlineStr">
        <is>
          <t>否</t>
        </is>
      </c>
      <c r="AC124" s="3" t="inlineStr">
        <is>
          <t>否</t>
        </is>
      </c>
      <c r="AD124" s="3" t="inlineStr"/>
      <c r="AE124" s="3" t="inlineStr">
        <is>
          <t>任务宝箱装备</t>
        </is>
      </c>
      <c r="AF124" s="3" t="inlineStr">
        <is>
          <t>{"force":25,"intellect":35,"agility":15}</t>
        </is>
      </c>
      <c r="AG124" s="3" t="inlineStr">
        <is>
          <t>data/item_templates.yaml:L5215</t>
        </is>
      </c>
    </row>
    <row r="125" hidden="1" ht="25.5" customHeight="1">
      <c r="A125" s="3" t="n">
        <v>124</v>
      </c>
      <c r="B125" s="3" t="inlineStr">
        <is>
          <t>equip_lieyandao</t>
        </is>
      </c>
      <c r="C125" s="3" t="inlineStr">
        <is>
          <t>烈焰刀</t>
        </is>
      </c>
      <c r="D125" s="3" t="n">
        <v>6000</v>
      </c>
      <c r="E125" s="3" t="n">
        <v>100</v>
      </c>
      <c r="F125" s="3" t="n">
        <v>160</v>
      </c>
      <c r="G125" s="3" t="n">
        <v>0</v>
      </c>
      <c r="H125" s="3" t="n">
        <v>55</v>
      </c>
      <c r="I125" s="3" t="n">
        <v>0</v>
      </c>
      <c r="J125" s="3" t="n">
        <v>0</v>
      </c>
      <c r="K125" s="3" t="n">
        <v>0</v>
      </c>
      <c r="L125" s="3" t="n">
        <v>0</v>
      </c>
      <c r="M125" s="6">
        <f>F125/54+G125+H125+I125+J125+L125*1.2+K125/2</f>
        <v>57.96296296296296</v>
      </c>
      <c r="N125" s="3" t="inlineStr">
        <is>
          <t>无</t>
        </is>
      </c>
      <c r="O125" s="3" t="inlineStr">
        <is>
          <t>无</t>
        </is>
      </c>
      <c r="P125" s="3" t="inlineStr">
        <is>
          <t>blue</t>
        </is>
      </c>
      <c r="Q125" s="3" t="inlineStr">
        <is>
          <t>稀有/蓝</t>
        </is>
      </c>
      <c r="R125" s="3" t="inlineStr">
        <is>
          <t>武器</t>
        </is>
      </c>
      <c r="S125" s="3" t="inlineStr">
        <is>
          <t>武器</t>
        </is>
      </c>
      <c r="T125" s="3" t="inlineStr">
        <is>
          <t>刀身铸入火焰纹路，据传以地底熔岩为淬火之水。</t>
        </is>
      </c>
      <c r="U125" s="3" t="inlineStr">
        <is>
          <t>是</t>
        </is>
      </c>
      <c r="V125" s="3" t="inlineStr">
        <is>
          <t>否</t>
        </is>
      </c>
      <c r="W125" s="3" t="inlineStr">
        <is>
          <t>equip_lieyandao.png</t>
        </is>
      </c>
      <c r="X125" s="3" t="inlineStr"/>
      <c r="Y125" s="3" t="inlineStr">
        <is>
          <t>equip_weapon</t>
        </is>
      </c>
      <c r="Z125" s="3" t="inlineStr"/>
      <c r="AA125" s="3" t="inlineStr">
        <is>
          <t>无</t>
        </is>
      </c>
      <c r="AB125" s="3" t="inlineStr">
        <is>
          <t>否</t>
        </is>
      </c>
      <c r="AC125" s="3" t="inlineStr">
        <is>
          <t>否</t>
        </is>
      </c>
      <c r="AD125" s="3" t="inlineStr"/>
      <c r="AE125" s="3" t="inlineStr">
        <is>
          <t>任务宝箱装备</t>
        </is>
      </c>
      <c r="AF125" s="3" t="inlineStr">
        <is>
          <t>{"hp":160,"force":55}</t>
        </is>
      </c>
      <c r="AG125" s="3" t="inlineStr">
        <is>
          <t>data/item_templates.yaml:L5292</t>
        </is>
      </c>
    </row>
    <row r="126" hidden="1">
      <c r="A126" s="3" t="n">
        <v>125</v>
      </c>
      <c r="B126" s="3" t="inlineStr">
        <is>
          <t>equip_nichangjian</t>
        </is>
      </c>
      <c r="C126" s="3" t="inlineStr">
        <is>
          <t>霓裳剑</t>
        </is>
      </c>
      <c r="D126" s="3" t="n">
        <v>6000</v>
      </c>
      <c r="E126" s="3" t="n">
        <v>100</v>
      </c>
      <c r="F126" s="3" t="n">
        <v>0</v>
      </c>
      <c r="G126" s="3" t="n">
        <v>0</v>
      </c>
      <c r="H126" s="3" t="n">
        <v>10</v>
      </c>
      <c r="I126" s="3" t="n">
        <v>35</v>
      </c>
      <c r="J126" s="3" t="n">
        <v>15</v>
      </c>
      <c r="K126" s="3" t="n">
        <v>0</v>
      </c>
      <c r="L126" s="3" t="n">
        <v>0</v>
      </c>
      <c r="M126" s="6">
        <f>F126/54+G126+H126+I126+J126+L126*1.2+K126/2</f>
        <v>60.0</v>
      </c>
      <c r="N126" s="3" t="inlineStr">
        <is>
          <t>霓裳</t>
        </is>
      </c>
      <c r="O126" s="3" t="inlineStr">
        <is>
          <t>霓裳3件: 生命+150、智力+20、敏捷+10、运势+15</t>
        </is>
      </c>
      <c r="P126" s="3" t="inlineStr">
        <is>
          <t>blue</t>
        </is>
      </c>
      <c r="Q126" s="3" t="inlineStr">
        <is>
          <t>稀有/蓝</t>
        </is>
      </c>
      <c r="R126" s="3" t="inlineStr">
        <is>
          <t>武器</t>
        </is>
      </c>
      <c r="S126" s="3" t="inlineStr">
        <is>
          <t>武器</t>
        </is>
      </c>
      <c r="T126" s="3" t="inlineStr">
        <is>
          <t>剑身修长如舞袖起落，出招时既能借势压人，也适合以灵思与节奏带动战局。</t>
        </is>
      </c>
      <c r="U126" s="3" t="inlineStr">
        <is>
          <t>是</t>
        </is>
      </c>
      <c r="V126" s="3" t="inlineStr">
        <is>
          <t>否</t>
        </is>
      </c>
      <c r="W126" s="3" t="inlineStr">
        <is>
          <t>equip_nichangjian.png</t>
        </is>
      </c>
      <c r="X126" s="3" t="inlineStr"/>
      <c r="Y126" s="3" t="inlineStr">
        <is>
          <t>equip_weapon</t>
        </is>
      </c>
      <c r="Z126" s="3" t="inlineStr">
        <is>
          <t>nichang_set</t>
        </is>
      </c>
      <c r="AA126" s="3" t="inlineStr">
        <is>
          <t>无</t>
        </is>
      </c>
      <c r="AB126" s="3" t="inlineStr">
        <is>
          <t>否</t>
        </is>
      </c>
      <c r="AC126" s="3" t="inlineStr">
        <is>
          <t>否</t>
        </is>
      </c>
      <c r="AD126" s="3" t="inlineStr"/>
      <c r="AE126" s="3" t="inlineStr">
        <is>
          <t>任务宝箱装备</t>
        </is>
      </c>
      <c r="AF126" s="3" t="inlineStr">
        <is>
          <t>{"force":10,"intellect":35,"agility":15,"set_key":"nichang_set","set_description":"霓裳","set_bonus":{"pieces":3,"bonus":{"hp":150,"intellect":20,"agility":10,"luck":15}}}</t>
        </is>
      </c>
      <c r="AG126" s="3" t="inlineStr">
        <is>
          <t>data/item_templates.yaml:L5171</t>
        </is>
      </c>
    </row>
    <row r="127" hidden="1">
      <c r="A127" s="3" t="n">
        <v>126</v>
      </c>
      <c r="B127" s="3" t="inlineStr">
        <is>
          <t>equip_nohara_pan</t>
        </is>
      </c>
      <c r="C127" s="3" t="inlineStr">
        <is>
          <t>野原家的平底锅</t>
        </is>
      </c>
      <c r="D127" s="3" t="n">
        <v>6800</v>
      </c>
      <c r="E127" s="3" t="n">
        <v>100</v>
      </c>
      <c r="F127" s="3" t="n">
        <v>180</v>
      </c>
      <c r="G127" s="3" t="n">
        <v>18</v>
      </c>
      <c r="H127" s="3" t="n">
        <v>36</v>
      </c>
      <c r="I127" s="3" t="n">
        <v>0</v>
      </c>
      <c r="J127" s="3" t="n">
        <v>0</v>
      </c>
      <c r="K127" s="3" t="n">
        <v>0</v>
      </c>
      <c r="L127" s="3" t="n">
        <v>0</v>
      </c>
      <c r="M127" s="6">
        <f>F127/54+G127+H127+I127+J127+L127*1.2+K127/2</f>
        <v>57.33333333333333</v>
      </c>
      <c r="N127" s="3" t="inlineStr">
        <is>
          <t>春日部防卫队</t>
        </is>
      </c>
      <c r="O127" s="3" t="inlineStr">
        <is>
          <t>春日部防卫队2件: 防御+20、攻击+30；春日部防卫队4件: 生命+600、敏捷+20、运势+15</t>
        </is>
      </c>
      <c r="P127" s="3" t="inlineStr">
        <is>
          <t>blue</t>
        </is>
      </c>
      <c r="Q127" s="3" t="inlineStr">
        <is>
          <t>稀有/蓝</t>
        </is>
      </c>
      <c r="R127" s="3" t="inlineStr">
        <is>
          <t>武器</t>
        </is>
      </c>
      <c r="S127" s="3" t="inlineStr">
        <is>
          <t>武器</t>
        </is>
      </c>
      <c r="T127" s="3" t="inlineStr">
        <is>
          <t>厨房里磨炼出的实战兵器，攻守兼备，敲起来声势惊人。</t>
        </is>
      </c>
      <c r="U127" s="3" t="inlineStr">
        <is>
          <t>是</t>
        </is>
      </c>
      <c r="V127" s="3" t="inlineStr">
        <is>
          <t>否</t>
        </is>
      </c>
      <c r="W127" s="3" t="inlineStr">
        <is>
          <t>equip_nohara_pan.png</t>
        </is>
      </c>
      <c r="X127" s="3" t="inlineStr"/>
      <c r="Y127" s="3" t="inlineStr">
        <is>
          <t>equip_weapon</t>
        </is>
      </c>
      <c r="Z127" s="3" t="inlineStr">
        <is>
          <t>kasukabe_defense_set</t>
        </is>
      </c>
      <c r="AA127" s="3" t="inlineStr">
        <is>
          <t>无</t>
        </is>
      </c>
      <c r="AB127" s="3" t="inlineStr">
        <is>
          <t>否</t>
        </is>
      </c>
      <c r="AC127" s="3" t="inlineStr">
        <is>
          <t>否</t>
        </is>
      </c>
      <c r="AD127" s="3" t="inlineStr"/>
      <c r="AE127" s="3" t="inlineStr">
        <is>
          <t>任务宝箱装备</t>
        </is>
      </c>
      <c r="AF127" s="3" t="inlineStr">
        <is>
          <t>{"hp":180,"defense":18,"force":36,"set_key":"kasukabe_defense_set","set_description":"春日部防卫队","set_bonus":[{"pieces":2,"bonus":{"defense":20,"attack":30}},{"pieces":4,"bonus":{"hp":600,"agility":20,"luck":15}}]}</t>
        </is>
      </c>
      <c r="AG127" s="3" t="inlineStr">
        <is>
          <t>data/item_templates.yaml:L3215</t>
        </is>
      </c>
    </row>
    <row r="128" hidden="1">
      <c r="A128" s="3" t="n">
        <v>127</v>
      </c>
      <c r="B128" s="3" t="inlineStr">
        <is>
          <t>equip_pozhenqiang</t>
        </is>
      </c>
      <c r="C128" s="3" t="inlineStr">
        <is>
          <t>破阵枪</t>
        </is>
      </c>
      <c r="D128" s="3" t="n">
        <v>6000</v>
      </c>
      <c r="E128" s="3" t="n">
        <v>100</v>
      </c>
      <c r="F128" s="3" t="n">
        <v>150</v>
      </c>
      <c r="G128" s="3" t="n">
        <v>0</v>
      </c>
      <c r="H128" s="3" t="n">
        <v>50</v>
      </c>
      <c r="I128" s="3" t="n">
        <v>0</v>
      </c>
      <c r="J128" s="3" t="n">
        <v>0</v>
      </c>
      <c r="K128" s="3" t="n">
        <v>50</v>
      </c>
      <c r="L128" s="3" t="n">
        <v>0</v>
      </c>
      <c r="M128" s="6">
        <f>F128/54+G128+H128+I128+J128+L128*1.2+K128/2</f>
        <v>77.77777777777777</v>
      </c>
      <c r="N128" s="3" t="inlineStr">
        <is>
          <t>无</t>
        </is>
      </c>
      <c r="O128" s="3" t="inlineStr">
        <is>
          <t>无</t>
        </is>
      </c>
      <c r="P128" s="3" t="inlineStr">
        <is>
          <t>blue</t>
        </is>
      </c>
      <c r="Q128" s="3" t="inlineStr">
        <is>
          <t>稀有/蓝</t>
        </is>
      </c>
      <c r="R128" s="3" t="inlineStr">
        <is>
          <t>武器</t>
        </is>
      </c>
      <c r="S128" s="3" t="inlineStr">
        <is>
          <t>武器</t>
        </is>
      </c>
      <c r="T128" s="3" t="inlineStr">
        <is>
          <t>岳家军破阵用的制式长枪，枪头带有倒钩设计。</t>
        </is>
      </c>
      <c r="U128" s="3" t="inlineStr">
        <is>
          <t>是</t>
        </is>
      </c>
      <c r="V128" s="3" t="inlineStr">
        <is>
          <t>否</t>
        </is>
      </c>
      <c r="W128" s="3" t="inlineStr">
        <is>
          <t>pozhenqiang.png</t>
        </is>
      </c>
      <c r="X128" s="3" t="inlineStr"/>
      <c r="Y128" s="3" t="inlineStr">
        <is>
          <t>equip_weapon</t>
        </is>
      </c>
      <c r="Z128" s="3" t="inlineStr"/>
      <c r="AA128" s="3" t="inlineStr">
        <is>
          <t>无</t>
        </is>
      </c>
      <c r="AB128" s="3" t="inlineStr">
        <is>
          <t>否</t>
        </is>
      </c>
      <c r="AC128" s="3" t="inlineStr">
        <is>
          <t>否</t>
        </is>
      </c>
      <c r="AD128" s="3" t="inlineStr"/>
      <c r="AE128" s="3" t="inlineStr">
        <is>
          <t>任务宝箱装备；宝箱随机装备</t>
        </is>
      </c>
      <c r="AF128" s="3" t="inlineStr">
        <is>
          <t>{"hp":150,"force":50,"troop_capacity":50}</t>
        </is>
      </c>
      <c r="AG128" s="3" t="inlineStr">
        <is>
          <t>data/item_templates.yaml:L5251</t>
        </is>
      </c>
    </row>
    <row r="129" hidden="1">
      <c r="A129" s="3" t="n">
        <v>128</v>
      </c>
      <c r="B129" s="3" t="inlineStr">
        <is>
          <t>equip_qinglongdao</t>
        </is>
      </c>
      <c r="C129" s="3" t="inlineStr">
        <is>
          <t>青龙刀</t>
        </is>
      </c>
      <c r="D129" s="3" t="n">
        <v>6000</v>
      </c>
      <c r="E129" s="3" t="n">
        <v>100</v>
      </c>
      <c r="F129" s="3" t="n">
        <v>500</v>
      </c>
      <c r="G129" s="3" t="n">
        <v>0</v>
      </c>
      <c r="H129" s="3" t="n">
        <v>30</v>
      </c>
      <c r="I129" s="3" t="n">
        <v>25</v>
      </c>
      <c r="J129" s="3" t="n">
        <v>0</v>
      </c>
      <c r="K129" s="3" t="n">
        <v>0</v>
      </c>
      <c r="L129" s="3" t="n">
        <v>0</v>
      </c>
      <c r="M129" s="6">
        <f>F129/54+G129+H129+I129+J129+L129*1.2+K129/2</f>
        <v>64.25925925925927</v>
      </c>
      <c r="N129" s="3" t="inlineStr">
        <is>
          <t>四象套装</t>
        </is>
      </c>
      <c r="O129" s="3" t="inlineStr">
        <is>
          <t>四象套装4件: 生命+360、武力+35、智力+35、敏捷+20</t>
        </is>
      </c>
      <c r="P129" s="3" t="inlineStr">
        <is>
          <t>blue</t>
        </is>
      </c>
      <c r="Q129" s="3" t="inlineStr">
        <is>
          <t>稀有/蓝</t>
        </is>
      </c>
      <c r="R129" s="3" t="inlineStr">
        <is>
          <t>武器</t>
        </is>
      </c>
      <c r="S129" s="3" t="inlineStr">
        <is>
          <t>武器</t>
        </is>
      </c>
      <c r="T129" s="3" t="inlineStr">
        <is>
          <t>刀身雕有青龙图腾，相传是青龙堂镇堂之宝的仿品。</t>
        </is>
      </c>
      <c r="U129" s="3" t="inlineStr">
        <is>
          <t>是</t>
        </is>
      </c>
      <c r="V129" s="3" t="inlineStr">
        <is>
          <t>否</t>
        </is>
      </c>
      <c r="W129" s="3" t="inlineStr">
        <is>
          <t>qinglongdao.png</t>
        </is>
      </c>
      <c r="X129" s="3" t="inlineStr"/>
      <c r="Y129" s="3" t="inlineStr">
        <is>
          <t>equip_weapon</t>
        </is>
      </c>
      <c r="Z129" s="3" t="inlineStr">
        <is>
          <t>sixiang_set</t>
        </is>
      </c>
      <c r="AA129" s="3" t="inlineStr">
        <is>
          <t>无</t>
        </is>
      </c>
      <c r="AB129" s="3" t="inlineStr">
        <is>
          <t>否</t>
        </is>
      </c>
      <c r="AC129" s="3" t="inlineStr">
        <is>
          <t>是</t>
        </is>
      </c>
      <c r="AD129" s="3" t="inlineStr">
        <is>
          <t>blueprint_qinglongdao</t>
        </is>
      </c>
      <c r="AE129" s="3" t="inlineStr">
        <is>
          <t>图纸合成（任务宝箱）；图纸合成（竞技场随机图纸兑换）；宝箱随机装备</t>
        </is>
      </c>
      <c r="AF129" s="3" t="inlineStr">
        <is>
          <t>{"hp":500,"force":30,"intellect":25,"set_key":"sixiang_set","set_description":"四象套装","set_bonus":{"pieces":4,"bonus":{"hp":360,"force":35,"intellect":35,"agility":20}}}</t>
        </is>
      </c>
      <c r="AG129" s="3" t="inlineStr">
        <is>
          <t>data/item_templates.yaml:L5229</t>
        </is>
      </c>
    </row>
    <row r="130" hidden="1">
      <c r="A130" s="3" t="n">
        <v>129</v>
      </c>
      <c r="B130" s="3" t="inlineStr">
        <is>
          <t>equip_xiaoweichangjian</t>
        </is>
      </c>
      <c r="C130" s="3" t="inlineStr">
        <is>
          <t>校尉长剑</t>
        </is>
      </c>
      <c r="D130" s="3" t="n">
        <v>6000</v>
      </c>
      <c r="E130" s="3" t="n">
        <v>100</v>
      </c>
      <c r="F130" s="3" t="n">
        <v>72</v>
      </c>
      <c r="G130" s="3" t="n">
        <v>0</v>
      </c>
      <c r="H130" s="3" t="n">
        <v>45</v>
      </c>
      <c r="I130" s="3" t="n">
        <v>0</v>
      </c>
      <c r="J130" s="3" t="n">
        <v>0</v>
      </c>
      <c r="K130" s="3" t="n">
        <v>20</v>
      </c>
      <c r="L130" s="3" t="n">
        <v>0</v>
      </c>
      <c r="M130" s="6">
        <f>F130/54+G130+H130+I130+J130+L130*1.2+K130/2</f>
        <v>56.333333333333336</v>
      </c>
      <c r="N130" s="3" t="inlineStr">
        <is>
          <t>校尉套装</t>
        </is>
      </c>
      <c r="O130" s="3" t="inlineStr">
        <is>
          <t>校尉套装4件: 生命+360、防御+15、武力+40、带兵上限+100</t>
        </is>
      </c>
      <c r="P130" s="3" t="inlineStr">
        <is>
          <t>blue</t>
        </is>
      </c>
      <c r="Q130" s="3" t="inlineStr">
        <is>
          <t>稀有/蓝</t>
        </is>
      </c>
      <c r="R130" s="3" t="inlineStr">
        <is>
          <t>武器</t>
        </is>
      </c>
      <c r="S130" s="3" t="inlineStr">
        <is>
          <t>武器</t>
        </is>
      </c>
      <c r="T130" s="3" t="inlineStr">
        <is>
          <t>军中校尉的制式配剑，剑柄刻有军阶徽记。</t>
        </is>
      </c>
      <c r="U130" s="3" t="inlineStr">
        <is>
          <t>是</t>
        </is>
      </c>
      <c r="V130" s="3" t="inlineStr">
        <is>
          <t>否</t>
        </is>
      </c>
      <c r="W130" s="3" t="inlineStr">
        <is>
          <t>equip_xiaoweichangjian.png</t>
        </is>
      </c>
      <c r="X130" s="3" t="inlineStr"/>
      <c r="Y130" s="3" t="inlineStr">
        <is>
          <t>equip_weapon</t>
        </is>
      </c>
      <c r="Z130" s="3" t="inlineStr">
        <is>
          <t>xiaowei_set</t>
        </is>
      </c>
      <c r="AA130" s="3" t="inlineStr">
        <is>
          <t>无</t>
        </is>
      </c>
      <c r="AB130" s="3" t="inlineStr">
        <is>
          <t>否</t>
        </is>
      </c>
      <c r="AC130" s="3" t="inlineStr">
        <is>
          <t>是</t>
        </is>
      </c>
      <c r="AD130" s="3" t="inlineStr">
        <is>
          <t>blueprint_xiaoweichangjian</t>
        </is>
      </c>
      <c r="AE130" s="3" t="inlineStr">
        <is>
          <t>任务宝箱装备；图纸合成（任务宝箱）；图纸合成（竞技场随机图纸兑换）；宝箱随机装备</t>
        </is>
      </c>
      <c r="AF130" s="3" t="inlineStr">
        <is>
          <t>{"hp":72,"force":45,"troop_capacity":20,"set_key":"xiaowei_set","set_description":"校尉套装","set_bonus":{"pieces":4,"bonus":{"hp":360,"defense":15,"force":40,"troop_capacity":100}}}</t>
        </is>
      </c>
      <c r="AG130" s="3" t="inlineStr">
        <is>
          <t>data/item_templates.yaml:L5149</t>
        </is>
      </c>
    </row>
    <row r="131" hidden="1">
      <c r="A131" s="3" t="n">
        <v>130</v>
      </c>
      <c r="B131" s="3" t="inlineStr">
        <is>
          <t>equip_xingluoshan</t>
        </is>
      </c>
      <c r="C131" s="3" t="inlineStr">
        <is>
          <t>星罗扇</t>
        </is>
      </c>
      <c r="D131" s="3" t="n">
        <v>6000</v>
      </c>
      <c r="E131" s="3" t="n">
        <v>100</v>
      </c>
      <c r="F131" s="3" t="n">
        <v>0</v>
      </c>
      <c r="G131" s="3" t="n">
        <v>0</v>
      </c>
      <c r="H131" s="3" t="n">
        <v>0</v>
      </c>
      <c r="I131" s="3" t="n">
        <v>45</v>
      </c>
      <c r="J131" s="3" t="n">
        <v>0</v>
      </c>
      <c r="K131" s="3" t="n">
        <v>0</v>
      </c>
      <c r="L131" s="3" t="n">
        <v>15</v>
      </c>
      <c r="M131" s="6">
        <f>F131/54+G131+H131+I131+J131+L131*1.2+K131/2</f>
        <v>63.0</v>
      </c>
      <c r="N131" s="3" t="inlineStr">
        <is>
          <t>无</t>
        </is>
      </c>
      <c r="O131" s="3" t="inlineStr">
        <is>
          <t>无</t>
        </is>
      </c>
      <c r="P131" s="3" t="inlineStr">
        <is>
          <t>blue</t>
        </is>
      </c>
      <c r="Q131" s="3" t="inlineStr">
        <is>
          <t>稀有/蓝</t>
        </is>
      </c>
      <c r="R131" s="3" t="inlineStr">
        <is>
          <t>武器</t>
        </is>
      </c>
      <c r="S131" s="3" t="inlineStr">
        <is>
          <t>武器</t>
        </is>
      </c>
      <c r="T131" s="3" t="inlineStr">
        <is>
          <t>扇面绘有星罗棋布图案，是钦天监术士的法器。</t>
        </is>
      </c>
      <c r="U131" s="3" t="inlineStr">
        <is>
          <t>是</t>
        </is>
      </c>
      <c r="V131" s="3" t="inlineStr">
        <is>
          <t>否</t>
        </is>
      </c>
      <c r="W131" s="3" t="inlineStr">
        <is>
          <t>equip_xingluoshan.png</t>
        </is>
      </c>
      <c r="X131" s="3" t="inlineStr"/>
      <c r="Y131" s="3" t="inlineStr">
        <is>
          <t>equip_weapon</t>
        </is>
      </c>
      <c r="Z131" s="3" t="inlineStr"/>
      <c r="AA131" s="3" t="inlineStr">
        <is>
          <t>无</t>
        </is>
      </c>
      <c r="AB131" s="3" t="inlineStr">
        <is>
          <t>否</t>
        </is>
      </c>
      <c r="AC131" s="3" t="inlineStr">
        <is>
          <t>否</t>
        </is>
      </c>
      <c r="AD131" s="3" t="inlineStr"/>
      <c r="AE131" s="3" t="inlineStr">
        <is>
          <t>任务宝箱装备；宝箱独立随机物品组</t>
        </is>
      </c>
      <c r="AF131" s="3" t="inlineStr">
        <is>
          <t>{"intellect":45,"luck":15}</t>
        </is>
      </c>
      <c r="AG131" s="3" t="inlineStr">
        <is>
          <t>data/item_templates.yaml:L5346</t>
        </is>
      </c>
    </row>
    <row r="132" hidden="1">
      <c r="A132" s="3" t="n">
        <v>131</v>
      </c>
      <c r="B132" s="3" t="inlineStr">
        <is>
          <t>equip_xuanbinggong</t>
        </is>
      </c>
      <c r="C132" s="3" t="inlineStr">
        <is>
          <t>玄冰弓</t>
        </is>
      </c>
      <c r="D132" s="3" t="n">
        <v>6000</v>
      </c>
      <c r="E132" s="3" t="n">
        <v>100</v>
      </c>
      <c r="F132" s="3" t="n">
        <v>0</v>
      </c>
      <c r="G132" s="3" t="n">
        <v>0</v>
      </c>
      <c r="H132" s="3" t="n">
        <v>40</v>
      </c>
      <c r="I132" s="3" t="n">
        <v>0</v>
      </c>
      <c r="J132" s="3" t="n">
        <v>25</v>
      </c>
      <c r="K132" s="3" t="n">
        <v>0</v>
      </c>
      <c r="L132" s="3" t="n">
        <v>0</v>
      </c>
      <c r="M132" s="6">
        <f>F132/54+G132+H132+I132+J132+L132*1.2+K132/2</f>
        <v>65.0</v>
      </c>
      <c r="N132" s="3" t="inlineStr">
        <is>
          <t>无</t>
        </is>
      </c>
      <c r="O132" s="3" t="inlineStr">
        <is>
          <t>无</t>
        </is>
      </c>
      <c r="P132" s="3" t="inlineStr">
        <is>
          <t>blue</t>
        </is>
      </c>
      <c r="Q132" s="3" t="inlineStr">
        <is>
          <t>稀有/蓝</t>
        </is>
      </c>
      <c r="R132" s="3" t="inlineStr">
        <is>
          <t>武器</t>
        </is>
      </c>
      <c r="S132" s="3" t="inlineStr">
        <is>
          <t>武器</t>
        </is>
      </c>
      <c r="T132" s="3" t="inlineStr">
        <is>
          <t>以北极寒冰封存的弓身，传说出自极北雪域的神秘部落。</t>
        </is>
      </c>
      <c r="U132" s="3" t="inlineStr">
        <is>
          <t>是</t>
        </is>
      </c>
      <c r="V132" s="3" t="inlineStr">
        <is>
          <t>否</t>
        </is>
      </c>
      <c r="W132" s="3" t="inlineStr">
        <is>
          <t>equip_xuanbinggong.png</t>
        </is>
      </c>
      <c r="X132" s="3" t="inlineStr"/>
      <c r="Y132" s="3" t="inlineStr">
        <is>
          <t>equip_weapon</t>
        </is>
      </c>
      <c r="Z132" s="3" t="inlineStr"/>
      <c r="AA132" s="3" t="inlineStr">
        <is>
          <t>无</t>
        </is>
      </c>
      <c r="AB132" s="3" t="inlineStr">
        <is>
          <t>否</t>
        </is>
      </c>
      <c r="AC132" s="3" t="inlineStr">
        <is>
          <t>否</t>
        </is>
      </c>
      <c r="AD132" s="3" t="inlineStr"/>
      <c r="AE132" s="3" t="inlineStr">
        <is>
          <t>任务宝箱装备；宝箱独立随机物品组</t>
        </is>
      </c>
      <c r="AF132" s="3" t="inlineStr">
        <is>
          <t>{"force":40,"agility":25}</t>
        </is>
      </c>
      <c r="AG132" s="3" t="inlineStr">
        <is>
          <t>data/item_templates.yaml:L5333</t>
        </is>
      </c>
    </row>
    <row r="133" hidden="1">
      <c r="A133" s="3" t="n">
        <v>132</v>
      </c>
      <c r="B133" s="3" t="inlineStr">
        <is>
          <t>equip_zhenyuechui</t>
        </is>
      </c>
      <c r="C133" s="3" t="inlineStr">
        <is>
          <t>镇岳锤</t>
        </is>
      </c>
      <c r="D133" s="3" t="n">
        <v>6000</v>
      </c>
      <c r="E133" s="3" t="n">
        <v>100</v>
      </c>
      <c r="F133" s="3" t="n">
        <v>500</v>
      </c>
      <c r="G133" s="3" t="n">
        <v>20</v>
      </c>
      <c r="H133" s="3" t="n">
        <v>35</v>
      </c>
      <c r="I133" s="3" t="n">
        <v>0</v>
      </c>
      <c r="J133" s="3" t="n">
        <v>0</v>
      </c>
      <c r="K133" s="3" t="n">
        <v>0</v>
      </c>
      <c r="L133" s="3" t="n">
        <v>0</v>
      </c>
      <c r="M133" s="6">
        <f>F133/54+G133+H133+I133+J133+L133*1.2+K133/2</f>
        <v>64.25925925925927</v>
      </c>
      <c r="N133" s="3" t="inlineStr">
        <is>
          <t>无</t>
        </is>
      </c>
      <c r="O133" s="3" t="inlineStr">
        <is>
          <t>无</t>
        </is>
      </c>
      <c r="P133" s="3" t="inlineStr">
        <is>
          <t>blue</t>
        </is>
      </c>
      <c r="Q133" s="3" t="inlineStr">
        <is>
          <t>稀有/蓝</t>
        </is>
      </c>
      <c r="R133" s="3" t="inlineStr">
        <is>
          <t>武器</t>
        </is>
      </c>
      <c r="S133" s="3" t="inlineStr">
        <is>
          <t>武器</t>
        </is>
      </c>
      <c r="T133" s="3" t="inlineStr">
        <is>
          <t>仿五岳之形铸造的重锤，据传曾镇压过山中精怪。</t>
        </is>
      </c>
      <c r="U133" s="3" t="inlineStr">
        <is>
          <t>是</t>
        </is>
      </c>
      <c r="V133" s="3" t="inlineStr">
        <is>
          <t>否</t>
        </is>
      </c>
      <c r="W133" s="3" t="inlineStr">
        <is>
          <t>equip_zhenyuechui.png</t>
        </is>
      </c>
      <c r="X133" s="3" t="inlineStr"/>
      <c r="Y133" s="3" t="inlineStr">
        <is>
          <t>equip_weapon</t>
        </is>
      </c>
      <c r="Z133" s="3" t="inlineStr"/>
      <c r="AA133" s="3" t="inlineStr">
        <is>
          <t>无</t>
        </is>
      </c>
      <c r="AB133" s="3" t="inlineStr">
        <is>
          <t>否</t>
        </is>
      </c>
      <c r="AC133" s="3" t="inlineStr">
        <is>
          <t>否</t>
        </is>
      </c>
      <c r="AD133" s="3" t="inlineStr"/>
      <c r="AE133" s="3" t="inlineStr">
        <is>
          <t>任务宝箱装备</t>
        </is>
      </c>
      <c r="AF133" s="3" t="inlineStr">
        <is>
          <t>{"hp":500,"defense":20,"force":35}</t>
        </is>
      </c>
      <c r="AG133" s="3" t="inlineStr">
        <is>
          <t>data/item_templates.yaml:L5319</t>
        </is>
      </c>
    </row>
    <row r="134" hidden="1">
      <c r="A134" s="3" t="n">
        <v>133</v>
      </c>
      <c r="B134" s="3" t="inlineStr">
        <is>
          <t>equip_bawangqiang</t>
        </is>
      </c>
      <c r="C134" s="3" t="inlineStr">
        <is>
          <t>霸王枪</t>
        </is>
      </c>
      <c r="D134" s="3" t="n">
        <v>16000</v>
      </c>
      <c r="E134" s="3" t="n">
        <v>150</v>
      </c>
      <c r="F134" s="3" t="n">
        <v>237</v>
      </c>
      <c r="G134" s="3" t="n">
        <v>0</v>
      </c>
      <c r="H134" s="3" t="n">
        <v>46</v>
      </c>
      <c r="I134" s="3" t="n">
        <v>0</v>
      </c>
      <c r="J134" s="3" t="n">
        <v>12</v>
      </c>
      <c r="K134" s="3" t="n">
        <v>39</v>
      </c>
      <c r="L134" s="3" t="n">
        <v>0</v>
      </c>
      <c r="M134" s="6">
        <f>F134/54+G134+H134+I134+J134+L134*1.2+K134/2</f>
        <v>81.88888888888889</v>
      </c>
      <c r="N134" s="3" t="inlineStr">
        <is>
          <t>无</t>
        </is>
      </c>
      <c r="O134" s="3" t="inlineStr">
        <is>
          <t>无</t>
        </is>
      </c>
      <c r="P134" s="3" t="inlineStr">
        <is>
          <t>purple</t>
        </is>
      </c>
      <c r="Q134" s="3" t="inlineStr">
        <is>
          <t>史诗/紫</t>
        </is>
      </c>
      <c r="R134" s="3" t="inlineStr">
        <is>
          <t>武器</t>
        </is>
      </c>
      <c r="S134" s="3" t="inlineStr">
        <is>
          <t>武器</t>
        </is>
      </c>
      <c r="T134" s="3" t="inlineStr">
        <is>
          <t>仿西楚霸王项羽的虎头鲛皮枪所铸，气势雄浑。</t>
        </is>
      </c>
      <c r="U134" s="3" t="inlineStr">
        <is>
          <t>是</t>
        </is>
      </c>
      <c r="V134" s="3" t="inlineStr">
        <is>
          <t>否</t>
        </is>
      </c>
      <c r="W134" s="3" t="inlineStr">
        <is>
          <t>equip_bawangqiang.png</t>
        </is>
      </c>
      <c r="X134" s="3" t="inlineStr"/>
      <c r="Y134" s="3" t="inlineStr">
        <is>
          <t>equip_weapon</t>
        </is>
      </c>
      <c r="Z134" s="3" t="inlineStr"/>
      <c r="AA134" s="3" t="inlineStr">
        <is>
          <t>无</t>
        </is>
      </c>
      <c r="AB134" s="3" t="inlineStr">
        <is>
          <t>否</t>
        </is>
      </c>
      <c r="AC134" s="3" t="inlineStr">
        <is>
          <t>否</t>
        </is>
      </c>
      <c r="AD134" s="3" t="inlineStr"/>
      <c r="AE134" s="3" t="inlineStr">
        <is>
          <t>任务宝箱装备；宝箱随机装备</t>
        </is>
      </c>
      <c r="AF134" s="3" t="inlineStr">
        <is>
          <t>{"hp":237,"force":46,"agility":12,"troop_capacity":39}</t>
        </is>
      </c>
      <c r="AG134" s="3" t="inlineStr">
        <is>
          <t>data/item_templates.yaml:L5382</t>
        </is>
      </c>
    </row>
    <row r="135" hidden="1">
      <c r="A135" s="3" t="n">
        <v>134</v>
      </c>
      <c r="B135" s="3" t="inlineStr">
        <is>
          <t>equip_biyudao</t>
        </is>
      </c>
      <c r="C135" s="3" t="inlineStr">
        <is>
          <t>碧玉刀</t>
        </is>
      </c>
      <c r="D135" s="3" t="n">
        <v>16000</v>
      </c>
      <c r="E135" s="3" t="n">
        <v>150</v>
      </c>
      <c r="F135" s="3" t="n">
        <v>0</v>
      </c>
      <c r="G135" s="3" t="n">
        <v>0</v>
      </c>
      <c r="H135" s="3" t="n">
        <v>48</v>
      </c>
      <c r="I135" s="3" t="n">
        <v>0</v>
      </c>
      <c r="J135" s="3" t="n">
        <v>20</v>
      </c>
      <c r="K135" s="3" t="n">
        <v>0</v>
      </c>
      <c r="L135" s="3" t="n">
        <v>13</v>
      </c>
      <c r="M135" s="6">
        <f>F135/54+G135+H135+I135+J135+L135*1.2+K135/2</f>
        <v>83.6</v>
      </c>
      <c r="N135" s="3" t="inlineStr">
        <is>
          <t>无</t>
        </is>
      </c>
      <c r="O135" s="3" t="inlineStr">
        <is>
          <t>无</t>
        </is>
      </c>
      <c r="P135" s="3" t="inlineStr">
        <is>
          <t>purple</t>
        </is>
      </c>
      <c r="Q135" s="3" t="inlineStr">
        <is>
          <t>史诗/紫</t>
        </is>
      </c>
      <c r="R135" s="3" t="inlineStr">
        <is>
          <t>武器</t>
        </is>
      </c>
      <c r="S135" s="3" t="inlineStr">
        <is>
          <t>武器</t>
        </is>
      </c>
      <c r="T135" s="3" t="inlineStr">
        <is>
          <t>刀柄以碧玉雕成，据传是某位富家公子的佩刀。</t>
        </is>
      </c>
      <c r="U135" s="3" t="inlineStr">
        <is>
          <t>是</t>
        </is>
      </c>
      <c r="V135" s="3" t="inlineStr">
        <is>
          <t>否</t>
        </is>
      </c>
      <c r="W135" s="3" t="inlineStr">
        <is>
          <t>equip_biyudao.png</t>
        </is>
      </c>
      <c r="X135" s="3" t="inlineStr"/>
      <c r="Y135" s="3" t="inlineStr">
        <is>
          <t>equip_weapon</t>
        </is>
      </c>
      <c r="Z135" s="3" t="inlineStr"/>
      <c r="AA135" s="3" t="inlineStr">
        <is>
          <t>无</t>
        </is>
      </c>
      <c r="AB135" s="3" t="inlineStr">
        <is>
          <t>否</t>
        </is>
      </c>
      <c r="AC135" s="3" t="inlineStr">
        <is>
          <t>否</t>
        </is>
      </c>
      <c r="AD135" s="3" t="inlineStr"/>
      <c r="AE135" s="3" t="inlineStr">
        <is>
          <t>任务宝箱装备；竞技场随机兑换</t>
        </is>
      </c>
      <c r="AF135" s="3" t="inlineStr">
        <is>
          <t>{"force":48,"agility":20,"luck":13}</t>
        </is>
      </c>
      <c r="AG135" s="3" t="inlineStr">
        <is>
          <t>data/item_templates.yaml:L5672</t>
        </is>
      </c>
    </row>
    <row r="136" hidden="1">
      <c r="A136" s="3" t="n">
        <v>135</v>
      </c>
      <c r="B136" s="3" t="inlineStr">
        <is>
          <t>equip_duomingfeidao</t>
        </is>
      </c>
      <c r="C136" s="3" t="inlineStr">
        <is>
          <t>夺命飞刀</t>
        </is>
      </c>
      <c r="D136" s="3" t="n">
        <v>16000</v>
      </c>
      <c r="E136" s="3" t="n">
        <v>150</v>
      </c>
      <c r="F136" s="3" t="n">
        <v>0</v>
      </c>
      <c r="G136" s="3" t="n">
        <v>0</v>
      </c>
      <c r="H136" s="3" t="n">
        <v>38</v>
      </c>
      <c r="I136" s="3" t="n">
        <v>0</v>
      </c>
      <c r="J136" s="3" t="n">
        <v>27</v>
      </c>
      <c r="K136" s="3" t="n">
        <v>0</v>
      </c>
      <c r="L136" s="3" t="n">
        <v>16</v>
      </c>
      <c r="M136" s="6">
        <f>F136/54+G136+H136+I136+J136+L136*1.2+K136/2</f>
        <v>84.2</v>
      </c>
      <c r="N136" s="3" t="inlineStr">
        <is>
          <t>无</t>
        </is>
      </c>
      <c r="O136" s="3" t="inlineStr">
        <is>
          <t>无</t>
        </is>
      </c>
      <c r="P136" s="3" t="inlineStr">
        <is>
          <t>purple</t>
        </is>
      </c>
      <c r="Q136" s="3" t="inlineStr">
        <is>
          <t>史诗/紫</t>
        </is>
      </c>
      <c r="R136" s="3" t="inlineStr">
        <is>
          <t>武器</t>
        </is>
      </c>
      <c r="S136" s="3" t="inlineStr">
        <is>
          <t>武器</t>
        </is>
      </c>
      <c r="T136" s="3" t="inlineStr">
        <is>
          <t>江湖传说中的夺命暗器，据说出自"飞刀门"的独门铸造。</t>
        </is>
      </c>
      <c r="U136" s="3" t="inlineStr">
        <is>
          <t>是</t>
        </is>
      </c>
      <c r="V136" s="3" t="inlineStr">
        <is>
          <t>否</t>
        </is>
      </c>
      <c r="W136" s="3" t="inlineStr">
        <is>
          <t>equip_duomingfeidao.png</t>
        </is>
      </c>
      <c r="X136" s="3" t="inlineStr"/>
      <c r="Y136" s="3" t="inlineStr">
        <is>
          <t>equip_weapon</t>
        </is>
      </c>
      <c r="Z136" s="3" t="inlineStr"/>
      <c r="AA136" s="3" t="inlineStr">
        <is>
          <t>无</t>
        </is>
      </c>
      <c r="AB136" s="3" t="inlineStr">
        <is>
          <t>否</t>
        </is>
      </c>
      <c r="AC136" s="3" t="inlineStr">
        <is>
          <t>否</t>
        </is>
      </c>
      <c r="AD136" s="3" t="inlineStr"/>
      <c r="AE136" s="3" t="inlineStr">
        <is>
          <t>竞技场随机兑换</t>
        </is>
      </c>
      <c r="AF136" s="3" t="inlineStr">
        <is>
          <t>{"force":38,"agility":27,"luck":16}</t>
        </is>
      </c>
      <c r="AG136" s="3" t="inlineStr">
        <is>
          <t>data/item_templates.yaml:L5559</t>
        </is>
      </c>
    </row>
    <row r="137" hidden="1">
      <c r="A137" s="3" t="n">
        <v>136</v>
      </c>
      <c r="B137" s="3" t="inlineStr">
        <is>
          <t>equip_duoqinghuan</t>
        </is>
      </c>
      <c r="C137" s="3" t="inlineStr">
        <is>
          <t>多情环</t>
        </is>
      </c>
      <c r="D137" s="3" t="n">
        <v>16000</v>
      </c>
      <c r="E137" s="3" t="n">
        <v>150</v>
      </c>
      <c r="F137" s="3" t="n">
        <v>96</v>
      </c>
      <c r="G137" s="3" t="n">
        <v>0</v>
      </c>
      <c r="H137" s="3" t="n">
        <v>40</v>
      </c>
      <c r="I137" s="3" t="n">
        <v>26</v>
      </c>
      <c r="J137" s="3" t="n">
        <v>0</v>
      </c>
      <c r="K137" s="3" t="n">
        <v>0</v>
      </c>
      <c r="L137" s="3" t="n">
        <v>12</v>
      </c>
      <c r="M137" s="6">
        <f>F137/54+G137+H137+I137+J137+L137*1.2+K137/2</f>
        <v>82.17777777777778</v>
      </c>
      <c r="N137" s="3" t="inlineStr">
        <is>
          <t>无</t>
        </is>
      </c>
      <c r="O137" s="3" t="inlineStr">
        <is>
          <t>无</t>
        </is>
      </c>
      <c r="P137" s="3" t="inlineStr">
        <is>
          <t>purple</t>
        </is>
      </c>
      <c r="Q137" s="3" t="inlineStr">
        <is>
          <t>史诗/紫</t>
        </is>
      </c>
      <c r="R137" s="3" t="inlineStr">
        <is>
          <t>武器</t>
        </is>
      </c>
      <c r="S137" s="3" t="inlineStr">
        <is>
          <t>武器</t>
        </is>
      </c>
      <c r="T137" s="3" t="inlineStr">
        <is>
          <t>环环相扣的奇门兵器，据传是某位痴情剑客的遗物。</t>
        </is>
      </c>
      <c r="U137" s="3" t="inlineStr">
        <is>
          <t>是</t>
        </is>
      </c>
      <c r="V137" s="3" t="inlineStr">
        <is>
          <t>否</t>
        </is>
      </c>
      <c r="W137" s="3" t="inlineStr">
        <is>
          <t>equip_duoqinghuan.png</t>
        </is>
      </c>
      <c r="X137" s="3" t="inlineStr"/>
      <c r="Y137" s="3" t="inlineStr">
        <is>
          <t>equip_weapon</t>
        </is>
      </c>
      <c r="Z137" s="3" t="inlineStr"/>
      <c r="AA137" s="3" t="inlineStr">
        <is>
          <t>无</t>
        </is>
      </c>
      <c r="AB137" s="3" t="inlineStr">
        <is>
          <t>否</t>
        </is>
      </c>
      <c r="AC137" s="3" t="inlineStr">
        <is>
          <t>否</t>
        </is>
      </c>
      <c r="AD137" s="3" t="inlineStr"/>
      <c r="AE137" s="3" t="inlineStr">
        <is>
          <t>任务宝箱装备；竞技场随机兑换</t>
        </is>
      </c>
      <c r="AF137" s="3" t="inlineStr">
        <is>
          <t>{"hp":96,"force":40,"intellect":26,"luck":12}</t>
        </is>
      </c>
      <c r="AG137" s="3" t="inlineStr">
        <is>
          <t>data/item_templates.yaml:L5700</t>
        </is>
      </c>
    </row>
    <row r="138" hidden="1">
      <c r="A138" s="3" t="n">
        <v>137</v>
      </c>
      <c r="B138" s="3" t="inlineStr">
        <is>
          <t>equip_fenglingshan</t>
        </is>
      </c>
      <c r="C138" s="3" t="inlineStr">
        <is>
          <t>凤翎扇</t>
        </is>
      </c>
      <c r="D138" s="3" t="n">
        <v>16000</v>
      </c>
      <c r="E138" s="3" t="n">
        <v>150</v>
      </c>
      <c r="F138" s="3" t="n">
        <v>0</v>
      </c>
      <c r="G138" s="3" t="n">
        <v>0</v>
      </c>
      <c r="H138" s="3" t="n">
        <v>15</v>
      </c>
      <c r="I138" s="3" t="n">
        <v>45</v>
      </c>
      <c r="J138" s="3" t="n">
        <v>0</v>
      </c>
      <c r="K138" s="3" t="n">
        <v>0</v>
      </c>
      <c r="L138" s="3" t="n">
        <v>20</v>
      </c>
      <c r="M138" s="6">
        <f>F138/54+G138+H138+I138+J138+L138*1.2+K138/2</f>
        <v>84.0</v>
      </c>
      <c r="N138" s="3" t="inlineStr">
        <is>
          <t>凤翎套装</t>
        </is>
      </c>
      <c r="O138" s="3" t="inlineStr">
        <is>
          <t>凤翎套装3件: 智力+60、运势+30</t>
        </is>
      </c>
      <c r="P138" s="3" t="inlineStr">
        <is>
          <t>purple</t>
        </is>
      </c>
      <c r="Q138" s="3" t="inlineStr">
        <is>
          <t>史诗/紫</t>
        </is>
      </c>
      <c r="R138" s="3" t="inlineStr">
        <is>
          <t>武器</t>
        </is>
      </c>
      <c r="S138" s="3" t="inlineStr">
        <is>
          <t>武器</t>
        </is>
      </c>
      <c r="T138" s="3" t="inlineStr">
        <is>
          <t>以凤凰翎羽装饰的雅扇，传说是某位宫廷术士的遗物。</t>
        </is>
      </c>
      <c r="U138" s="3" t="inlineStr">
        <is>
          <t>是</t>
        </is>
      </c>
      <c r="V138" s="3" t="inlineStr">
        <is>
          <t>否</t>
        </is>
      </c>
      <c r="W138" s="3" t="inlineStr">
        <is>
          <t>fenglingshan.png</t>
        </is>
      </c>
      <c r="X138" s="3" t="inlineStr"/>
      <c r="Y138" s="3" t="inlineStr">
        <is>
          <t>equip_weapon</t>
        </is>
      </c>
      <c r="Z138" s="3" t="inlineStr">
        <is>
          <t>fengling_set</t>
        </is>
      </c>
      <c r="AA138" s="3" t="inlineStr">
        <is>
          <t>无</t>
        </is>
      </c>
      <c r="AB138" s="3" t="inlineStr">
        <is>
          <t>否</t>
        </is>
      </c>
      <c r="AC138" s="3" t="inlineStr">
        <is>
          <t>是</t>
        </is>
      </c>
      <c r="AD138" s="3" t="inlineStr">
        <is>
          <t>blueprint_fenglingshan</t>
        </is>
      </c>
      <c r="AE138" s="3" t="inlineStr">
        <is>
          <t>图纸合成（竞技场随机图纸兑换）</t>
        </is>
      </c>
      <c r="AF138" s="3" t="inlineStr">
        <is>
          <t>{"force":15,"intellect":45,"luck":20,"set_key":"fengling_set","set_description":"凤翎套装","set_bonus":{"pieces":3,"bonus":{"intellect":60,"luck":30}}}</t>
        </is>
      </c>
      <c r="AG138" s="3" t="inlineStr">
        <is>
          <t>data/item_templates.yaml:L5439</t>
        </is>
      </c>
    </row>
    <row r="139" hidden="1">
      <c r="A139" s="3" t="n">
        <v>138</v>
      </c>
      <c r="B139" s="3" t="inlineStr">
        <is>
          <t>equip_huxianjian</t>
        </is>
      </c>
      <c r="C139" s="3" t="inlineStr">
        <is>
          <t>狐仙剑</t>
        </is>
      </c>
      <c r="D139" s="3" t="n">
        <v>16000</v>
      </c>
      <c r="E139" s="3" t="n">
        <v>150</v>
      </c>
      <c r="F139" s="3" t="n">
        <v>0</v>
      </c>
      <c r="G139" s="3" t="n">
        <v>0</v>
      </c>
      <c r="H139" s="3" t="n">
        <v>41</v>
      </c>
      <c r="I139" s="3" t="n">
        <v>27</v>
      </c>
      <c r="J139" s="3" t="n">
        <v>0</v>
      </c>
      <c r="K139" s="3" t="n">
        <v>0</v>
      </c>
      <c r="L139" s="3" t="n">
        <v>5</v>
      </c>
      <c r="M139" s="6">
        <f>F139/54+G139+H139+I139+J139+L139*1.2+K139/2</f>
        <v>74.0</v>
      </c>
      <c r="N139" s="3" t="inlineStr">
        <is>
          <t>狐仙套装</t>
        </is>
      </c>
      <c r="O139" s="3" t="inlineStr">
        <is>
          <t>狐仙套装3件: 生命+280、智力+64、运势+18</t>
        </is>
      </c>
      <c r="P139" s="3" t="inlineStr">
        <is>
          <t>purple</t>
        </is>
      </c>
      <c r="Q139" s="3" t="inlineStr">
        <is>
          <t>史诗/紫</t>
        </is>
      </c>
      <c r="R139" s="3" t="inlineStr">
        <is>
          <t>武器</t>
        </is>
      </c>
      <c r="S139" s="3" t="inlineStr">
        <is>
          <t>武器</t>
        </is>
      </c>
      <c r="T139" s="3" t="inlineStr">
        <is>
          <t>相传是涂山狐族遗落人间的宝剑，剑身隐有狐影流转。</t>
        </is>
      </c>
      <c r="U139" s="3" t="inlineStr">
        <is>
          <t>是</t>
        </is>
      </c>
      <c r="V139" s="3" t="inlineStr">
        <is>
          <t>否</t>
        </is>
      </c>
      <c r="W139" s="3" t="inlineStr">
        <is>
          <t>equip_huxianjian.png</t>
        </is>
      </c>
      <c r="X139" s="3" t="inlineStr"/>
      <c r="Y139" s="3" t="inlineStr">
        <is>
          <t>equip_weapon</t>
        </is>
      </c>
      <c r="Z139" s="3" t="inlineStr">
        <is>
          <t>huxian_set</t>
        </is>
      </c>
      <c r="AA139" s="3" t="inlineStr">
        <is>
          <t>无</t>
        </is>
      </c>
      <c r="AB139" s="3" t="inlineStr">
        <is>
          <t>否</t>
        </is>
      </c>
      <c r="AC139" s="3" t="inlineStr">
        <is>
          <t>是</t>
        </is>
      </c>
      <c r="AD139" s="3" t="inlineStr">
        <is>
          <t>blueprint_huxianjian</t>
        </is>
      </c>
      <c r="AE139" s="3" t="inlineStr">
        <is>
          <t>图纸合成（任务宝箱）；图纸合成（竞技场随机图纸兑换）；宝箱随机装备</t>
        </is>
      </c>
      <c r="AF139" s="3" t="inlineStr">
        <is>
          <t>{"force":41,"intellect":27,"luck":5,"set_key":"huxian_set","set_description":"狐仙套装","set_bonus":{"pieces":3,"bonus":{"hp":280,"intellect":64,"luck":18}}}</t>
        </is>
      </c>
      <c r="AG139" s="3" t="inlineStr">
        <is>
          <t>data/item_templates.yaml:L5361</t>
        </is>
      </c>
    </row>
    <row r="140" hidden="1">
      <c r="A140" s="3" t="n">
        <v>139</v>
      </c>
      <c r="B140" s="3" t="inlineStr">
        <is>
          <t>equip_jinlun</t>
        </is>
      </c>
      <c r="C140" s="3" t="inlineStr">
        <is>
          <t>金轮</t>
        </is>
      </c>
      <c r="D140" s="3" t="n">
        <v>16000</v>
      </c>
      <c r="E140" s="3" t="n">
        <v>150</v>
      </c>
      <c r="F140" s="3" t="n">
        <v>280</v>
      </c>
      <c r="G140" s="3" t="n">
        <v>8</v>
      </c>
      <c r="H140" s="3" t="n">
        <v>69</v>
      </c>
      <c r="I140" s="3" t="n">
        <v>0</v>
      </c>
      <c r="J140" s="3" t="n">
        <v>0</v>
      </c>
      <c r="K140" s="3" t="n">
        <v>0</v>
      </c>
      <c r="L140" s="3" t="n">
        <v>0</v>
      </c>
      <c r="M140" s="6">
        <f>F140/54+G140+H140+I140+J140+L140*1.2+K140/2</f>
        <v>82.18518518518519</v>
      </c>
      <c r="N140" s="3" t="inlineStr">
        <is>
          <t>无</t>
        </is>
      </c>
      <c r="O140" s="3" t="inlineStr">
        <is>
          <t>无</t>
        </is>
      </c>
      <c r="P140" s="3" t="inlineStr">
        <is>
          <t>purple</t>
        </is>
      </c>
      <c r="Q140" s="3" t="inlineStr">
        <is>
          <t>史诗/紫</t>
        </is>
      </c>
      <c r="R140" s="3" t="inlineStr">
        <is>
          <t>武器</t>
        </is>
      </c>
      <c r="S140" s="3" t="inlineStr">
        <is>
          <t>武器</t>
        </is>
      </c>
      <c r="T140" s="3" t="inlineStr">
        <is>
          <t>以黄金铸成的法轮，据传源自西域密宗高僧的法器。</t>
        </is>
      </c>
      <c r="U140" s="3" t="inlineStr">
        <is>
          <t>是</t>
        </is>
      </c>
      <c r="V140" s="3" t="inlineStr">
        <is>
          <t>否</t>
        </is>
      </c>
      <c r="W140" s="3" t="inlineStr">
        <is>
          <t>equip_jinlun.png</t>
        </is>
      </c>
      <c r="X140" s="3" t="inlineStr"/>
      <c r="Y140" s="3" t="inlineStr">
        <is>
          <t>equip_weapon</t>
        </is>
      </c>
      <c r="Z140" s="3" t="inlineStr"/>
      <c r="AA140" s="3" t="inlineStr">
        <is>
          <t>无</t>
        </is>
      </c>
      <c r="AB140" s="3" t="inlineStr">
        <is>
          <t>否</t>
        </is>
      </c>
      <c r="AC140" s="3" t="inlineStr">
        <is>
          <t>否</t>
        </is>
      </c>
      <c r="AD140" s="3" t="inlineStr"/>
      <c r="AE140" s="3" t="inlineStr">
        <is>
          <t>任务宝箱装备</t>
        </is>
      </c>
      <c r="AF140" s="3" t="inlineStr">
        <is>
          <t>{"hp":280,"defense":8,"force":69}</t>
        </is>
      </c>
      <c r="AG140" s="3" t="inlineStr">
        <is>
          <t>data/item_templates.yaml:L5602</t>
        </is>
      </c>
    </row>
    <row r="141" hidden="1">
      <c r="A141" s="3" t="n">
        <v>140</v>
      </c>
      <c r="B141" s="3" t="inlineStr">
        <is>
          <t>equip_jinshejian</t>
        </is>
      </c>
      <c r="C141" s="3" t="inlineStr">
        <is>
          <t>金蛇剑</t>
        </is>
      </c>
      <c r="D141" s="3" t="n">
        <v>16000</v>
      </c>
      <c r="E141" s="3" t="n">
        <v>150</v>
      </c>
      <c r="F141" s="3" t="n">
        <v>0</v>
      </c>
      <c r="G141" s="3" t="n">
        <v>0</v>
      </c>
      <c r="H141" s="3" t="n">
        <v>45</v>
      </c>
      <c r="I141" s="3" t="n">
        <v>0</v>
      </c>
      <c r="J141" s="3" t="n">
        <v>20</v>
      </c>
      <c r="K141" s="3" t="n">
        <v>0</v>
      </c>
      <c r="L141" s="3" t="n">
        <v>15</v>
      </c>
      <c r="M141" s="6">
        <f>F141/54+G141+H141+I141+J141+L141*1.2+K141/2</f>
        <v>83.0</v>
      </c>
      <c r="N141" s="3" t="inlineStr">
        <is>
          <t>无</t>
        </is>
      </c>
      <c r="O141" s="3" t="inlineStr">
        <is>
          <t>无</t>
        </is>
      </c>
      <c r="P141" s="3" t="inlineStr">
        <is>
          <t>purple</t>
        </is>
      </c>
      <c r="Q141" s="3" t="inlineStr">
        <is>
          <t>史诗/紫</t>
        </is>
      </c>
      <c r="R141" s="3" t="inlineStr">
        <is>
          <t>武器</t>
        </is>
      </c>
      <c r="S141" s="3" t="inlineStr">
        <is>
          <t>武器</t>
        </is>
      </c>
      <c r="T141" s="3" t="inlineStr">
        <is>
          <t>剑身如蛇般柔韧，传说是以千年金蛇筋骨铸成。</t>
        </is>
      </c>
      <c r="U141" s="3" t="inlineStr">
        <is>
          <t>是</t>
        </is>
      </c>
      <c r="V141" s="3" t="inlineStr">
        <is>
          <t>否</t>
        </is>
      </c>
      <c r="W141" s="3" t="inlineStr">
        <is>
          <t>equip_jinshejian.png</t>
        </is>
      </c>
      <c r="X141" s="3" t="inlineStr"/>
      <c r="Y141" s="3" t="inlineStr">
        <is>
          <t>equip_weapon</t>
        </is>
      </c>
      <c r="Z141" s="3" t="inlineStr"/>
      <c r="AA141" s="3" t="inlineStr">
        <is>
          <t>无</t>
        </is>
      </c>
      <c r="AB141" s="3" t="inlineStr">
        <is>
          <t>否</t>
        </is>
      </c>
      <c r="AC141" s="3" t="inlineStr">
        <is>
          <t>否</t>
        </is>
      </c>
      <c r="AD141" s="3" t="inlineStr"/>
      <c r="AE141" s="3" t="inlineStr">
        <is>
          <t>任务宝箱装备；竞技场随机兑换</t>
        </is>
      </c>
      <c r="AF141" s="3" t="inlineStr">
        <is>
          <t>{"force":45,"agility":20,"luck":15}</t>
        </is>
      </c>
      <c r="AG141" s="3" t="inlineStr">
        <is>
          <t>data/item_templates.yaml:L5545</t>
        </is>
      </c>
    </row>
    <row r="142" hidden="1">
      <c r="A142" s="3" t="n">
        <v>141</v>
      </c>
      <c r="B142" s="3" t="inlineStr">
        <is>
          <t>equip_jinshezui</t>
        </is>
      </c>
      <c r="C142" s="3" t="inlineStr">
        <is>
          <t>金蛇锥</t>
        </is>
      </c>
      <c r="D142" s="3" t="n">
        <v>16000</v>
      </c>
      <c r="E142" s="3" t="n">
        <v>150</v>
      </c>
      <c r="F142" s="3" t="n">
        <v>0</v>
      </c>
      <c r="G142" s="3" t="n">
        <v>0</v>
      </c>
      <c r="H142" s="3" t="n">
        <v>43</v>
      </c>
      <c r="I142" s="3" t="n">
        <v>0</v>
      </c>
      <c r="J142" s="3" t="n">
        <v>27</v>
      </c>
      <c r="K142" s="3" t="n">
        <v>0</v>
      </c>
      <c r="L142" s="3" t="n">
        <v>12</v>
      </c>
      <c r="M142" s="6">
        <f>F142/54+G142+H142+I142+J142+L142*1.2+K142/2</f>
        <v>84.4</v>
      </c>
      <c r="N142" s="3" t="inlineStr">
        <is>
          <t>无</t>
        </is>
      </c>
      <c r="O142" s="3" t="inlineStr">
        <is>
          <t>无</t>
        </is>
      </c>
      <c r="P142" s="3" t="inlineStr">
        <is>
          <t>purple</t>
        </is>
      </c>
      <c r="Q142" s="3" t="inlineStr">
        <is>
          <t>史诗/紫</t>
        </is>
      </c>
      <c r="R142" s="3" t="inlineStr">
        <is>
          <t>武器</t>
        </is>
      </c>
      <c r="S142" s="3" t="inlineStr">
        <is>
          <t>武器</t>
        </is>
      </c>
      <c r="T142" s="3" t="inlineStr">
        <is>
          <t>锥身如蛇盘绕，是西域某刺客组织的标志性暗器。</t>
        </is>
      </c>
      <c r="U142" s="3" t="inlineStr">
        <is>
          <t>是</t>
        </is>
      </c>
      <c r="V142" s="3" t="inlineStr">
        <is>
          <t>否</t>
        </is>
      </c>
      <c r="W142" s="3" t="inlineStr">
        <is>
          <t>equip_jinshezui.png</t>
        </is>
      </c>
      <c r="X142" s="3" t="inlineStr"/>
      <c r="Y142" s="3" t="inlineStr">
        <is>
          <t>equip_weapon</t>
        </is>
      </c>
      <c r="Z142" s="3" t="inlineStr"/>
      <c r="AA142" s="3" t="inlineStr">
        <is>
          <t>无</t>
        </is>
      </c>
      <c r="AB142" s="3" t="inlineStr">
        <is>
          <t>否</t>
        </is>
      </c>
      <c r="AC142" s="3" t="inlineStr">
        <is>
          <t>否</t>
        </is>
      </c>
      <c r="AD142" s="3" t="inlineStr"/>
      <c r="AE142" s="3" t="inlineStr">
        <is>
          <t>任务宝箱装备</t>
        </is>
      </c>
      <c r="AF142" s="3" t="inlineStr">
        <is>
          <t>{"force":43,"agility":27,"luck":12}</t>
        </is>
      </c>
      <c r="AG142" s="3" t="inlineStr">
        <is>
          <t>data/item_templates.yaml:L5644</t>
        </is>
      </c>
    </row>
    <row r="143" hidden="1">
      <c r="A143" s="3" t="n">
        <v>142</v>
      </c>
      <c r="B143" s="3" t="inlineStr">
        <is>
          <t>equip_libiegou</t>
        </is>
      </c>
      <c r="C143" s="3" t="inlineStr">
        <is>
          <t>离别钩</t>
        </is>
      </c>
      <c r="D143" s="3" t="n">
        <v>16000</v>
      </c>
      <c r="E143" s="3" t="n">
        <v>150</v>
      </c>
      <c r="F143" s="3" t="n">
        <v>0</v>
      </c>
      <c r="G143" s="3" t="n">
        <v>0</v>
      </c>
      <c r="H143" s="3" t="n">
        <v>50</v>
      </c>
      <c r="I143" s="3" t="n">
        <v>0</v>
      </c>
      <c r="J143" s="3" t="n">
        <v>17</v>
      </c>
      <c r="K143" s="3" t="n">
        <v>0</v>
      </c>
      <c r="L143" s="3" t="n">
        <v>13</v>
      </c>
      <c r="M143" s="6">
        <f>F143/54+G143+H143+I143+J143+L143*1.2+K143/2</f>
        <v>82.6</v>
      </c>
      <c r="N143" s="3" t="inlineStr">
        <is>
          <t>无</t>
        </is>
      </c>
      <c r="O143" s="3" t="inlineStr">
        <is>
          <t>无</t>
        </is>
      </c>
      <c r="P143" s="3" t="inlineStr">
        <is>
          <t>purple</t>
        </is>
      </c>
      <c r="Q143" s="3" t="inlineStr">
        <is>
          <t>史诗/紫</t>
        </is>
      </c>
      <c r="R143" s="3" t="inlineStr">
        <is>
          <t>武器</t>
        </is>
      </c>
      <c r="S143" s="3" t="inlineStr">
        <is>
          <t>武器</t>
        </is>
      </c>
      <c r="T143" s="3" t="inlineStr">
        <is>
          <t>钩刃形如弯月，传说是某位浪子临别时所铸，寄托离情。</t>
        </is>
      </c>
      <c r="U143" s="3" t="inlineStr">
        <is>
          <t>是</t>
        </is>
      </c>
      <c r="V143" s="3" t="inlineStr">
        <is>
          <t>否</t>
        </is>
      </c>
      <c r="W143" s="3" t="inlineStr">
        <is>
          <t>equip_libiegou.png</t>
        </is>
      </c>
      <c r="X143" s="3" t="inlineStr"/>
      <c r="Y143" s="3" t="inlineStr">
        <is>
          <t>equip_weapon</t>
        </is>
      </c>
      <c r="Z143" s="3" t="inlineStr"/>
      <c r="AA143" s="3" t="inlineStr">
        <is>
          <t>无</t>
        </is>
      </c>
      <c r="AB143" s="3" t="inlineStr">
        <is>
          <t>否</t>
        </is>
      </c>
      <c r="AC143" s="3" t="inlineStr">
        <is>
          <t>否</t>
        </is>
      </c>
      <c r="AD143" s="3" t="inlineStr"/>
      <c r="AE143" s="3" t="inlineStr">
        <is>
          <t>任务宝箱装备；竞技场随机兑换</t>
        </is>
      </c>
      <c r="AF143" s="3" t="inlineStr">
        <is>
          <t>{"force":50,"agility":17,"luck":13}</t>
        </is>
      </c>
      <c r="AG143" s="3" t="inlineStr">
        <is>
          <t>data/item_templates.yaml:L5686</t>
        </is>
      </c>
    </row>
    <row r="144" hidden="1">
      <c r="A144" s="3" t="n">
        <v>143</v>
      </c>
      <c r="B144" s="3" t="inlineStr">
        <is>
          <t>equip_pojunji</t>
        </is>
      </c>
      <c r="C144" s="3" t="inlineStr">
        <is>
          <t>破军戟</t>
        </is>
      </c>
      <c r="D144" s="3" t="n">
        <v>16000</v>
      </c>
      <c r="E144" s="3" t="n">
        <v>150</v>
      </c>
      <c r="F144" s="3" t="n">
        <v>214</v>
      </c>
      <c r="G144" s="3" t="n">
        <v>0</v>
      </c>
      <c r="H144" s="3" t="n">
        <v>50</v>
      </c>
      <c r="I144" s="3" t="n">
        <v>0</v>
      </c>
      <c r="J144" s="3" t="n">
        <v>12</v>
      </c>
      <c r="K144" s="3" t="n">
        <v>34</v>
      </c>
      <c r="L144" s="3" t="n">
        <v>0</v>
      </c>
      <c r="M144" s="6">
        <f>F144/54+G144+H144+I144+J144+L144*1.2+K144/2</f>
        <v>82.96296296296296</v>
      </c>
      <c r="N144" s="3" t="inlineStr">
        <is>
          <t>无</t>
        </is>
      </c>
      <c r="O144" s="3" t="inlineStr">
        <is>
          <t>无</t>
        </is>
      </c>
      <c r="P144" s="3" t="inlineStr">
        <is>
          <t>purple</t>
        </is>
      </c>
      <c r="Q144" s="3" t="inlineStr">
        <is>
          <t>史诗/紫</t>
        </is>
      </c>
      <c r="R144" s="3" t="inlineStr">
        <is>
          <t>武器</t>
        </is>
      </c>
      <c r="S144" s="3" t="inlineStr">
        <is>
          <t>武器</t>
        </is>
      </c>
      <c r="T144" s="3" t="inlineStr">
        <is>
          <t>以破军星位锻造的神戟，据传戴者必成一方悍将。</t>
        </is>
      </c>
      <c r="U144" s="3" t="inlineStr">
        <is>
          <t>是</t>
        </is>
      </c>
      <c r="V144" s="3" t="inlineStr">
        <is>
          <t>否</t>
        </is>
      </c>
      <c r="W144" s="3" t="inlineStr">
        <is>
          <t>pojunji.png</t>
        </is>
      </c>
      <c r="X144" s="3" t="inlineStr"/>
      <c r="Y144" s="3" t="inlineStr">
        <is>
          <t>equip_weapon</t>
        </is>
      </c>
      <c r="Z144" s="3" t="inlineStr"/>
      <c r="AA144" s="3" t="inlineStr">
        <is>
          <t>无</t>
        </is>
      </c>
      <c r="AB144" s="3" t="inlineStr">
        <is>
          <t>否</t>
        </is>
      </c>
      <c r="AC144" s="3" t="inlineStr">
        <is>
          <t>否</t>
        </is>
      </c>
      <c r="AD144" s="3" t="inlineStr"/>
      <c r="AE144" s="3" t="inlineStr">
        <is>
          <t>任务宝箱装备</t>
        </is>
      </c>
      <c r="AF144" s="3" t="inlineStr">
        <is>
          <t>{"hp":214,"force":50,"agility":12,"troop_capacity":34}</t>
        </is>
      </c>
      <c r="AG144" s="3" t="inlineStr">
        <is>
          <t>data/item_templates.yaml:L5516</t>
        </is>
      </c>
    </row>
    <row r="145" hidden="1">
      <c r="A145" s="3" t="n">
        <v>144</v>
      </c>
      <c r="B145" s="3" t="inlineStr">
        <is>
          <t>equip_qilindao</t>
        </is>
      </c>
      <c r="C145" s="3" t="inlineStr">
        <is>
          <t>麒麟刀</t>
        </is>
      </c>
      <c r="D145" s="3" t="n">
        <v>16000</v>
      </c>
      <c r="E145" s="3" t="n">
        <v>150</v>
      </c>
      <c r="F145" s="3" t="n">
        <v>211</v>
      </c>
      <c r="G145" s="3" t="n">
        <v>0</v>
      </c>
      <c r="H145" s="3" t="n">
        <v>70</v>
      </c>
      <c r="I145" s="3" t="n">
        <v>0</v>
      </c>
      <c r="J145" s="3" t="n">
        <v>0</v>
      </c>
      <c r="K145" s="3" t="n">
        <v>0</v>
      </c>
      <c r="L145" s="3" t="n">
        <v>0</v>
      </c>
      <c r="M145" s="6">
        <f>F145/54+G145+H145+I145+J145+L145*1.2+K145/2</f>
        <v>73.9074074074074</v>
      </c>
      <c r="N145" s="3" t="inlineStr">
        <is>
          <t>麒麟套装</t>
        </is>
      </c>
      <c r="O145" s="3" t="inlineStr">
        <is>
          <t>麒麟套装4件: 生命+420、武力+38、敏捷+18、运势+30</t>
        </is>
      </c>
      <c r="P145" s="3" t="inlineStr">
        <is>
          <t>purple</t>
        </is>
      </c>
      <c r="Q145" s="3" t="inlineStr">
        <is>
          <t>史诗/紫</t>
        </is>
      </c>
      <c r="R145" s="3" t="inlineStr">
        <is>
          <t>武器</t>
        </is>
      </c>
      <c r="S145" s="3" t="inlineStr">
        <is>
          <t>武器</t>
        </is>
      </c>
      <c r="T145" s="3" t="inlineStr">
        <is>
          <t>刀柄雕有麒麟头颅，是麒麟卫统领的佩刀。</t>
        </is>
      </c>
      <c r="U145" s="3" t="inlineStr">
        <is>
          <t>是</t>
        </is>
      </c>
      <c r="V145" s="3" t="inlineStr">
        <is>
          <t>否</t>
        </is>
      </c>
      <c r="W145" s="3" t="inlineStr">
        <is>
          <t>equip_qilindao.png</t>
        </is>
      </c>
      <c r="X145" s="3" t="inlineStr"/>
      <c r="Y145" s="3" t="inlineStr">
        <is>
          <t>equip_weapon</t>
        </is>
      </c>
      <c r="Z145" s="3" t="inlineStr">
        <is>
          <t>qilin_set</t>
        </is>
      </c>
      <c r="AA145" s="3" t="inlineStr">
        <is>
          <t>无</t>
        </is>
      </c>
      <c r="AB145" s="3" t="inlineStr">
        <is>
          <t>否</t>
        </is>
      </c>
      <c r="AC145" s="3" t="inlineStr">
        <is>
          <t>是</t>
        </is>
      </c>
      <c r="AD145" s="3" t="inlineStr">
        <is>
          <t>blueprint_qilindao</t>
        </is>
      </c>
      <c r="AE145" s="3" t="inlineStr">
        <is>
          <t>图纸合成（任务宝箱）；图纸合成（竞技场随机图纸兑换）；宝箱随机装备</t>
        </is>
      </c>
      <c r="AF145" s="3" t="inlineStr">
        <is>
          <t>{"hp":211,"force":70,"set_key":"qilin_set","set_description":"麒麟套装","set_bonus":{"pieces":4,"bonus":{"hp":420,"force":38,"agility":18,"luck":30}}}</t>
        </is>
      </c>
      <c r="AG145" s="3" t="inlineStr">
        <is>
          <t>data/item_templates.yaml:L5397</t>
        </is>
      </c>
    </row>
    <row r="146" hidden="1" ht="25.5" customHeight="1">
      <c r="A146" s="3" t="n">
        <v>145</v>
      </c>
      <c r="B146" s="3" t="inlineStr">
        <is>
          <t>equip_qixingjian</t>
        </is>
      </c>
      <c r="C146" s="3" t="inlineStr">
        <is>
          <t>七星剑</t>
        </is>
      </c>
      <c r="D146" s="3" t="n">
        <v>16000</v>
      </c>
      <c r="E146" s="3" t="n">
        <v>150</v>
      </c>
      <c r="F146" s="3" t="n">
        <v>0</v>
      </c>
      <c r="G146" s="3" t="n">
        <v>0</v>
      </c>
      <c r="H146" s="3" t="n">
        <v>47</v>
      </c>
      <c r="I146" s="3" t="n">
        <v>19</v>
      </c>
      <c r="J146" s="3" t="n">
        <v>16</v>
      </c>
      <c r="K146" s="3" t="n">
        <v>0</v>
      </c>
      <c r="L146" s="3" t="n">
        <v>0</v>
      </c>
      <c r="M146" s="6">
        <f>F146/54+G146+H146+I146+J146+L146*1.2+K146/2</f>
        <v>82.0</v>
      </c>
      <c r="N146" s="3" t="inlineStr">
        <is>
          <t>无</t>
        </is>
      </c>
      <c r="O146" s="3" t="inlineStr">
        <is>
          <t>无</t>
        </is>
      </c>
      <c r="P146" s="3" t="inlineStr">
        <is>
          <t>purple</t>
        </is>
      </c>
      <c r="Q146" s="3" t="inlineStr">
        <is>
          <t>史诗/紫</t>
        </is>
      </c>
      <c r="R146" s="3" t="inlineStr">
        <is>
          <t>武器</t>
        </is>
      </c>
      <c r="S146" s="3" t="inlineStr">
        <is>
          <t>武器</t>
        </is>
      </c>
      <c r="T146" s="3" t="inlineStr">
        <is>
          <t>剑身铸有北斗七星纹路，是道门镇压邪祟的法器。</t>
        </is>
      </c>
      <c r="U146" s="3" t="inlineStr">
        <is>
          <t>是</t>
        </is>
      </c>
      <c r="V146" s="3" t="inlineStr">
        <is>
          <t>否</t>
        </is>
      </c>
      <c r="W146" s="3" t="inlineStr">
        <is>
          <t>equip_qixingjian.png</t>
        </is>
      </c>
      <c r="X146" s="3" t="inlineStr"/>
      <c r="Y146" s="3" t="inlineStr">
        <is>
          <t>equip_weapon</t>
        </is>
      </c>
      <c r="Z146" s="3" t="inlineStr"/>
      <c r="AA146" s="3" t="inlineStr">
        <is>
          <t>无</t>
        </is>
      </c>
      <c r="AB146" s="3" t="inlineStr">
        <is>
          <t>否</t>
        </is>
      </c>
      <c r="AC146" s="3" t="inlineStr">
        <is>
          <t>否</t>
        </is>
      </c>
      <c r="AD146" s="3" t="inlineStr"/>
      <c r="AE146" s="3" t="inlineStr">
        <is>
          <t>任务宝箱装备；宝箱随机装备</t>
        </is>
      </c>
      <c r="AF146" s="3" t="inlineStr">
        <is>
          <t>{"force":47,"intellect":19,"agility":16}</t>
        </is>
      </c>
      <c r="AG146" s="3" t="inlineStr">
        <is>
          <t>data/item_templates.yaml:L5459</t>
        </is>
      </c>
    </row>
    <row r="147" hidden="1">
      <c r="A147" s="3" t="n">
        <v>146</v>
      </c>
      <c r="B147" s="3" t="inlineStr">
        <is>
          <t>equip_shuanghuagong</t>
        </is>
      </c>
      <c r="C147" s="3" t="inlineStr">
        <is>
          <t>霜华弓</t>
        </is>
      </c>
      <c r="D147" s="3" t="n">
        <v>16000</v>
      </c>
      <c r="E147" s="3" t="n">
        <v>150</v>
      </c>
      <c r="F147" s="3" t="n">
        <v>0</v>
      </c>
      <c r="G147" s="3" t="n">
        <v>0</v>
      </c>
      <c r="H147" s="3" t="n">
        <v>44</v>
      </c>
      <c r="I147" s="3" t="n">
        <v>0</v>
      </c>
      <c r="J147" s="3" t="n">
        <v>22</v>
      </c>
      <c r="K147" s="3" t="n">
        <v>0</v>
      </c>
      <c r="L147" s="3" t="n">
        <v>14</v>
      </c>
      <c r="M147" s="6">
        <f>F147/54+G147+H147+I147+J147+L147*1.2+K147/2</f>
        <v>82.8</v>
      </c>
      <c r="N147" s="3" t="inlineStr">
        <is>
          <t>无</t>
        </is>
      </c>
      <c r="O147" s="3" t="inlineStr">
        <is>
          <t>无</t>
        </is>
      </c>
      <c r="P147" s="3" t="inlineStr">
        <is>
          <t>purple</t>
        </is>
      </c>
      <c r="Q147" s="3" t="inlineStr">
        <is>
          <t>史诗/紫</t>
        </is>
      </c>
      <c r="R147" s="3" t="inlineStr">
        <is>
          <t>武器</t>
        </is>
      </c>
      <c r="S147" s="3" t="inlineStr">
        <is>
          <t>武器</t>
        </is>
      </c>
      <c r="T147" s="3" t="inlineStr">
        <is>
          <t>弓身覆有永不消融的霜华，据传出自上古冰神遗藏。</t>
        </is>
      </c>
      <c r="U147" s="3" t="inlineStr">
        <is>
          <t>是</t>
        </is>
      </c>
      <c r="V147" s="3" t="inlineStr">
        <is>
          <t>否</t>
        </is>
      </c>
      <c r="W147" s="3" t="inlineStr">
        <is>
          <t>equip_shuanghuagong.png</t>
        </is>
      </c>
      <c r="X147" s="3" t="inlineStr"/>
      <c r="Y147" s="3" t="inlineStr">
        <is>
          <t>equip_weapon</t>
        </is>
      </c>
      <c r="Z147" s="3" t="inlineStr"/>
      <c r="AA147" s="3" t="inlineStr">
        <is>
          <t>无</t>
        </is>
      </c>
      <c r="AB147" s="3" t="inlineStr">
        <is>
          <t>否</t>
        </is>
      </c>
      <c r="AC147" s="3" t="inlineStr">
        <is>
          <t>否</t>
        </is>
      </c>
      <c r="AD147" s="3" t="inlineStr"/>
      <c r="AE147" s="3" t="inlineStr">
        <is>
          <t>任务宝箱装备</t>
        </is>
      </c>
      <c r="AF147" s="3" t="inlineStr">
        <is>
          <t>{"force":44,"agility":22,"luck":14}</t>
        </is>
      </c>
      <c r="AG147" s="3" t="inlineStr">
        <is>
          <t>data/item_templates.yaml:L5531</t>
        </is>
      </c>
    </row>
    <row r="148" hidden="1">
      <c r="A148" s="3" t="n">
        <v>147</v>
      </c>
      <c r="B148" s="3" t="inlineStr">
        <is>
          <t>equip_tianjizhang</t>
        </is>
      </c>
      <c r="C148" s="3" t="inlineStr">
        <is>
          <t>天机杖</t>
        </is>
      </c>
      <c r="D148" s="3" t="n">
        <v>16000</v>
      </c>
      <c r="E148" s="3" t="n">
        <v>150</v>
      </c>
      <c r="F148" s="3" t="n">
        <v>187</v>
      </c>
      <c r="G148" s="3" t="n">
        <v>0</v>
      </c>
      <c r="H148" s="3" t="n">
        <v>41</v>
      </c>
      <c r="I148" s="3" t="n">
        <v>22</v>
      </c>
      <c r="J148" s="3" t="n">
        <v>0</v>
      </c>
      <c r="K148" s="3" t="n">
        <v>0</v>
      </c>
      <c r="L148" s="3" t="n">
        <v>15</v>
      </c>
      <c r="M148" s="6">
        <f>F148/54+G148+H148+I148+J148+L148*1.2+K148/2</f>
        <v>84.46296296296296</v>
      </c>
      <c r="N148" s="3" t="inlineStr">
        <is>
          <t>无</t>
        </is>
      </c>
      <c r="O148" s="3" t="inlineStr">
        <is>
          <t>无</t>
        </is>
      </c>
      <c r="P148" s="3" t="inlineStr">
        <is>
          <t>purple</t>
        </is>
      </c>
      <c r="Q148" s="3" t="inlineStr">
        <is>
          <t>史诗/紫</t>
        </is>
      </c>
      <c r="R148" s="3" t="inlineStr">
        <is>
          <t>武器</t>
        </is>
      </c>
      <c r="S148" s="3" t="inlineStr">
        <is>
          <t>武器</t>
        </is>
      </c>
      <c r="T148" s="3" t="inlineStr">
        <is>
          <t>天机门掌门的法杖，杖身刻有天干地支与八卦符文。</t>
        </is>
      </c>
      <c r="U148" s="3" t="inlineStr">
        <is>
          <t>是</t>
        </is>
      </c>
      <c r="V148" s="3" t="inlineStr">
        <is>
          <t>否</t>
        </is>
      </c>
      <c r="W148" s="3" t="inlineStr">
        <is>
          <t>equip_tianjizhang.png</t>
        </is>
      </c>
      <c r="X148" s="3" t="inlineStr"/>
      <c r="Y148" s="3" t="inlineStr">
        <is>
          <t>equip_weapon</t>
        </is>
      </c>
      <c r="Z148" s="3" t="inlineStr"/>
      <c r="AA148" s="3" t="inlineStr">
        <is>
          <t>无</t>
        </is>
      </c>
      <c r="AB148" s="3" t="inlineStr">
        <is>
          <t>否</t>
        </is>
      </c>
      <c r="AC148" s="3" t="inlineStr">
        <is>
          <t>否</t>
        </is>
      </c>
      <c r="AD148" s="3" t="inlineStr"/>
      <c r="AE148" s="3" t="inlineStr">
        <is>
          <t>当前主要配置未发现明确途径</t>
        </is>
      </c>
      <c r="AF148" s="3" t="inlineStr">
        <is>
          <t>{"hp":187,"force":41,"intellect":22,"luck":15}</t>
        </is>
      </c>
      <c r="AG148" s="3" t="inlineStr">
        <is>
          <t>data/item_templates.yaml:L5486</t>
        </is>
      </c>
    </row>
    <row r="149" hidden="1">
      <c r="A149" s="3" t="n">
        <v>148</v>
      </c>
      <c r="B149" s="3" t="inlineStr">
        <is>
          <t>equip_tulongdao</t>
        </is>
      </c>
      <c r="C149" s="3" t="inlineStr">
        <is>
          <t>屠龙刀</t>
        </is>
      </c>
      <c r="D149" s="3" t="n">
        <v>16000</v>
      </c>
      <c r="E149" s="3" t="n">
        <v>150</v>
      </c>
      <c r="F149" s="3" t="n">
        <v>271</v>
      </c>
      <c r="G149" s="3" t="n">
        <v>0</v>
      </c>
      <c r="H149" s="3" t="n">
        <v>77</v>
      </c>
      <c r="I149" s="3" t="n">
        <v>0</v>
      </c>
      <c r="J149" s="3" t="n">
        <v>0</v>
      </c>
      <c r="K149" s="3" t="n">
        <v>0</v>
      </c>
      <c r="L149" s="3" t="n">
        <v>0</v>
      </c>
      <c r="M149" s="6">
        <f>F149/54+G149+H149+I149+J149+L149*1.2+K149/2</f>
        <v>82.01851851851852</v>
      </c>
      <c r="N149" s="3" t="inlineStr">
        <is>
          <t>无</t>
        </is>
      </c>
      <c r="O149" s="3" t="inlineStr">
        <is>
          <t>无</t>
        </is>
      </c>
      <c r="P149" s="3" t="inlineStr">
        <is>
          <t>purple</t>
        </is>
      </c>
      <c r="Q149" s="3" t="inlineStr">
        <is>
          <t>史诗/紫</t>
        </is>
      </c>
      <c r="R149" s="3" t="inlineStr">
        <is>
          <t>武器</t>
        </is>
      </c>
      <c r="S149" s="3" t="inlineStr">
        <is>
          <t>武器</t>
        </is>
      </c>
      <c r="T149" s="3" t="inlineStr">
        <is>
          <t>传说中斩龙的神兵，刀身隐隐有龙吟之声回荡。</t>
        </is>
      </c>
      <c r="U149" s="3" t="inlineStr">
        <is>
          <t>是</t>
        </is>
      </c>
      <c r="V149" s="3" t="inlineStr">
        <is>
          <t>否</t>
        </is>
      </c>
      <c r="W149" s="3" t="inlineStr">
        <is>
          <t>equip_tulongdao.png</t>
        </is>
      </c>
      <c r="X149" s="3" t="inlineStr"/>
      <c r="Y149" s="3" t="inlineStr">
        <is>
          <t>equip_weapon</t>
        </is>
      </c>
      <c r="Z149" s="3" t="inlineStr"/>
      <c r="AA149" s="3" t="inlineStr">
        <is>
          <t>无</t>
        </is>
      </c>
      <c r="AB149" s="3" t="inlineStr">
        <is>
          <t>否</t>
        </is>
      </c>
      <c r="AC149" s="3" t="inlineStr">
        <is>
          <t>否</t>
        </is>
      </c>
      <c r="AD149" s="3" t="inlineStr"/>
      <c r="AE149" s="3" t="inlineStr">
        <is>
          <t>任务宝箱装备；竞技场随机兑换</t>
        </is>
      </c>
      <c r="AF149" s="3" t="inlineStr">
        <is>
          <t>{"hp":271,"force":77}</t>
        </is>
      </c>
      <c r="AG149" s="3" t="inlineStr">
        <is>
          <t>data/item_templates.yaml:L5473</t>
        </is>
      </c>
    </row>
    <row r="150" hidden="1">
      <c r="A150" s="3" t="n">
        <v>149</v>
      </c>
      <c r="B150" s="3" t="inlineStr">
        <is>
          <t>equip_wuqiaojian</t>
        </is>
      </c>
      <c r="C150" s="3" t="inlineStr">
        <is>
          <t>乌鞘剑</t>
        </is>
      </c>
      <c r="D150" s="3" t="n">
        <v>16000</v>
      </c>
      <c r="E150" s="3" t="n">
        <v>150</v>
      </c>
      <c r="F150" s="3" t="n">
        <v>0</v>
      </c>
      <c r="G150" s="3" t="n">
        <v>0</v>
      </c>
      <c r="H150" s="3" t="n">
        <v>53</v>
      </c>
      <c r="I150" s="3" t="n">
        <v>0</v>
      </c>
      <c r="J150" s="3" t="n">
        <v>16</v>
      </c>
      <c r="K150" s="3" t="n">
        <v>0</v>
      </c>
      <c r="L150" s="3" t="n">
        <v>12</v>
      </c>
      <c r="M150" s="6">
        <f>F150/54+G150+H150+I150+J150+L150*1.2+K150/2</f>
        <v>83.4</v>
      </c>
      <c r="N150" s="3" t="inlineStr">
        <is>
          <t>无</t>
        </is>
      </c>
      <c r="O150" s="3" t="inlineStr">
        <is>
          <t>无</t>
        </is>
      </c>
      <c r="P150" s="3" t="inlineStr">
        <is>
          <t>purple</t>
        </is>
      </c>
      <c r="Q150" s="3" t="inlineStr">
        <is>
          <t>史诗/紫</t>
        </is>
      </c>
      <c r="R150" s="3" t="inlineStr">
        <is>
          <t>武器</t>
        </is>
      </c>
      <c r="S150" s="3" t="inlineStr">
        <is>
          <t>武器</t>
        </is>
      </c>
      <c r="T150" s="3" t="inlineStr">
        <is>
          <t>剑入乌木鞘中，剑身雪亮如霜，来历不详。</t>
        </is>
      </c>
      <c r="U150" s="3" t="inlineStr">
        <is>
          <t>是</t>
        </is>
      </c>
      <c r="V150" s="3" t="inlineStr">
        <is>
          <t>否</t>
        </is>
      </c>
      <c r="W150" s="3" t="inlineStr">
        <is>
          <t>equip_wuqiaojian.png</t>
        </is>
      </c>
      <c r="X150" s="3" t="inlineStr"/>
      <c r="Y150" s="3" t="inlineStr">
        <is>
          <t>equip_weapon</t>
        </is>
      </c>
      <c r="Z150" s="3" t="inlineStr"/>
      <c r="AA150" s="3" t="inlineStr">
        <is>
          <t>无</t>
        </is>
      </c>
      <c r="AB150" s="3" t="inlineStr">
        <is>
          <t>否</t>
        </is>
      </c>
      <c r="AC150" s="3" t="inlineStr">
        <is>
          <t>否</t>
        </is>
      </c>
      <c r="AD150" s="3" t="inlineStr"/>
      <c r="AE150" s="3" t="inlineStr">
        <is>
          <t>任务宝箱装备</t>
        </is>
      </c>
      <c r="AF150" s="3" t="inlineStr">
        <is>
          <t>{"force":53,"agility":16,"luck":12}</t>
        </is>
      </c>
      <c r="AG150" s="3" t="inlineStr">
        <is>
          <t>data/item_templates.yaml:L5658</t>
        </is>
      </c>
    </row>
    <row r="151" hidden="1">
      <c r="A151" s="3" t="n">
        <v>150</v>
      </c>
      <c r="B151" s="3" t="inlineStr">
        <is>
          <t>equip_xiuhuazhen</t>
        </is>
      </c>
      <c r="C151" s="3" t="inlineStr">
        <is>
          <t>绣花针</t>
        </is>
      </c>
      <c r="D151" s="3" t="n">
        <v>16000</v>
      </c>
      <c r="E151" s="3" t="n">
        <v>150</v>
      </c>
      <c r="F151" s="3" t="n">
        <v>0</v>
      </c>
      <c r="G151" s="3" t="n">
        <v>0</v>
      </c>
      <c r="H151" s="3" t="n">
        <v>42</v>
      </c>
      <c r="I151" s="3" t="n">
        <v>0</v>
      </c>
      <c r="J151" s="3" t="n">
        <v>29</v>
      </c>
      <c r="K151" s="3" t="n">
        <v>0</v>
      </c>
      <c r="L151" s="3" t="n">
        <v>11</v>
      </c>
      <c r="M151" s="6">
        <f>F151/54+G151+H151+I151+J151+L151*1.2+K151/2</f>
        <v>84.2</v>
      </c>
      <c r="N151" s="3" t="inlineStr">
        <is>
          <t>无</t>
        </is>
      </c>
      <c r="O151" s="3" t="inlineStr">
        <is>
          <t>无</t>
        </is>
      </c>
      <c r="P151" s="3" t="inlineStr">
        <is>
          <t>purple</t>
        </is>
      </c>
      <c r="Q151" s="3" t="inlineStr">
        <is>
          <t>史诗/紫</t>
        </is>
      </c>
      <c r="R151" s="3" t="inlineStr">
        <is>
          <t>武器</t>
        </is>
      </c>
      <c r="S151" s="3" t="inlineStr">
        <is>
          <t>武器</t>
        </is>
      </c>
      <c r="T151" s="3" t="inlineStr">
        <is>
          <t>细如绣针的暗器，传说是某位女侠的独门兵刃。</t>
        </is>
      </c>
      <c r="U151" s="3" t="inlineStr">
        <is>
          <t>是</t>
        </is>
      </c>
      <c r="V151" s="3" t="inlineStr">
        <is>
          <t>否</t>
        </is>
      </c>
      <c r="W151" s="3" t="inlineStr">
        <is>
          <t>equip_xiuhuazhen.png</t>
        </is>
      </c>
      <c r="X151" s="3" t="inlineStr"/>
      <c r="Y151" s="3" t="inlineStr">
        <is>
          <t>equip_weapon</t>
        </is>
      </c>
      <c r="Z151" s="3" t="inlineStr"/>
      <c r="AA151" s="3" t="inlineStr">
        <is>
          <t>无</t>
        </is>
      </c>
      <c r="AB151" s="3" t="inlineStr">
        <is>
          <t>否</t>
        </is>
      </c>
      <c r="AC151" s="3" t="inlineStr">
        <is>
          <t>否</t>
        </is>
      </c>
      <c r="AD151" s="3" t="inlineStr"/>
      <c r="AE151" s="3" t="inlineStr">
        <is>
          <t>任务宝箱装备；竞技场随机兑换</t>
        </is>
      </c>
      <c r="AF151" s="3" t="inlineStr">
        <is>
          <t>{"force":42,"agility":29,"luck":11}</t>
        </is>
      </c>
      <c r="AG151" s="3" t="inlineStr">
        <is>
          <t>data/item_templates.yaml:L5715</t>
        </is>
      </c>
    </row>
    <row r="152" hidden="1">
      <c r="A152" s="3" t="n">
        <v>151</v>
      </c>
      <c r="B152" s="3" t="inlineStr">
        <is>
          <t>equip_xuanwuchui</t>
        </is>
      </c>
      <c r="C152" s="3" t="inlineStr">
        <is>
          <t>玄武锤</t>
        </is>
      </c>
      <c r="D152" s="3" t="n">
        <v>16000</v>
      </c>
      <c r="E152" s="3" t="n">
        <v>150</v>
      </c>
      <c r="F152" s="3" t="n">
        <v>350</v>
      </c>
      <c r="G152" s="3" t="n">
        <v>13</v>
      </c>
      <c r="H152" s="3" t="n">
        <v>64</v>
      </c>
      <c r="I152" s="3" t="n">
        <v>0</v>
      </c>
      <c r="J152" s="3" t="n">
        <v>0</v>
      </c>
      <c r="K152" s="3" t="n">
        <v>0</v>
      </c>
      <c r="L152" s="3" t="n">
        <v>0</v>
      </c>
      <c r="M152" s="6">
        <f>F152/54+G152+H152+I152+J152+L152*1.2+K152/2</f>
        <v>83.48148148148148</v>
      </c>
      <c r="N152" s="3" t="inlineStr">
        <is>
          <t>玄武套装</t>
        </is>
      </c>
      <c r="O152" s="3" t="inlineStr">
        <is>
          <t>玄武套装4件: 生命+260、防御+70、武力+20</t>
        </is>
      </c>
      <c r="P152" s="3" t="inlineStr">
        <is>
          <t>purple</t>
        </is>
      </c>
      <c r="Q152" s="3" t="inlineStr">
        <is>
          <t>史诗/紫</t>
        </is>
      </c>
      <c r="R152" s="3" t="inlineStr">
        <is>
          <t>武器</t>
        </is>
      </c>
      <c r="S152" s="3" t="inlineStr">
        <is>
          <t>武器</t>
        </is>
      </c>
      <c r="T152" s="3" t="inlineStr">
        <is>
          <t>锤头铸成玄武形状，是玄武山庄的传承之物。</t>
        </is>
      </c>
      <c r="U152" s="3" t="inlineStr">
        <is>
          <t>是</t>
        </is>
      </c>
      <c r="V152" s="3" t="inlineStr">
        <is>
          <t>否</t>
        </is>
      </c>
      <c r="W152" s="3" t="inlineStr">
        <is>
          <t>equip_xuanwuchui.png</t>
        </is>
      </c>
      <c r="X152" s="3" t="inlineStr"/>
      <c r="Y152" s="3" t="inlineStr">
        <is>
          <t>equip_weapon</t>
        </is>
      </c>
      <c r="Z152" s="3" t="inlineStr">
        <is>
          <t>xuanwu_set</t>
        </is>
      </c>
      <c r="AA152" s="3" t="inlineStr">
        <is>
          <t>无</t>
        </is>
      </c>
      <c r="AB152" s="3" t="inlineStr">
        <is>
          <t>否</t>
        </is>
      </c>
      <c r="AC152" s="3" t="inlineStr">
        <is>
          <t>是</t>
        </is>
      </c>
      <c r="AD152" s="3" t="inlineStr">
        <is>
          <t>blueprint_xuanwuchui</t>
        </is>
      </c>
      <c r="AE152" s="3" t="inlineStr">
        <is>
          <t>任务宝箱装备；图纸合成（竞技场随机图纸兑换）</t>
        </is>
      </c>
      <c r="AF152" s="3" t="inlineStr">
        <is>
          <t>{"hp":350,"defense":13,"force":64,"set_key":"xuanwu_set","set_description":"玄武套装","set_bonus":{"pieces":4,"bonus":{"hp":260,"defense":70,"force":20}}}</t>
        </is>
      </c>
      <c r="AG152" s="3" t="inlineStr">
        <is>
          <t>data/item_templates.yaml:L5418</t>
        </is>
      </c>
    </row>
    <row r="153" hidden="1">
      <c r="A153" s="3" t="n">
        <v>152</v>
      </c>
      <c r="B153" s="3" t="inlineStr">
        <is>
          <t>equip_xuedao</t>
        </is>
      </c>
      <c r="C153" s="3" t="inlineStr">
        <is>
          <t>血刀</t>
        </is>
      </c>
      <c r="D153" s="3" t="n">
        <v>16000</v>
      </c>
      <c r="E153" s="3" t="n">
        <v>150</v>
      </c>
      <c r="F153" s="3" t="n">
        <v>170</v>
      </c>
      <c r="G153" s="3" t="n">
        <v>0</v>
      </c>
      <c r="H153" s="3" t="n">
        <v>63</v>
      </c>
      <c r="I153" s="3" t="n">
        <v>0</v>
      </c>
      <c r="J153" s="3" t="n">
        <v>17</v>
      </c>
      <c r="K153" s="3" t="n">
        <v>0</v>
      </c>
      <c r="L153" s="3" t="n">
        <v>0</v>
      </c>
      <c r="M153" s="6">
        <f>F153/54+G153+H153+I153+J153+L153*1.2+K153/2</f>
        <v>83.14814814814815</v>
      </c>
      <c r="N153" s="3" t="inlineStr">
        <is>
          <t>无</t>
        </is>
      </c>
      <c r="O153" s="3" t="inlineStr">
        <is>
          <t>无</t>
        </is>
      </c>
      <c r="P153" s="3" t="inlineStr">
        <is>
          <t>purple</t>
        </is>
      </c>
      <c r="Q153" s="3" t="inlineStr">
        <is>
          <t>史诗/紫</t>
        </is>
      </c>
      <c r="R153" s="3" t="inlineStr">
        <is>
          <t>武器</t>
        </is>
      </c>
      <c r="S153" s="3" t="inlineStr">
        <is>
          <t>武器</t>
        </is>
      </c>
      <c r="T153" s="3" t="inlineStr">
        <is>
          <t>刀身暗红如染血，传说以九十九人之血淬炼而成。</t>
        </is>
      </c>
      <c r="U153" s="3" t="inlineStr">
        <is>
          <t>是</t>
        </is>
      </c>
      <c r="V153" s="3" t="inlineStr">
        <is>
          <t>否</t>
        </is>
      </c>
      <c r="W153" s="3" t="inlineStr">
        <is>
          <t>equip_xuedao.png</t>
        </is>
      </c>
      <c r="X153" s="3" t="inlineStr"/>
      <c r="Y153" s="3" t="inlineStr">
        <is>
          <t>equip_weapon</t>
        </is>
      </c>
      <c r="Z153" s="3" t="inlineStr"/>
      <c r="AA153" s="3" t="inlineStr">
        <is>
          <t>无</t>
        </is>
      </c>
      <c r="AB153" s="3" t="inlineStr">
        <is>
          <t>否</t>
        </is>
      </c>
      <c r="AC153" s="3" t="inlineStr">
        <is>
          <t>否</t>
        </is>
      </c>
      <c r="AD153" s="3" t="inlineStr"/>
      <c r="AE153" s="3" t="inlineStr">
        <is>
          <t>任务宝箱装备；竞技场随机兑换</t>
        </is>
      </c>
      <c r="AF153" s="3" t="inlineStr">
        <is>
          <t>{"hp":170,"force":63,"agility":17}</t>
        </is>
      </c>
      <c r="AG153" s="3" t="inlineStr">
        <is>
          <t>data/item_templates.yaml:L5616</t>
        </is>
      </c>
    </row>
    <row r="154" hidden="1">
      <c r="A154" s="3" t="n">
        <v>153</v>
      </c>
      <c r="B154" s="3" t="inlineStr">
        <is>
          <t>equip_yuanyangdao</t>
        </is>
      </c>
      <c r="C154" s="3" t="inlineStr">
        <is>
          <t>鸳鸯刀</t>
        </is>
      </c>
      <c r="D154" s="3" t="n">
        <v>16000</v>
      </c>
      <c r="E154" s="3" t="n">
        <v>150</v>
      </c>
      <c r="F154" s="3" t="n">
        <v>0</v>
      </c>
      <c r="G154" s="3" t="n">
        <v>0</v>
      </c>
      <c r="H154" s="3" t="n">
        <v>49</v>
      </c>
      <c r="I154" s="3" t="n">
        <v>0</v>
      </c>
      <c r="J154" s="3" t="n">
        <v>20</v>
      </c>
      <c r="K154" s="3" t="n">
        <v>0</v>
      </c>
      <c r="L154" s="3" t="n">
        <v>13</v>
      </c>
      <c r="M154" s="6">
        <f>F154/54+G154+H154+I154+J154+L154*1.2+K154/2</f>
        <v>84.6</v>
      </c>
      <c r="N154" s="3" t="inlineStr">
        <is>
          <t>无</t>
        </is>
      </c>
      <c r="O154" s="3" t="inlineStr">
        <is>
          <t>无</t>
        </is>
      </c>
      <c r="P154" s="3" t="inlineStr">
        <is>
          <t>purple</t>
        </is>
      </c>
      <c r="Q154" s="3" t="inlineStr">
        <is>
          <t>史诗/紫</t>
        </is>
      </c>
      <c r="R154" s="3" t="inlineStr">
        <is>
          <t>武器</t>
        </is>
      </c>
      <c r="S154" s="3" t="inlineStr">
        <is>
          <t>武器</t>
        </is>
      </c>
      <c r="T154" s="3" t="inlineStr">
        <is>
          <t>成双成对的鸳鸯刀，相传是某对侠侣的定情之物。</t>
        </is>
      </c>
      <c r="U154" s="3" t="inlineStr">
        <is>
          <t>是</t>
        </is>
      </c>
      <c r="V154" s="3" t="inlineStr">
        <is>
          <t>否</t>
        </is>
      </c>
      <c r="W154" s="3" t="inlineStr">
        <is>
          <t>equip_yuanyangdao.png</t>
        </is>
      </c>
      <c r="X154" s="3" t="inlineStr"/>
      <c r="Y154" s="3" t="inlineStr">
        <is>
          <t>equip_weapon</t>
        </is>
      </c>
      <c r="Z154" s="3" t="inlineStr"/>
      <c r="AA154" s="3" t="inlineStr">
        <is>
          <t>无</t>
        </is>
      </c>
      <c r="AB154" s="3" t="inlineStr">
        <is>
          <t>否</t>
        </is>
      </c>
      <c r="AC154" s="3" t="inlineStr">
        <is>
          <t>否</t>
        </is>
      </c>
      <c r="AD154" s="3" t="inlineStr"/>
      <c r="AE154" s="3" t="inlineStr">
        <is>
          <t>任务宝箱装备；竞技场随机兑换</t>
        </is>
      </c>
      <c r="AF154" s="3" t="inlineStr">
        <is>
          <t>{"force":49,"agility":20,"luck":13}</t>
        </is>
      </c>
      <c r="AG154" s="3" t="inlineStr">
        <is>
          <t>data/item_templates.yaml:L5630</t>
        </is>
      </c>
    </row>
    <row r="155" hidden="1">
      <c r="A155" s="3" t="n">
        <v>154</v>
      </c>
      <c r="B155" s="3" t="inlineStr">
        <is>
          <t>equip_yuxiao</t>
        </is>
      </c>
      <c r="C155" s="3" t="inlineStr">
        <is>
          <t>玉箫</t>
        </is>
      </c>
      <c r="D155" s="3" t="n">
        <v>16000</v>
      </c>
      <c r="E155" s="3" t="n">
        <v>150</v>
      </c>
      <c r="F155" s="3" t="n">
        <v>85</v>
      </c>
      <c r="G155" s="3" t="n">
        <v>0</v>
      </c>
      <c r="H155" s="3" t="n">
        <v>36</v>
      </c>
      <c r="I155" s="3" t="n">
        <v>29</v>
      </c>
      <c r="J155" s="3" t="n">
        <v>0</v>
      </c>
      <c r="K155" s="3" t="n">
        <v>0</v>
      </c>
      <c r="L155" s="3" t="n">
        <v>13</v>
      </c>
      <c r="M155" s="6">
        <f>F155/54+G155+H155+I155+J155+L155*1.2+K155/2</f>
        <v>82.17407407407407</v>
      </c>
      <c r="N155" s="3" t="inlineStr">
        <is>
          <t>无</t>
        </is>
      </c>
      <c r="O155" s="3" t="inlineStr">
        <is>
          <t>无</t>
        </is>
      </c>
      <c r="P155" s="3" t="inlineStr">
        <is>
          <t>purple</t>
        </is>
      </c>
      <c r="Q155" s="3" t="inlineStr">
        <is>
          <t>史诗/紫</t>
        </is>
      </c>
      <c r="R155" s="3" t="inlineStr">
        <is>
          <t>武器</t>
        </is>
      </c>
      <c r="S155" s="3" t="inlineStr">
        <is>
          <t>武器</t>
        </is>
      </c>
      <c r="T155" s="3" t="inlineStr">
        <is>
          <t>以昆仑玉雕刻的乐器，相传是某位琴魔的心爱之物。</t>
        </is>
      </c>
      <c r="U155" s="3" t="inlineStr">
        <is>
          <t>是</t>
        </is>
      </c>
      <c r="V155" s="3" t="inlineStr">
        <is>
          <t>否</t>
        </is>
      </c>
      <c r="W155" s="3" t="inlineStr">
        <is>
          <t>equip_yuxiao.png</t>
        </is>
      </c>
      <c r="X155" s="3" t="inlineStr"/>
      <c r="Y155" s="3" t="inlineStr">
        <is>
          <t>equip_weapon</t>
        </is>
      </c>
      <c r="Z155" s="3" t="inlineStr"/>
      <c r="AA155" s="3" t="inlineStr">
        <is>
          <t>无</t>
        </is>
      </c>
      <c r="AB155" s="3" t="inlineStr">
        <is>
          <t>否</t>
        </is>
      </c>
      <c r="AC155" s="3" t="inlineStr">
        <is>
          <t>否</t>
        </is>
      </c>
      <c r="AD155" s="3" t="inlineStr"/>
      <c r="AE155" s="3" t="inlineStr">
        <is>
          <t>任务宝箱装备</t>
        </is>
      </c>
      <c r="AF155" s="3" t="inlineStr">
        <is>
          <t>{"hp":85,"force":36,"intellect":29,"luck":13}</t>
        </is>
      </c>
      <c r="AG155" s="3" t="inlineStr">
        <is>
          <t>data/item_templates.yaml:L5587</t>
        </is>
      </c>
    </row>
    <row r="156">
      <c r="A156" s="3" t="n">
        <v>155</v>
      </c>
      <c r="B156" s="3" t="inlineStr">
        <is>
          <t>equip_ziweiruanjian</t>
        </is>
      </c>
      <c r="C156" s="3" t="inlineStr">
        <is>
          <t>紫薇软剑</t>
        </is>
      </c>
      <c r="D156" s="3" t="n">
        <v>16000</v>
      </c>
      <c r="E156" s="3" t="n">
        <v>150</v>
      </c>
      <c r="F156" s="3" t="n">
        <v>0</v>
      </c>
      <c r="G156" s="3" t="n">
        <v>0</v>
      </c>
      <c r="H156" s="3" t="n">
        <v>46</v>
      </c>
      <c r="I156" s="3" t="n">
        <v>0</v>
      </c>
      <c r="J156" s="3" t="n">
        <v>22</v>
      </c>
      <c r="K156" s="3" t="n">
        <v>0</v>
      </c>
      <c r="L156" s="3" t="n">
        <v>13</v>
      </c>
      <c r="M156" s="6">
        <f>F156/54+G156+H156+I156+J156+L156*1.2+K156/2</f>
        <v>83.6</v>
      </c>
      <c r="N156" s="3" t="inlineStr">
        <is>
          <t>无</t>
        </is>
      </c>
      <c r="O156" s="3" t="inlineStr">
        <is>
          <t>无</t>
        </is>
      </c>
      <c r="P156" s="3" t="inlineStr">
        <is>
          <t>purple</t>
        </is>
      </c>
      <c r="Q156" s="3" t="inlineStr">
        <is>
          <t>史诗/紫</t>
        </is>
      </c>
      <c r="R156" s="3" t="inlineStr">
        <is>
          <t>武器</t>
        </is>
      </c>
      <c r="S156" s="3" t="inlineStr">
        <is>
          <t>武器</t>
        </is>
      </c>
      <c r="T156" s="3" t="inlineStr">
        <is>
          <t>剑身长约三尺紫光闪烁，极其柔软发出一片如烟如雾的紫气。断金如泥，锐不可当，剑柄上用金丝盘着两个篆文乃是“紫薇”两字。</t>
        </is>
      </c>
      <c r="U156" s="3" t="inlineStr">
        <is>
          <t>是</t>
        </is>
      </c>
      <c r="V156" s="3" t="inlineStr">
        <is>
          <t>否</t>
        </is>
      </c>
      <c r="W156" s="3" t="inlineStr">
        <is>
          <t>equip_ziweiruanjian.png</t>
        </is>
      </c>
      <c r="X156" s="3" t="inlineStr"/>
      <c r="Y156" s="3" t="inlineStr">
        <is>
          <t>equip_weapon</t>
        </is>
      </c>
      <c r="Z156" s="3" t="inlineStr"/>
      <c r="AA156" s="3" t="inlineStr">
        <is>
          <t>无</t>
        </is>
      </c>
      <c r="AB156" s="3" t="inlineStr">
        <is>
          <t>否</t>
        </is>
      </c>
      <c r="AC156" s="3" t="inlineStr">
        <is>
          <t>否</t>
        </is>
      </c>
      <c r="AD156" s="3" t="inlineStr"/>
      <c r="AE156" s="3" t="inlineStr">
        <is>
          <t>任务宝箱装备；竞技场随机兑换</t>
        </is>
      </c>
      <c r="AF156" s="3" t="inlineStr">
        <is>
          <t>{"force":46,"agility":22,"luck":13}</t>
        </is>
      </c>
      <c r="AG156" s="3" t="inlineStr">
        <is>
          <t>data/item_templates.yaml:L5573</t>
        </is>
      </c>
    </row>
    <row r="157">
      <c r="A157" s="3" t="n">
        <v>156</v>
      </c>
      <c r="B157" s="3" t="inlineStr">
        <is>
          <t>equip_changshengjian</t>
        </is>
      </c>
      <c r="C157" s="3" t="inlineStr">
        <is>
          <t>长生剑</t>
        </is>
      </c>
      <c r="D157" s="3" t="n">
        <v>52000</v>
      </c>
      <c r="E157" s="3" t="n">
        <v>200</v>
      </c>
      <c r="F157" s="3" t="n">
        <v>533</v>
      </c>
      <c r="G157" s="3" t="n">
        <v>10</v>
      </c>
      <c r="H157" s="3" t="n">
        <v>32</v>
      </c>
      <c r="I157" s="3" t="n">
        <v>27</v>
      </c>
      <c r="J157" s="3" t="n">
        <v>0</v>
      </c>
      <c r="K157" s="3" t="n">
        <v>0</v>
      </c>
      <c r="L157" s="3" t="n">
        <v>12</v>
      </c>
      <c r="M157" s="6">
        <f>F157/54+G157+H157+I157+J157+L157*1.2+K157/2</f>
        <v>93.27037037037036</v>
      </c>
      <c r="N157" s="3" t="inlineStr">
        <is>
          <t>无</t>
        </is>
      </c>
      <c r="O157" s="3" t="inlineStr">
        <is>
          <t>无</t>
        </is>
      </c>
      <c r="P157" s="3" t="inlineStr">
        <is>
          <t>orange</t>
        </is>
      </c>
      <c r="Q157" s="3" t="inlineStr">
        <is>
          <t>传说/橙</t>
        </is>
      </c>
      <c r="R157" s="3" t="inlineStr">
        <is>
          <t>武器</t>
        </is>
      </c>
      <c r="S157" s="3" t="inlineStr">
        <is>
          <t>武器</t>
        </is>
      </c>
      <c r="T157" s="3" t="inlineStr">
        <is>
          <t>剑名长生，传说是某位追求长生的剑仙所铸。</t>
        </is>
      </c>
      <c r="U157" s="3" t="inlineStr">
        <is>
          <t>是</t>
        </is>
      </c>
      <c r="V157" s="3" t="inlineStr">
        <is>
          <t>否</t>
        </is>
      </c>
      <c r="W157" s="3" t="inlineStr">
        <is>
          <t>equip_changshengjian.png</t>
        </is>
      </c>
      <c r="X157" s="3" t="inlineStr"/>
      <c r="Y157" s="3" t="inlineStr">
        <is>
          <t>equip_weapon</t>
        </is>
      </c>
      <c r="Z157" s="3" t="inlineStr"/>
      <c r="AA157" s="3" t="inlineStr">
        <is>
          <t>无</t>
        </is>
      </c>
      <c r="AB157" s="3" t="inlineStr">
        <is>
          <t>否</t>
        </is>
      </c>
      <c r="AC157" s="3" t="inlineStr">
        <is>
          <t>否</t>
        </is>
      </c>
      <c r="AD157" s="3" t="inlineStr"/>
      <c r="AE157" s="3" t="inlineStr">
        <is>
          <t>任务宝箱装备</t>
        </is>
      </c>
      <c r="AF157" s="3" t="inlineStr">
        <is>
          <t>{"hp":533,"defense":10,"force":32,"intellect":27,"luck":12}</t>
        </is>
      </c>
      <c r="AG157" s="3" t="inlineStr">
        <is>
          <t>data/item_templates.yaml:L5941</t>
        </is>
      </c>
    </row>
    <row r="158">
      <c r="A158" s="3" t="n">
        <v>157</v>
      </c>
      <c r="B158" s="3" t="inlineStr">
        <is>
          <t>equip_dagoubang</t>
        </is>
      </c>
      <c r="C158" s="3" t="inlineStr">
        <is>
          <t>打狗棒</t>
        </is>
      </c>
      <c r="D158" s="3" t="n">
        <v>52000</v>
      </c>
      <c r="E158" s="3" t="n">
        <v>200</v>
      </c>
      <c r="F158" s="3" t="n">
        <v>567</v>
      </c>
      <c r="G158" s="3" t="n">
        <v>9</v>
      </c>
      <c r="H158" s="3" t="n">
        <v>37</v>
      </c>
      <c r="I158" s="3" t="n">
        <v>0</v>
      </c>
      <c r="J158" s="3" t="n">
        <v>21</v>
      </c>
      <c r="K158" s="3" t="n">
        <v>0</v>
      </c>
      <c r="L158" s="3" t="n">
        <v>14</v>
      </c>
      <c r="M158" s="6">
        <f>F158/54+G158+H158+I158+J158+L158*1.2+K158/2</f>
        <v>94.3</v>
      </c>
      <c r="N158" s="3" t="inlineStr">
        <is>
          <t>无</t>
        </is>
      </c>
      <c r="O158" s="3" t="inlineStr">
        <is>
          <t>无</t>
        </is>
      </c>
      <c r="P158" s="3" t="inlineStr">
        <is>
          <t>orange</t>
        </is>
      </c>
      <c r="Q158" s="3" t="inlineStr">
        <is>
          <t>传说/橙</t>
        </is>
      </c>
      <c r="R158" s="3" t="inlineStr">
        <is>
          <t>武器</t>
        </is>
      </c>
      <c r="S158" s="3" t="inlineStr">
        <is>
          <t>武器</t>
        </is>
      </c>
      <c r="T158" s="3" t="inlineStr">
        <is>
          <t>丐帮历代帮主的信物，以翠竹削成，其貌不扬却地位尊崇。</t>
        </is>
      </c>
      <c r="U158" s="3" t="inlineStr">
        <is>
          <t>是</t>
        </is>
      </c>
      <c r="V158" s="3" t="inlineStr">
        <is>
          <t>否</t>
        </is>
      </c>
      <c r="W158" s="3" t="inlineStr">
        <is>
          <t>equip_dagoubang.png</t>
        </is>
      </c>
      <c r="X158" s="3" t="inlineStr"/>
      <c r="Y158" s="3" t="inlineStr">
        <is>
          <t>equip_weapon</t>
        </is>
      </c>
      <c r="Z158" s="3" t="inlineStr"/>
      <c r="AA158" s="3" t="inlineStr">
        <is>
          <t>无</t>
        </is>
      </c>
      <c r="AB158" s="3" t="inlineStr">
        <is>
          <t>否</t>
        </is>
      </c>
      <c r="AC158" s="3" t="inlineStr">
        <is>
          <t>否</t>
        </is>
      </c>
      <c r="AD158" s="3" t="inlineStr"/>
      <c r="AE158" s="3" t="inlineStr">
        <is>
          <t>任务宝箱装备；竞技场随机兑换</t>
        </is>
      </c>
      <c r="AF158" s="3" t="inlineStr">
        <is>
          <t>{"hp":567,"defense":9,"force":37,"agility":21,"luck":14}</t>
        </is>
      </c>
      <c r="AG158" s="3" t="inlineStr">
        <is>
          <t>data/item_templates.yaml:L5862</t>
        </is>
      </c>
    </row>
    <row r="159">
      <c r="A159" s="3" t="n">
        <v>158</v>
      </c>
      <c r="B159" s="3" t="inlineStr">
        <is>
          <t>equip_fangtianhuaji</t>
        </is>
      </c>
      <c r="C159" s="3" t="inlineStr">
        <is>
          <t>方天画戟</t>
        </is>
      </c>
      <c r="D159" s="3" t="n">
        <v>52000</v>
      </c>
      <c r="E159" s="3" t="n">
        <v>200</v>
      </c>
      <c r="F159" s="3" t="n">
        <v>650</v>
      </c>
      <c r="G159" s="3" t="n">
        <v>12</v>
      </c>
      <c r="H159" s="3" t="n">
        <v>50</v>
      </c>
      <c r="I159" s="3" t="n">
        <v>0</v>
      </c>
      <c r="J159" s="3" t="n">
        <v>10</v>
      </c>
      <c r="K159" s="3" t="n">
        <v>24</v>
      </c>
      <c r="L159" s="3" t="n">
        <v>0</v>
      </c>
      <c r="M159" s="6">
        <f>F159/54+G159+H159+I159+J159+L159*1.2+K159/2</f>
        <v>96.03703703703704</v>
      </c>
      <c r="N159" s="3" t="inlineStr">
        <is>
          <t>无</t>
        </is>
      </c>
      <c r="O159" s="3" t="inlineStr">
        <is>
          <t>无</t>
        </is>
      </c>
      <c r="P159" s="3" t="inlineStr">
        <is>
          <t>orange</t>
        </is>
      </c>
      <c r="Q159" s="3" t="inlineStr">
        <is>
          <t>传说/橙</t>
        </is>
      </c>
      <c r="R159" s="3" t="inlineStr">
        <is>
          <t>武器</t>
        </is>
      </c>
      <c r="S159" s="3" t="inlineStr">
        <is>
          <t>武器</t>
        </is>
      </c>
      <c r="T159" s="3" t="inlineStr">
        <is>
          <t>仿吕布方天画戟所铸的神兵，戟身绘有繁复图案。</t>
        </is>
      </c>
      <c r="U159" s="3" t="inlineStr">
        <is>
          <t>是</t>
        </is>
      </c>
      <c r="V159" s="3" t="inlineStr">
        <is>
          <t>否</t>
        </is>
      </c>
      <c r="W159" s="3" t="inlineStr">
        <is>
          <t>equip_fangtianhuaji.png</t>
        </is>
      </c>
      <c r="X159" s="3" t="inlineStr"/>
      <c r="Y159" s="3" t="inlineStr">
        <is>
          <t>equip_weapon</t>
        </is>
      </c>
      <c r="Z159" s="3" t="inlineStr"/>
      <c r="AA159" s="3" t="inlineStr">
        <is>
          <t>无</t>
        </is>
      </c>
      <c r="AB159" s="3" t="inlineStr">
        <is>
          <t>否</t>
        </is>
      </c>
      <c r="AC159" s="3" t="inlineStr">
        <is>
          <t>否</t>
        </is>
      </c>
      <c r="AD159" s="3" t="inlineStr"/>
      <c r="AE159" s="3" t="inlineStr">
        <is>
          <t>任务宝箱装备；碎片累计兑换（任务宝箱）</t>
        </is>
      </c>
      <c r="AF159" s="3" t="inlineStr">
        <is>
          <t>{"hp":650,"defense":12,"force":50,"agility":10,"troop_capacity":24}</t>
        </is>
      </c>
      <c r="AG159" s="3" t="inlineStr">
        <is>
          <t>data/item_templates.yaml:L5765</t>
        </is>
      </c>
    </row>
    <row r="160">
      <c r="A160" s="3" t="n">
        <v>159</v>
      </c>
      <c r="B160" s="3" t="inlineStr">
        <is>
          <t>equip_kongquelin</t>
        </is>
      </c>
      <c r="C160" s="3" t="inlineStr">
        <is>
          <t>孔雀翎</t>
        </is>
      </c>
      <c r="D160" s="3" t="n">
        <v>52000</v>
      </c>
      <c r="E160" s="3" t="n">
        <v>200</v>
      </c>
      <c r="F160" s="3" t="n">
        <v>610</v>
      </c>
      <c r="G160" s="3" t="n">
        <v>0</v>
      </c>
      <c r="H160" s="3" t="n">
        <v>36</v>
      </c>
      <c r="I160" s="3" t="n">
        <v>9</v>
      </c>
      <c r="J160" s="3" t="n">
        <v>23</v>
      </c>
      <c r="K160" s="3" t="n">
        <v>0</v>
      </c>
      <c r="L160" s="3" t="n">
        <v>14</v>
      </c>
      <c r="M160" s="6">
        <f>F160/54+G160+H160+I160+J160+L160*1.2+K160/2</f>
        <v>96.0962962962963</v>
      </c>
      <c r="N160" s="3" t="inlineStr">
        <is>
          <t>无</t>
        </is>
      </c>
      <c r="O160" s="3" t="inlineStr">
        <is>
          <t>无</t>
        </is>
      </c>
      <c r="P160" s="3" t="inlineStr">
        <is>
          <t>orange</t>
        </is>
      </c>
      <c r="Q160" s="3" t="inlineStr">
        <is>
          <t>传说/橙</t>
        </is>
      </c>
      <c r="R160" s="3" t="inlineStr">
        <is>
          <t>武器</t>
        </is>
      </c>
      <c r="S160" s="3" t="inlineStr">
        <is>
          <t>武器</t>
        </is>
      </c>
      <c r="T160" s="3" t="inlineStr">
        <is>
          <t>暗器之王，据传以孔雀尾羽铸成，华美而致命。</t>
        </is>
      </c>
      <c r="U160" s="3" t="inlineStr">
        <is>
          <t>是</t>
        </is>
      </c>
      <c r="V160" s="3" t="inlineStr">
        <is>
          <t>否</t>
        </is>
      </c>
      <c r="W160" s="3" t="inlineStr">
        <is>
          <t>equip_kongquelin.png</t>
        </is>
      </c>
      <c r="X160" s="3" t="inlineStr"/>
      <c r="Y160" s="3" t="inlineStr">
        <is>
          <t>equip_weapon</t>
        </is>
      </c>
      <c r="Z160" s="3" t="inlineStr"/>
      <c r="AA160" s="3" t="inlineStr">
        <is>
          <t>无</t>
        </is>
      </c>
      <c r="AB160" s="3" t="inlineStr">
        <is>
          <t>否</t>
        </is>
      </c>
      <c r="AC160" s="3" t="inlineStr">
        <is>
          <t>否</t>
        </is>
      </c>
      <c r="AD160" s="3" t="inlineStr"/>
      <c r="AE160" s="3" t="inlineStr">
        <is>
          <t>任务宝箱装备；竞技场随机兑换</t>
        </is>
      </c>
      <c r="AF160" s="3" t="inlineStr">
        <is>
          <t>{"hp":610,"force":36,"intellect":9,"agility":23,"luck":14}</t>
        </is>
      </c>
      <c r="AG160" s="3" t="inlineStr">
        <is>
          <t>data/item_templates.yaml:L5894</t>
        </is>
      </c>
    </row>
    <row r="161">
      <c r="A161" s="3" t="n">
        <v>160</v>
      </c>
      <c r="B161" s="3" t="inlineStr">
        <is>
          <t>equip_panlonggun</t>
        </is>
      </c>
      <c r="C161" s="3" t="inlineStr">
        <is>
          <t>盘龙棍</t>
        </is>
      </c>
      <c r="D161" s="3" t="n">
        <v>52000</v>
      </c>
      <c r="E161" s="3" t="n">
        <v>200</v>
      </c>
      <c r="F161" s="3" t="n">
        <v>680</v>
      </c>
      <c r="G161" s="3" t="n">
        <v>12</v>
      </c>
      <c r="H161" s="3" t="n">
        <v>48</v>
      </c>
      <c r="I161" s="3" t="n">
        <v>0</v>
      </c>
      <c r="J161" s="3" t="n">
        <v>12</v>
      </c>
      <c r="K161" s="3" t="n">
        <v>0</v>
      </c>
      <c r="L161" s="3" t="n">
        <v>8</v>
      </c>
      <c r="M161" s="6">
        <f>F161/54+G161+H161+I161+J161+L161*1.2+K161/2</f>
        <v>94.19259259259259</v>
      </c>
      <c r="N161" s="3" t="inlineStr">
        <is>
          <t>无</t>
        </is>
      </c>
      <c r="O161" s="3" t="inlineStr">
        <is>
          <t>无</t>
        </is>
      </c>
      <c r="P161" s="3" t="inlineStr">
        <is>
          <t>orange</t>
        </is>
      </c>
      <c r="Q161" s="3" t="inlineStr">
        <is>
          <t>传说/橙</t>
        </is>
      </c>
      <c r="R161" s="3" t="inlineStr">
        <is>
          <t>武器</t>
        </is>
      </c>
      <c r="S161" s="3" t="inlineStr">
        <is>
          <t>武器</t>
        </is>
      </c>
      <c r="T161" s="3" t="inlineStr">
        <is>
          <t>棍身盘龙雕刻栩栩如生，据传是丐帮某代帮主的法杖。</t>
        </is>
      </c>
      <c r="U161" s="3" t="inlineStr">
        <is>
          <t>是</t>
        </is>
      </c>
      <c r="V161" s="3" t="inlineStr">
        <is>
          <t>否</t>
        </is>
      </c>
      <c r="W161" s="3" t="inlineStr">
        <is>
          <t>equip_panlonggun.png</t>
        </is>
      </c>
      <c r="X161" s="3" t="inlineStr"/>
      <c r="Y161" s="3" t="inlineStr">
        <is>
          <t>equip_weapon</t>
        </is>
      </c>
      <c r="Z161" s="3" t="inlineStr"/>
      <c r="AA161" s="3" t="inlineStr">
        <is>
          <t>无</t>
        </is>
      </c>
      <c r="AB161" s="3" t="inlineStr">
        <is>
          <t>否</t>
        </is>
      </c>
      <c r="AC161" s="3" t="inlineStr">
        <is>
          <t>否</t>
        </is>
      </c>
      <c r="AD161" s="3" t="inlineStr"/>
      <c r="AE161" s="3" t="inlineStr">
        <is>
          <t>任务宝箱装备；碎片累计兑换（任务宝箱）</t>
        </is>
      </c>
      <c r="AF161" s="3" t="inlineStr">
        <is>
          <t>{"hp":680,"defense":12,"force":48,"agility":12,"luck":8}</t>
        </is>
      </c>
      <c r="AG161" s="3" t="inlineStr">
        <is>
          <t>data/item_templates.yaml:L5797</t>
        </is>
      </c>
    </row>
    <row r="162">
      <c r="A162" s="3" t="n">
        <v>161</v>
      </c>
      <c r="B162" s="3" t="inlineStr">
        <is>
          <t>equip_qiankunshengong</t>
        </is>
      </c>
      <c r="C162" s="3" t="inlineStr">
        <is>
          <t>乾坤神弓</t>
        </is>
      </c>
      <c r="D162" s="3" t="n">
        <v>52000</v>
      </c>
      <c r="E162" s="3" t="n">
        <v>200</v>
      </c>
      <c r="F162" s="3" t="n">
        <v>555</v>
      </c>
      <c r="G162" s="3" t="n">
        <v>7</v>
      </c>
      <c r="H162" s="3" t="n">
        <v>36</v>
      </c>
      <c r="I162" s="3" t="n">
        <v>9</v>
      </c>
      <c r="J162" s="3" t="n">
        <v>25</v>
      </c>
      <c r="K162" s="3" t="n">
        <v>0</v>
      </c>
      <c r="L162" s="3" t="n">
        <v>9</v>
      </c>
      <c r="M162" s="6">
        <f>F162/54+G162+H162+I162+J162+L162*1.2+K162/2</f>
        <v>98.07777777777777</v>
      </c>
      <c r="N162" s="3" t="inlineStr">
        <is>
          <t>无</t>
        </is>
      </c>
      <c r="O162" s="3" t="inlineStr">
        <is>
          <t>无</t>
        </is>
      </c>
      <c r="P162" s="3" t="inlineStr">
        <is>
          <t>orange</t>
        </is>
      </c>
      <c r="Q162" s="3" t="inlineStr">
        <is>
          <t>传说/橙</t>
        </is>
      </c>
      <c r="R162" s="3" t="inlineStr">
        <is>
          <t>武器</t>
        </is>
      </c>
      <c r="S162" s="3" t="inlineStr">
        <is>
          <t>武器</t>
        </is>
      </c>
      <c r="T162" s="3" t="inlineStr">
        <is>
          <t>以乾坤二气铸成的神弓，据传可射日月星辰。</t>
        </is>
      </c>
      <c r="U162" s="3" t="inlineStr">
        <is>
          <t>是</t>
        </is>
      </c>
      <c r="V162" s="3" t="inlineStr">
        <is>
          <t>否</t>
        </is>
      </c>
      <c r="W162" s="3" t="inlineStr">
        <is>
          <t>equip_qiankunshengong.png</t>
        </is>
      </c>
      <c r="X162" s="3" t="inlineStr"/>
      <c r="Y162" s="3" t="inlineStr">
        <is>
          <t>equip_weapon</t>
        </is>
      </c>
      <c r="Z162" s="3" t="inlineStr"/>
      <c r="AA162" s="3" t="inlineStr">
        <is>
          <t>无</t>
        </is>
      </c>
      <c r="AB162" s="3" t="inlineStr">
        <is>
          <t>否</t>
        </is>
      </c>
      <c r="AC162" s="3" t="inlineStr">
        <is>
          <t>否</t>
        </is>
      </c>
      <c r="AD162" s="3" t="inlineStr"/>
      <c r="AE162" s="3" t="inlineStr">
        <is>
          <t>任务宝箱装备</t>
        </is>
      </c>
      <c r="AF162" s="3" t="inlineStr">
        <is>
          <t>{"hp":555,"defense":7,"force":36,"intellect":9,"agility":25,"luck":9}</t>
        </is>
      </c>
      <c r="AG162" s="3" t="inlineStr">
        <is>
          <t>data/item_templates.yaml:L5830</t>
        </is>
      </c>
    </row>
    <row r="163">
      <c r="A163" s="3" t="n">
        <v>162</v>
      </c>
      <c r="B163" s="3" t="inlineStr">
        <is>
          <t>equip_tianyamingyuedao</t>
        </is>
      </c>
      <c r="C163" s="3" t="inlineStr">
        <is>
          <t>天涯明月刀</t>
        </is>
      </c>
      <c r="D163" s="3" t="n">
        <v>52000</v>
      </c>
      <c r="E163" s="3" t="n">
        <v>200</v>
      </c>
      <c r="F163" s="3" t="n">
        <v>680</v>
      </c>
      <c r="G163" s="3" t="n">
        <v>10</v>
      </c>
      <c r="H163" s="3" t="n">
        <v>58</v>
      </c>
      <c r="I163" s="3" t="n">
        <v>0</v>
      </c>
      <c r="J163" s="3" t="n">
        <v>18</v>
      </c>
      <c r="K163" s="3" t="n">
        <v>0</v>
      </c>
      <c r="L163" s="3" t="n">
        <v>0</v>
      </c>
      <c r="M163" s="6">
        <f>F163/54+G163+H163+I163+J163+L163*1.2+K163/2</f>
        <v>98.5925925925926</v>
      </c>
      <c r="N163" s="3" t="inlineStr">
        <is>
          <t>无</t>
        </is>
      </c>
      <c r="O163" s="3" t="inlineStr">
        <is>
          <t>无</t>
        </is>
      </c>
      <c r="P163" s="3" t="inlineStr">
        <is>
          <t>orange</t>
        </is>
      </c>
      <c r="Q163" s="3" t="inlineStr">
        <is>
          <t>传说/橙</t>
        </is>
      </c>
      <c r="R163" s="3" t="inlineStr">
        <is>
          <t>武器</t>
        </is>
      </c>
      <c r="S163" s="3" t="inlineStr">
        <is>
          <t>武器</t>
        </is>
      </c>
      <c r="T163" s="3" t="inlineStr">
        <is>
          <t>刀名取自"天涯明月"，相传是某位孤独刀客的佩刀。</t>
        </is>
      </c>
      <c r="U163" s="3" t="inlineStr">
        <is>
          <t>是</t>
        </is>
      </c>
      <c r="V163" s="3" t="inlineStr">
        <is>
          <t>否</t>
        </is>
      </c>
      <c r="W163" s="3" t="inlineStr">
        <is>
          <t>equip_tianyamingyuedao.png</t>
        </is>
      </c>
      <c r="X163" s="3" t="inlineStr"/>
      <c r="Y163" s="3" t="inlineStr">
        <is>
          <t>equip_weapon</t>
        </is>
      </c>
      <c r="Z163" s="3" t="inlineStr"/>
      <c r="AA163" s="3" t="inlineStr">
        <is>
          <t>无</t>
        </is>
      </c>
      <c r="AB163" s="3" t="inlineStr">
        <is>
          <t>否</t>
        </is>
      </c>
      <c r="AC163" s="3" t="inlineStr">
        <is>
          <t>否</t>
        </is>
      </c>
      <c r="AD163" s="3" t="inlineStr"/>
      <c r="AE163" s="3" t="inlineStr">
        <is>
          <t>任务宝箱装备；竞技场随机兑换</t>
        </is>
      </c>
      <c r="AF163" s="3" t="inlineStr">
        <is>
          <t>{"hp":680,"defense":10,"force":58,"agility":18}</t>
        </is>
      </c>
      <c r="AG163" s="3" t="inlineStr">
        <is>
          <t>data/item_templates.yaml:L5910</t>
        </is>
      </c>
    </row>
    <row r="164">
      <c r="A164" s="3" t="n">
        <v>163</v>
      </c>
      <c r="B164" s="3" t="inlineStr">
        <is>
          <t>equip_tuwujian</t>
        </is>
      </c>
      <c r="C164" s="3" t="inlineStr">
        <is>
          <t>屠巫剑</t>
        </is>
      </c>
      <c r="D164" s="3" t="n">
        <v>52000</v>
      </c>
      <c r="E164" s="3" t="n">
        <v>200</v>
      </c>
      <c r="F164" s="3" t="n">
        <v>514</v>
      </c>
      <c r="G164" s="3" t="n">
        <v>3</v>
      </c>
      <c r="H164" s="3" t="n">
        <v>40</v>
      </c>
      <c r="I164" s="3" t="n">
        <v>22</v>
      </c>
      <c r="J164" s="3" t="n">
        <v>15</v>
      </c>
      <c r="K164" s="3" t="n">
        <v>0</v>
      </c>
      <c r="L164" s="3" t="n">
        <v>3</v>
      </c>
      <c r="M164" s="6">
        <f>F164/54+G164+H164+I164+J164+L164*1.2+K164/2</f>
        <v>93.11851851851851</v>
      </c>
      <c r="N164" s="3" t="inlineStr">
        <is>
          <t>无</t>
        </is>
      </c>
      <c r="O164" s="3" t="inlineStr">
        <is>
          <t>无</t>
        </is>
      </c>
      <c r="P164" s="3" t="inlineStr">
        <is>
          <t>orange</t>
        </is>
      </c>
      <c r="Q164" s="3" t="inlineStr">
        <is>
          <t>传说/橙</t>
        </is>
      </c>
      <c r="R164" s="3" t="inlineStr">
        <is>
          <t>武器</t>
        </is>
      </c>
      <c r="S164" s="3" t="inlineStr">
        <is>
          <t>武器</t>
        </is>
      </c>
      <c r="T164" s="3" t="inlineStr">
        <is>
          <t>剑身赤金如烬，刃纹似符火游走。相传此剑专破巫祝妖术，出鞘时有焚符断咒之声。</t>
        </is>
      </c>
      <c r="U164" s="3" t="inlineStr">
        <is>
          <t>是</t>
        </is>
      </c>
      <c r="V164" s="3" t="inlineStr">
        <is>
          <t>否</t>
        </is>
      </c>
      <c r="W164" s="3" t="inlineStr">
        <is>
          <t>equip_tuwujian.png</t>
        </is>
      </c>
      <c r="X164" s="3" t="inlineStr"/>
      <c r="Y164" s="3" t="inlineStr">
        <is>
          <t>equip_weapon</t>
        </is>
      </c>
      <c r="Z164" s="3" t="inlineStr"/>
      <c r="AA164" s="3" t="inlineStr">
        <is>
          <t>无</t>
        </is>
      </c>
      <c r="AB164" s="3" t="inlineStr">
        <is>
          <t>否</t>
        </is>
      </c>
      <c r="AC164" s="3" t="inlineStr">
        <is>
          <t>否</t>
        </is>
      </c>
      <c r="AD164" s="3" t="inlineStr"/>
      <c r="AE164" s="3" t="inlineStr">
        <is>
          <t>当前主要配置未发现明确途径</t>
        </is>
      </c>
      <c r="AF164" s="3" t="inlineStr">
        <is>
          <t>{"hp":514,"defense":3,"force":40,"intellect":22,"agility":15,"luck":3}</t>
        </is>
      </c>
      <c r="AG164" s="3" t="inlineStr">
        <is>
          <t>data/item_templates.yaml:L5748</t>
        </is>
      </c>
    </row>
    <row r="165">
      <c r="A165" s="3" t="n">
        <v>164</v>
      </c>
      <c r="B165" s="3" t="inlineStr">
        <is>
          <t>equip_xiaolifeidao</t>
        </is>
      </c>
      <c r="C165" s="3" t="inlineStr">
        <is>
          <t>小李飞刀</t>
        </is>
      </c>
      <c r="D165" s="3" t="n">
        <v>52000</v>
      </c>
      <c r="E165" s="3" t="n">
        <v>200</v>
      </c>
      <c r="F165" s="3" t="n">
        <v>585</v>
      </c>
      <c r="G165" s="3" t="n">
        <v>0</v>
      </c>
      <c r="H165" s="3" t="n">
        <v>36</v>
      </c>
      <c r="I165" s="3" t="n">
        <v>7</v>
      </c>
      <c r="J165" s="3" t="n">
        <v>22</v>
      </c>
      <c r="K165" s="3" t="n">
        <v>0</v>
      </c>
      <c r="L165" s="3" t="n">
        <v>15</v>
      </c>
      <c r="M165" s="6">
        <f>F165/54+G165+H165+I165+J165+L165*1.2+K165/2</f>
        <v>93.83333333333334</v>
      </c>
      <c r="N165" s="3" t="inlineStr">
        <is>
          <t>无</t>
        </is>
      </c>
      <c r="O165" s="3" t="inlineStr">
        <is>
          <t>无</t>
        </is>
      </c>
      <c r="P165" s="3" t="inlineStr">
        <is>
          <t>orange</t>
        </is>
      </c>
      <c r="Q165" s="3" t="inlineStr">
        <is>
          <t>传说/橙</t>
        </is>
      </c>
      <c r="R165" s="3" t="inlineStr">
        <is>
          <t>武器</t>
        </is>
      </c>
      <c r="S165" s="3" t="inlineStr">
        <is>
          <t>武器</t>
        </is>
      </c>
      <c r="T165" s="3" t="inlineStr">
        <is>
          <t>传说中"例无虚发"的神奇飞刀，出自飞刀世家李氏。</t>
        </is>
      </c>
      <c r="U165" s="3" t="inlineStr">
        <is>
          <t>是</t>
        </is>
      </c>
      <c r="V165" s="3" t="inlineStr">
        <is>
          <t>否</t>
        </is>
      </c>
      <c r="W165" s="3" t="inlineStr">
        <is>
          <t>equip_xiaolifeidao.png</t>
        </is>
      </c>
      <c r="X165" s="3" t="inlineStr"/>
      <c r="Y165" s="3" t="inlineStr">
        <is>
          <t>equip_weapon</t>
        </is>
      </c>
      <c r="Z165" s="3" t="inlineStr"/>
      <c r="AA165" s="3" t="inlineStr">
        <is>
          <t>无</t>
        </is>
      </c>
      <c r="AB165" s="3" t="inlineStr">
        <is>
          <t>否</t>
        </is>
      </c>
      <c r="AC165" s="3" t="inlineStr">
        <is>
          <t>否</t>
        </is>
      </c>
      <c r="AD165" s="3" t="inlineStr"/>
      <c r="AE165" s="3" t="inlineStr">
        <is>
          <t>任务宝箱装备</t>
        </is>
      </c>
      <c r="AF165" s="3" t="inlineStr">
        <is>
          <t>{"hp":585,"force":36,"intellect":7,"agility":22,"luck":15}</t>
        </is>
      </c>
      <c r="AG165" s="3" t="inlineStr">
        <is>
          <t>data/item_templates.yaml:L5878</t>
        </is>
      </c>
    </row>
    <row r="166">
      <c r="A166" s="3" t="n">
        <v>165</v>
      </c>
      <c r="B166" s="3" t="inlineStr">
        <is>
          <t>equip_xuantiechongjian</t>
        </is>
      </c>
      <c r="C166" s="3" t="inlineStr">
        <is>
          <t>玄铁重剑</t>
        </is>
      </c>
      <c r="D166" s="3" t="n">
        <v>52000</v>
      </c>
      <c r="E166" s="3" t="n">
        <v>200</v>
      </c>
      <c r="F166" s="3" t="n">
        <v>760</v>
      </c>
      <c r="G166" s="3" t="n">
        <v>15</v>
      </c>
      <c r="H166" s="3" t="n">
        <v>58</v>
      </c>
      <c r="I166" s="3" t="n">
        <v>0</v>
      </c>
      <c r="J166" s="3" t="n">
        <v>8</v>
      </c>
      <c r="K166" s="3" t="n">
        <v>0</v>
      </c>
      <c r="L166" s="3" t="n">
        <v>0</v>
      </c>
      <c r="M166" s="6">
        <f>F166/54+G166+H166+I166+J166+L166*1.2+K166/2</f>
        <v>95.07407407407408</v>
      </c>
      <c r="N166" s="3" t="inlineStr">
        <is>
          <t>无</t>
        </is>
      </c>
      <c r="O166" s="3" t="inlineStr">
        <is>
          <t>无</t>
        </is>
      </c>
      <c r="P166" s="3" t="inlineStr">
        <is>
          <t>orange</t>
        </is>
      </c>
      <c r="Q166" s="3" t="inlineStr">
        <is>
          <t>传说/橙</t>
        </is>
      </c>
      <c r="R166" s="3" t="inlineStr">
        <is>
          <t>武器</t>
        </is>
      </c>
      <c r="S166" s="3" t="inlineStr">
        <is>
          <t>武器</t>
        </is>
      </c>
      <c r="T166" s="3" t="inlineStr">
        <is>
          <t>以玄铁铸成的重剑，剑身无锋，"重剑无锋，大巧不工"。</t>
        </is>
      </c>
      <c r="U166" s="3" t="inlineStr">
        <is>
          <t>是</t>
        </is>
      </c>
      <c r="V166" s="3" t="inlineStr">
        <is>
          <t>否</t>
        </is>
      </c>
      <c r="W166" s="3" t="inlineStr">
        <is>
          <t>equip_xuantiechongjian.png</t>
        </is>
      </c>
      <c r="X166" s="3" t="inlineStr"/>
      <c r="Y166" s="3" t="inlineStr">
        <is>
          <t>equip_weapon</t>
        </is>
      </c>
      <c r="Z166" s="3" t="inlineStr"/>
      <c r="AA166" s="3" t="inlineStr">
        <is>
          <t>无</t>
        </is>
      </c>
      <c r="AB166" s="3" t="inlineStr">
        <is>
          <t>否</t>
        </is>
      </c>
      <c r="AC166" s="3" t="inlineStr">
        <is>
          <t>否</t>
        </is>
      </c>
      <c r="AD166" s="3" t="inlineStr"/>
      <c r="AE166" s="3" t="inlineStr">
        <is>
          <t>任务宝箱装备；碎片累计兑换（任务宝箱）；竞技场随机兑换</t>
        </is>
      </c>
      <c r="AF166" s="3" t="inlineStr">
        <is>
          <t>{"hp":760,"defense":15,"force":58,"agility":8}</t>
        </is>
      </c>
      <c r="AG166" s="3" t="inlineStr">
        <is>
          <t>data/item_templates.yaml:L5847</t>
        </is>
      </c>
    </row>
    <row r="167">
      <c r="A167" s="3" t="n">
        <v>166</v>
      </c>
      <c r="B167" s="3" t="inlineStr">
        <is>
          <t>equip_xuanyuanjian</t>
        </is>
      </c>
      <c r="C167" s="3" t="inlineStr">
        <is>
          <t>轩辕剑</t>
        </is>
      </c>
      <c r="D167" s="3" t="n">
        <v>52000</v>
      </c>
      <c r="E167" s="3" t="n">
        <v>200</v>
      </c>
      <c r="F167" s="3" t="n">
        <v>538</v>
      </c>
      <c r="G167" s="3" t="n">
        <v>7</v>
      </c>
      <c r="H167" s="3" t="n">
        <v>33</v>
      </c>
      <c r="I167" s="3" t="n">
        <v>29</v>
      </c>
      <c r="J167" s="3" t="n">
        <v>0</v>
      </c>
      <c r="K167" s="3" t="n">
        <v>0</v>
      </c>
      <c r="L167" s="3" t="n">
        <v>14</v>
      </c>
      <c r="M167" s="6">
        <f>F167/54+G167+H167+I167+J167+L167*1.2+K167/2</f>
        <v>95.76296296296296</v>
      </c>
      <c r="N167" s="3" t="inlineStr">
        <is>
          <t>无</t>
        </is>
      </c>
      <c r="O167" s="3" t="inlineStr">
        <is>
          <t>无</t>
        </is>
      </c>
      <c r="P167" s="3" t="inlineStr">
        <is>
          <t>orange</t>
        </is>
      </c>
      <c r="Q167" s="3" t="inlineStr">
        <is>
          <t>传说/橙</t>
        </is>
      </c>
      <c r="R167" s="3" t="inlineStr">
        <is>
          <t>武器</t>
        </is>
      </c>
      <c r="S167" s="3" t="inlineStr">
        <is>
          <t>武器</t>
        </is>
      </c>
      <c r="T167" s="3" t="inlineStr">
        <is>
          <t>相传为黄帝轩辕所铸的圣剑，是华夏始祖的象征之物。</t>
        </is>
      </c>
      <c r="U167" s="3" t="inlineStr">
        <is>
          <t>是</t>
        </is>
      </c>
      <c r="V167" s="3" t="inlineStr">
        <is>
          <t>否</t>
        </is>
      </c>
      <c r="W167" s="3" t="inlineStr">
        <is>
          <t>equip_xuanyuanjian.png</t>
        </is>
      </c>
      <c r="X167" s="3" t="inlineStr"/>
      <c r="Y167" s="3" t="inlineStr">
        <is>
          <t>equip_weapon</t>
        </is>
      </c>
      <c r="Z167" s="3" t="inlineStr"/>
      <c r="AA167" s="3" t="inlineStr">
        <is>
          <t>无</t>
        </is>
      </c>
      <c r="AB167" s="3" t="inlineStr">
        <is>
          <t>否</t>
        </is>
      </c>
      <c r="AC167" s="3" t="inlineStr">
        <is>
          <t>否</t>
        </is>
      </c>
      <c r="AD167" s="3" t="inlineStr"/>
      <c r="AE167" s="3" t="inlineStr">
        <is>
          <t>任务宝箱装备；碎片累计兑换（任务宝箱）</t>
        </is>
      </c>
      <c r="AF167" s="3" t="inlineStr">
        <is>
          <t>{"hp":538,"defense":7,"force":33,"intellect":29,"luck":14}</t>
        </is>
      </c>
      <c r="AG167" s="3" t="inlineStr">
        <is>
          <t>data/item_templates.yaml:L5781</t>
        </is>
      </c>
    </row>
    <row r="168">
      <c r="A168" s="3" t="n">
        <v>167</v>
      </c>
      <c r="B168" s="3" t="inlineStr">
        <is>
          <t>equip_yitianjian</t>
        </is>
      </c>
      <c r="C168" s="3" t="inlineStr">
        <is>
          <t>倚天剑</t>
        </is>
      </c>
      <c r="D168" s="3" t="n">
        <v>52000</v>
      </c>
      <c r="E168" s="3" t="n">
        <v>200</v>
      </c>
      <c r="F168" s="3" t="n">
        <v>518</v>
      </c>
      <c r="G168" s="3" t="n">
        <v>3</v>
      </c>
      <c r="H168" s="3" t="n">
        <v>41</v>
      </c>
      <c r="I168" s="3" t="n">
        <v>24</v>
      </c>
      <c r="J168" s="3" t="n">
        <v>14</v>
      </c>
      <c r="K168" s="3" t="n">
        <v>0</v>
      </c>
      <c r="L168" s="3" t="n">
        <v>5</v>
      </c>
      <c r="M168" s="6">
        <f>F168/54+G168+H168+I168+J168+L168*1.2+K168/2</f>
        <v>97.5925925925926</v>
      </c>
      <c r="N168" s="3" t="inlineStr">
        <is>
          <t>无</t>
        </is>
      </c>
      <c r="O168" s="3" t="inlineStr">
        <is>
          <t>无</t>
        </is>
      </c>
      <c r="P168" s="3" t="inlineStr">
        <is>
          <t>orange</t>
        </is>
      </c>
      <c r="Q168" s="3" t="inlineStr">
        <is>
          <t>传说/橙</t>
        </is>
      </c>
      <c r="R168" s="3" t="inlineStr">
        <is>
          <t>武器</t>
        </is>
      </c>
      <c r="S168" s="3" t="inlineStr">
        <is>
          <t>武器</t>
        </is>
      </c>
      <c r="T168" s="3" t="inlineStr">
        <is>
          <t>传说中的神兵之一，与屠龙刀齐名，"倚天不出，谁与争锋"。</t>
        </is>
      </c>
      <c r="U168" s="3" t="inlineStr">
        <is>
          <t>是</t>
        </is>
      </c>
      <c r="V168" s="3" t="inlineStr">
        <is>
          <t>否</t>
        </is>
      </c>
      <c r="W168" s="3" t="inlineStr">
        <is>
          <t>equip_yitianjian.png</t>
        </is>
      </c>
      <c r="X168" s="3" t="inlineStr"/>
      <c r="Y168" s="3" t="inlineStr">
        <is>
          <t>equip_weapon</t>
        </is>
      </c>
      <c r="Z168" s="3" t="inlineStr"/>
      <c r="AA168" s="3" t="inlineStr">
        <is>
          <t>无</t>
        </is>
      </c>
      <c r="AB168" s="3" t="inlineStr">
        <is>
          <t>否</t>
        </is>
      </c>
      <c r="AC168" s="3" t="inlineStr">
        <is>
          <t>否</t>
        </is>
      </c>
      <c r="AD168" s="3" t="inlineStr"/>
      <c r="AE168" s="3" t="inlineStr">
        <is>
          <t>竞技场随机兑换</t>
        </is>
      </c>
      <c r="AF168" s="3" t="inlineStr">
        <is>
          <t>{"hp":518,"defense":3,"force":41,"intellect":24,"agility":14,"luck":5}</t>
        </is>
      </c>
      <c r="AG168" s="3" t="inlineStr">
        <is>
          <t>data/item_templates.yaml:L5731</t>
        </is>
      </c>
    </row>
    <row r="169">
      <c r="A169" s="3" t="n">
        <v>168</v>
      </c>
      <c r="B169" s="3" t="inlineStr">
        <is>
          <t>equip_yuanyuewandao</t>
        </is>
      </c>
      <c r="C169" s="3" t="inlineStr">
        <is>
          <t>圆月弯刀</t>
        </is>
      </c>
      <c r="D169" s="3" t="n">
        <v>52000</v>
      </c>
      <c r="E169" s="3" t="n">
        <v>200</v>
      </c>
      <c r="F169" s="3" t="n">
        <v>577</v>
      </c>
      <c r="G169" s="3" t="n">
        <v>9</v>
      </c>
      <c r="H169" s="3" t="n">
        <v>44</v>
      </c>
      <c r="I169" s="3" t="n">
        <v>0</v>
      </c>
      <c r="J169" s="3" t="n">
        <v>21</v>
      </c>
      <c r="K169" s="3" t="n">
        <v>0</v>
      </c>
      <c r="L169" s="3" t="n">
        <v>11</v>
      </c>
      <c r="M169" s="6">
        <f>F169/54+G169+H169+I169+J169+L169*1.2+K169/2</f>
        <v>97.8851851851852</v>
      </c>
      <c r="N169" s="3" t="inlineStr">
        <is>
          <t>无</t>
        </is>
      </c>
      <c r="O169" s="3" t="inlineStr">
        <is>
          <t>无</t>
        </is>
      </c>
      <c r="P169" s="3" t="inlineStr">
        <is>
          <t>orange</t>
        </is>
      </c>
      <c r="Q169" s="3" t="inlineStr">
        <is>
          <t>传说/橙</t>
        </is>
      </c>
      <c r="R169" s="3" t="inlineStr">
        <is>
          <t>武器</t>
        </is>
      </c>
      <c r="S169" s="3" t="inlineStr">
        <is>
          <t>武器</t>
        </is>
      </c>
      <c r="T169" s="3" t="inlineStr">
        <is>
          <t>刀身弯如圆月，上面刻着七个字：小楼昨夜听春雨。</t>
        </is>
      </c>
      <c r="U169" s="3" t="inlineStr">
        <is>
          <t>是</t>
        </is>
      </c>
      <c r="V169" s="3" t="inlineStr">
        <is>
          <t>否</t>
        </is>
      </c>
      <c r="W169" s="3" t="inlineStr">
        <is>
          <t>equip_yuanyuewandao.png</t>
        </is>
      </c>
      <c r="X169" s="3" t="inlineStr"/>
      <c r="Y169" s="3" t="inlineStr">
        <is>
          <t>equip_weapon</t>
        </is>
      </c>
      <c r="Z169" s="3" t="inlineStr"/>
      <c r="AA169" s="3" t="inlineStr">
        <is>
          <t>无</t>
        </is>
      </c>
      <c r="AB169" s="3" t="inlineStr">
        <is>
          <t>否</t>
        </is>
      </c>
      <c r="AC169" s="3" t="inlineStr">
        <is>
          <t>否</t>
        </is>
      </c>
      <c r="AD169" s="3" t="inlineStr"/>
      <c r="AE169" s="3" t="inlineStr">
        <is>
          <t>任务宝箱装备；竞技场随机兑换</t>
        </is>
      </c>
      <c r="AF169" s="3" t="inlineStr">
        <is>
          <t>{"hp":577,"defense":9,"force":44,"agility":21,"luck":11}</t>
        </is>
      </c>
      <c r="AG169" s="3" t="inlineStr">
        <is>
          <t>data/item_templates.yaml:L5925</t>
        </is>
      </c>
    </row>
    <row r="170">
      <c r="A170" s="3" t="n">
        <v>169</v>
      </c>
      <c r="B170" s="3" t="inlineStr">
        <is>
          <t>equip_zhuxianjian</t>
        </is>
      </c>
      <c r="C170" s="3" t="inlineStr">
        <is>
          <t>诛仙剑</t>
        </is>
      </c>
      <c r="D170" s="3" t="n">
        <v>52000</v>
      </c>
      <c r="E170" s="3" t="n">
        <v>200</v>
      </c>
      <c r="F170" s="3" t="n">
        <v>530</v>
      </c>
      <c r="G170" s="3" t="n">
        <v>5</v>
      </c>
      <c r="H170" s="3" t="n">
        <v>36</v>
      </c>
      <c r="I170" s="3" t="n">
        <v>28</v>
      </c>
      <c r="J170" s="3" t="n">
        <v>7</v>
      </c>
      <c r="K170" s="3" t="n">
        <v>0</v>
      </c>
      <c r="L170" s="3" t="n">
        <v>5</v>
      </c>
      <c r="M170" s="6">
        <f>F170/54+G170+H170+I170+J170+L170*1.2+K170/2</f>
        <v>91.81481481481481</v>
      </c>
      <c r="N170" s="3" t="inlineStr">
        <is>
          <t>无</t>
        </is>
      </c>
      <c r="O170" s="3" t="inlineStr">
        <is>
          <t>无</t>
        </is>
      </c>
      <c r="P170" s="3" t="inlineStr">
        <is>
          <t>orange</t>
        </is>
      </c>
      <c r="Q170" s="3" t="inlineStr">
        <is>
          <t>传说/橙</t>
        </is>
      </c>
      <c r="R170" s="3" t="inlineStr">
        <is>
          <t>武器</t>
        </is>
      </c>
      <c r="S170" s="3" t="inlineStr">
        <is>
          <t>武器</t>
        </is>
      </c>
      <c r="T170" s="3" t="inlineStr">
        <is>
          <t>传说中诛杀万仙的神剑，出自上古剑仙的遗藏。</t>
        </is>
      </c>
      <c r="U170" s="3" t="inlineStr">
        <is>
          <t>是</t>
        </is>
      </c>
      <c r="V170" s="3" t="inlineStr">
        <is>
          <t>否</t>
        </is>
      </c>
      <c r="W170" s="3" t="inlineStr">
        <is>
          <t>zhuxianjian.png</t>
        </is>
      </c>
      <c r="X170" s="3" t="inlineStr"/>
      <c r="Y170" s="3" t="inlineStr">
        <is>
          <t>equip_weapon</t>
        </is>
      </c>
      <c r="Z170" s="3" t="inlineStr"/>
      <c r="AA170" s="3" t="inlineStr">
        <is>
          <t>无</t>
        </is>
      </c>
      <c r="AB170" s="3" t="inlineStr">
        <is>
          <t>否</t>
        </is>
      </c>
      <c r="AC170" s="3" t="inlineStr">
        <is>
          <t>否</t>
        </is>
      </c>
      <c r="AD170" s="3" t="inlineStr"/>
      <c r="AE170" s="3" t="inlineStr">
        <is>
          <t>任务宝箱装备；碎片累计兑换（任务宝箱）</t>
        </is>
      </c>
      <c r="AF170" s="3" t="inlineStr">
        <is>
          <t>{"hp":530,"defense":5,"force":36,"intellect":28,"agility":7,"luck":5}</t>
        </is>
      </c>
      <c r="AG170" s="3" t="inlineStr">
        <is>
          <t>data/item_templates.yaml:L5813</t>
        </is>
      </c>
    </row>
    <row r="171">
      <c r="A171" s="3" t="n">
        <v>170</v>
      </c>
      <c r="B171" s="3" t="inlineStr">
        <is>
          <t>equip_huangbiaoma</t>
        </is>
      </c>
      <c r="C171" s="3" t="inlineStr">
        <is>
          <t>黄膘马</t>
        </is>
      </c>
      <c r="D171" s="3" t="n">
        <v>975</v>
      </c>
      <c r="E171" s="3" t="n">
        <v>75</v>
      </c>
      <c r="F171" s="3" t="n">
        <v>160</v>
      </c>
      <c r="G171" s="3" t="n">
        <v>8</v>
      </c>
      <c r="H171" s="3" t="n">
        <v>0</v>
      </c>
      <c r="I171" s="3" t="n">
        <v>0</v>
      </c>
      <c r="J171" s="3" t="n">
        <v>12</v>
      </c>
      <c r="K171" s="3" t="n">
        <v>0</v>
      </c>
      <c r="L171" s="3" t="n">
        <v>0</v>
      </c>
      <c r="M171" s="6">
        <f>F171/54+G171+H171+I171+J171+L171*1.2+K171/2</f>
        <v>22.962962962962962</v>
      </c>
      <c r="N171" s="3" t="inlineStr">
        <is>
          <t>无</t>
        </is>
      </c>
      <c r="O171" s="3" t="inlineStr">
        <is>
          <t>无</t>
        </is>
      </c>
      <c r="P171" s="3" t="inlineStr">
        <is>
          <t>black</t>
        </is>
      </c>
      <c r="Q171" s="3" t="inlineStr">
        <is>
          <t>普通/白</t>
        </is>
      </c>
      <c r="R171" s="3" t="inlineStr">
        <is>
          <t>坐骑</t>
        </is>
      </c>
      <c r="S171" s="3" t="inlineStr">
        <is>
          <t>坐骑</t>
        </is>
      </c>
      <c r="T171" s="3" t="inlineStr">
        <is>
          <t>蒙古马系列，体形并非太高大，但四肢却有力，骨骼结实，经过调训后，在战场上临危不惧，是理想的战马。</t>
        </is>
      </c>
      <c r="U171" s="3" t="inlineStr">
        <is>
          <t>是</t>
        </is>
      </c>
      <c r="V171" s="3" t="inlineStr">
        <is>
          <t>否</t>
        </is>
      </c>
      <c r="W171" s="3" t="inlineStr">
        <is>
          <t>equip_huangbiaoma.png</t>
        </is>
      </c>
      <c r="X171" s="3" t="inlineStr"/>
      <c r="Y171" s="3" t="inlineStr">
        <is>
          <t>equip_mount</t>
        </is>
      </c>
      <c r="Z171" s="3" t="inlineStr"/>
      <c r="AA171" s="3" t="inlineStr">
        <is>
          <t>无</t>
        </is>
      </c>
      <c r="AB171" s="3" t="inlineStr">
        <is>
          <t>否</t>
        </is>
      </c>
      <c r="AC171" s="3" t="inlineStr">
        <is>
          <t>否</t>
        </is>
      </c>
      <c r="AD171" s="3" t="inlineStr"/>
      <c r="AE171" s="3" t="inlineStr">
        <is>
          <t>商铺购买；宝箱随机装备；马房生产</t>
        </is>
      </c>
      <c r="AF171" s="3" t="inlineStr">
        <is>
          <t>{"hp":160,"defense":8,"agility":12}</t>
        </is>
      </c>
      <c r="AG171" s="3" t="inlineStr">
        <is>
          <t>data/item_templates.yaml:L7074</t>
        </is>
      </c>
    </row>
    <row r="172">
      <c r="A172" s="3" t="n">
        <v>171</v>
      </c>
      <c r="B172" s="3" t="inlineStr">
        <is>
          <t>equip_qingcongma</t>
        </is>
      </c>
      <c r="C172" s="3" t="inlineStr">
        <is>
          <t>青骢马</t>
        </is>
      </c>
      <c r="D172" s="3" t="n">
        <v>800</v>
      </c>
      <c r="E172" s="3" t="n">
        <v>75</v>
      </c>
      <c r="F172" s="3" t="n">
        <v>150</v>
      </c>
      <c r="G172" s="3" t="n">
        <v>5</v>
      </c>
      <c r="H172" s="3" t="n">
        <v>5</v>
      </c>
      <c r="I172" s="3" t="n">
        <v>0</v>
      </c>
      <c r="J172" s="3" t="n">
        <v>12</v>
      </c>
      <c r="K172" s="3" t="n">
        <v>0</v>
      </c>
      <c r="L172" s="3" t="n">
        <v>0</v>
      </c>
      <c r="M172" s="6">
        <f>F172/54+G172+H172+I172+J172+L172*1.2+K172/2</f>
        <v>24.77777777777778</v>
      </c>
      <c r="N172" s="3" t="inlineStr">
        <is>
          <t>无</t>
        </is>
      </c>
      <c r="O172" s="3" t="inlineStr">
        <is>
          <t>无</t>
        </is>
      </c>
      <c r="P172" s="3" t="inlineStr">
        <is>
          <t>black</t>
        </is>
      </c>
      <c r="Q172" s="3" t="inlineStr">
        <is>
          <t>普通/白</t>
        </is>
      </c>
      <c r="R172" s="3" t="inlineStr">
        <is>
          <t>坐骑</t>
        </is>
      </c>
      <c r="S172" s="3" t="inlineStr">
        <is>
          <t>坐骑</t>
        </is>
      </c>
      <c r="T172" s="3" t="inlineStr">
        <is>
          <t>毛色青白相间的良驹，常见于江南水乡的驿站马厩。</t>
        </is>
      </c>
      <c r="U172" s="3" t="inlineStr">
        <is>
          <t>是</t>
        </is>
      </c>
      <c r="V172" s="3" t="inlineStr">
        <is>
          <t>否</t>
        </is>
      </c>
      <c r="W172" s="3" t="inlineStr">
        <is>
          <t>equip_qingcongma.png</t>
        </is>
      </c>
      <c r="X172" s="3" t="inlineStr"/>
      <c r="Y172" s="3" t="inlineStr">
        <is>
          <t>equip_mount</t>
        </is>
      </c>
      <c r="Z172" s="3" t="inlineStr"/>
      <c r="AA172" s="3" t="inlineStr">
        <is>
          <t>无</t>
        </is>
      </c>
      <c r="AB172" s="3" t="inlineStr">
        <is>
          <t>否</t>
        </is>
      </c>
      <c r="AC172" s="3" t="inlineStr">
        <is>
          <t>否</t>
        </is>
      </c>
      <c r="AD172" s="3" t="inlineStr"/>
      <c r="AE172" s="3" t="inlineStr">
        <is>
          <t>宝箱随机装备</t>
        </is>
      </c>
      <c r="AF172" s="3" t="inlineStr">
        <is>
          <t>{"hp":150,"defense":5,"force":5,"agility":12}</t>
        </is>
      </c>
      <c r="AG172" s="3" t="inlineStr">
        <is>
          <t>data/item_templates.yaml:L7106</t>
        </is>
      </c>
    </row>
    <row r="173">
      <c r="A173" s="3" t="n">
        <v>172</v>
      </c>
      <c r="B173" s="3" t="inlineStr">
        <is>
          <t>equip_xiaomaolv</t>
        </is>
      </c>
      <c r="C173" s="3" t="inlineStr">
        <is>
          <t>小毛驴</t>
        </is>
      </c>
      <c r="D173" s="3" t="n">
        <v>600</v>
      </c>
      <c r="E173" s="3" t="n">
        <v>75</v>
      </c>
      <c r="F173" s="3" t="n">
        <v>80</v>
      </c>
      <c r="G173" s="3" t="n">
        <v>5</v>
      </c>
      <c r="H173" s="3" t="n">
        <v>0</v>
      </c>
      <c r="I173" s="3" t="n">
        <v>0</v>
      </c>
      <c r="J173" s="3" t="n">
        <v>10</v>
      </c>
      <c r="K173" s="3" t="n">
        <v>0</v>
      </c>
      <c r="L173" s="3" t="n">
        <v>5</v>
      </c>
      <c r="M173" s="6">
        <f>F173/54+G173+H173+I173+J173+L173*1.2+K173/2</f>
        <v>22.48148148148148</v>
      </c>
      <c r="N173" s="3" t="inlineStr">
        <is>
          <t>无</t>
        </is>
      </c>
      <c r="O173" s="3" t="inlineStr">
        <is>
          <t>无</t>
        </is>
      </c>
      <c r="P173" s="3" t="inlineStr">
        <is>
          <t>black</t>
        </is>
      </c>
      <c r="Q173" s="3" t="inlineStr">
        <is>
          <t>普通/白</t>
        </is>
      </c>
      <c r="R173" s="3" t="inlineStr">
        <is>
          <t>坐骑</t>
        </is>
      </c>
      <c r="S173" s="3" t="inlineStr">
        <is>
          <t>坐骑</t>
        </is>
      </c>
      <c r="T173" s="3" t="inlineStr">
        <is>
          <t>农家常见的代步牲口，性情温顺，脚程稳健。</t>
        </is>
      </c>
      <c r="U173" s="3" t="inlineStr">
        <is>
          <t>是</t>
        </is>
      </c>
      <c r="V173" s="3" t="inlineStr">
        <is>
          <t>否</t>
        </is>
      </c>
      <c r="W173" s="3" t="inlineStr">
        <is>
          <t>equip_xiaomaolv.png</t>
        </is>
      </c>
      <c r="X173" s="3" t="inlineStr"/>
      <c r="Y173" s="3" t="inlineStr">
        <is>
          <t>equip_mount</t>
        </is>
      </c>
      <c r="Z173" s="3" t="inlineStr"/>
      <c r="AA173" s="3" t="inlineStr">
        <is>
          <t>无</t>
        </is>
      </c>
      <c r="AB173" s="3" t="inlineStr">
        <is>
          <t>否</t>
        </is>
      </c>
      <c r="AC173" s="3" t="inlineStr">
        <is>
          <t>否</t>
        </is>
      </c>
      <c r="AD173" s="3" t="inlineStr"/>
      <c r="AE173" s="3" t="inlineStr">
        <is>
          <t>宝箱随机装备</t>
        </is>
      </c>
      <c r="AF173" s="3" t="inlineStr">
        <is>
          <t>{"hp":80,"defense":5,"agility":10,"luck":5}</t>
        </is>
      </c>
      <c r="AG173" s="3" t="inlineStr">
        <is>
          <t>data/item_templates.yaml:L7121</t>
        </is>
      </c>
    </row>
    <row r="174">
      <c r="A174" s="3" t="n">
        <v>173</v>
      </c>
      <c r="B174" s="3" t="inlineStr">
        <is>
          <t>equip_zaohongma</t>
        </is>
      </c>
      <c r="C174" s="3" t="inlineStr">
        <is>
          <t>枣红马</t>
        </is>
      </c>
      <c r="D174" s="3" t="n">
        <v>620</v>
      </c>
      <c r="E174" s="3" t="n">
        <v>75</v>
      </c>
      <c r="F174" s="3" t="n">
        <v>40</v>
      </c>
      <c r="G174" s="3" t="n">
        <v>4</v>
      </c>
      <c r="H174" s="3" t="n">
        <v>4</v>
      </c>
      <c r="I174" s="3" t="n">
        <v>0</v>
      </c>
      <c r="J174" s="3" t="n">
        <v>9</v>
      </c>
      <c r="K174" s="3" t="n">
        <v>0</v>
      </c>
      <c r="L174" s="3" t="n">
        <v>0</v>
      </c>
      <c r="M174" s="6">
        <f>F174/54+G174+H174+I174+J174+L174*1.2+K174/2</f>
        <v>17.74074074074074</v>
      </c>
      <c r="N174" s="3" t="inlineStr">
        <is>
          <t>无</t>
        </is>
      </c>
      <c r="O174" s="3" t="inlineStr">
        <is>
          <t>无</t>
        </is>
      </c>
      <c r="P174" s="3" t="inlineStr">
        <is>
          <t>black</t>
        </is>
      </c>
      <c r="Q174" s="3" t="inlineStr">
        <is>
          <t>普通/白</t>
        </is>
      </c>
      <c r="R174" s="3" t="inlineStr">
        <is>
          <t>坐骑</t>
        </is>
      </c>
      <c r="S174" s="3" t="inlineStr">
        <is>
          <t>坐骑</t>
        </is>
      </c>
      <c r="T174" s="3" t="inlineStr">
        <is>
          <t>原马系统，体形高大,背脊宽厚,紫红鬃毛,四蹄粗壮，速度快且极能负重。</t>
        </is>
      </c>
      <c r="U174" s="3" t="inlineStr">
        <is>
          <t>是</t>
        </is>
      </c>
      <c r="V174" s="3" t="inlineStr">
        <is>
          <t>否</t>
        </is>
      </c>
      <c r="W174" s="3" t="inlineStr">
        <is>
          <t>equip_zaohongma.png</t>
        </is>
      </c>
      <c r="X174" s="3" t="inlineStr"/>
      <c r="Y174" s="3" t="inlineStr">
        <is>
          <t>equip_mount</t>
        </is>
      </c>
      <c r="Z174" s="3" t="inlineStr"/>
      <c r="AA174" s="3" t="inlineStr">
        <is>
          <t>无</t>
        </is>
      </c>
      <c r="AB174" s="3" t="inlineStr">
        <is>
          <t>否</t>
        </is>
      </c>
      <c r="AC174" s="3" t="inlineStr">
        <is>
          <t>否</t>
        </is>
      </c>
      <c r="AD174" s="3" t="inlineStr"/>
      <c r="AE174" s="3" t="inlineStr">
        <is>
          <t>商铺购买；宝箱随机装备；马房生产</t>
        </is>
      </c>
      <c r="AF174" s="3" t="inlineStr">
        <is>
          <t>{"hp":40,"defense":4,"force":4,"agility":9}</t>
        </is>
      </c>
      <c r="AG174" s="3" t="inlineStr">
        <is>
          <t>data/item_templates.yaml:L7059</t>
        </is>
      </c>
    </row>
    <row r="175">
      <c r="A175" s="3" t="n">
        <v>174</v>
      </c>
      <c r="B175" s="3" t="inlineStr">
        <is>
          <t>equip_chibiao</t>
        </is>
      </c>
      <c r="C175" s="3" t="inlineStr">
        <is>
          <t>赤骠</t>
        </is>
      </c>
      <c r="D175" s="3" t="n">
        <v>2000</v>
      </c>
      <c r="E175" s="3" t="n">
        <v>100</v>
      </c>
      <c r="F175" s="3" t="n">
        <v>250</v>
      </c>
      <c r="G175" s="3" t="n">
        <v>5</v>
      </c>
      <c r="H175" s="3" t="n">
        <v>10</v>
      </c>
      <c r="I175" s="3" t="n">
        <v>0</v>
      </c>
      <c r="J175" s="3" t="n">
        <v>20</v>
      </c>
      <c r="K175" s="3" t="n">
        <v>0</v>
      </c>
      <c r="L175" s="3" t="n">
        <v>0</v>
      </c>
      <c r="M175" s="6">
        <f>F175/54+G175+H175+I175+J175+L175*1.2+K175/2</f>
        <v>39.62962962962963</v>
      </c>
      <c r="N175" s="3" t="inlineStr">
        <is>
          <t>无</t>
        </is>
      </c>
      <c r="O175" s="3" t="inlineStr">
        <is>
          <t>无</t>
        </is>
      </c>
      <c r="P175" s="3" t="inlineStr">
        <is>
          <t>green</t>
        </is>
      </c>
      <c r="Q175" s="3" t="inlineStr">
        <is>
          <t>优秀/绿</t>
        </is>
      </c>
      <c r="R175" s="3" t="inlineStr">
        <is>
          <t>坐骑</t>
        </is>
      </c>
      <c r="S175" s="3" t="inlineStr">
        <is>
          <t>坐骑</t>
        </is>
      </c>
      <c r="T175" s="3" t="inlineStr">
        <is>
          <t>通体枣红的战马，据传是某位将军征战沙场的坐骑。</t>
        </is>
      </c>
      <c r="U175" s="3" t="inlineStr">
        <is>
          <t>是</t>
        </is>
      </c>
      <c r="V175" s="3" t="inlineStr">
        <is>
          <t>否</t>
        </is>
      </c>
      <c r="W175" s="3" t="inlineStr">
        <is>
          <t>equip_chibiao.png</t>
        </is>
      </c>
      <c r="X175" s="3" t="inlineStr"/>
      <c r="Y175" s="3" t="inlineStr">
        <is>
          <t>equip_mount</t>
        </is>
      </c>
      <c r="Z175" s="3" t="inlineStr"/>
      <c r="AA175" s="3" t="inlineStr">
        <is>
          <t>无</t>
        </is>
      </c>
      <c r="AB175" s="3" t="inlineStr">
        <is>
          <t>否</t>
        </is>
      </c>
      <c r="AC175" s="3" t="inlineStr">
        <is>
          <t>否</t>
        </is>
      </c>
      <c r="AD175" s="3" t="inlineStr"/>
      <c r="AE175" s="3" t="inlineStr">
        <is>
          <t>任务宝箱装备</t>
        </is>
      </c>
      <c r="AF175" s="3" t="inlineStr">
        <is>
          <t>{"hp":250,"defense":5,"force":10,"agility":20}</t>
        </is>
      </c>
      <c r="AG175" s="3" t="inlineStr">
        <is>
          <t>data/item_templates.yaml:L7195</t>
        </is>
      </c>
    </row>
    <row r="176">
      <c r="A176" s="3" t="n">
        <v>175</v>
      </c>
      <c r="B176" s="3" t="inlineStr">
        <is>
          <t>equip_dawanma</t>
        </is>
      </c>
      <c r="C176" s="3" t="inlineStr">
        <is>
          <t>大宛马</t>
        </is>
      </c>
      <c r="D176" s="3" t="n">
        <v>1500</v>
      </c>
      <c r="E176" s="3" t="n">
        <v>100</v>
      </c>
      <c r="F176" s="3" t="n">
        <v>160</v>
      </c>
      <c r="G176" s="3" t="n">
        <v>4</v>
      </c>
      <c r="H176" s="3" t="n">
        <v>0</v>
      </c>
      <c r="I176" s="3" t="n">
        <v>0</v>
      </c>
      <c r="J176" s="3" t="n">
        <v>16</v>
      </c>
      <c r="K176" s="3" t="n">
        <v>0</v>
      </c>
      <c r="L176" s="3" t="n">
        <v>0</v>
      </c>
      <c r="M176" s="6">
        <f>F176/54+G176+H176+I176+J176+L176*1.2+K176/2</f>
        <v>22.962962962962962</v>
      </c>
      <c r="N176" s="3" t="inlineStr">
        <is>
          <t>无</t>
        </is>
      </c>
      <c r="O176" s="3" t="inlineStr">
        <is>
          <t>无</t>
        </is>
      </c>
      <c r="P176" s="3" t="inlineStr">
        <is>
          <t>green</t>
        </is>
      </c>
      <c r="Q176" s="3" t="inlineStr">
        <is>
          <t>优秀/绿</t>
        </is>
      </c>
      <c r="R176" s="3" t="inlineStr">
        <is>
          <t>坐骑</t>
        </is>
      </c>
      <c r="S176" s="3" t="inlineStr">
        <is>
          <t>坐骑</t>
        </is>
      </c>
      <c r="T176" s="3" t="inlineStr">
        <is>
          <t>产自中亚费尔干纳盆地的稀有马种，其纯血种也称为汗血马，耐力奇佳，但育种饲养难度极大。</t>
        </is>
      </c>
      <c r="U176" s="3" t="inlineStr">
        <is>
          <t>是</t>
        </is>
      </c>
      <c r="V176" s="3" t="inlineStr">
        <is>
          <t>否</t>
        </is>
      </c>
      <c r="W176" s="3" t="inlineStr">
        <is>
          <t>equip_dawanma.png</t>
        </is>
      </c>
      <c r="X176" s="3" t="inlineStr"/>
      <c r="Y176" s="3" t="inlineStr">
        <is>
          <t>equip_mount</t>
        </is>
      </c>
      <c r="Z176" s="3" t="inlineStr"/>
      <c r="AA176" s="3" t="inlineStr">
        <is>
          <t>无</t>
        </is>
      </c>
      <c r="AB176" s="3" t="inlineStr">
        <is>
          <t>否</t>
        </is>
      </c>
      <c r="AC176" s="3" t="inlineStr">
        <is>
          <t>否</t>
        </is>
      </c>
      <c r="AD176" s="3" t="inlineStr"/>
      <c r="AE176" s="3" t="inlineStr">
        <is>
          <t>商铺购买；宝箱随机装备；马房生产</t>
        </is>
      </c>
      <c r="AF176" s="3" t="inlineStr">
        <is>
          <t>{"hp":160,"defense":4,"agility":16}</t>
        </is>
      </c>
      <c r="AG176" s="3" t="inlineStr">
        <is>
          <t>data/item_templates.yaml:L7088</t>
        </is>
      </c>
    </row>
    <row r="177">
      <c r="A177" s="3" t="n">
        <v>176</v>
      </c>
      <c r="B177" s="3" t="inlineStr">
        <is>
          <t>equip_mengguma</t>
        </is>
      </c>
      <c r="C177" s="3" t="inlineStr">
        <is>
          <t>蒙古马</t>
        </is>
      </c>
      <c r="D177" s="3" t="n">
        <v>2000</v>
      </c>
      <c r="E177" s="3" t="n">
        <v>100</v>
      </c>
      <c r="F177" s="3" t="n">
        <v>250</v>
      </c>
      <c r="G177" s="3" t="n">
        <v>8</v>
      </c>
      <c r="H177" s="3" t="n">
        <v>5</v>
      </c>
      <c r="I177" s="3" t="n">
        <v>0</v>
      </c>
      <c r="J177" s="3" t="n">
        <v>20</v>
      </c>
      <c r="K177" s="3" t="n">
        <v>0</v>
      </c>
      <c r="L177" s="3" t="n">
        <v>0</v>
      </c>
      <c r="M177" s="6">
        <f>F177/54+G177+H177+I177+J177+L177*1.2+K177/2</f>
        <v>37.62962962962963</v>
      </c>
      <c r="N177" s="3" t="inlineStr">
        <is>
          <t>无</t>
        </is>
      </c>
      <c r="O177" s="3" t="inlineStr">
        <is>
          <t>无</t>
        </is>
      </c>
      <c r="P177" s="3" t="inlineStr">
        <is>
          <t>green</t>
        </is>
      </c>
      <c r="Q177" s="3" t="inlineStr">
        <is>
          <t>优秀/绿</t>
        </is>
      </c>
      <c r="R177" s="3" t="inlineStr">
        <is>
          <t>坐骑</t>
        </is>
      </c>
      <c r="S177" s="3" t="inlineStr">
        <is>
          <t>坐骑</t>
        </is>
      </c>
      <c r="T177" s="3" t="inlineStr">
        <is>
          <t>草原民族世代相传的马种，矮小精悍，耐寒耐饥。</t>
        </is>
      </c>
      <c r="U177" s="3" t="inlineStr">
        <is>
          <t>是</t>
        </is>
      </c>
      <c r="V177" s="3" t="inlineStr">
        <is>
          <t>否</t>
        </is>
      </c>
      <c r="W177" s="3" t="inlineStr">
        <is>
          <t>equip_mengguma.png</t>
        </is>
      </c>
      <c r="X177" s="3" t="inlineStr"/>
      <c r="Y177" s="3" t="inlineStr">
        <is>
          <t>equip_mount</t>
        </is>
      </c>
      <c r="Z177" s="3" t="inlineStr"/>
      <c r="AA177" s="3" t="inlineStr">
        <is>
          <t>无</t>
        </is>
      </c>
      <c r="AB177" s="3" t="inlineStr">
        <is>
          <t>否</t>
        </is>
      </c>
      <c r="AC177" s="3" t="inlineStr">
        <is>
          <t>否</t>
        </is>
      </c>
      <c r="AD177" s="3" t="inlineStr"/>
      <c r="AE177" s="3" t="inlineStr">
        <is>
          <t>任务宝箱装备</t>
        </is>
      </c>
      <c r="AF177" s="3" t="inlineStr">
        <is>
          <t>{"hp":250,"defense":8,"force":5,"agility":20}</t>
        </is>
      </c>
      <c r="AG177" s="3" t="inlineStr">
        <is>
          <t>data/item_templates.yaml:L7153</t>
        </is>
      </c>
    </row>
    <row r="178">
      <c r="A178" s="3" t="n">
        <v>177</v>
      </c>
      <c r="B178" s="3" t="inlineStr">
        <is>
          <t>equip_qingzongma</t>
        </is>
      </c>
      <c r="C178" s="3" t="inlineStr">
        <is>
          <t>青鬃马</t>
        </is>
      </c>
      <c r="D178" s="3" t="n">
        <v>2000</v>
      </c>
      <c r="E178" s="3" t="n">
        <v>100</v>
      </c>
      <c r="F178" s="3" t="n">
        <v>200</v>
      </c>
      <c r="G178" s="3" t="n">
        <v>10</v>
      </c>
      <c r="H178" s="3" t="n">
        <v>0</v>
      </c>
      <c r="I178" s="3" t="n">
        <v>0</v>
      </c>
      <c r="J178" s="3" t="n">
        <v>25</v>
      </c>
      <c r="K178" s="3" t="n">
        <v>0</v>
      </c>
      <c r="L178" s="3" t="n">
        <v>0</v>
      </c>
      <c r="M178" s="6">
        <f>F178/54+G178+H178+I178+J178+L178*1.2+K178/2</f>
        <v>38.7037037037037</v>
      </c>
      <c r="N178" s="3" t="inlineStr">
        <is>
          <t>无</t>
        </is>
      </c>
      <c r="O178" s="3" t="inlineStr">
        <is>
          <t>无</t>
        </is>
      </c>
      <c r="P178" s="3" t="inlineStr">
        <is>
          <t>green</t>
        </is>
      </c>
      <c r="Q178" s="3" t="inlineStr">
        <is>
          <t>优秀/绿</t>
        </is>
      </c>
      <c r="R178" s="3" t="inlineStr">
        <is>
          <t>坐骑</t>
        </is>
      </c>
      <c r="S178" s="3" t="inlineStr">
        <is>
          <t>坐骑</t>
        </is>
      </c>
      <c r="T178" s="3" t="inlineStr">
        <is>
          <t>鬃毛青亮如丝的骏马，是官府驿站的上等马匹。</t>
        </is>
      </c>
      <c r="U178" s="3" t="inlineStr">
        <is>
          <t>是</t>
        </is>
      </c>
      <c r="V178" s="3" t="inlineStr">
        <is>
          <t>否</t>
        </is>
      </c>
      <c r="W178" s="3" t="inlineStr">
        <is>
          <t>equip_qingzongma.png</t>
        </is>
      </c>
      <c r="X178" s="3" t="inlineStr"/>
      <c r="Y178" s="3" t="inlineStr">
        <is>
          <t>equip_mount</t>
        </is>
      </c>
      <c r="Z178" s="3" t="inlineStr"/>
      <c r="AA178" s="3" t="inlineStr">
        <is>
          <t>无</t>
        </is>
      </c>
      <c r="AB178" s="3" t="inlineStr">
        <is>
          <t>否</t>
        </is>
      </c>
      <c r="AC178" s="3" t="inlineStr">
        <is>
          <t>否</t>
        </is>
      </c>
      <c r="AD178" s="3" t="inlineStr"/>
      <c r="AE178" s="3" t="inlineStr">
        <is>
          <t>任务宝箱装备</t>
        </is>
      </c>
      <c r="AF178" s="3" t="inlineStr">
        <is>
          <t>{"hp":200,"defense":10,"agility":25}</t>
        </is>
      </c>
      <c r="AG178" s="3" t="inlineStr">
        <is>
          <t>data/item_templates.yaml:L7181</t>
        </is>
      </c>
    </row>
    <row r="179">
      <c r="A179" s="3" t="n">
        <v>178</v>
      </c>
      <c r="B179" s="3" t="inlineStr">
        <is>
          <t>equip_taxuema</t>
        </is>
      </c>
      <c r="C179" s="3" t="inlineStr">
        <is>
          <t>踏雪马</t>
        </is>
      </c>
      <c r="D179" s="3" t="n">
        <v>2000</v>
      </c>
      <c r="E179" s="3" t="n">
        <v>100</v>
      </c>
      <c r="F179" s="3" t="n">
        <v>0</v>
      </c>
      <c r="G179" s="3" t="n">
        <v>5</v>
      </c>
      <c r="H179" s="3" t="n">
        <v>0</v>
      </c>
      <c r="I179" s="3" t="n">
        <v>0</v>
      </c>
      <c r="J179" s="3" t="n">
        <v>35</v>
      </c>
      <c r="K179" s="3" t="n">
        <v>0</v>
      </c>
      <c r="L179" s="3" t="n">
        <v>0</v>
      </c>
      <c r="M179" s="6">
        <f>F179/54+G179+H179+I179+J179+L179*1.2+K179/2</f>
        <v>40.0</v>
      </c>
      <c r="N179" s="3" t="inlineStr">
        <is>
          <t>无</t>
        </is>
      </c>
      <c r="O179" s="3" t="inlineStr">
        <is>
          <t>无</t>
        </is>
      </c>
      <c r="P179" s="3" t="inlineStr">
        <is>
          <t>green</t>
        </is>
      </c>
      <c r="Q179" s="3" t="inlineStr">
        <is>
          <t>优秀/绿</t>
        </is>
      </c>
      <c r="R179" s="3" t="inlineStr">
        <is>
          <t>坐骑</t>
        </is>
      </c>
      <c r="S179" s="3" t="inlineStr">
        <is>
          <t>坐骑</t>
        </is>
      </c>
      <c r="T179" s="3" t="inlineStr">
        <is>
          <t>毛色雪白的骏马，据传可在雪地上飞奔如履平地。</t>
        </is>
      </c>
      <c r="U179" s="3" t="inlineStr">
        <is>
          <t>是</t>
        </is>
      </c>
      <c r="V179" s="3" t="inlineStr">
        <is>
          <t>否</t>
        </is>
      </c>
      <c r="W179" s="3" t="inlineStr">
        <is>
          <t>equip_taxuema.png</t>
        </is>
      </c>
      <c r="X179" s="3" t="inlineStr"/>
      <c r="Y179" s="3" t="inlineStr">
        <is>
          <t>equip_mount</t>
        </is>
      </c>
      <c r="Z179" s="3" t="inlineStr"/>
      <c r="AA179" s="3" t="inlineStr">
        <is>
          <t>无</t>
        </is>
      </c>
      <c r="AB179" s="3" t="inlineStr">
        <is>
          <t>否</t>
        </is>
      </c>
      <c r="AC179" s="3" t="inlineStr">
        <is>
          <t>否</t>
        </is>
      </c>
      <c r="AD179" s="3" t="inlineStr"/>
      <c r="AE179" s="3" t="inlineStr">
        <is>
          <t>任务宝箱装备</t>
        </is>
      </c>
      <c r="AF179" s="3" t="inlineStr">
        <is>
          <t>{"defense":5,"agility":35}</t>
        </is>
      </c>
      <c r="AG179" s="3" t="inlineStr">
        <is>
          <t>data/item_templates.yaml:L7168</t>
        </is>
      </c>
    </row>
    <row r="180">
      <c r="A180" s="3" t="n">
        <v>179</v>
      </c>
      <c r="B180" s="3" t="inlineStr">
        <is>
          <t>equip_xiliangma</t>
        </is>
      </c>
      <c r="C180" s="3" t="inlineStr">
        <is>
          <t>西凉马</t>
        </is>
      </c>
      <c r="D180" s="3" t="n">
        <v>2000</v>
      </c>
      <c r="E180" s="3" t="n">
        <v>100</v>
      </c>
      <c r="F180" s="3" t="n">
        <v>200</v>
      </c>
      <c r="G180" s="3" t="n">
        <v>5</v>
      </c>
      <c r="H180" s="3" t="n">
        <v>10</v>
      </c>
      <c r="I180" s="3" t="n">
        <v>0</v>
      </c>
      <c r="J180" s="3" t="n">
        <v>25</v>
      </c>
      <c r="K180" s="3" t="n">
        <v>0</v>
      </c>
      <c r="L180" s="3" t="n">
        <v>0</v>
      </c>
      <c r="M180" s="6">
        <f>F180/54+G180+H180+I180+J180+L180*1.2+K180/2</f>
        <v>43.7037037037037</v>
      </c>
      <c r="N180" s="3" t="inlineStr">
        <is>
          <t>无</t>
        </is>
      </c>
      <c r="O180" s="3" t="inlineStr">
        <is>
          <t>无</t>
        </is>
      </c>
      <c r="P180" s="3" t="inlineStr">
        <is>
          <t>green</t>
        </is>
      </c>
      <c r="Q180" s="3" t="inlineStr">
        <is>
          <t>优秀/绿</t>
        </is>
      </c>
      <c r="R180" s="3" t="inlineStr">
        <is>
          <t>坐骑</t>
        </is>
      </c>
      <c r="S180" s="3" t="inlineStr">
        <is>
          <t>坐骑</t>
        </is>
      </c>
      <c r="T180" s="3" t="inlineStr">
        <is>
          <t>产自西凉边塞的战马，历经风沙磨砺，耐力惊人。</t>
        </is>
      </c>
      <c r="U180" s="3" t="inlineStr">
        <is>
          <t>是</t>
        </is>
      </c>
      <c r="V180" s="3" t="inlineStr">
        <is>
          <t>否</t>
        </is>
      </c>
      <c r="W180" s="3" t="inlineStr">
        <is>
          <t>equip_xiliangma.png</t>
        </is>
      </c>
      <c r="X180" s="3" t="inlineStr"/>
      <c r="Y180" s="3" t="inlineStr">
        <is>
          <t>equip_mount</t>
        </is>
      </c>
      <c r="Z180" s="3" t="inlineStr"/>
      <c r="AA180" s="3" t="inlineStr">
        <is>
          <t>无</t>
        </is>
      </c>
      <c r="AB180" s="3" t="inlineStr">
        <is>
          <t>否</t>
        </is>
      </c>
      <c r="AC180" s="3" t="inlineStr">
        <is>
          <t>否</t>
        </is>
      </c>
      <c r="AD180" s="3" t="inlineStr"/>
      <c r="AE180" s="3" t="inlineStr">
        <is>
          <t>任务宝箱装备</t>
        </is>
      </c>
      <c r="AF180" s="3" t="inlineStr">
        <is>
          <t>{"hp":200,"defense":5,"force":10,"agility":25}</t>
        </is>
      </c>
      <c r="AG180" s="3" t="inlineStr">
        <is>
          <t>data/item_templates.yaml:L7138</t>
        </is>
      </c>
    </row>
    <row r="181">
      <c r="A181" s="3" t="n">
        <v>180</v>
      </c>
      <c r="B181" s="3" t="inlineStr">
        <is>
          <t>equip_bailongju</t>
        </is>
      </c>
      <c r="C181" s="3" t="inlineStr">
        <is>
          <t>白龙驹</t>
        </is>
      </c>
      <c r="D181" s="3" t="n">
        <v>6000</v>
      </c>
      <c r="E181" s="3" t="n">
        <v>125</v>
      </c>
      <c r="F181" s="3" t="n">
        <v>270</v>
      </c>
      <c r="G181" s="3" t="n">
        <v>15</v>
      </c>
      <c r="H181" s="3" t="n">
        <v>0</v>
      </c>
      <c r="I181" s="3" t="n">
        <v>0</v>
      </c>
      <c r="J181" s="3" t="n">
        <v>25</v>
      </c>
      <c r="K181" s="3" t="n">
        <v>0</v>
      </c>
      <c r="L181" s="3" t="n">
        <v>15</v>
      </c>
      <c r="M181" s="6">
        <f>F181/54+G181+H181+I181+J181+L181*1.2+K181/2</f>
        <v>63.0</v>
      </c>
      <c r="N181" s="3" t="inlineStr">
        <is>
          <t>无</t>
        </is>
      </c>
      <c r="O181" s="3" t="inlineStr">
        <is>
          <t>无</t>
        </is>
      </c>
      <c r="P181" s="3" t="inlineStr">
        <is>
          <t>blue</t>
        </is>
      </c>
      <c r="Q181" s="3" t="inlineStr">
        <is>
          <t>稀有/蓝</t>
        </is>
      </c>
      <c r="R181" s="3" t="inlineStr">
        <is>
          <t>坐骑</t>
        </is>
      </c>
      <c r="S181" s="3" t="inlineStr">
        <is>
          <t>坐骑</t>
        </is>
      </c>
      <c r="T181" s="3" t="inlineStr">
        <is>
          <t>通体雪白的神骏，据传是白龙马的后代。</t>
        </is>
      </c>
      <c r="U181" s="3" t="inlineStr">
        <is>
          <t>是</t>
        </is>
      </c>
      <c r="V181" s="3" t="inlineStr">
        <is>
          <t>否</t>
        </is>
      </c>
      <c r="W181" s="3" t="inlineStr">
        <is>
          <t>equip_bailongju.png</t>
        </is>
      </c>
      <c r="X181" s="3" t="inlineStr"/>
      <c r="Y181" s="3" t="inlineStr">
        <is>
          <t>equip_mount</t>
        </is>
      </c>
      <c r="Z181" s="3" t="inlineStr"/>
      <c r="AA181" s="3" t="inlineStr">
        <is>
          <t>无</t>
        </is>
      </c>
      <c r="AB181" s="3" t="inlineStr">
        <is>
          <t>否</t>
        </is>
      </c>
      <c r="AC181" s="3" t="inlineStr">
        <is>
          <t>否</t>
        </is>
      </c>
      <c r="AD181" s="3" t="inlineStr"/>
      <c r="AE181" s="3" t="inlineStr">
        <is>
          <t>任务宝箱装备</t>
        </is>
      </c>
      <c r="AF181" s="3" t="inlineStr">
        <is>
          <t>{"hp":270,"defense":15,"agility":25,"luck":15}</t>
        </is>
      </c>
      <c r="AG181" s="3" t="inlineStr">
        <is>
          <t>data/item_templates.yaml:L7286</t>
        </is>
      </c>
    </row>
    <row r="182">
      <c r="A182" s="3" t="n">
        <v>181</v>
      </c>
      <c r="B182" s="3" t="inlineStr">
        <is>
          <t>equip_feiyunzui</t>
        </is>
      </c>
      <c r="C182" s="3" t="inlineStr">
        <is>
          <t>飞云锥</t>
        </is>
      </c>
      <c r="D182" s="3" t="n">
        <v>6000</v>
      </c>
      <c r="E182" s="3" t="n">
        <v>125</v>
      </c>
      <c r="F182" s="3" t="n">
        <v>245</v>
      </c>
      <c r="G182" s="3" t="n">
        <v>10</v>
      </c>
      <c r="H182" s="3" t="n">
        <v>5</v>
      </c>
      <c r="I182" s="3" t="n">
        <v>0</v>
      </c>
      <c r="J182" s="3" t="n">
        <v>40</v>
      </c>
      <c r="K182" s="3" t="n">
        <v>0</v>
      </c>
      <c r="L182" s="3" t="n">
        <v>0</v>
      </c>
      <c r="M182" s="6">
        <f>F182/54+G182+H182+I182+J182+L182*1.2+K182/2</f>
        <v>59.53703703703704</v>
      </c>
      <c r="N182" s="3" t="inlineStr">
        <is>
          <t>无</t>
        </is>
      </c>
      <c r="O182" s="3" t="inlineStr">
        <is>
          <t>无</t>
        </is>
      </c>
      <c r="P182" s="3" t="inlineStr">
        <is>
          <t>blue</t>
        </is>
      </c>
      <c r="Q182" s="3" t="inlineStr">
        <is>
          <t>稀有/蓝</t>
        </is>
      </c>
      <c r="R182" s="3" t="inlineStr">
        <is>
          <t>坐骑</t>
        </is>
      </c>
      <c r="S182" s="3" t="inlineStr">
        <is>
          <t>坐骑</t>
        </is>
      </c>
      <c r="T182" s="3" t="inlineStr">
        <is>
          <t>奔跑时如云飞逝的骏马，是镖局押运的首选坐骑。</t>
        </is>
      </c>
      <c r="U182" s="3" t="inlineStr">
        <is>
          <t>是</t>
        </is>
      </c>
      <c r="V182" s="3" t="inlineStr">
        <is>
          <t>否</t>
        </is>
      </c>
      <c r="W182" s="3" t="inlineStr">
        <is>
          <t>equip_feiyunzui.png</t>
        </is>
      </c>
      <c r="X182" s="3" t="inlineStr"/>
      <c r="Y182" s="3" t="inlineStr">
        <is>
          <t>equip_mount</t>
        </is>
      </c>
      <c r="Z182" s="3" t="inlineStr"/>
      <c r="AA182" s="3" t="inlineStr">
        <is>
          <t>无</t>
        </is>
      </c>
      <c r="AB182" s="3" t="inlineStr">
        <is>
          <t>否</t>
        </is>
      </c>
      <c r="AC182" s="3" t="inlineStr">
        <is>
          <t>否</t>
        </is>
      </c>
      <c r="AD182" s="3" t="inlineStr"/>
      <c r="AE182" s="3" t="inlineStr">
        <is>
          <t>任务宝箱装备</t>
        </is>
      </c>
      <c r="AF182" s="3" t="inlineStr">
        <is>
          <t>{"hp":245,"defense":10,"force":5,"agility":40}</t>
        </is>
      </c>
      <c r="AG182" s="3" t="inlineStr">
        <is>
          <t>data/item_templates.yaml:L7212</t>
        </is>
      </c>
    </row>
    <row r="183">
      <c r="A183" s="3" t="n">
        <v>182</v>
      </c>
      <c r="B183" s="3" t="inlineStr">
        <is>
          <t>equip_juanmaochitu</t>
        </is>
      </c>
      <c r="C183" s="3" t="inlineStr">
        <is>
          <t>卷毛赤兔</t>
        </is>
      </c>
      <c r="D183" s="3" t="n">
        <v>6000</v>
      </c>
      <c r="E183" s="3" t="n">
        <v>125</v>
      </c>
      <c r="F183" s="3" t="n">
        <v>300</v>
      </c>
      <c r="G183" s="3" t="n">
        <v>13</v>
      </c>
      <c r="H183" s="3" t="n">
        <v>5</v>
      </c>
      <c r="I183" s="3" t="n">
        <v>0</v>
      </c>
      <c r="J183" s="3" t="n">
        <v>35</v>
      </c>
      <c r="K183" s="3" t="n">
        <v>0</v>
      </c>
      <c r="L183" s="3" t="n">
        <v>0</v>
      </c>
      <c r="M183" s="6">
        <f>F183/54+G183+H183+I183+J183+L183*1.2+K183/2</f>
        <v>58.55555555555556</v>
      </c>
      <c r="N183" s="3" t="inlineStr">
        <is>
          <t>无</t>
        </is>
      </c>
      <c r="O183" s="3" t="inlineStr">
        <is>
          <t>无</t>
        </is>
      </c>
      <c r="P183" s="3" t="inlineStr">
        <is>
          <t>blue</t>
        </is>
      </c>
      <c r="Q183" s="3" t="inlineStr">
        <is>
          <t>稀有/蓝</t>
        </is>
      </c>
      <c r="R183" s="3" t="inlineStr">
        <is>
          <t>坐骑</t>
        </is>
      </c>
      <c r="S183" s="3" t="inlineStr">
        <is>
          <t>坐骑</t>
        </is>
      </c>
      <c r="T183" s="3" t="inlineStr">
        <is>
          <t>鬃毛卷曲的赤红骏马，据传与赤兔马同出一源。</t>
        </is>
      </c>
      <c r="U183" s="3" t="inlineStr">
        <is>
          <t>是</t>
        </is>
      </c>
      <c r="V183" s="3" t="inlineStr">
        <is>
          <t>否</t>
        </is>
      </c>
      <c r="W183" s="3" t="inlineStr">
        <is>
          <t>equip_juanmaochitu.png</t>
        </is>
      </c>
      <c r="X183" s="3" t="inlineStr"/>
      <c r="Y183" s="3" t="inlineStr">
        <is>
          <t>equip_mount</t>
        </is>
      </c>
      <c r="Z183" s="3" t="inlineStr"/>
      <c r="AA183" s="3" t="inlineStr">
        <is>
          <t>无</t>
        </is>
      </c>
      <c r="AB183" s="3" t="inlineStr">
        <is>
          <t>否</t>
        </is>
      </c>
      <c r="AC183" s="3" t="inlineStr">
        <is>
          <t>否</t>
        </is>
      </c>
      <c r="AD183" s="3" t="inlineStr"/>
      <c r="AE183" s="3" t="inlineStr">
        <is>
          <t>任务宝箱装备</t>
        </is>
      </c>
      <c r="AF183" s="3" t="inlineStr">
        <is>
          <t>{"hp":300,"defense":13,"force":5,"agility":35}</t>
        </is>
      </c>
      <c r="AG183" s="3" t="inlineStr">
        <is>
          <t>data/item_templates.yaml:L7242</t>
        </is>
      </c>
    </row>
    <row r="184">
      <c r="A184" s="3" t="n">
        <v>183</v>
      </c>
      <c r="B184" s="3" t="inlineStr">
        <is>
          <t>equip_qianliju</t>
        </is>
      </c>
      <c r="C184" s="3" t="inlineStr">
        <is>
          <t>千里驹</t>
        </is>
      </c>
      <c r="D184" s="3" t="n">
        <v>6000</v>
      </c>
      <c r="E184" s="3" t="n">
        <v>125</v>
      </c>
      <c r="F184" s="3" t="n">
        <v>235</v>
      </c>
      <c r="G184" s="3" t="n">
        <v>11</v>
      </c>
      <c r="H184" s="3" t="n">
        <v>0</v>
      </c>
      <c r="I184" s="3" t="n">
        <v>0</v>
      </c>
      <c r="J184" s="3" t="n">
        <v>40</v>
      </c>
      <c r="K184" s="3" t="n">
        <v>0</v>
      </c>
      <c r="L184" s="3" t="n">
        <v>0</v>
      </c>
      <c r="M184" s="6">
        <f>F184/54+G184+H184+I184+J184+L184*1.2+K184/2</f>
        <v>55.35185185185185</v>
      </c>
      <c r="N184" s="3" t="inlineStr">
        <is>
          <t>无</t>
        </is>
      </c>
      <c r="O184" s="3" t="inlineStr">
        <is>
          <t>无</t>
        </is>
      </c>
      <c r="P184" s="3" t="inlineStr">
        <is>
          <t>blue</t>
        </is>
      </c>
      <c r="Q184" s="3" t="inlineStr">
        <is>
          <t>稀有/蓝</t>
        </is>
      </c>
      <c r="R184" s="3" t="inlineStr">
        <is>
          <t>坐骑</t>
        </is>
      </c>
      <c r="S184" s="3" t="inlineStr">
        <is>
          <t>坐骑</t>
        </is>
      </c>
      <c r="T184" s="3" t="inlineStr">
        <is>
          <t>日行千里的骏马，是古代驿站八百里加急的专用马匹。</t>
        </is>
      </c>
      <c r="U184" s="3" t="inlineStr">
        <is>
          <t>是</t>
        </is>
      </c>
      <c r="V184" s="3" t="inlineStr">
        <is>
          <t>否</t>
        </is>
      </c>
      <c r="W184" s="3" t="inlineStr">
        <is>
          <t>equip_qianliju.png</t>
        </is>
      </c>
      <c r="X184" s="3" t="inlineStr"/>
      <c r="Y184" s="3" t="inlineStr">
        <is>
          <t>equip_mount</t>
        </is>
      </c>
      <c r="Z184" s="3" t="inlineStr"/>
      <c r="AA184" s="3" t="inlineStr">
        <is>
          <t>无</t>
        </is>
      </c>
      <c r="AB184" s="3" t="inlineStr">
        <is>
          <t>否</t>
        </is>
      </c>
      <c r="AC184" s="3" t="inlineStr">
        <is>
          <t>否</t>
        </is>
      </c>
      <c r="AD184" s="3" t="inlineStr"/>
      <c r="AE184" s="3" t="inlineStr">
        <is>
          <t>任务宝箱装备</t>
        </is>
      </c>
      <c r="AF184" s="3" t="inlineStr">
        <is>
          <t>{"hp":235,"defense":11,"agility":40}</t>
        </is>
      </c>
      <c r="AG184" s="3" t="inlineStr">
        <is>
          <t>data/item_templates.yaml:L7257</t>
        </is>
      </c>
    </row>
    <row r="185">
      <c r="A185" s="3" t="n">
        <v>184</v>
      </c>
      <c r="B185" s="3" t="inlineStr">
        <is>
          <t>equip_zhaoyeyushizi</t>
        </is>
      </c>
      <c r="C185" s="3" t="inlineStr">
        <is>
          <t>照夜玉狮子</t>
        </is>
      </c>
      <c r="D185" s="3" t="n">
        <v>6000</v>
      </c>
      <c r="E185" s="3" t="n">
        <v>125</v>
      </c>
      <c r="F185" s="3" t="n">
        <v>270</v>
      </c>
      <c r="G185" s="3" t="n">
        <v>15</v>
      </c>
      <c r="H185" s="3" t="n">
        <v>13</v>
      </c>
      <c r="I185" s="3" t="n">
        <v>0</v>
      </c>
      <c r="J185" s="3" t="n">
        <v>33</v>
      </c>
      <c r="K185" s="3" t="n">
        <v>0</v>
      </c>
      <c r="L185" s="3" t="n">
        <v>0</v>
      </c>
      <c r="M185" s="6">
        <f>F185/54+G185+H185+I185+J185+L185*1.2+K185/2</f>
        <v>66.0</v>
      </c>
      <c r="N185" s="3" t="inlineStr">
        <is>
          <t>无</t>
        </is>
      </c>
      <c r="O185" s="3" t="inlineStr">
        <is>
          <t>无</t>
        </is>
      </c>
      <c r="P185" s="3" t="inlineStr">
        <is>
          <t>blue</t>
        </is>
      </c>
      <c r="Q185" s="3" t="inlineStr">
        <is>
          <t>稀有/蓝</t>
        </is>
      </c>
      <c r="R185" s="3" t="inlineStr">
        <is>
          <t>坐骑</t>
        </is>
      </c>
      <c r="S185" s="3" t="inlineStr">
        <is>
          <t>坐骑</t>
        </is>
      </c>
      <c r="T185" s="3" t="inlineStr">
        <is>
          <t>通体雪白如狮子般威武的骏马，据传是赵云的坐骑遗种。</t>
        </is>
      </c>
      <c r="U185" s="3" t="inlineStr">
        <is>
          <t>是</t>
        </is>
      </c>
      <c r="V185" s="3" t="inlineStr">
        <is>
          <t>否</t>
        </is>
      </c>
      <c r="W185" s="3" t="inlineStr">
        <is>
          <t>equip_zhaoyeyushizi.png</t>
        </is>
      </c>
      <c r="X185" s="3" t="inlineStr"/>
      <c r="Y185" s="3" t="inlineStr">
        <is>
          <t>equip_mount</t>
        </is>
      </c>
      <c r="Z185" s="3" t="inlineStr"/>
      <c r="AA185" s="3" t="inlineStr">
        <is>
          <t>无</t>
        </is>
      </c>
      <c r="AB185" s="3" t="inlineStr">
        <is>
          <t>否</t>
        </is>
      </c>
      <c r="AC185" s="3" t="inlineStr">
        <is>
          <t>否</t>
        </is>
      </c>
      <c r="AD185" s="3" t="inlineStr"/>
      <c r="AE185" s="3" t="inlineStr">
        <is>
          <t>任务宝箱装备</t>
        </is>
      </c>
      <c r="AF185" s="3" t="inlineStr">
        <is>
          <t>{"hp":270,"defense":15,"force":13,"agility":33}</t>
        </is>
      </c>
      <c r="AG185" s="3" t="inlineStr">
        <is>
          <t>data/item_templates.yaml:L7227</t>
        </is>
      </c>
    </row>
    <row r="186">
      <c r="A186" s="3" t="n">
        <v>185</v>
      </c>
      <c r="B186" s="3" t="inlineStr">
        <is>
          <t>equip_zhuidian</t>
        </is>
      </c>
      <c r="C186" s="3" t="inlineStr">
        <is>
          <t>追电</t>
        </is>
      </c>
      <c r="D186" s="3" t="n">
        <v>6000</v>
      </c>
      <c r="E186" s="3" t="n">
        <v>125</v>
      </c>
      <c r="F186" s="3" t="n">
        <v>240</v>
      </c>
      <c r="G186" s="3" t="n">
        <v>12</v>
      </c>
      <c r="H186" s="3" t="n">
        <v>0</v>
      </c>
      <c r="I186" s="3" t="n">
        <v>0</v>
      </c>
      <c r="J186" s="3" t="n">
        <v>39</v>
      </c>
      <c r="K186" s="3" t="n">
        <v>0</v>
      </c>
      <c r="L186" s="3" t="n">
        <v>10</v>
      </c>
      <c r="M186" s="6">
        <f>F186/54+G186+H186+I186+J186+L186*1.2+K186/2</f>
        <v>67.44444444444444</v>
      </c>
      <c r="N186" s="3" t="inlineStr">
        <is>
          <t>无</t>
        </is>
      </c>
      <c r="O186" s="3" t="inlineStr">
        <is>
          <t>无</t>
        </is>
      </c>
      <c r="P186" s="3" t="inlineStr">
        <is>
          <t>blue</t>
        </is>
      </c>
      <c r="Q186" s="3" t="inlineStr">
        <is>
          <t>稀有/蓝</t>
        </is>
      </c>
      <c r="R186" s="3" t="inlineStr">
        <is>
          <t>坐骑</t>
        </is>
      </c>
      <c r="S186" s="3" t="inlineStr">
        <is>
          <t>坐骑</t>
        </is>
      </c>
      <c r="T186" s="3" t="inlineStr">
        <is>
          <t>奔跑时快如闪电的骏马，据传曾是某位刺客的坐骑。</t>
        </is>
      </c>
      <c r="U186" s="3" t="inlineStr">
        <is>
          <t>是</t>
        </is>
      </c>
      <c r="V186" s="3" t="inlineStr">
        <is>
          <t>否</t>
        </is>
      </c>
      <c r="W186" s="3" t="inlineStr">
        <is>
          <t>equip_zhuidian.png</t>
        </is>
      </c>
      <c r="X186" s="3" t="inlineStr"/>
      <c r="Y186" s="3" t="inlineStr">
        <is>
          <t>equip_mount</t>
        </is>
      </c>
      <c r="Z186" s="3" t="inlineStr"/>
      <c r="AA186" s="3" t="inlineStr">
        <is>
          <t>无</t>
        </is>
      </c>
      <c r="AB186" s="3" t="inlineStr">
        <is>
          <t>否</t>
        </is>
      </c>
      <c r="AC186" s="3" t="inlineStr">
        <is>
          <t>否</t>
        </is>
      </c>
      <c r="AD186" s="3" t="inlineStr"/>
      <c r="AE186" s="3" t="inlineStr">
        <is>
          <t>任务宝箱装备</t>
        </is>
      </c>
      <c r="AF186" s="3" t="inlineStr">
        <is>
          <t>{"hp":240,"defense":12,"agility":39,"luck":10}</t>
        </is>
      </c>
      <c r="AG186" s="3" t="inlineStr">
        <is>
          <t>data/item_templates.yaml:L7271</t>
        </is>
      </c>
    </row>
    <row r="187">
      <c r="A187" s="3" t="n">
        <v>186</v>
      </c>
      <c r="B187" s="3" t="inlineStr">
        <is>
          <t>equip_dilu</t>
        </is>
      </c>
      <c r="C187" s="3" t="inlineStr">
        <is>
          <t>的卢</t>
        </is>
      </c>
      <c r="D187" s="3" t="n">
        <v>16000</v>
      </c>
      <c r="E187" s="3" t="n">
        <v>175</v>
      </c>
      <c r="F187" s="3" t="n">
        <v>360</v>
      </c>
      <c r="G187" s="3" t="n">
        <v>19</v>
      </c>
      <c r="H187" s="3" t="n">
        <v>0</v>
      </c>
      <c r="I187" s="3" t="n">
        <v>0</v>
      </c>
      <c r="J187" s="3" t="n">
        <v>42</v>
      </c>
      <c r="K187" s="3" t="n">
        <v>0</v>
      </c>
      <c r="L187" s="3" t="n">
        <v>14</v>
      </c>
      <c r="M187" s="6">
        <f>F187/54+G187+H187+I187+J187+L187*1.2+K187/2</f>
        <v>84.46666666666667</v>
      </c>
      <c r="N187" s="3" t="inlineStr">
        <is>
          <t>无</t>
        </is>
      </c>
      <c r="O187" s="3" t="inlineStr">
        <is>
          <t>无</t>
        </is>
      </c>
      <c r="P187" s="3" t="inlineStr">
        <is>
          <t>purple</t>
        </is>
      </c>
      <c r="Q187" s="3" t="inlineStr">
        <is>
          <t>史诗/紫</t>
        </is>
      </c>
      <c r="R187" s="3" t="inlineStr">
        <is>
          <t>坐骑</t>
        </is>
      </c>
      <c r="S187" s="3" t="inlineStr">
        <is>
          <t>坐骑</t>
        </is>
      </c>
      <c r="T187" s="3" t="inlineStr">
        <is>
          <t>刘备的救命神驹后代，额上有白斑如流星。</t>
        </is>
      </c>
      <c r="U187" s="3" t="inlineStr">
        <is>
          <t>是</t>
        </is>
      </c>
      <c r="V187" s="3" t="inlineStr">
        <is>
          <t>否</t>
        </is>
      </c>
      <c r="W187" s="3" t="inlineStr">
        <is>
          <t>equip_dilu.png</t>
        </is>
      </c>
      <c r="X187" s="3" t="inlineStr"/>
      <c r="Y187" s="3" t="inlineStr">
        <is>
          <t>equip_mount</t>
        </is>
      </c>
      <c r="Z187" s="3" t="inlineStr"/>
      <c r="AA187" s="3" t="inlineStr">
        <is>
          <t>无</t>
        </is>
      </c>
      <c r="AB187" s="3" t="inlineStr">
        <is>
          <t>否</t>
        </is>
      </c>
      <c r="AC187" s="3" t="inlineStr">
        <is>
          <t>否</t>
        </is>
      </c>
      <c r="AD187" s="3" t="inlineStr"/>
      <c r="AE187" s="3" t="inlineStr">
        <is>
          <t>任务宝箱装备</t>
        </is>
      </c>
      <c r="AF187" s="3" t="inlineStr">
        <is>
          <t>{"hp":360,"defense":19,"agility":42,"luck":14}</t>
        </is>
      </c>
      <c r="AG187" s="3" t="inlineStr">
        <is>
          <t>data/item_templates.yaml:L7348</t>
        </is>
      </c>
    </row>
    <row r="188">
      <c r="A188" s="3" t="n">
        <v>187</v>
      </c>
      <c r="B188" s="3" t="inlineStr">
        <is>
          <t>equip_jueying</t>
        </is>
      </c>
      <c r="C188" s="3" t="inlineStr">
        <is>
          <t>绝影</t>
        </is>
      </c>
      <c r="D188" s="3" t="n">
        <v>16000</v>
      </c>
      <c r="E188" s="3" t="n">
        <v>175</v>
      </c>
      <c r="F188" s="3" t="n">
        <v>305</v>
      </c>
      <c r="G188" s="3" t="n">
        <v>14</v>
      </c>
      <c r="H188" s="3" t="n">
        <v>0</v>
      </c>
      <c r="I188" s="3" t="n">
        <v>0</v>
      </c>
      <c r="J188" s="3" t="n">
        <v>42</v>
      </c>
      <c r="K188" s="3" t="n">
        <v>0</v>
      </c>
      <c r="L188" s="3" t="n">
        <v>16</v>
      </c>
      <c r="M188" s="6">
        <f>F188/54+G188+H188+I188+J188+L188*1.2+K188/2</f>
        <v>80.84814814814816</v>
      </c>
      <c r="N188" s="3" t="inlineStr">
        <is>
          <t>无</t>
        </is>
      </c>
      <c r="O188" s="3" t="inlineStr">
        <is>
          <t>无</t>
        </is>
      </c>
      <c r="P188" s="3" t="inlineStr">
        <is>
          <t>purple</t>
        </is>
      </c>
      <c r="Q188" s="3" t="inlineStr">
        <is>
          <t>史诗/紫</t>
        </is>
      </c>
      <c r="R188" s="3" t="inlineStr">
        <is>
          <t>坐骑</t>
        </is>
      </c>
      <c r="S188" s="3" t="inlineStr">
        <is>
          <t>坐骑</t>
        </is>
      </c>
      <c r="T188" s="3" t="inlineStr">
        <is>
          <t>曹操的名驹后代，据传奔跑时连影子都追不上。</t>
        </is>
      </c>
      <c r="U188" s="3" t="inlineStr">
        <is>
          <t>是</t>
        </is>
      </c>
      <c r="V188" s="3" t="inlineStr">
        <is>
          <t>否</t>
        </is>
      </c>
      <c r="W188" s="3" t="inlineStr">
        <is>
          <t>equip_jueying.png</t>
        </is>
      </c>
      <c r="X188" s="3" t="inlineStr"/>
      <c r="Y188" s="3" t="inlineStr">
        <is>
          <t>equip_mount</t>
        </is>
      </c>
      <c r="Z188" s="3" t="inlineStr"/>
      <c r="AA188" s="3" t="inlineStr">
        <is>
          <t>无</t>
        </is>
      </c>
      <c r="AB188" s="3" t="inlineStr">
        <is>
          <t>否</t>
        </is>
      </c>
      <c r="AC188" s="3" t="inlineStr">
        <is>
          <t>否</t>
        </is>
      </c>
      <c r="AD188" s="3" t="inlineStr"/>
      <c r="AE188" s="3" t="inlineStr">
        <is>
          <t>任务宝箱装备</t>
        </is>
      </c>
      <c r="AF188" s="3" t="inlineStr">
        <is>
          <t>{"hp":305,"defense":14,"agility":42,"luck":16}</t>
        </is>
      </c>
      <c r="AG188" s="3" t="inlineStr">
        <is>
          <t>data/item_templates.yaml:L7318</t>
        </is>
      </c>
    </row>
    <row r="189">
      <c r="A189" s="3" t="n">
        <v>188</v>
      </c>
      <c r="B189" s="3" t="inlineStr">
        <is>
          <t>equip_qingshuanglu</t>
        </is>
      </c>
      <c r="C189" s="3" t="inlineStr">
        <is>
          <t>青霜鹿</t>
        </is>
      </c>
      <c r="D189" s="3" t="n">
        <v>16000</v>
      </c>
      <c r="E189" s="3" t="n">
        <v>175</v>
      </c>
      <c r="F189" s="3" t="n">
        <v>320</v>
      </c>
      <c r="G189" s="3" t="n">
        <v>17</v>
      </c>
      <c r="H189" s="3" t="n">
        <v>0</v>
      </c>
      <c r="I189" s="3" t="n">
        <v>0</v>
      </c>
      <c r="J189" s="3" t="n">
        <v>42</v>
      </c>
      <c r="K189" s="3" t="n">
        <v>0</v>
      </c>
      <c r="L189" s="3" t="n">
        <v>16</v>
      </c>
      <c r="M189" s="6">
        <f>F189/54+G189+H189+I189+J189+L189*1.2+K189/2</f>
        <v>84.12592592592593</v>
      </c>
      <c r="N189" s="3" t="inlineStr">
        <is>
          <t>无</t>
        </is>
      </c>
      <c r="O189" s="3" t="inlineStr">
        <is>
          <t>无</t>
        </is>
      </c>
      <c r="P189" s="3" t="inlineStr">
        <is>
          <t>purple</t>
        </is>
      </c>
      <c r="Q189" s="3" t="inlineStr">
        <is>
          <t>史诗/紫</t>
        </is>
      </c>
      <c r="R189" s="3" t="inlineStr">
        <is>
          <t>坐骑</t>
        </is>
      </c>
      <c r="S189" s="3" t="inlineStr">
        <is>
          <t>坐骑</t>
        </is>
      </c>
      <c r="T189" s="3" t="inlineStr">
        <is>
          <t>通体如霜的灵鹿，据传来自仙山之中，性情温驯。</t>
        </is>
      </c>
      <c r="U189" s="3" t="inlineStr">
        <is>
          <t>是</t>
        </is>
      </c>
      <c r="V189" s="3" t="inlineStr">
        <is>
          <t>否</t>
        </is>
      </c>
      <c r="W189" s="3" t="inlineStr">
        <is>
          <t>equip_qingshuanglu.png</t>
        </is>
      </c>
      <c r="X189" s="3" t="inlineStr"/>
      <c r="Y189" s="3" t="inlineStr">
        <is>
          <t>equip_mount</t>
        </is>
      </c>
      <c r="Z189" s="3" t="inlineStr"/>
      <c r="AA189" s="3" t="inlineStr">
        <is>
          <t>无</t>
        </is>
      </c>
      <c r="AB189" s="3" t="inlineStr">
        <is>
          <t>否</t>
        </is>
      </c>
      <c r="AC189" s="3" t="inlineStr">
        <is>
          <t>否</t>
        </is>
      </c>
      <c r="AD189" s="3" t="inlineStr"/>
      <c r="AE189" s="3" t="inlineStr">
        <is>
          <t>任务宝箱装备</t>
        </is>
      </c>
      <c r="AF189" s="3" t="inlineStr">
        <is>
          <t>{"hp":320,"defense":17,"agility":42,"luck":16}</t>
        </is>
      </c>
      <c r="AG189" s="3" t="inlineStr">
        <is>
          <t>data/item_templates.yaml:L7363</t>
        </is>
      </c>
    </row>
    <row r="190">
      <c r="A190" s="3" t="n">
        <v>189</v>
      </c>
      <c r="B190" s="3" t="inlineStr">
        <is>
          <t>equip_wuzhuima</t>
        </is>
      </c>
      <c r="C190" s="3" t="inlineStr">
        <is>
          <t>乌骓马</t>
        </is>
      </c>
      <c r="D190" s="3" t="n">
        <v>16000</v>
      </c>
      <c r="E190" s="3" t="n">
        <v>175</v>
      </c>
      <c r="F190" s="3" t="n">
        <v>292</v>
      </c>
      <c r="G190" s="3" t="n">
        <v>15</v>
      </c>
      <c r="H190" s="3" t="n">
        <v>16</v>
      </c>
      <c r="I190" s="3" t="n">
        <v>0</v>
      </c>
      <c r="J190" s="3" t="n">
        <v>45</v>
      </c>
      <c r="K190" s="3" t="n">
        <v>0</v>
      </c>
      <c r="L190" s="3" t="n">
        <v>0</v>
      </c>
      <c r="M190" s="6">
        <f>F190/54+G190+H190+I190+J190+L190*1.2+K190/2</f>
        <v>81.4074074074074</v>
      </c>
      <c r="N190" s="3" t="inlineStr">
        <is>
          <t>无</t>
        </is>
      </c>
      <c r="O190" s="3" t="inlineStr">
        <is>
          <t>无</t>
        </is>
      </c>
      <c r="P190" s="3" t="inlineStr">
        <is>
          <t>purple</t>
        </is>
      </c>
      <c r="Q190" s="3" t="inlineStr">
        <is>
          <t>史诗/紫</t>
        </is>
      </c>
      <c r="R190" s="3" t="inlineStr">
        <is>
          <t>坐骑</t>
        </is>
      </c>
      <c r="S190" s="3" t="inlineStr">
        <is>
          <t>坐骑</t>
        </is>
      </c>
      <c r="T190" s="3" t="inlineStr">
        <is>
          <t>西楚霸王项羽的坐骑遗种，通体乌黑，性烈难驯。</t>
        </is>
      </c>
      <c r="U190" s="3" t="inlineStr">
        <is>
          <t>是</t>
        </is>
      </c>
      <c r="V190" s="3" t="inlineStr">
        <is>
          <t>否</t>
        </is>
      </c>
      <c r="W190" s="3" t="inlineStr">
        <is>
          <t>equip_wuzhuima.png</t>
        </is>
      </c>
      <c r="X190" s="3" t="inlineStr"/>
      <c r="Y190" s="3" t="inlineStr">
        <is>
          <t>equip_mount</t>
        </is>
      </c>
      <c r="Z190" s="3" t="inlineStr"/>
      <c r="AA190" s="3" t="inlineStr">
        <is>
          <t>无</t>
        </is>
      </c>
      <c r="AB190" s="3" t="inlineStr">
        <is>
          <t>否</t>
        </is>
      </c>
      <c r="AC190" s="3" t="inlineStr">
        <is>
          <t>否</t>
        </is>
      </c>
      <c r="AD190" s="3" t="inlineStr"/>
      <c r="AE190" s="3" t="inlineStr">
        <is>
          <t>任务宝箱装备</t>
        </is>
      </c>
      <c r="AF190" s="3" t="inlineStr">
        <is>
          <t>{"hp":292,"defense":15,"force":16,"agility":45}</t>
        </is>
      </c>
      <c r="AG190" s="3" t="inlineStr">
        <is>
          <t>data/item_templates.yaml:L7303</t>
        </is>
      </c>
    </row>
    <row r="191">
      <c r="A191" s="3" t="n">
        <v>190</v>
      </c>
      <c r="B191" s="3" t="inlineStr">
        <is>
          <t>equip_xuanjiazhanju</t>
        </is>
      </c>
      <c r="C191" s="3" t="inlineStr">
        <is>
          <t>玄甲战驹</t>
        </is>
      </c>
      <c r="D191" s="3" t="n">
        <v>16000</v>
      </c>
      <c r="E191" s="3" t="n">
        <v>175</v>
      </c>
      <c r="F191" s="3" t="n">
        <v>312</v>
      </c>
      <c r="G191" s="3" t="n">
        <v>16</v>
      </c>
      <c r="H191" s="3" t="n">
        <v>22</v>
      </c>
      <c r="I191" s="3" t="n">
        <v>0</v>
      </c>
      <c r="J191" s="3" t="n">
        <v>38</v>
      </c>
      <c r="K191" s="3" t="n">
        <v>0</v>
      </c>
      <c r="L191" s="3" t="n">
        <v>0</v>
      </c>
      <c r="M191" s="6">
        <f>F191/54+G191+H191+I191+J191+L191*1.2+K191/2</f>
        <v>81.77777777777777</v>
      </c>
      <c r="N191" s="3" t="inlineStr">
        <is>
          <t>无</t>
        </is>
      </c>
      <c r="O191" s="3" t="inlineStr">
        <is>
          <t>无</t>
        </is>
      </c>
      <c r="P191" s="3" t="inlineStr">
        <is>
          <t>purple</t>
        </is>
      </c>
      <c r="Q191" s="3" t="inlineStr">
        <is>
          <t>史诗/紫</t>
        </is>
      </c>
      <c r="R191" s="3" t="inlineStr">
        <is>
          <t>坐骑</t>
        </is>
      </c>
      <c r="S191" s="3" t="inlineStr">
        <is>
          <t>坐骑</t>
        </is>
      </c>
      <c r="T191" s="3" t="inlineStr">
        <is>
          <t>披有玄铁甲胄的战马，是玄甲军的专属坐骑。</t>
        </is>
      </c>
      <c r="U191" s="3" t="inlineStr">
        <is>
          <t>是</t>
        </is>
      </c>
      <c r="V191" s="3" t="inlineStr">
        <is>
          <t>否</t>
        </is>
      </c>
      <c r="W191" s="3" t="inlineStr">
        <is>
          <t>equip_xuanjiazhanju.png</t>
        </is>
      </c>
      <c r="X191" s="3" t="inlineStr"/>
      <c r="Y191" s="3" t="inlineStr">
        <is>
          <t>equip_mount</t>
        </is>
      </c>
      <c r="Z191" s="3" t="inlineStr"/>
      <c r="AA191" s="3" t="inlineStr">
        <is>
          <t>无</t>
        </is>
      </c>
      <c r="AB191" s="3" t="inlineStr">
        <is>
          <t>否</t>
        </is>
      </c>
      <c r="AC191" s="3" t="inlineStr">
        <is>
          <t>否</t>
        </is>
      </c>
      <c r="AD191" s="3" t="inlineStr"/>
      <c r="AE191" s="3" t="inlineStr">
        <is>
          <t>任务宝箱装备</t>
        </is>
      </c>
      <c r="AF191" s="3" t="inlineStr">
        <is>
          <t>{"hp":312,"defense":16,"force":22,"agility":38}</t>
        </is>
      </c>
      <c r="AG191" s="3" t="inlineStr">
        <is>
          <t>data/item_templates.yaml:L7378</t>
        </is>
      </c>
    </row>
    <row r="192">
      <c r="A192" s="3" t="n">
        <v>191</v>
      </c>
      <c r="B192" s="3" t="inlineStr">
        <is>
          <t>equip_zhaohuangfeidian</t>
        </is>
      </c>
      <c r="C192" s="3" t="inlineStr">
        <is>
          <t>爪黄飞电</t>
        </is>
      </c>
      <c r="D192" s="3" t="n">
        <v>16000</v>
      </c>
      <c r="E192" s="3" t="n">
        <v>175</v>
      </c>
      <c r="F192" s="3" t="n">
        <v>330</v>
      </c>
      <c r="G192" s="3" t="n">
        <v>17</v>
      </c>
      <c r="H192" s="3" t="n">
        <v>22</v>
      </c>
      <c r="I192" s="3" t="n">
        <v>0</v>
      </c>
      <c r="J192" s="3" t="n">
        <v>38</v>
      </c>
      <c r="K192" s="3" t="n">
        <v>0</v>
      </c>
      <c r="L192" s="3" t="n">
        <v>0</v>
      </c>
      <c r="M192" s="6">
        <f>F192/54+G192+H192+I192+J192+L192*1.2+K192/2</f>
        <v>83.11111111111111</v>
      </c>
      <c r="N192" s="3" t="inlineStr">
        <is>
          <t>无</t>
        </is>
      </c>
      <c r="O192" s="3" t="inlineStr">
        <is>
          <t>无</t>
        </is>
      </c>
      <c r="P192" s="3" t="inlineStr">
        <is>
          <t>purple</t>
        </is>
      </c>
      <c r="Q192" s="3" t="inlineStr">
        <is>
          <t>史诗/紫</t>
        </is>
      </c>
      <c r="R192" s="3" t="inlineStr">
        <is>
          <t>坐骑</t>
        </is>
      </c>
      <c r="S192" s="3" t="inlineStr">
        <is>
          <t>坐骑</t>
        </is>
      </c>
      <c r="T192" s="3" t="inlineStr">
        <is>
          <t>蹄如金爪的神骏，据传是曹操赐予曹洪的坐骑遗种。</t>
        </is>
      </c>
      <c r="U192" s="3" t="inlineStr">
        <is>
          <t>是</t>
        </is>
      </c>
      <c r="V192" s="3" t="inlineStr">
        <is>
          <t>否</t>
        </is>
      </c>
      <c r="W192" s="3" t="inlineStr">
        <is>
          <t>equip_zhaohuangfeidian.png</t>
        </is>
      </c>
      <c r="X192" s="3" t="inlineStr"/>
      <c r="Y192" s="3" t="inlineStr">
        <is>
          <t>equip_mount</t>
        </is>
      </c>
      <c r="Z192" s="3" t="inlineStr"/>
      <c r="AA192" s="3" t="inlineStr">
        <is>
          <t>无</t>
        </is>
      </c>
      <c r="AB192" s="3" t="inlineStr">
        <is>
          <t>否</t>
        </is>
      </c>
      <c r="AC192" s="3" t="inlineStr">
        <is>
          <t>否</t>
        </is>
      </c>
      <c r="AD192" s="3" t="inlineStr"/>
      <c r="AE192" s="3" t="inlineStr">
        <is>
          <t>任务宝箱装备</t>
        </is>
      </c>
      <c r="AF192" s="3" t="inlineStr">
        <is>
          <t>{"hp":330,"defense":17,"force":22,"agility":38}</t>
        </is>
      </c>
      <c r="AG192" s="3" t="inlineStr">
        <is>
          <t>data/item_templates.yaml:L7333</t>
        </is>
      </c>
    </row>
    <row r="193">
      <c r="A193" s="3" t="n">
        <v>192</v>
      </c>
      <c r="B193" s="3" t="inlineStr">
        <is>
          <t>equip_chituma</t>
        </is>
      </c>
      <c r="C193" s="3" t="inlineStr">
        <is>
          <t>赤兔马</t>
        </is>
      </c>
      <c r="D193" s="3" t="n">
        <v>52000</v>
      </c>
      <c r="E193" s="3" t="n">
        <v>250</v>
      </c>
      <c r="F193" s="3" t="n">
        <v>362</v>
      </c>
      <c r="G193" s="3" t="n">
        <v>16</v>
      </c>
      <c r="H193" s="3" t="n">
        <v>26</v>
      </c>
      <c r="I193" s="3" t="n">
        <v>0</v>
      </c>
      <c r="J193" s="3" t="n">
        <v>44</v>
      </c>
      <c r="K193" s="3" t="n">
        <v>0</v>
      </c>
      <c r="L193" s="3" t="n">
        <v>0</v>
      </c>
      <c r="M193" s="6">
        <f>F193/54+G193+H193+I193+J193+L193*1.2+K193/2</f>
        <v>92.7037037037037</v>
      </c>
      <c r="N193" s="3" t="inlineStr">
        <is>
          <t>无</t>
        </is>
      </c>
      <c r="O193" s="3" t="inlineStr">
        <is>
          <t>无</t>
        </is>
      </c>
      <c r="P193" s="3" t="inlineStr">
        <is>
          <t>orange</t>
        </is>
      </c>
      <c r="Q193" s="3" t="inlineStr">
        <is>
          <t>传说/橙</t>
        </is>
      </c>
      <c r="R193" s="3" t="inlineStr">
        <is>
          <t>坐骑</t>
        </is>
      </c>
      <c r="S193" s="3" t="inlineStr">
        <is>
          <t>坐骑</t>
        </is>
      </c>
      <c r="T193" s="3" t="inlineStr">
        <is>
          <t>传说中的千里神驹，曾为吕布、关羽所乘，名震天下。</t>
        </is>
      </c>
      <c r="U193" s="3" t="inlineStr">
        <is>
          <t>是</t>
        </is>
      </c>
      <c r="V193" s="3" t="inlineStr">
        <is>
          <t>否</t>
        </is>
      </c>
      <c r="W193" s="3" t="inlineStr">
        <is>
          <t>equip_chituma.png</t>
        </is>
      </c>
      <c r="X193" s="3" t="inlineStr"/>
      <c r="Y193" s="3" t="inlineStr">
        <is>
          <t>equip_mount</t>
        </is>
      </c>
      <c r="Z193" s="3" t="inlineStr"/>
      <c r="AA193" s="3" t="inlineStr">
        <is>
          <t>无</t>
        </is>
      </c>
      <c r="AB193" s="3" t="inlineStr">
        <is>
          <t>否</t>
        </is>
      </c>
      <c r="AC193" s="3" t="inlineStr">
        <is>
          <t>否</t>
        </is>
      </c>
      <c r="AD193" s="3" t="inlineStr"/>
      <c r="AE193" s="3" t="inlineStr">
        <is>
          <t>任务宝箱装备</t>
        </is>
      </c>
      <c r="AF193" s="3" t="inlineStr">
        <is>
          <t>{"hp":362,"defense":16,"force":26,"agility":44}</t>
        </is>
      </c>
      <c r="AG193" s="3" t="inlineStr">
        <is>
          <t>data/item_templates.yaml:L7395</t>
        </is>
      </c>
    </row>
    <row r="194">
      <c r="A194" s="3" t="n">
        <v>193</v>
      </c>
      <c r="B194" s="3" t="inlineStr">
        <is>
          <t>equip_hanxuebaoma</t>
        </is>
      </c>
      <c r="C194" s="3" t="inlineStr">
        <is>
          <t>汗血宝马</t>
        </is>
      </c>
      <c r="D194" s="3" t="n">
        <v>52000</v>
      </c>
      <c r="E194" s="3" t="n">
        <v>250</v>
      </c>
      <c r="F194" s="3" t="n">
        <v>450</v>
      </c>
      <c r="G194" s="3" t="n">
        <v>20</v>
      </c>
      <c r="H194" s="3" t="n">
        <v>0</v>
      </c>
      <c r="I194" s="3" t="n">
        <v>0</v>
      </c>
      <c r="J194" s="3" t="n">
        <v>58</v>
      </c>
      <c r="K194" s="3" t="n">
        <v>0</v>
      </c>
      <c r="L194" s="3" t="n">
        <v>0</v>
      </c>
      <c r="M194" s="6">
        <f>F194/54+G194+H194+I194+J194+L194*1.2+K194/2</f>
        <v>86.33333333333334</v>
      </c>
      <c r="N194" s="3" t="inlineStr">
        <is>
          <t>无</t>
        </is>
      </c>
      <c r="O194" s="3" t="inlineStr">
        <is>
          <t>无</t>
        </is>
      </c>
      <c r="P194" s="3" t="inlineStr">
        <is>
          <t>orange</t>
        </is>
      </c>
      <c r="Q194" s="3" t="inlineStr">
        <is>
          <t>传说/橙</t>
        </is>
      </c>
      <c r="R194" s="3" t="inlineStr">
        <is>
          <t>坐骑</t>
        </is>
      </c>
      <c r="S194" s="3" t="inlineStr">
        <is>
          <t>坐骑</t>
        </is>
      </c>
      <c r="T194" s="3" t="inlineStr">
        <is>
          <t>大宛国进贡的神骏，奔跑时汗出如血，故而得名。</t>
        </is>
      </c>
      <c r="U194" s="3" t="inlineStr">
        <is>
          <t>是</t>
        </is>
      </c>
      <c r="V194" s="3" t="inlineStr">
        <is>
          <t>否</t>
        </is>
      </c>
      <c r="W194" s="3" t="inlineStr">
        <is>
          <t>equip_hanxuebaoma.png</t>
        </is>
      </c>
      <c r="X194" s="3" t="inlineStr"/>
      <c r="Y194" s="3" t="inlineStr">
        <is>
          <t>equip_mount</t>
        </is>
      </c>
      <c r="Z194" s="3" t="inlineStr"/>
      <c r="AA194" s="3" t="inlineStr">
        <is>
          <t>无</t>
        </is>
      </c>
      <c r="AB194" s="3" t="inlineStr">
        <is>
          <t>否</t>
        </is>
      </c>
      <c r="AC194" s="3" t="inlineStr">
        <is>
          <t>否</t>
        </is>
      </c>
      <c r="AD194" s="3" t="inlineStr"/>
      <c r="AE194" s="3" t="inlineStr">
        <is>
          <t>任务宝箱装备</t>
        </is>
      </c>
      <c r="AF194" s="3" t="inlineStr">
        <is>
          <t>{"hp":450,"defense":20,"agility":58}</t>
        </is>
      </c>
      <c r="AG194" s="3" t="inlineStr">
        <is>
          <t>data/item_templates.yaml:L7410</t>
        </is>
      </c>
    </row>
    <row r="195">
      <c r="A195" s="3" t="n">
        <v>194</v>
      </c>
      <c r="B195" s="3" t="inlineStr">
        <is>
          <t>equip_qilin</t>
        </is>
      </c>
      <c r="C195" s="3" t="inlineStr">
        <is>
          <t>麒麟</t>
        </is>
      </c>
      <c r="D195" s="3" t="n">
        <v>52000</v>
      </c>
      <c r="E195" s="3" t="n">
        <v>250</v>
      </c>
      <c r="F195" s="3" t="n">
        <v>443</v>
      </c>
      <c r="G195" s="3" t="n">
        <v>18</v>
      </c>
      <c r="H195" s="3" t="n">
        <v>18</v>
      </c>
      <c r="I195" s="3" t="n">
        <v>11</v>
      </c>
      <c r="J195" s="3" t="n">
        <v>40</v>
      </c>
      <c r="K195" s="3" t="n">
        <v>0</v>
      </c>
      <c r="L195" s="3" t="n">
        <v>0</v>
      </c>
      <c r="M195" s="6">
        <f>F195/54+G195+H195+I195+J195+L195*1.2+K195/2</f>
        <v>95.2037037037037</v>
      </c>
      <c r="N195" s="3" t="inlineStr">
        <is>
          <t>无</t>
        </is>
      </c>
      <c r="O195" s="3" t="inlineStr">
        <is>
          <t>无</t>
        </is>
      </c>
      <c r="P195" s="3" t="inlineStr">
        <is>
          <t>orange</t>
        </is>
      </c>
      <c r="Q195" s="3" t="inlineStr">
        <is>
          <t>传说/橙</t>
        </is>
      </c>
      <c r="R195" s="3" t="inlineStr">
        <is>
          <t>坐骑</t>
        </is>
      </c>
      <c r="S195" s="3" t="inlineStr">
        <is>
          <t>坐骑</t>
        </is>
      </c>
      <c r="T195" s="3" t="inlineStr">
        <is>
          <t>传说中的瑞兽，龙头马身，见之者必有祥瑞降临。</t>
        </is>
      </c>
      <c r="U195" s="3" t="inlineStr">
        <is>
          <t>是</t>
        </is>
      </c>
      <c r="V195" s="3" t="inlineStr">
        <is>
          <t>否</t>
        </is>
      </c>
      <c r="W195" s="3" t="inlineStr">
        <is>
          <t>equip_qilin.png</t>
        </is>
      </c>
      <c r="X195" s="3" t="inlineStr"/>
      <c r="Y195" s="3" t="inlineStr">
        <is>
          <t>equip_mount</t>
        </is>
      </c>
      <c r="Z195" s="3" t="inlineStr"/>
      <c r="AA195" s="3" t="inlineStr">
        <is>
          <t>无</t>
        </is>
      </c>
      <c r="AB195" s="3" t="inlineStr">
        <is>
          <t>否</t>
        </is>
      </c>
      <c r="AC195" s="3" t="inlineStr">
        <is>
          <t>否</t>
        </is>
      </c>
      <c r="AD195" s="3" t="inlineStr"/>
      <c r="AE195" s="3" t="inlineStr">
        <is>
          <t>任务宝箱装备</t>
        </is>
      </c>
      <c r="AF195" s="3" t="inlineStr">
        <is>
          <t>{"hp":443,"defense":18,"force":18,"intellect":11,"agility":40}</t>
        </is>
      </c>
      <c r="AG195" s="3" t="inlineStr">
        <is>
          <t>data/item_templates.yaml:L7424</t>
        </is>
      </c>
    </row>
    <row r="196">
      <c r="A196" s="3" t="n">
        <v>195</v>
      </c>
      <c r="B196" s="3" t="inlineStr">
        <is>
          <t>equip_qingluan</t>
        </is>
      </c>
      <c r="C196" s="3" t="inlineStr">
        <is>
          <t>青鸾</t>
        </is>
      </c>
      <c r="D196" s="3" t="n">
        <v>52000</v>
      </c>
      <c r="E196" s="3" t="n">
        <v>250</v>
      </c>
      <c r="F196" s="3" t="n">
        <v>307</v>
      </c>
      <c r="G196" s="3" t="n">
        <v>14</v>
      </c>
      <c r="H196" s="3" t="n">
        <v>0</v>
      </c>
      <c r="I196" s="3" t="n">
        <v>27</v>
      </c>
      <c r="J196" s="3" t="n">
        <v>49</v>
      </c>
      <c r="K196" s="3" t="n">
        <v>0</v>
      </c>
      <c r="L196" s="3" t="n">
        <v>0</v>
      </c>
      <c r="M196" s="6">
        <f>F196/54+G196+H196+I196+J196+L196*1.2+K196/2</f>
        <v>95.68518518518519</v>
      </c>
      <c r="N196" s="3" t="inlineStr">
        <is>
          <t>无</t>
        </is>
      </c>
      <c r="O196" s="3" t="inlineStr">
        <is>
          <t>无</t>
        </is>
      </c>
      <c r="P196" s="3" t="inlineStr">
        <is>
          <t>orange</t>
        </is>
      </c>
      <c r="Q196" s="3" t="inlineStr">
        <is>
          <t>传说/橙</t>
        </is>
      </c>
      <c r="R196" s="3" t="inlineStr">
        <is>
          <t>坐骑</t>
        </is>
      </c>
      <c r="S196" s="3" t="inlineStr">
        <is>
          <t>坐骑</t>
        </is>
      </c>
      <c r="T196" s="3" t="inlineStr">
        <is>
          <t>传说中的神鸟，与凤凰齐名，通体青色，翱翔九天。</t>
        </is>
      </c>
      <c r="U196" s="3" t="inlineStr">
        <is>
          <t>是</t>
        </is>
      </c>
      <c r="V196" s="3" t="inlineStr">
        <is>
          <t>否</t>
        </is>
      </c>
      <c r="W196" s="3" t="inlineStr">
        <is>
          <t>equip_qingluan.png</t>
        </is>
      </c>
      <c r="X196" s="3" t="inlineStr"/>
      <c r="Y196" s="3" t="inlineStr">
        <is>
          <t>equip_mount</t>
        </is>
      </c>
      <c r="Z196" s="3" t="inlineStr"/>
      <c r="AA196" s="3" t="inlineStr">
        <is>
          <t>无</t>
        </is>
      </c>
      <c r="AB196" s="3" t="inlineStr">
        <is>
          <t>否</t>
        </is>
      </c>
      <c r="AC196" s="3" t="inlineStr">
        <is>
          <t>否</t>
        </is>
      </c>
      <c r="AD196" s="3" t="inlineStr"/>
      <c r="AE196" s="3" t="inlineStr">
        <is>
          <t>任务宝箱装备</t>
        </is>
      </c>
      <c r="AF196" s="3" t="inlineStr">
        <is>
          <t>{"hp":307,"defense":14,"intellect":27,"agility":49}</t>
        </is>
      </c>
      <c r="AG196" s="3" t="inlineStr">
        <is>
          <t>data/item_templates.yaml:L7440</t>
        </is>
      </c>
    </row>
    <row r="197">
      <c r="A197" s="3" t="n">
        <v>196</v>
      </c>
      <c r="B197" s="3" t="inlineStr">
        <is>
          <t>equip_shendiao</t>
        </is>
      </c>
      <c r="C197" s="3" t="inlineStr">
        <is>
          <t>神雕</t>
        </is>
      </c>
      <c r="D197" s="3" t="n">
        <v>52000</v>
      </c>
      <c r="E197" s="3" t="n">
        <v>250</v>
      </c>
      <c r="F197" s="3" t="n">
        <v>470</v>
      </c>
      <c r="G197" s="3" t="n">
        <v>18</v>
      </c>
      <c r="H197" s="3" t="n">
        <v>0</v>
      </c>
      <c r="I197" s="3" t="n">
        <v>0</v>
      </c>
      <c r="J197" s="3" t="n">
        <v>56</v>
      </c>
      <c r="K197" s="3" t="n">
        <v>0</v>
      </c>
      <c r="L197" s="3" t="n">
        <v>14</v>
      </c>
      <c r="M197" s="6">
        <f>F197/54+G197+H197+I197+J197+L197*1.2+K197/2</f>
        <v>99.50370370370369</v>
      </c>
      <c r="N197" s="3" t="inlineStr">
        <is>
          <t>无</t>
        </is>
      </c>
      <c r="O197" s="3" t="inlineStr">
        <is>
          <t>无</t>
        </is>
      </c>
      <c r="P197" s="3" t="inlineStr">
        <is>
          <t>orange</t>
        </is>
      </c>
      <c r="Q197" s="3" t="inlineStr">
        <is>
          <t>传说/橙</t>
        </is>
      </c>
      <c r="R197" s="3" t="inlineStr">
        <is>
          <t>坐骑</t>
        </is>
      </c>
      <c r="S197" s="3" t="inlineStr">
        <is>
          <t>坐骑</t>
        </is>
      </c>
      <c r="T197" s="3" t="inlineStr">
        <is>
          <t>传说中通人性的巨雕，曾栖于终南山古墓之旁。</t>
        </is>
      </c>
      <c r="U197" s="3" t="inlineStr">
        <is>
          <t>是</t>
        </is>
      </c>
      <c r="V197" s="3" t="inlineStr">
        <is>
          <t>否</t>
        </is>
      </c>
      <c r="W197" s="3" t="inlineStr">
        <is>
          <t>equip_shendiao.png</t>
        </is>
      </c>
      <c r="X197" s="3" t="inlineStr"/>
      <c r="Y197" s="3" t="inlineStr">
        <is>
          <t>equip_mount</t>
        </is>
      </c>
      <c r="Z197" s="3" t="inlineStr"/>
      <c r="AA197" s="3" t="inlineStr">
        <is>
          <t>无</t>
        </is>
      </c>
      <c r="AB197" s="3" t="inlineStr">
        <is>
          <t>否</t>
        </is>
      </c>
      <c r="AC197" s="3" t="inlineStr">
        <is>
          <t>否</t>
        </is>
      </c>
      <c r="AD197" s="3" t="inlineStr"/>
      <c r="AE197" s="3" t="inlineStr">
        <is>
          <t>任务宝箱装备</t>
        </is>
      </c>
      <c r="AF197" s="3" t="inlineStr">
        <is>
          <t>{"hp":470,"defense":18,"agility":56,"luck":14}</t>
        </is>
      </c>
      <c r="AG197" s="3" t="inlineStr">
        <is>
          <t>data/item_templates.yaml:L7455</t>
        </is>
      </c>
    </row>
    <row r="198">
      <c r="A198" s="3" t="n">
        <v>197</v>
      </c>
      <c r="B198" s="3" t="inlineStr">
        <is>
          <t>equip_fudai</t>
        </is>
      </c>
      <c r="C198" s="3" t="inlineStr">
        <is>
          <t>福袋</t>
        </is>
      </c>
      <c r="D198" s="3" t="n">
        <v>2000</v>
      </c>
      <c r="E198" s="3" t="n">
        <v>75</v>
      </c>
      <c r="F198" s="3" t="n">
        <v>100</v>
      </c>
      <c r="G198" s="3" t="n">
        <v>5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20</v>
      </c>
      <c r="M198" s="6">
        <f>F198/54+G198+H198+I198+J198+L198*1.2+K198/2</f>
        <v>30.85185185185185</v>
      </c>
      <c r="N198" s="3" t="inlineStr">
        <is>
          <t>无</t>
        </is>
      </c>
      <c r="O198" s="3" t="inlineStr">
        <is>
          <t>无</t>
        </is>
      </c>
      <c r="P198" s="3" t="inlineStr">
        <is>
          <t>green</t>
        </is>
      </c>
      <c r="Q198" s="3" t="inlineStr">
        <is>
          <t>优秀/绿</t>
        </is>
      </c>
      <c r="R198" s="3" t="inlineStr">
        <is>
          <t>饰品</t>
        </is>
      </c>
      <c r="S198" s="3" t="inlineStr">
        <is>
          <t>饰品</t>
        </is>
      </c>
      <c r="T198" s="3" t="inlineStr">
        <is>
          <t>绣有"福"字的红布袋，装着平安符与铜钱，是民间习俗之物。</t>
        </is>
      </c>
      <c r="U198" s="3" t="inlineStr">
        <is>
          <t>是</t>
        </is>
      </c>
      <c r="V198" s="3" t="inlineStr">
        <is>
          <t>否</t>
        </is>
      </c>
      <c r="W198" s="3" t="inlineStr">
        <is>
          <t>equip_fudai.png</t>
        </is>
      </c>
      <c r="X198" s="3" t="inlineStr"/>
      <c r="Y198" s="3" t="inlineStr">
        <is>
          <t>equip_ornament</t>
        </is>
      </c>
      <c r="Z198" s="3" t="inlineStr"/>
      <c r="AA198" s="3" t="inlineStr">
        <is>
          <t>无</t>
        </is>
      </c>
      <c r="AB198" s="3" t="inlineStr">
        <is>
          <t>否</t>
        </is>
      </c>
      <c r="AC198" s="3" t="inlineStr">
        <is>
          <t>否</t>
        </is>
      </c>
      <c r="AD198" s="3" t="inlineStr"/>
      <c r="AE198" s="3" t="inlineStr">
        <is>
          <t>任务宝箱装备；宝箱独立随机物品组；宝箱随机装备</t>
        </is>
      </c>
      <c r="AF198" s="3" t="inlineStr">
        <is>
          <t>{"hp":100,"defense":5,"luck":20}</t>
        </is>
      </c>
      <c r="AG198" s="3" t="inlineStr">
        <is>
          <t>data/item_templates.yaml:L6035</t>
        </is>
      </c>
    </row>
    <row r="199">
      <c r="A199" s="3" t="n">
        <v>198</v>
      </c>
      <c r="B199" s="3" t="inlineStr">
        <is>
          <t>equip_hushenfu</t>
        </is>
      </c>
      <c r="C199" s="3" t="inlineStr">
        <is>
          <t>护身符</t>
        </is>
      </c>
      <c r="D199" s="3" t="n">
        <v>2000</v>
      </c>
      <c r="E199" s="3" t="n">
        <v>75</v>
      </c>
      <c r="F199" s="3" t="n">
        <v>100</v>
      </c>
      <c r="G199" s="3" t="n">
        <v>15</v>
      </c>
      <c r="H199" s="3" t="n">
        <v>5</v>
      </c>
      <c r="I199" s="3" t="n">
        <v>0</v>
      </c>
      <c r="J199" s="3" t="n">
        <v>0</v>
      </c>
      <c r="K199" s="3" t="n">
        <v>0</v>
      </c>
      <c r="L199" s="3" t="n">
        <v>5</v>
      </c>
      <c r="M199" s="6">
        <f>F199/54+G199+H199+I199+J199+L199*1.2+K199/2</f>
        <v>27.85185185185185</v>
      </c>
      <c r="N199" s="3" t="inlineStr">
        <is>
          <t>无</t>
        </is>
      </c>
      <c r="O199" s="3" t="inlineStr">
        <is>
          <t>无</t>
        </is>
      </c>
      <c r="P199" s="3" t="inlineStr">
        <is>
          <t>green</t>
        </is>
      </c>
      <c r="Q199" s="3" t="inlineStr">
        <is>
          <t>优秀/绿</t>
        </is>
      </c>
      <c r="R199" s="3" t="inlineStr">
        <is>
          <t>饰品</t>
        </is>
      </c>
      <c r="S199" s="3" t="inlineStr">
        <is>
          <t>饰品</t>
        </is>
      </c>
      <c r="T199" s="3" t="inlineStr">
        <is>
          <t>寺庙高僧开光的平安符，以黄纸朱砂绘制。</t>
        </is>
      </c>
      <c r="U199" s="3" t="inlineStr">
        <is>
          <t>是</t>
        </is>
      </c>
      <c r="V199" s="3" t="inlineStr">
        <is>
          <t>否</t>
        </is>
      </c>
      <c r="W199" s="3" t="inlineStr">
        <is>
          <t>equip_hushenfu.png</t>
        </is>
      </c>
      <c r="X199" s="3" t="inlineStr"/>
      <c r="Y199" s="3" t="inlineStr">
        <is>
          <t>equip_ornament</t>
        </is>
      </c>
      <c r="Z199" s="3" t="inlineStr"/>
      <c r="AA199" s="3" t="inlineStr">
        <is>
          <t>无</t>
        </is>
      </c>
      <c r="AB199" s="3" t="inlineStr">
        <is>
          <t>否</t>
        </is>
      </c>
      <c r="AC199" s="3" t="inlineStr">
        <is>
          <t>否</t>
        </is>
      </c>
      <c r="AD199" s="3" t="inlineStr"/>
      <c r="AE199" s="3" t="inlineStr">
        <is>
          <t>任务宝箱装备；宝箱随机装备</t>
        </is>
      </c>
      <c r="AF199" s="3" t="inlineStr">
        <is>
          <t>{"hp":100,"defense":15,"force":5,"luck":5}</t>
        </is>
      </c>
      <c r="AG199" s="3" t="inlineStr">
        <is>
          <t>data/item_templates.yaml:L6006</t>
        </is>
      </c>
    </row>
    <row r="200">
      <c r="A200" s="3" t="n">
        <v>199</v>
      </c>
      <c r="B200" s="3" t="inlineStr">
        <is>
          <t>equip_luopan</t>
        </is>
      </c>
      <c r="C200" s="3" t="inlineStr">
        <is>
          <t>罗盘</t>
        </is>
      </c>
      <c r="D200" s="3" t="n">
        <v>2000</v>
      </c>
      <c r="E200" s="3" t="n">
        <v>75</v>
      </c>
      <c r="F200" s="3" t="n">
        <v>0</v>
      </c>
      <c r="G200" s="3" t="n">
        <v>0</v>
      </c>
      <c r="H200" s="3" t="n">
        <v>0</v>
      </c>
      <c r="I200" s="3" t="n">
        <v>20</v>
      </c>
      <c r="J200" s="3" t="n">
        <v>5</v>
      </c>
      <c r="K200" s="3" t="n">
        <v>0</v>
      </c>
      <c r="L200" s="3" t="n">
        <v>5</v>
      </c>
      <c r="M200" s="6">
        <f>F200/54+G200+H200+I200+J200+L200*1.2+K200/2</f>
        <v>31.0</v>
      </c>
      <c r="N200" s="3" t="inlineStr">
        <is>
          <t>无</t>
        </is>
      </c>
      <c r="O200" s="3" t="inlineStr">
        <is>
          <t>无</t>
        </is>
      </c>
      <c r="P200" s="3" t="inlineStr">
        <is>
          <t>green</t>
        </is>
      </c>
      <c r="Q200" s="3" t="inlineStr">
        <is>
          <t>优秀/绿</t>
        </is>
      </c>
      <c r="R200" s="3" t="inlineStr">
        <is>
          <t>饰品</t>
        </is>
      </c>
      <c r="S200" s="3" t="inlineStr">
        <is>
          <t>饰品</t>
        </is>
      </c>
      <c r="T200" s="3" t="inlineStr">
        <is>
          <t>用于辨别方位与风水格局的器物，是术数之士的随身之物。</t>
        </is>
      </c>
      <c r="U200" s="3" t="inlineStr">
        <is>
          <t>是</t>
        </is>
      </c>
      <c r="V200" s="3" t="inlineStr">
        <is>
          <t>否</t>
        </is>
      </c>
      <c r="W200" s="3" t="inlineStr">
        <is>
          <t>equip_luopan.png</t>
        </is>
      </c>
      <c r="X200" s="3" t="inlineStr"/>
      <c r="Y200" s="3" t="inlineStr">
        <is>
          <t>equip_ornament</t>
        </is>
      </c>
      <c r="Z200" s="3" t="inlineStr"/>
      <c r="AA200" s="3" t="inlineStr">
        <is>
          <t>无</t>
        </is>
      </c>
      <c r="AB200" s="3" t="inlineStr">
        <is>
          <t>否</t>
        </is>
      </c>
      <c r="AC200" s="3" t="inlineStr">
        <is>
          <t>否</t>
        </is>
      </c>
      <c r="AD200" s="3" t="inlineStr"/>
      <c r="AE200" s="3" t="inlineStr">
        <is>
          <t>任务宝箱装备；宝箱随机装备</t>
        </is>
      </c>
      <c r="AF200" s="3" t="inlineStr">
        <is>
          <t>{"intellect":20,"agility":5,"luck":5}</t>
        </is>
      </c>
      <c r="AG200" s="3" t="inlineStr">
        <is>
          <t>data/item_templates.yaml:L6500</t>
        </is>
      </c>
    </row>
    <row r="201">
      <c r="A201" s="3" t="n">
        <v>200</v>
      </c>
      <c r="B201" s="3" t="inlineStr">
        <is>
          <t>equip_moyuyan</t>
        </is>
      </c>
      <c r="C201" s="3" t="inlineStr">
        <is>
          <t>墨玉砚</t>
        </is>
      </c>
      <c r="D201" s="3" t="n">
        <v>2000</v>
      </c>
      <c r="E201" s="3" t="n">
        <v>75</v>
      </c>
      <c r="F201" s="3" t="n">
        <v>200</v>
      </c>
      <c r="G201" s="3" t="n">
        <v>5</v>
      </c>
      <c r="H201" s="3" t="n">
        <v>0</v>
      </c>
      <c r="I201" s="3" t="n">
        <v>25</v>
      </c>
      <c r="J201" s="3" t="n">
        <v>0</v>
      </c>
      <c r="K201" s="3" t="n">
        <v>0</v>
      </c>
      <c r="L201" s="3" t="n">
        <v>0</v>
      </c>
      <c r="M201" s="6">
        <f>F201/54+G201+H201+I201+J201+L201*1.2+K201/2</f>
        <v>33.7037037037037</v>
      </c>
      <c r="N201" s="3" t="inlineStr">
        <is>
          <t>无</t>
        </is>
      </c>
      <c r="O201" s="3" t="inlineStr">
        <is>
          <t>无</t>
        </is>
      </c>
      <c r="P201" s="3" t="inlineStr">
        <is>
          <t>green</t>
        </is>
      </c>
      <c r="Q201" s="3" t="inlineStr">
        <is>
          <t>优秀/绿</t>
        </is>
      </c>
      <c r="R201" s="3" t="inlineStr">
        <is>
          <t>饰品</t>
        </is>
      </c>
      <c r="S201" s="3" t="inlineStr">
        <is>
          <t>饰品</t>
        </is>
      </c>
      <c r="T201" s="3" t="inlineStr">
        <is>
          <t>以墨玉雕成的砚台，质地温润，是文士案头的雅物。</t>
        </is>
      </c>
      <c r="U201" s="3" t="inlineStr">
        <is>
          <t>是</t>
        </is>
      </c>
      <c r="V201" s="3" t="inlineStr">
        <is>
          <t>否</t>
        </is>
      </c>
      <c r="W201" s="3" t="inlineStr">
        <is>
          <t>equip_moyuyan.png</t>
        </is>
      </c>
      <c r="X201" s="3" t="inlineStr"/>
      <c r="Y201" s="3" t="inlineStr">
        <is>
          <t>equip_ornament</t>
        </is>
      </c>
      <c r="Z201" s="3" t="inlineStr"/>
      <c r="AA201" s="3" t="inlineStr">
        <is>
          <t>无</t>
        </is>
      </c>
      <c r="AB201" s="3" t="inlineStr">
        <is>
          <t>否</t>
        </is>
      </c>
      <c r="AC201" s="3" t="inlineStr">
        <is>
          <t>否</t>
        </is>
      </c>
      <c r="AD201" s="3" t="inlineStr"/>
      <c r="AE201" s="3" t="inlineStr">
        <is>
          <t>任务宝箱装备</t>
        </is>
      </c>
      <c r="AF201" s="3" t="inlineStr">
        <is>
          <t>{"hp":200,"defense":5,"intellect":25}</t>
        </is>
      </c>
      <c r="AG201" s="3" t="inlineStr">
        <is>
          <t>data/item_templates.yaml:L6527</t>
        </is>
      </c>
    </row>
    <row r="202">
      <c r="A202" s="3" t="n">
        <v>201</v>
      </c>
      <c r="B202" s="3" t="inlineStr">
        <is>
          <t>equip_qingtongsuanchou</t>
        </is>
      </c>
      <c r="C202" s="3" t="inlineStr">
        <is>
          <t>青铜算筹</t>
        </is>
      </c>
      <c r="D202" s="3" t="n">
        <v>2000</v>
      </c>
      <c r="E202" s="3" t="n">
        <v>75</v>
      </c>
      <c r="F202" s="3" t="n">
        <v>0</v>
      </c>
      <c r="G202" s="3" t="n">
        <v>0</v>
      </c>
      <c r="H202" s="3" t="n">
        <v>0</v>
      </c>
      <c r="I202" s="3" t="n">
        <v>20</v>
      </c>
      <c r="J202" s="3" t="n">
        <v>0</v>
      </c>
      <c r="K202" s="3" t="n">
        <v>0</v>
      </c>
      <c r="L202" s="3" t="n">
        <v>15</v>
      </c>
      <c r="M202" s="6">
        <f>F202/54+G202+H202+I202+J202+L202*1.2+K202/2</f>
        <v>38.0</v>
      </c>
      <c r="N202" s="3" t="inlineStr">
        <is>
          <t>无</t>
        </is>
      </c>
      <c r="O202" s="3" t="inlineStr">
        <is>
          <t>无</t>
        </is>
      </c>
      <c r="P202" s="3" t="inlineStr">
        <is>
          <t>green</t>
        </is>
      </c>
      <c r="Q202" s="3" t="inlineStr">
        <is>
          <t>优秀/绿</t>
        </is>
      </c>
      <c r="R202" s="3" t="inlineStr">
        <is>
          <t>饰品</t>
        </is>
      </c>
      <c r="S202" s="3" t="inlineStr">
        <is>
          <t>饰品</t>
        </is>
      </c>
      <c r="T202" s="3" t="inlineStr">
        <is>
          <t>青铜制的算筹，适合推演算术与机关术，是匠门入门之物。</t>
        </is>
      </c>
      <c r="U202" s="3" t="inlineStr">
        <is>
          <t>是</t>
        </is>
      </c>
      <c r="V202" s="3" t="inlineStr">
        <is>
          <t>否</t>
        </is>
      </c>
      <c r="W202" s="3" t="inlineStr">
        <is>
          <t>equip_qingtongsuanchou.png</t>
        </is>
      </c>
      <c r="X202" s="3" t="inlineStr"/>
      <c r="Y202" s="3" t="inlineStr">
        <is>
          <t>equip_ornament</t>
        </is>
      </c>
      <c r="Z202" s="3" t="inlineStr"/>
      <c r="AA202" s="3" t="inlineStr">
        <is>
          <t>无</t>
        </is>
      </c>
      <c r="AB202" s="3" t="inlineStr">
        <is>
          <t>否</t>
        </is>
      </c>
      <c r="AC202" s="3" t="inlineStr">
        <is>
          <t>否</t>
        </is>
      </c>
      <c r="AD202" s="3" t="inlineStr"/>
      <c r="AE202" s="3" t="inlineStr">
        <is>
          <t>任务宝箱装备</t>
        </is>
      </c>
      <c r="AF202" s="3" t="inlineStr">
        <is>
          <t>{"intellect":20,"luck":15}</t>
        </is>
      </c>
      <c r="AG202" s="3" t="inlineStr">
        <is>
          <t>data/item_templates.yaml:L6541</t>
        </is>
      </c>
    </row>
    <row r="203">
      <c r="A203" s="3" t="n">
        <v>202</v>
      </c>
      <c r="B203" s="3" t="inlineStr">
        <is>
          <t>equip_tanmunianzhu</t>
        </is>
      </c>
      <c r="C203" s="3" t="inlineStr">
        <is>
          <t>檀木念珠</t>
        </is>
      </c>
      <c r="D203" s="3" t="n">
        <v>2000</v>
      </c>
      <c r="E203" s="3" t="n">
        <v>75</v>
      </c>
      <c r="F203" s="3" t="n">
        <v>0</v>
      </c>
      <c r="G203" s="3" t="n">
        <v>5</v>
      </c>
      <c r="H203" s="3" t="n">
        <v>5</v>
      </c>
      <c r="I203" s="3" t="n">
        <v>15</v>
      </c>
      <c r="J203" s="3" t="n">
        <v>0</v>
      </c>
      <c r="K203" s="3" t="n">
        <v>20</v>
      </c>
      <c r="L203" s="3" t="n">
        <v>10</v>
      </c>
      <c r="M203" s="6">
        <f>F203/54+G203+H203+I203+J203+L203*1.2+K203/2</f>
        <v>47.0</v>
      </c>
      <c r="N203" s="3" t="inlineStr">
        <is>
          <t>无</t>
        </is>
      </c>
      <c r="O203" s="3" t="inlineStr">
        <is>
          <t>无</t>
        </is>
      </c>
      <c r="P203" s="3" t="inlineStr">
        <is>
          <t>green</t>
        </is>
      </c>
      <c r="Q203" s="3" t="inlineStr">
        <is>
          <t>优秀/绿</t>
        </is>
      </c>
      <c r="R203" s="3" t="inlineStr">
        <is>
          <t>饰品</t>
        </is>
      </c>
      <c r="S203" s="3" t="inlineStr">
        <is>
          <t>饰品</t>
        </is>
      </c>
      <c r="T203" s="3" t="inlineStr">
        <is>
          <t>以檀香木制成的佛珠，是僧人日常修持之物。</t>
        </is>
      </c>
      <c r="U203" s="3" t="inlineStr">
        <is>
          <t>是</t>
        </is>
      </c>
      <c r="V203" s="3" t="inlineStr">
        <is>
          <t>否</t>
        </is>
      </c>
      <c r="W203" s="3" t="inlineStr">
        <is>
          <t>equip_tanmunianzhu.png</t>
        </is>
      </c>
      <c r="X203" s="3" t="inlineStr"/>
      <c r="Y203" s="3" t="inlineStr">
        <is>
          <t>equip_ornament</t>
        </is>
      </c>
      <c r="Z203" s="3" t="inlineStr"/>
      <c r="AA203" s="3" t="inlineStr">
        <is>
          <t>无</t>
        </is>
      </c>
      <c r="AB203" s="3" t="inlineStr">
        <is>
          <t>否</t>
        </is>
      </c>
      <c r="AC203" s="3" t="inlineStr">
        <is>
          <t>否</t>
        </is>
      </c>
      <c r="AD203" s="3" t="inlineStr"/>
      <c r="AE203" s="3" t="inlineStr">
        <is>
          <t>任务宝箱装备</t>
        </is>
      </c>
      <c r="AF203" s="3" t="inlineStr">
        <is>
          <t>{"defense":5,"force":5,"intellect":15,"troop_capacity":20,"luck":10}</t>
        </is>
      </c>
      <c r="AG203" s="3" t="inlineStr">
        <is>
          <t>data/item_templates.yaml:L6062</t>
        </is>
      </c>
    </row>
    <row r="204">
      <c r="A204" s="3" t="n">
        <v>203</v>
      </c>
      <c r="B204" s="3" t="inlineStr">
        <is>
          <t>equip_taomujian</t>
        </is>
      </c>
      <c r="C204" s="3" t="inlineStr">
        <is>
          <t>桃木剑</t>
        </is>
      </c>
      <c r="D204" s="3" t="n">
        <v>2000</v>
      </c>
      <c r="E204" s="3" t="n">
        <v>75</v>
      </c>
      <c r="F204" s="3" t="n">
        <v>0</v>
      </c>
      <c r="G204" s="3" t="n">
        <v>10</v>
      </c>
      <c r="H204" s="3" t="n">
        <v>0</v>
      </c>
      <c r="I204" s="3" t="n">
        <v>15</v>
      </c>
      <c r="J204" s="3" t="n">
        <v>0</v>
      </c>
      <c r="K204" s="3" t="n">
        <v>0</v>
      </c>
      <c r="L204" s="3" t="n">
        <v>5</v>
      </c>
      <c r="M204" s="6">
        <f>F204/54+G204+H204+I204+J204+L204*1.2+K204/2</f>
        <v>31.0</v>
      </c>
      <c r="N204" s="3" t="inlineStr">
        <is>
          <t>无</t>
        </is>
      </c>
      <c r="O204" s="3" t="inlineStr">
        <is>
          <t>无</t>
        </is>
      </c>
      <c r="P204" s="3" t="inlineStr">
        <is>
          <t>green</t>
        </is>
      </c>
      <c r="Q204" s="3" t="inlineStr">
        <is>
          <t>优秀/绿</t>
        </is>
      </c>
      <c r="R204" s="3" t="inlineStr">
        <is>
          <t>饰品</t>
        </is>
      </c>
      <c r="S204" s="3" t="inlineStr">
        <is>
          <t>饰品</t>
        </is>
      </c>
      <c r="T204" s="3" t="inlineStr">
        <is>
          <t>以桃木制成的辟邪法器，常为文士与道门弟子所用。</t>
        </is>
      </c>
      <c r="U204" s="3" t="inlineStr">
        <is>
          <t>是</t>
        </is>
      </c>
      <c r="V204" s="3" t="inlineStr">
        <is>
          <t>否</t>
        </is>
      </c>
      <c r="W204" s="3" t="inlineStr">
        <is>
          <t>equip_taomujian.png</t>
        </is>
      </c>
      <c r="X204" s="3" t="inlineStr"/>
      <c r="Y204" s="3" t="inlineStr">
        <is>
          <t>equip_ornament</t>
        </is>
      </c>
      <c r="Z204" s="3" t="inlineStr"/>
      <c r="AA204" s="3" t="inlineStr">
        <is>
          <t>无</t>
        </is>
      </c>
      <c r="AB204" s="3" t="inlineStr">
        <is>
          <t>否</t>
        </is>
      </c>
      <c r="AC204" s="3" t="inlineStr">
        <is>
          <t>否</t>
        </is>
      </c>
      <c r="AD204" s="3" t="inlineStr"/>
      <c r="AE204" s="3" t="inlineStr">
        <is>
          <t>任务宝箱装备；宝箱独立随机物品组</t>
        </is>
      </c>
      <c r="AF204" s="3" t="inlineStr">
        <is>
          <t>{"defense":10,"intellect":15,"luck":5}</t>
        </is>
      </c>
      <c r="AG204" s="3" t="inlineStr">
        <is>
          <t>data/item_templates.yaml:L6472</t>
        </is>
      </c>
    </row>
    <row r="205">
      <c r="A205" s="3" t="n">
        <v>204</v>
      </c>
      <c r="B205" s="3" t="inlineStr">
        <is>
          <t>equip_taomupai</t>
        </is>
      </c>
      <c r="C205" s="3" t="inlineStr">
        <is>
          <t>桃木牌</t>
        </is>
      </c>
      <c r="D205" s="3" t="n">
        <v>2000</v>
      </c>
      <c r="E205" s="3" t="n">
        <v>75</v>
      </c>
      <c r="F205" s="3" t="n">
        <v>0</v>
      </c>
      <c r="G205" s="3" t="n">
        <v>20</v>
      </c>
      <c r="H205" s="3" t="n">
        <v>0</v>
      </c>
      <c r="I205" s="3" t="n">
        <v>5</v>
      </c>
      <c r="J205" s="3" t="n">
        <v>0</v>
      </c>
      <c r="K205" s="3" t="n">
        <v>0</v>
      </c>
      <c r="L205" s="3" t="n">
        <v>10</v>
      </c>
      <c r="M205" s="6">
        <f>F205/54+G205+H205+I205+J205+L205*1.2+K205/2</f>
        <v>37.0</v>
      </c>
      <c r="N205" s="3" t="inlineStr">
        <is>
          <t>无</t>
        </is>
      </c>
      <c r="O205" s="3" t="inlineStr">
        <is>
          <t>无</t>
        </is>
      </c>
      <c r="P205" s="3" t="inlineStr">
        <is>
          <t>green</t>
        </is>
      </c>
      <c r="Q205" s="3" t="inlineStr">
        <is>
          <t>优秀/绿</t>
        </is>
      </c>
      <c r="R205" s="3" t="inlineStr">
        <is>
          <t>饰品</t>
        </is>
      </c>
      <c r="S205" s="3" t="inlineStr">
        <is>
          <t>饰品</t>
        </is>
      </c>
      <c r="T205" s="3" t="inlineStr">
        <is>
          <t>以桃木雕刻的辟邪牌，据传源自茅山道士的法器。</t>
        </is>
      </c>
      <c r="U205" s="3" t="inlineStr">
        <is>
          <t>是</t>
        </is>
      </c>
      <c r="V205" s="3" t="inlineStr">
        <is>
          <t>否</t>
        </is>
      </c>
      <c r="W205" s="3" t="inlineStr">
        <is>
          <t>equip_taomupai.png</t>
        </is>
      </c>
      <c r="X205" s="3" t="inlineStr"/>
      <c r="Y205" s="3" t="inlineStr">
        <is>
          <t>equip_ornament</t>
        </is>
      </c>
      <c r="Z205" s="3" t="inlineStr"/>
      <c r="AA205" s="3" t="inlineStr">
        <is>
          <t>无</t>
        </is>
      </c>
      <c r="AB205" s="3" t="inlineStr">
        <is>
          <t>否</t>
        </is>
      </c>
      <c r="AC205" s="3" t="inlineStr">
        <is>
          <t>否</t>
        </is>
      </c>
      <c r="AD205" s="3" t="inlineStr"/>
      <c r="AE205" s="3" t="inlineStr">
        <is>
          <t>任务宝箱装备</t>
        </is>
      </c>
      <c r="AF205" s="3" t="inlineStr">
        <is>
          <t>{"defense":20,"intellect":5,"luck":10}</t>
        </is>
      </c>
      <c r="AG205" s="3" t="inlineStr">
        <is>
          <t>data/item_templates.yaml:L6021</t>
        </is>
      </c>
    </row>
    <row r="206">
      <c r="A206" s="3" t="n">
        <v>205</v>
      </c>
      <c r="B206" s="3" t="inlineStr">
        <is>
          <t>equip_tiehufu</t>
        </is>
      </c>
      <c r="C206" s="3" t="inlineStr">
        <is>
          <t>铁护符</t>
        </is>
      </c>
      <c r="D206" s="3" t="n">
        <v>2000</v>
      </c>
      <c r="E206" s="3" t="n">
        <v>75</v>
      </c>
      <c r="F206" s="3" t="n">
        <v>200</v>
      </c>
      <c r="G206" s="3" t="n">
        <v>20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6">
        <f>F206/54+G206+H206+I206+J206+L206*1.2+K206/2</f>
        <v>23.703703703703702</v>
      </c>
      <c r="N206" s="3" t="inlineStr">
        <is>
          <t>无</t>
        </is>
      </c>
      <c r="O206" s="3" t="inlineStr">
        <is>
          <t>无</t>
        </is>
      </c>
      <c r="P206" s="3" t="inlineStr">
        <is>
          <t>green</t>
        </is>
      </c>
      <c r="Q206" s="3" t="inlineStr">
        <is>
          <t>优秀/绿</t>
        </is>
      </c>
      <c r="R206" s="3" t="inlineStr">
        <is>
          <t>饰品</t>
        </is>
      </c>
      <c r="S206" s="3" t="inlineStr">
        <is>
          <t>饰品</t>
        </is>
      </c>
      <c r="T206" s="3" t="inlineStr">
        <is>
          <t>以精铁铸成的护身符，是军中将士的护身之物。</t>
        </is>
      </c>
      <c r="U206" s="3" t="inlineStr">
        <is>
          <t>是</t>
        </is>
      </c>
      <c r="V206" s="3" t="inlineStr">
        <is>
          <t>否</t>
        </is>
      </c>
      <c r="W206" s="3" t="inlineStr">
        <is>
          <t>equip_tiehufu.png</t>
        </is>
      </c>
      <c r="X206" s="3" t="inlineStr"/>
      <c r="Y206" s="3" t="inlineStr">
        <is>
          <t>equip_ornament</t>
        </is>
      </c>
      <c r="Z206" s="3" t="inlineStr"/>
      <c r="AA206" s="3" t="inlineStr">
        <is>
          <t>无</t>
        </is>
      </c>
      <c r="AB206" s="3" t="inlineStr">
        <is>
          <t>否</t>
        </is>
      </c>
      <c r="AC206" s="3" t="inlineStr">
        <is>
          <t>否</t>
        </is>
      </c>
      <c r="AD206" s="3" t="inlineStr"/>
      <c r="AE206" s="3" t="inlineStr">
        <is>
          <t>任务宝箱装备；宝箱随机装备</t>
        </is>
      </c>
      <c r="AF206" s="3" t="inlineStr">
        <is>
          <t>{"hp":200,"defense":20}</t>
        </is>
      </c>
      <c r="AG206" s="3" t="inlineStr">
        <is>
          <t>data/item_templates.yaml:L6049</t>
        </is>
      </c>
    </row>
    <row r="207">
      <c r="A207" s="3" t="n">
        <v>206</v>
      </c>
      <c r="B207" s="3" t="inlineStr">
        <is>
          <t>equip_tongjing</t>
        </is>
      </c>
      <c r="C207" s="3" t="inlineStr">
        <is>
          <t>铜镜</t>
        </is>
      </c>
      <c r="D207" s="3" t="n">
        <v>2000</v>
      </c>
      <c r="E207" s="3" t="n">
        <v>75</v>
      </c>
      <c r="F207" s="3" t="n">
        <v>500</v>
      </c>
      <c r="G207" s="3" t="n">
        <v>20</v>
      </c>
      <c r="H207" s="3" t="n">
        <v>0</v>
      </c>
      <c r="I207" s="3" t="n">
        <v>5</v>
      </c>
      <c r="J207" s="3" t="n">
        <v>0</v>
      </c>
      <c r="K207" s="3" t="n">
        <v>0</v>
      </c>
      <c r="L207" s="3" t="n">
        <v>0</v>
      </c>
      <c r="M207" s="6">
        <f>F207/54+G207+H207+I207+J207+L207*1.2+K207/2</f>
        <v>34.25925925925926</v>
      </c>
      <c r="N207" s="3" t="inlineStr">
        <is>
          <t>无</t>
        </is>
      </c>
      <c r="O207" s="3" t="inlineStr">
        <is>
          <t>无</t>
        </is>
      </c>
      <c r="P207" s="3" t="inlineStr">
        <is>
          <t>green</t>
        </is>
      </c>
      <c r="Q207" s="3" t="inlineStr">
        <is>
          <t>优秀/绿</t>
        </is>
      </c>
      <c r="R207" s="3" t="inlineStr">
        <is>
          <t>饰品</t>
        </is>
      </c>
      <c r="S207" s="3" t="inlineStr">
        <is>
          <t>饰品</t>
        </is>
      </c>
      <c r="T207" s="3" t="inlineStr">
        <is>
          <t>常见的铜镜器物，可用以照面亦可镇邪。</t>
        </is>
      </c>
      <c r="U207" s="3" t="inlineStr">
        <is>
          <t>是</t>
        </is>
      </c>
      <c r="V207" s="3" t="inlineStr">
        <is>
          <t>否</t>
        </is>
      </c>
      <c r="W207" s="3" t="inlineStr">
        <is>
          <t>equip_tongjing.png</t>
        </is>
      </c>
      <c r="X207" s="3" t="inlineStr"/>
      <c r="Y207" s="3" t="inlineStr">
        <is>
          <t>equip_ornament</t>
        </is>
      </c>
      <c r="Z207" s="3" t="inlineStr"/>
      <c r="AA207" s="3" t="inlineStr">
        <is>
          <t>无</t>
        </is>
      </c>
      <c r="AB207" s="3" t="inlineStr">
        <is>
          <t>否</t>
        </is>
      </c>
      <c r="AC207" s="3" t="inlineStr">
        <is>
          <t>否</t>
        </is>
      </c>
      <c r="AD207" s="3" t="inlineStr"/>
      <c r="AE207" s="3" t="inlineStr">
        <is>
          <t>任务宝箱装备；宝箱独立随机物品组</t>
        </is>
      </c>
      <c r="AF207" s="3" t="inlineStr">
        <is>
          <t>{"hp":500,"defense":20,"intellect":5}</t>
        </is>
      </c>
      <c r="AG207" s="3" t="inlineStr">
        <is>
          <t>data/item_templates.yaml:L6486</t>
        </is>
      </c>
    </row>
    <row r="208">
      <c r="A208" s="3" t="n">
        <v>207</v>
      </c>
      <c r="B208" s="3" t="inlineStr">
        <is>
          <t>equip_tongling</t>
        </is>
      </c>
      <c r="C208" s="3" t="inlineStr">
        <is>
          <t>铜铃</t>
        </is>
      </c>
      <c r="D208" s="3" t="n">
        <v>2000</v>
      </c>
      <c r="E208" s="3" t="n">
        <v>75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10</v>
      </c>
      <c r="K208" s="3" t="n">
        <v>0</v>
      </c>
      <c r="L208" s="3" t="n">
        <v>20</v>
      </c>
      <c r="M208" s="6">
        <f>F208/54+G208+H208+I208+J208+L208*1.2+K208/2</f>
        <v>34.0</v>
      </c>
      <c r="N208" s="3" t="inlineStr">
        <is>
          <t>无</t>
        </is>
      </c>
      <c r="O208" s="3" t="inlineStr">
        <is>
          <t>无</t>
        </is>
      </c>
      <c r="P208" s="3" t="inlineStr">
        <is>
          <t>green</t>
        </is>
      </c>
      <c r="Q208" s="3" t="inlineStr">
        <is>
          <t>优秀/绿</t>
        </is>
      </c>
      <c r="R208" s="3" t="inlineStr">
        <is>
          <t>饰品</t>
        </is>
      </c>
      <c r="S208" s="3" t="inlineStr">
        <is>
          <t>饰品</t>
        </is>
      </c>
      <c r="T208" s="3" t="inlineStr">
        <is>
          <t>道观门前悬挂的风铃，铃音清脆可驱邪避厄。</t>
        </is>
      </c>
      <c r="U208" s="3" t="inlineStr">
        <is>
          <t>是</t>
        </is>
      </c>
      <c r="V208" s="3" t="inlineStr">
        <is>
          <t>否</t>
        </is>
      </c>
      <c r="W208" s="3" t="inlineStr">
        <is>
          <t>equip_tongling.png</t>
        </is>
      </c>
      <c r="X208" s="3" t="inlineStr"/>
      <c r="Y208" s="3" t="inlineStr">
        <is>
          <t>equip_ornament</t>
        </is>
      </c>
      <c r="Z208" s="3" t="inlineStr"/>
      <c r="AA208" s="3" t="inlineStr">
        <is>
          <t>无</t>
        </is>
      </c>
      <c r="AB208" s="3" t="inlineStr">
        <is>
          <t>否</t>
        </is>
      </c>
      <c r="AC208" s="3" t="inlineStr">
        <is>
          <t>否</t>
        </is>
      </c>
      <c r="AD208" s="3" t="inlineStr"/>
      <c r="AE208" s="3" t="inlineStr">
        <is>
          <t>宝箱随机装备</t>
        </is>
      </c>
      <c r="AF208" s="3" t="inlineStr">
        <is>
          <t>{"agility":10,"luck":20}</t>
        </is>
      </c>
      <c r="AG208" s="3" t="inlineStr">
        <is>
          <t>data/item_templates.yaml:L5980</t>
        </is>
      </c>
    </row>
    <row r="209">
      <c r="A209" s="3" t="n">
        <v>208</v>
      </c>
      <c r="B209" s="3" t="inlineStr">
        <is>
          <t>equip_yiqiyaopai</t>
        </is>
      </c>
      <c r="C209" s="3" t="inlineStr">
        <is>
          <t>义气腰牌</t>
        </is>
      </c>
      <c r="D209" s="3" t="n">
        <v>2000</v>
      </c>
      <c r="E209" s="3" t="n">
        <v>75</v>
      </c>
      <c r="F209" s="3" t="n">
        <v>100</v>
      </c>
      <c r="G209" s="3" t="n">
        <v>5</v>
      </c>
      <c r="H209" s="3" t="n">
        <v>25</v>
      </c>
      <c r="I209" s="3" t="n">
        <v>0</v>
      </c>
      <c r="J209" s="3" t="n">
        <v>0</v>
      </c>
      <c r="K209" s="3" t="n">
        <v>0</v>
      </c>
      <c r="L209" s="3" t="n">
        <v>0</v>
      </c>
      <c r="M209" s="6">
        <f>F209/54+G209+H209+I209+J209+L209*1.2+K209/2</f>
        <v>31.85185185185185</v>
      </c>
      <c r="N209" s="3" t="inlineStr">
        <is>
          <t>无</t>
        </is>
      </c>
      <c r="O209" s="3" t="inlineStr">
        <is>
          <t>无</t>
        </is>
      </c>
      <c r="P209" s="3" t="inlineStr">
        <is>
          <t>green</t>
        </is>
      </c>
      <c r="Q209" s="3" t="inlineStr">
        <is>
          <t>优秀/绿</t>
        </is>
      </c>
      <c r="R209" s="3" t="inlineStr">
        <is>
          <t>饰品</t>
        </is>
      </c>
      <c r="S209" s="3" t="inlineStr">
        <is>
          <t>饰品</t>
        </is>
      </c>
      <c r="T209" s="3" t="inlineStr">
        <is>
          <t>江湖义气堂的信物，佩戴者可在各地驿站通行。</t>
        </is>
      </c>
      <c r="U209" s="3" t="inlineStr">
        <is>
          <t>是</t>
        </is>
      </c>
      <c r="V209" s="3" t="inlineStr">
        <is>
          <t>否</t>
        </is>
      </c>
      <c r="W209" s="3" t="inlineStr">
        <is>
          <t>equip_yiqiyaopai.png</t>
        </is>
      </c>
      <c r="X209" s="3" t="inlineStr"/>
      <c r="Y209" s="3" t="inlineStr">
        <is>
          <t>equip_ornament</t>
        </is>
      </c>
      <c r="Z209" s="3" t="inlineStr"/>
      <c r="AA209" s="3" t="inlineStr">
        <is>
          <t>无</t>
        </is>
      </c>
      <c r="AB209" s="3" t="inlineStr">
        <is>
          <t>否</t>
        </is>
      </c>
      <c r="AC209" s="3" t="inlineStr">
        <is>
          <t>否</t>
        </is>
      </c>
      <c r="AD209" s="3" t="inlineStr"/>
      <c r="AE209" s="3" t="inlineStr">
        <is>
          <t>任务宝箱装备；宝箱随机装备</t>
        </is>
      </c>
      <c r="AF209" s="3" t="inlineStr">
        <is>
          <t>{"hp":100,"defense":5,"force":25}</t>
        </is>
      </c>
      <c r="AG209" s="3" t="inlineStr">
        <is>
          <t>data/item_templates.yaml:L6078</t>
        </is>
      </c>
    </row>
    <row r="210">
      <c r="A210" s="3" t="n">
        <v>209</v>
      </c>
      <c r="B210" s="3" t="inlineStr">
        <is>
          <t>equip_yupei</t>
        </is>
      </c>
      <c r="C210" s="3" t="inlineStr">
        <is>
          <t>玉佩</t>
        </is>
      </c>
      <c r="D210" s="3" t="n">
        <v>2000</v>
      </c>
      <c r="E210" s="3" t="n">
        <v>75</v>
      </c>
      <c r="F210" s="3" t="n">
        <v>50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100</v>
      </c>
      <c r="L210" s="3" t="n">
        <v>0</v>
      </c>
      <c r="M210" s="6">
        <f>F210/54+G210+H210+I210+J210+L210*1.2+K210/2</f>
        <v>50.925925925925924</v>
      </c>
      <c r="N210" s="3" t="inlineStr">
        <is>
          <t>无</t>
        </is>
      </c>
      <c r="O210" s="3" t="inlineStr">
        <is>
          <t>无</t>
        </is>
      </c>
      <c r="P210" s="3" t="inlineStr">
        <is>
          <t>green</t>
        </is>
      </c>
      <c r="Q210" s="3" t="inlineStr">
        <is>
          <t>优秀/绿</t>
        </is>
      </c>
      <c r="R210" s="3" t="inlineStr">
        <is>
          <t>饰品</t>
        </is>
      </c>
      <c r="S210" s="3" t="inlineStr">
        <is>
          <t>饰品</t>
        </is>
      </c>
      <c r="T210" s="3" t="inlineStr">
        <is>
          <t>温润的随身玉佩，是江南大户人家子弟的常见饰物。</t>
        </is>
      </c>
      <c r="U210" s="3" t="inlineStr">
        <is>
          <t>是</t>
        </is>
      </c>
      <c r="V210" s="3" t="inlineStr">
        <is>
          <t>否</t>
        </is>
      </c>
      <c r="W210" s="3" t="inlineStr">
        <is>
          <t>equip_yupei.png</t>
        </is>
      </c>
      <c r="X210" s="3" t="inlineStr"/>
      <c r="Y210" s="3" t="inlineStr">
        <is>
          <t>equip_ornament</t>
        </is>
      </c>
      <c r="Z210" s="3" t="inlineStr"/>
      <c r="AA210" s="3" t="inlineStr">
        <is>
          <t>无</t>
        </is>
      </c>
      <c r="AB210" s="3" t="inlineStr">
        <is>
          <t>否</t>
        </is>
      </c>
      <c r="AC210" s="3" t="inlineStr">
        <is>
          <t>否</t>
        </is>
      </c>
      <c r="AD210" s="3" t="inlineStr"/>
      <c r="AE210" s="3" t="inlineStr">
        <is>
          <t>任务宝箱装备；宝箱独立随机物品组；宝箱随机装备</t>
        </is>
      </c>
      <c r="AF210" s="3" t="inlineStr">
        <is>
          <t>{"hp":50,"troop_capacity":100}</t>
        </is>
      </c>
      <c r="AG210" s="3" t="inlineStr">
        <is>
          <t>data/item_templates.yaml:L5993</t>
        </is>
      </c>
    </row>
    <row r="211">
      <c r="A211" s="3" t="n">
        <v>210</v>
      </c>
      <c r="B211" s="3" t="inlineStr">
        <is>
          <t>equip_zhujian</t>
        </is>
      </c>
      <c r="C211" s="3" t="inlineStr">
        <is>
          <t>竹简</t>
        </is>
      </c>
      <c r="D211" s="3" t="n">
        <v>2000</v>
      </c>
      <c r="E211" s="3" t="n">
        <v>75</v>
      </c>
      <c r="F211" s="3" t="n">
        <v>0</v>
      </c>
      <c r="G211" s="3" t="n">
        <v>5</v>
      </c>
      <c r="H211" s="3" t="n">
        <v>0</v>
      </c>
      <c r="I211" s="3" t="n">
        <v>30</v>
      </c>
      <c r="J211" s="3" t="n">
        <v>0</v>
      </c>
      <c r="K211" s="3" t="n">
        <v>0</v>
      </c>
      <c r="L211" s="3" t="n">
        <v>0</v>
      </c>
      <c r="M211" s="6">
        <f>F211/54+G211+H211+I211+J211+L211*1.2+K211/2</f>
        <v>35.0</v>
      </c>
      <c r="N211" s="3" t="inlineStr">
        <is>
          <t>无</t>
        </is>
      </c>
      <c r="O211" s="3" t="inlineStr">
        <is>
          <t>无</t>
        </is>
      </c>
      <c r="P211" s="3" t="inlineStr">
        <is>
          <t>green</t>
        </is>
      </c>
      <c r="Q211" s="3" t="inlineStr">
        <is>
          <t>优秀/绿</t>
        </is>
      </c>
      <c r="R211" s="3" t="inlineStr">
        <is>
          <t>饰品</t>
        </is>
      </c>
      <c r="S211" s="3" t="inlineStr">
        <is>
          <t>饰品</t>
        </is>
      </c>
      <c r="T211" s="3" t="inlineStr">
        <is>
          <t>记载典籍的竹简，墨迹犹新，似仍留有旧主的气息。</t>
        </is>
      </c>
      <c r="U211" s="3" t="inlineStr">
        <is>
          <t>是</t>
        </is>
      </c>
      <c r="V211" s="3" t="inlineStr">
        <is>
          <t>否</t>
        </is>
      </c>
      <c r="W211" s="3" t="inlineStr">
        <is>
          <t>equip_zhujian.png</t>
        </is>
      </c>
      <c r="X211" s="3" t="inlineStr"/>
      <c r="Y211" s="3" t="inlineStr">
        <is>
          <t>equip_ornament</t>
        </is>
      </c>
      <c r="Z211" s="3" t="inlineStr"/>
      <c r="AA211" s="3" t="inlineStr">
        <is>
          <t>无</t>
        </is>
      </c>
      <c r="AB211" s="3" t="inlineStr">
        <is>
          <t>否</t>
        </is>
      </c>
      <c r="AC211" s="3" t="inlineStr">
        <is>
          <t>否</t>
        </is>
      </c>
      <c r="AD211" s="3" t="inlineStr"/>
      <c r="AE211" s="3" t="inlineStr">
        <is>
          <t>任务宝箱装备</t>
        </is>
      </c>
      <c r="AF211" s="3" t="inlineStr">
        <is>
          <t>{"defense":5,"intellect":30}</t>
        </is>
      </c>
      <c r="AG211" s="3" t="inlineStr">
        <is>
          <t>data/item_templates.yaml:L6514</t>
        </is>
      </c>
    </row>
    <row r="212">
      <c r="A212" s="3" t="n">
        <v>211</v>
      </c>
      <c r="B212" s="3" t="inlineStr">
        <is>
          <t>equip_fengyuzan</t>
        </is>
      </c>
      <c r="C212" s="3" t="inlineStr">
        <is>
          <t>凤羽簪</t>
        </is>
      </c>
      <c r="D212" s="3" t="n">
        <v>6000</v>
      </c>
      <c r="E212" s="3" t="n">
        <v>100</v>
      </c>
      <c r="F212" s="3" t="n">
        <v>100</v>
      </c>
      <c r="G212" s="3" t="n">
        <v>0</v>
      </c>
      <c r="H212" s="3" t="n">
        <v>0</v>
      </c>
      <c r="I212" s="3" t="n">
        <v>15</v>
      </c>
      <c r="J212" s="3" t="n">
        <v>0</v>
      </c>
      <c r="K212" s="3" t="n">
        <v>0</v>
      </c>
      <c r="L212" s="3" t="n">
        <v>20</v>
      </c>
      <c r="M212" s="6">
        <f>F212/54+G212+H212+I212+J212+L212*1.2+K212/2</f>
        <v>40.85185185185185</v>
      </c>
      <c r="N212" s="3" t="inlineStr">
        <is>
          <t>无</t>
        </is>
      </c>
      <c r="O212" s="3" t="inlineStr">
        <is>
          <t>无</t>
        </is>
      </c>
      <c r="P212" s="3" t="inlineStr">
        <is>
          <t>blue</t>
        </is>
      </c>
      <c r="Q212" s="3" t="inlineStr">
        <is>
          <t>稀有/蓝</t>
        </is>
      </c>
      <c r="R212" s="3" t="inlineStr">
        <is>
          <t>饰品</t>
        </is>
      </c>
      <c r="S212" s="3" t="inlineStr">
        <is>
          <t>饰品</t>
        </is>
      </c>
      <c r="T212" s="3" t="inlineStr">
        <is>
          <t>以凤凰羽毛装饰的发簪，是宫廷贵妃的饰物。</t>
        </is>
      </c>
      <c r="U212" s="3" t="inlineStr">
        <is>
          <t>是</t>
        </is>
      </c>
      <c r="V212" s="3" t="inlineStr">
        <is>
          <t>否</t>
        </is>
      </c>
      <c r="W212" s="3" t="inlineStr">
        <is>
          <t>equip_fengyuzan.png</t>
        </is>
      </c>
      <c r="X212" s="3" t="inlineStr"/>
      <c r="Y212" s="3" t="inlineStr">
        <is>
          <t>equip_ornament</t>
        </is>
      </c>
      <c r="Z212" s="3" t="inlineStr"/>
      <c r="AA212" s="3" t="inlineStr">
        <is>
          <t>无</t>
        </is>
      </c>
      <c r="AB212" s="3" t="inlineStr">
        <is>
          <t>否</t>
        </is>
      </c>
      <c r="AC212" s="3" t="inlineStr">
        <is>
          <t>否</t>
        </is>
      </c>
      <c r="AD212" s="3" t="inlineStr"/>
      <c r="AE212" s="3" t="inlineStr">
        <is>
          <t>任务宝箱装备</t>
        </is>
      </c>
      <c r="AF212" s="3" t="inlineStr">
        <is>
          <t>{"hp":100,"intellect":15,"luck":20}</t>
        </is>
      </c>
      <c r="AG212" s="3" t="inlineStr">
        <is>
          <t>data/item_templates.yaml:L6109</t>
        </is>
      </c>
    </row>
    <row r="213">
      <c r="A213" s="3" t="n">
        <v>212</v>
      </c>
      <c r="B213" s="3" t="inlineStr">
        <is>
          <t>equip_guanxingdeng</t>
        </is>
      </c>
      <c r="C213" s="3" t="inlineStr">
        <is>
          <t>观星灯</t>
        </is>
      </c>
      <c r="D213" s="3" t="n">
        <v>6000</v>
      </c>
      <c r="E213" s="3" t="n">
        <v>100</v>
      </c>
      <c r="F213" s="3" t="n">
        <v>100</v>
      </c>
      <c r="G213" s="3" t="n">
        <v>0</v>
      </c>
      <c r="H213" s="3" t="n">
        <v>0</v>
      </c>
      <c r="I213" s="3" t="n">
        <v>10</v>
      </c>
      <c r="J213" s="3" t="n">
        <v>0</v>
      </c>
      <c r="K213" s="3" t="n">
        <v>0</v>
      </c>
      <c r="L213" s="3" t="n">
        <v>30</v>
      </c>
      <c r="M213" s="6">
        <f>F213/54+G213+H213+I213+J213+L213*1.2+K213/2</f>
        <v>47.85185185185185</v>
      </c>
      <c r="N213" s="3" t="inlineStr">
        <is>
          <t>无</t>
        </is>
      </c>
      <c r="O213" s="3" t="inlineStr">
        <is>
          <t>无</t>
        </is>
      </c>
      <c r="P213" s="3" t="inlineStr">
        <is>
          <t>blue</t>
        </is>
      </c>
      <c r="Q213" s="3" t="inlineStr">
        <is>
          <t>稀有/蓝</t>
        </is>
      </c>
      <c r="R213" s="3" t="inlineStr">
        <is>
          <t>饰品</t>
        </is>
      </c>
      <c r="S213" s="3" t="inlineStr">
        <is>
          <t>饰品</t>
        </is>
      </c>
      <c r="T213" s="3" t="inlineStr">
        <is>
          <t>点燃后可观星推演的法灯，灯火不灭，光晕如星。</t>
        </is>
      </c>
      <c r="U213" s="3" t="inlineStr">
        <is>
          <t>是</t>
        </is>
      </c>
      <c r="V213" s="3" t="inlineStr">
        <is>
          <t>否</t>
        </is>
      </c>
      <c r="W213" s="3" t="inlineStr">
        <is>
          <t>equip_guanxingdeng.png</t>
        </is>
      </c>
      <c r="X213" s="3" t="inlineStr"/>
      <c r="Y213" s="3" t="inlineStr">
        <is>
          <t>equip_ornament</t>
        </is>
      </c>
      <c r="Z213" s="3" t="inlineStr"/>
      <c r="AA213" s="3" t="inlineStr">
        <is>
          <t>无</t>
        </is>
      </c>
      <c r="AB213" s="3" t="inlineStr">
        <is>
          <t>否</t>
        </is>
      </c>
      <c r="AC213" s="3" t="inlineStr">
        <is>
          <t>否</t>
        </is>
      </c>
      <c r="AD213" s="3" t="inlineStr"/>
      <c r="AE213" s="3" t="inlineStr">
        <is>
          <t>任务宝箱装备；宝箱独立随机物品组</t>
        </is>
      </c>
      <c r="AF213" s="3" t="inlineStr">
        <is>
          <t>{"hp":100,"intellect":10,"luck":30}</t>
        </is>
      </c>
      <c r="AG213" s="3" t="inlineStr">
        <is>
          <t>data/item_templates.yaml:L6655</t>
        </is>
      </c>
    </row>
    <row r="214">
      <c r="A214" s="3" t="n">
        <v>213</v>
      </c>
      <c r="B214" s="3" t="inlineStr">
        <is>
          <t>equip_huyaxianglian</t>
        </is>
      </c>
      <c r="C214" s="3" t="inlineStr">
        <is>
          <t>虎牙项链</t>
        </is>
      </c>
      <c r="D214" s="3" t="n">
        <v>6000</v>
      </c>
      <c r="E214" s="3" t="n">
        <v>100</v>
      </c>
      <c r="F214" s="3" t="n">
        <v>250</v>
      </c>
      <c r="G214" s="3" t="n">
        <v>0</v>
      </c>
      <c r="H214" s="3" t="n">
        <v>20</v>
      </c>
      <c r="I214" s="3" t="n">
        <v>0</v>
      </c>
      <c r="J214" s="3" t="n">
        <v>15</v>
      </c>
      <c r="K214" s="3" t="n">
        <v>0</v>
      </c>
      <c r="L214" s="3" t="n">
        <v>0</v>
      </c>
      <c r="M214" s="6">
        <f>F214/54+G214+H214+I214+J214+L214*1.2+K214/2</f>
        <v>39.62962962962963</v>
      </c>
      <c r="N214" s="3" t="inlineStr">
        <is>
          <t>无</t>
        </is>
      </c>
      <c r="O214" s="3" t="inlineStr">
        <is>
          <t>无</t>
        </is>
      </c>
      <c r="P214" s="3" t="inlineStr">
        <is>
          <t>blue</t>
        </is>
      </c>
      <c r="Q214" s="3" t="inlineStr">
        <is>
          <t>稀有/蓝</t>
        </is>
      </c>
      <c r="R214" s="3" t="inlineStr">
        <is>
          <t>饰品</t>
        </is>
      </c>
      <c r="S214" s="3" t="inlineStr">
        <is>
          <t>饰品</t>
        </is>
      </c>
      <c r="T214" s="3" t="inlineStr">
        <is>
          <t>以猛虎獠牙串成的项链，是猎虎人的战利品。</t>
        </is>
      </c>
      <c r="U214" s="3" t="inlineStr">
        <is>
          <t>是</t>
        </is>
      </c>
      <c r="V214" s="3" t="inlineStr">
        <is>
          <t>否</t>
        </is>
      </c>
      <c r="W214" s="3" t="inlineStr">
        <is>
          <t>equip_huyaxianglian.png</t>
        </is>
      </c>
      <c r="X214" s="3" t="inlineStr"/>
      <c r="Y214" s="3" t="inlineStr">
        <is>
          <t>equip_ornament</t>
        </is>
      </c>
      <c r="Z214" s="3" t="inlineStr"/>
      <c r="AA214" s="3" t="inlineStr">
        <is>
          <t>无</t>
        </is>
      </c>
      <c r="AB214" s="3" t="inlineStr">
        <is>
          <t>否</t>
        </is>
      </c>
      <c r="AC214" s="3" t="inlineStr">
        <is>
          <t>否</t>
        </is>
      </c>
      <c r="AD214" s="3" t="inlineStr"/>
      <c r="AE214" s="3" t="inlineStr">
        <is>
          <t>任务宝箱装备</t>
        </is>
      </c>
      <c r="AF214" s="3" t="inlineStr">
        <is>
          <t>{"hp":250,"force":20,"agility":15}</t>
        </is>
      </c>
      <c r="AG214" s="3" t="inlineStr">
        <is>
          <t>data/item_templates.yaml:L6123</t>
        </is>
      </c>
    </row>
    <row r="215">
      <c r="A215" s="3" t="n">
        <v>214</v>
      </c>
      <c r="B215" s="3" t="inlineStr">
        <is>
          <t>equip_linghuzhui</t>
        </is>
      </c>
      <c r="C215" s="3" t="inlineStr">
        <is>
          <t>灵狐坠</t>
        </is>
      </c>
      <c r="D215" s="3" t="n">
        <v>6000</v>
      </c>
      <c r="E215" s="3" t="n">
        <v>100</v>
      </c>
      <c r="F215" s="3" t="n">
        <v>150</v>
      </c>
      <c r="G215" s="3" t="n">
        <v>0</v>
      </c>
      <c r="H215" s="3" t="n">
        <v>0</v>
      </c>
      <c r="I215" s="3" t="n">
        <v>25</v>
      </c>
      <c r="J215" s="3" t="n">
        <v>15</v>
      </c>
      <c r="K215" s="3" t="n">
        <v>0</v>
      </c>
      <c r="L215" s="3" t="n">
        <v>0</v>
      </c>
      <c r="M215" s="6">
        <f>F215/54+G215+H215+I215+J215+L215*1.2+K215/2</f>
        <v>42.77777777777778</v>
      </c>
      <c r="N215" s="3" t="inlineStr">
        <is>
          <t>无</t>
        </is>
      </c>
      <c r="O215" s="3" t="inlineStr">
        <is>
          <t>无</t>
        </is>
      </c>
      <c r="P215" s="3" t="inlineStr">
        <is>
          <t>blue</t>
        </is>
      </c>
      <c r="Q215" s="3" t="inlineStr">
        <is>
          <t>稀有/蓝</t>
        </is>
      </c>
      <c r="R215" s="3" t="inlineStr">
        <is>
          <t>饰品</t>
        </is>
      </c>
      <c r="S215" s="3" t="inlineStr">
        <is>
          <t>饰品</t>
        </is>
      </c>
      <c r="T215" s="3" t="inlineStr">
        <is>
          <t>以狐狸形玉石雕成的坠饰，传说出自涂山狐族。</t>
        </is>
      </c>
      <c r="U215" s="3" t="inlineStr">
        <is>
          <t>是</t>
        </is>
      </c>
      <c r="V215" s="3" t="inlineStr">
        <is>
          <t>否</t>
        </is>
      </c>
      <c r="W215" s="3" t="inlineStr">
        <is>
          <t>equip_linghuzhui.png</t>
        </is>
      </c>
      <c r="X215" s="3" t="inlineStr"/>
      <c r="Y215" s="3" t="inlineStr">
        <is>
          <t>equip_ornament</t>
        </is>
      </c>
      <c r="Z215" s="3" t="inlineStr"/>
      <c r="AA215" s="3" t="inlineStr">
        <is>
          <t>无</t>
        </is>
      </c>
      <c r="AB215" s="3" t="inlineStr">
        <is>
          <t>否</t>
        </is>
      </c>
      <c r="AC215" s="3" t="inlineStr">
        <is>
          <t>否</t>
        </is>
      </c>
      <c r="AD215" s="3" t="inlineStr"/>
      <c r="AE215" s="3" t="inlineStr">
        <is>
          <t>任务宝箱装备</t>
        </is>
      </c>
      <c r="AF215" s="3" t="inlineStr">
        <is>
          <t>{"hp":150,"intellect":25,"agility":15}</t>
        </is>
      </c>
      <c r="AG215" s="3" t="inlineStr">
        <is>
          <t>data/item_templates.yaml:L6137</t>
        </is>
      </c>
    </row>
    <row r="216">
      <c r="A216" s="3" t="n">
        <v>215</v>
      </c>
      <c r="B216" s="3" t="inlineStr">
        <is>
          <t>equip_lingwenyubi</t>
        </is>
      </c>
      <c r="C216" s="3" t="inlineStr">
        <is>
          <t>灵纹玉笔</t>
        </is>
      </c>
      <c r="D216" s="3" t="n">
        <v>6000</v>
      </c>
      <c r="E216" s="3" t="n">
        <v>100</v>
      </c>
      <c r="F216" s="3" t="n">
        <v>200</v>
      </c>
      <c r="G216" s="3" t="n">
        <v>0</v>
      </c>
      <c r="H216" s="3" t="n">
        <v>0</v>
      </c>
      <c r="I216" s="3" t="n">
        <v>25</v>
      </c>
      <c r="J216" s="3" t="n">
        <v>0</v>
      </c>
      <c r="K216" s="3" t="n">
        <v>0</v>
      </c>
      <c r="L216" s="3" t="n">
        <v>15</v>
      </c>
      <c r="M216" s="6">
        <f>F216/54+G216+H216+I216+J216+L216*1.2+K216/2</f>
        <v>46.7037037037037</v>
      </c>
      <c r="N216" s="3" t="inlineStr">
        <is>
          <t>无</t>
        </is>
      </c>
      <c r="O216" s="3" t="inlineStr">
        <is>
          <t>无</t>
        </is>
      </c>
      <c r="P216" s="3" t="inlineStr">
        <is>
          <t>blue</t>
        </is>
      </c>
      <c r="Q216" s="3" t="inlineStr">
        <is>
          <t>稀有/蓝</t>
        </is>
      </c>
      <c r="R216" s="3" t="inlineStr">
        <is>
          <t>饰品</t>
        </is>
      </c>
      <c r="S216" s="3" t="inlineStr">
        <is>
          <t>饰品</t>
        </is>
      </c>
      <c r="T216" s="3" t="inlineStr">
        <is>
          <t>雕刻灵纹的玉笔，可书符画阵，是文修与术士的趁手器物。</t>
        </is>
      </c>
      <c r="U216" s="3" t="inlineStr">
        <is>
          <t>是</t>
        </is>
      </c>
      <c r="V216" s="3" t="inlineStr">
        <is>
          <t>否</t>
        </is>
      </c>
      <c r="W216" s="3" t="inlineStr">
        <is>
          <t>equip_lingwenyubi.png</t>
        </is>
      </c>
      <c r="X216" s="3" t="inlineStr"/>
      <c r="Y216" s="3" t="inlineStr">
        <is>
          <t>equip_ornament</t>
        </is>
      </c>
      <c r="Z216" s="3" t="inlineStr"/>
      <c r="AA216" s="3" t="inlineStr">
        <is>
          <t>无</t>
        </is>
      </c>
      <c r="AB216" s="3" t="inlineStr">
        <is>
          <t>否</t>
        </is>
      </c>
      <c r="AC216" s="3" t="inlineStr">
        <is>
          <t>否</t>
        </is>
      </c>
      <c r="AD216" s="3" t="inlineStr"/>
      <c r="AE216" s="3" t="inlineStr">
        <is>
          <t>任务宝箱装备</t>
        </is>
      </c>
      <c r="AF216" s="3" t="inlineStr">
        <is>
          <t>{"hp":200,"intellect":25,"luck":15}</t>
        </is>
      </c>
      <c r="AG216" s="3" t="inlineStr">
        <is>
          <t>data/item_templates.yaml:L6641</t>
        </is>
      </c>
    </row>
    <row r="217">
      <c r="A217" s="3" t="n">
        <v>216</v>
      </c>
      <c r="B217" s="3" t="inlineStr">
        <is>
          <t>equip_liuyunpei</t>
        </is>
      </c>
      <c r="C217" s="3" t="inlineStr">
        <is>
          <t>流云佩</t>
        </is>
      </c>
      <c r="D217" s="3" t="n">
        <v>6000</v>
      </c>
      <c r="E217" s="3" t="n">
        <v>100</v>
      </c>
      <c r="F217" s="3" t="n">
        <v>150</v>
      </c>
      <c r="G217" s="3" t="n">
        <v>0</v>
      </c>
      <c r="H217" s="3" t="n">
        <v>0</v>
      </c>
      <c r="I217" s="3" t="n">
        <v>9</v>
      </c>
      <c r="J217" s="3" t="n">
        <v>15</v>
      </c>
      <c r="K217" s="3" t="n">
        <v>0</v>
      </c>
      <c r="L217" s="3" t="n">
        <v>15</v>
      </c>
      <c r="M217" s="6">
        <f>F217/54+G217+H217+I217+J217+L217*1.2+K217/2</f>
        <v>44.77777777777778</v>
      </c>
      <c r="N217" s="3" t="inlineStr">
        <is>
          <t>无</t>
        </is>
      </c>
      <c r="O217" s="3" t="inlineStr">
        <is>
          <t>无</t>
        </is>
      </c>
      <c r="P217" s="3" t="inlineStr">
        <is>
          <t>blue</t>
        </is>
      </c>
      <c r="Q217" s="3" t="inlineStr">
        <is>
          <t>稀有/蓝</t>
        </is>
      </c>
      <c r="R217" s="3" t="inlineStr">
        <is>
          <t>饰品</t>
        </is>
      </c>
      <c r="S217" s="3" t="inlineStr">
        <is>
          <t>饰品</t>
        </is>
      </c>
      <c r="T217" s="3" t="inlineStr">
        <is>
          <t>雕有流云纹路的玉佩，是逍遥派弟子的标志饰物。</t>
        </is>
      </c>
      <c r="U217" s="3" t="inlineStr">
        <is>
          <t>是</t>
        </is>
      </c>
      <c r="V217" s="3" t="inlineStr">
        <is>
          <t>否</t>
        </is>
      </c>
      <c r="W217" s="3" t="inlineStr">
        <is>
          <t>equip_liuyunpei.png</t>
        </is>
      </c>
      <c r="X217" s="3" t="inlineStr"/>
      <c r="Y217" s="3" t="inlineStr">
        <is>
          <t>equip_ornament</t>
        </is>
      </c>
      <c r="Z217" s="3" t="inlineStr"/>
      <c r="AA217" s="3" t="inlineStr">
        <is>
          <t>无</t>
        </is>
      </c>
      <c r="AB217" s="3" t="inlineStr">
        <is>
          <t>否</t>
        </is>
      </c>
      <c r="AC217" s="3" t="inlineStr">
        <is>
          <t>否</t>
        </is>
      </c>
      <c r="AD217" s="3" t="inlineStr"/>
      <c r="AE217" s="3" t="inlineStr">
        <is>
          <t>任务宝箱装备；宝箱独立随机物品组</t>
        </is>
      </c>
      <c r="AF217" s="3" t="inlineStr">
        <is>
          <t>{"hp":150,"intellect":9,"agility":15,"luck":15}</t>
        </is>
      </c>
      <c r="AG217" s="3" t="inlineStr">
        <is>
          <t>data/item_templates.yaml:L6193</t>
        </is>
      </c>
    </row>
    <row r="218">
      <c r="A218" s="3" t="n">
        <v>217</v>
      </c>
      <c r="B218" s="3" t="inlineStr">
        <is>
          <t>equip_longwenyupei</t>
        </is>
      </c>
      <c r="C218" s="3" t="inlineStr">
        <is>
          <t>龙纹玉佩</t>
        </is>
      </c>
      <c r="D218" s="3" t="n">
        <v>6000</v>
      </c>
      <c r="E218" s="3" t="n">
        <v>100</v>
      </c>
      <c r="F218" s="3" t="n">
        <v>100</v>
      </c>
      <c r="G218" s="3" t="n">
        <v>0</v>
      </c>
      <c r="H218" s="3" t="n">
        <v>12</v>
      </c>
      <c r="I218" s="3" t="n">
        <v>0</v>
      </c>
      <c r="J218" s="3" t="n">
        <v>0</v>
      </c>
      <c r="K218" s="3" t="n">
        <v>50</v>
      </c>
      <c r="L218" s="3" t="n">
        <v>15</v>
      </c>
      <c r="M218" s="6">
        <f>F218/54+G218+H218+I218+J218+L218*1.2+K218/2</f>
        <v>56.85185185185185</v>
      </c>
      <c r="N218" s="3" t="inlineStr">
        <is>
          <t>无</t>
        </is>
      </c>
      <c r="O218" s="3" t="inlineStr">
        <is>
          <t>无</t>
        </is>
      </c>
      <c r="P218" s="3" t="inlineStr">
        <is>
          <t>blue</t>
        </is>
      </c>
      <c r="Q218" s="3" t="inlineStr">
        <is>
          <t>稀有/蓝</t>
        </is>
      </c>
      <c r="R218" s="3" t="inlineStr">
        <is>
          <t>饰品</t>
        </is>
      </c>
      <c r="S218" s="3" t="inlineStr">
        <is>
          <t>饰品</t>
        </is>
      </c>
      <c r="T218" s="3" t="inlineStr">
        <is>
          <t>雕有龙纹的上等玉佩，据传是某位王爷的旧物。</t>
        </is>
      </c>
      <c r="U218" s="3" t="inlineStr">
        <is>
          <t>是</t>
        </is>
      </c>
      <c r="V218" s="3" t="inlineStr">
        <is>
          <t>否</t>
        </is>
      </c>
      <c r="W218" s="3" t="inlineStr">
        <is>
          <t>equip_longwenyupei.png</t>
        </is>
      </c>
      <c r="X218" s="3" t="inlineStr"/>
      <c r="Y218" s="3" t="inlineStr">
        <is>
          <t>equip_ornament</t>
        </is>
      </c>
      <c r="Z218" s="3" t="inlineStr"/>
      <c r="AA218" s="3" t="inlineStr">
        <is>
          <t>无</t>
        </is>
      </c>
      <c r="AB218" s="3" t="inlineStr">
        <is>
          <t>否</t>
        </is>
      </c>
      <c r="AC218" s="3" t="inlineStr">
        <is>
          <t>否</t>
        </is>
      </c>
      <c r="AD218" s="3" t="inlineStr"/>
      <c r="AE218" s="3" t="inlineStr">
        <is>
          <t>任务宝箱装备；宝箱随机装备</t>
        </is>
      </c>
      <c r="AF218" s="3" t="inlineStr">
        <is>
          <t>{"hp":100,"force":12,"troop_capacity":50,"luck":15}</t>
        </is>
      </c>
      <c r="AG218" s="3" t="inlineStr">
        <is>
          <t>data/item_templates.yaml:L6094</t>
        </is>
      </c>
    </row>
    <row r="219">
      <c r="A219" s="3" t="n">
        <v>218</v>
      </c>
      <c r="B219" s="3" t="inlineStr">
        <is>
          <t>equip_qiankunquan</t>
        </is>
      </c>
      <c r="C219" s="3" t="inlineStr">
        <is>
          <t>乾坤圈</t>
        </is>
      </c>
      <c r="D219" s="3" t="n">
        <v>6000</v>
      </c>
      <c r="E219" s="3" t="n">
        <v>100</v>
      </c>
      <c r="F219" s="3" t="n">
        <v>0</v>
      </c>
      <c r="G219" s="3" t="n">
        <v>10</v>
      </c>
      <c r="H219" s="3" t="n">
        <v>25</v>
      </c>
      <c r="I219" s="3" t="n">
        <v>0</v>
      </c>
      <c r="J219" s="3" t="n">
        <v>12</v>
      </c>
      <c r="K219" s="3" t="n">
        <v>0</v>
      </c>
      <c r="L219" s="3" t="n">
        <v>0</v>
      </c>
      <c r="M219" s="6">
        <f>F219/54+G219+H219+I219+J219+L219*1.2+K219/2</f>
        <v>47.0</v>
      </c>
      <c r="N219" s="3" t="inlineStr">
        <is>
          <t>无</t>
        </is>
      </c>
      <c r="O219" s="3" t="inlineStr">
        <is>
          <t>无</t>
        </is>
      </c>
      <c r="P219" s="3" t="inlineStr">
        <is>
          <t>blue</t>
        </is>
      </c>
      <c r="Q219" s="3" t="inlineStr">
        <is>
          <t>稀有/蓝</t>
        </is>
      </c>
      <c r="R219" s="3" t="inlineStr">
        <is>
          <t>饰品</t>
        </is>
      </c>
      <c r="S219" s="3" t="inlineStr">
        <is>
          <t>饰品</t>
        </is>
      </c>
      <c r="T219" s="3" t="inlineStr">
        <is>
          <t>乾坤之力凝成的法器圆环，攻守兼备。</t>
        </is>
      </c>
      <c r="U219" s="3" t="inlineStr">
        <is>
          <t>是</t>
        </is>
      </c>
      <c r="V219" s="3" t="inlineStr">
        <is>
          <t>否</t>
        </is>
      </c>
      <c r="W219" s="3" t="inlineStr">
        <is>
          <t>equip_qiankunquan.png</t>
        </is>
      </c>
      <c r="X219" s="3" t="inlineStr"/>
      <c r="Y219" s="3" t="inlineStr">
        <is>
          <t>equip_ornament</t>
        </is>
      </c>
      <c r="Z219" s="3" t="inlineStr"/>
      <c r="AA219" s="3" t="inlineStr">
        <is>
          <t>无</t>
        </is>
      </c>
      <c r="AB219" s="3" t="inlineStr">
        <is>
          <t>否</t>
        </is>
      </c>
      <c r="AC219" s="3" t="inlineStr">
        <is>
          <t>否</t>
        </is>
      </c>
      <c r="AD219" s="3" t="inlineStr"/>
      <c r="AE219" s="3" t="inlineStr">
        <is>
          <t>任务宝箱装备</t>
        </is>
      </c>
      <c r="AF219" s="3" t="inlineStr">
        <is>
          <t>{"defense":10,"force":25,"agility":12}</t>
        </is>
      </c>
      <c r="AG219" s="3" t="inlineStr">
        <is>
          <t>data/item_templates.yaml:L6613</t>
        </is>
      </c>
    </row>
    <row r="220">
      <c r="A220" s="3" t="n">
        <v>219</v>
      </c>
      <c r="B220" s="3" t="inlineStr">
        <is>
          <t>equip_shiro_leash</t>
        </is>
      </c>
      <c r="C220" s="3" t="inlineStr">
        <is>
          <t>小白的散步绳</t>
        </is>
      </c>
      <c r="D220" s="3" t="n">
        <v>5600</v>
      </c>
      <c r="E220" s="3" t="n">
        <v>100</v>
      </c>
      <c r="F220" s="3" t="n">
        <v>360</v>
      </c>
      <c r="G220" s="3" t="n">
        <v>15</v>
      </c>
      <c r="H220" s="3" t="n">
        <v>5</v>
      </c>
      <c r="I220" s="3" t="n">
        <v>0</v>
      </c>
      <c r="J220" s="3" t="n">
        <v>0</v>
      </c>
      <c r="K220" s="3" t="n">
        <v>0</v>
      </c>
      <c r="L220" s="3" t="n">
        <v>10</v>
      </c>
      <c r="M220" s="6">
        <f>F220/54+G220+H220+I220+J220+L220*1.2+K220/2</f>
        <v>38.66666666666667</v>
      </c>
      <c r="N220" s="3" t="inlineStr">
        <is>
          <t>春日部防卫队</t>
        </is>
      </c>
      <c r="O220" s="3" t="inlineStr">
        <is>
          <t>春日部防卫队2件: 防御+20、攻击+30；春日部防卫队4件: 生命+600、敏捷+20、运势+15</t>
        </is>
      </c>
      <c r="P220" s="3" t="inlineStr">
        <is>
          <t>blue</t>
        </is>
      </c>
      <c r="Q220" s="3" t="inlineStr">
        <is>
          <t>稀有/蓝</t>
        </is>
      </c>
      <c r="R220" s="3" t="inlineStr">
        <is>
          <t>饰品</t>
        </is>
      </c>
      <c r="S220" s="3" t="inlineStr">
        <is>
          <t>饰品</t>
        </is>
      </c>
      <c r="T220" s="3" t="inlineStr">
        <is>
          <t>看似普通的牵绳，却能在混战中稳住阵脚，守住不该乱跑的人。</t>
        </is>
      </c>
      <c r="U220" s="3" t="inlineStr">
        <is>
          <t>是</t>
        </is>
      </c>
      <c r="V220" s="3" t="inlineStr">
        <is>
          <t>否</t>
        </is>
      </c>
      <c r="W220" s="3" t="inlineStr">
        <is>
          <t>equip_shiro_leash.png</t>
        </is>
      </c>
      <c r="X220" s="3" t="inlineStr"/>
      <c r="Y220" s="3" t="inlineStr">
        <is>
          <t>equip_ornament</t>
        </is>
      </c>
      <c r="Z220" s="3" t="inlineStr">
        <is>
          <t>kasukabe_defense_set</t>
        </is>
      </c>
      <c r="AA220" s="3" t="inlineStr">
        <is>
          <t>无</t>
        </is>
      </c>
      <c r="AB220" s="3" t="inlineStr">
        <is>
          <t>否</t>
        </is>
      </c>
      <c r="AC220" s="3" t="inlineStr">
        <is>
          <t>否</t>
        </is>
      </c>
      <c r="AD220" s="3" t="inlineStr"/>
      <c r="AE220" s="3" t="inlineStr">
        <is>
          <t>任务宝箱装备</t>
        </is>
      </c>
      <c r="AF220" s="3" t="inlineStr">
        <is>
          <t>{"hp":360,"defense":15,"force":5,"luck":10,"set_key":"kasukabe_defense_set","set_description":"春日部防卫队","set_bonus":[{"pieces":2,"bonus":{"defense":20,"attack":30}},{"pieces":4,"bonus":{"hp":600,"agility":20,"luck":15}}]}</t>
        </is>
      </c>
      <c r="AG220" s="3" t="inlineStr">
        <is>
          <t>data/item_templates.yaml:L3139</t>
        </is>
      </c>
    </row>
    <row r="221">
      <c r="A221" s="3" t="n">
        <v>220</v>
      </c>
      <c r="B221" s="3" t="inlineStr">
        <is>
          <t>equip_tianjiluopan</t>
        </is>
      </c>
      <c r="C221" s="3" t="inlineStr">
        <is>
          <t>天机罗盘</t>
        </is>
      </c>
      <c r="D221" s="3" t="n">
        <v>6000</v>
      </c>
      <c r="E221" s="3" t="n">
        <v>100</v>
      </c>
      <c r="F221" s="3" t="n">
        <v>0</v>
      </c>
      <c r="G221" s="3" t="n">
        <v>0</v>
      </c>
      <c r="H221" s="3" t="n">
        <v>0</v>
      </c>
      <c r="I221" s="3" t="n">
        <v>25</v>
      </c>
      <c r="J221" s="3" t="n">
        <v>5</v>
      </c>
      <c r="K221" s="3" t="n">
        <v>0</v>
      </c>
      <c r="L221" s="3" t="n">
        <v>20</v>
      </c>
      <c r="M221" s="6">
        <f>F221/54+G221+H221+I221+J221+L221*1.2+K221/2</f>
        <v>54.0</v>
      </c>
      <c r="N221" s="3" t="inlineStr">
        <is>
          <t>无</t>
        </is>
      </c>
      <c r="O221" s="3" t="inlineStr">
        <is>
          <t>无</t>
        </is>
      </c>
      <c r="P221" s="3" t="inlineStr">
        <is>
          <t>blue</t>
        </is>
      </c>
      <c r="Q221" s="3" t="inlineStr">
        <is>
          <t>稀有/蓝</t>
        </is>
      </c>
      <c r="R221" s="3" t="inlineStr">
        <is>
          <t>饰品</t>
        </is>
      </c>
      <c r="S221" s="3" t="inlineStr">
        <is>
          <t>饰品</t>
        </is>
      </c>
      <c r="T221" s="3" t="inlineStr">
        <is>
          <t>天机门秘制罗盘，可推演天机，指针转动间暗合星象。</t>
        </is>
      </c>
      <c r="U221" s="3" t="inlineStr">
        <is>
          <t>是</t>
        </is>
      </c>
      <c r="V221" s="3" t="inlineStr">
        <is>
          <t>否</t>
        </is>
      </c>
      <c r="W221" s="3" t="inlineStr">
        <is>
          <t>equip_tianjiluopan.png</t>
        </is>
      </c>
      <c r="X221" s="3" t="inlineStr"/>
      <c r="Y221" s="3" t="inlineStr">
        <is>
          <t>equip_ornament</t>
        </is>
      </c>
      <c r="Z221" s="3" t="inlineStr"/>
      <c r="AA221" s="3" t="inlineStr">
        <is>
          <t>无</t>
        </is>
      </c>
      <c r="AB221" s="3" t="inlineStr">
        <is>
          <t>否</t>
        </is>
      </c>
      <c r="AC221" s="3" t="inlineStr">
        <is>
          <t>否</t>
        </is>
      </c>
      <c r="AD221" s="3" t="inlineStr"/>
      <c r="AE221" s="3" t="inlineStr">
        <is>
          <t>任务宝箱装备</t>
        </is>
      </c>
      <c r="AF221" s="3" t="inlineStr">
        <is>
          <t>{"intellect":25,"agility":5,"luck":20}</t>
        </is>
      </c>
      <c r="AG221" s="3" t="inlineStr">
        <is>
          <t>data/item_templates.yaml:L6627</t>
        </is>
      </c>
    </row>
    <row r="222" hidden="1">
      <c r="A222" s="3" t="n">
        <v>221</v>
      </c>
      <c r="B222" s="3" t="inlineStr">
        <is>
          <t>equip_xingshashouchuan</t>
        </is>
      </c>
      <c r="C222" s="3" t="inlineStr">
        <is>
          <t>星砂手串</t>
        </is>
      </c>
      <c r="D222" s="3" t="n">
        <v>6000</v>
      </c>
      <c r="E222" s="3" t="n">
        <v>100</v>
      </c>
      <c r="F222" s="3" t="n">
        <v>150</v>
      </c>
      <c r="G222" s="3" t="n">
        <v>0</v>
      </c>
      <c r="H222" s="3" t="n">
        <v>0</v>
      </c>
      <c r="I222" s="3" t="n">
        <v>16</v>
      </c>
      <c r="J222" s="3" t="n">
        <v>0</v>
      </c>
      <c r="K222" s="3" t="n">
        <v>0</v>
      </c>
      <c r="L222" s="3" t="n">
        <v>20</v>
      </c>
      <c r="M222" s="6">
        <f>F222/54+G222+H222+I222+J222+L222*1.2+K222/2</f>
        <v>42.77777777777778</v>
      </c>
      <c r="N222" s="3" t="inlineStr">
        <is>
          <t>无</t>
        </is>
      </c>
      <c r="O222" s="3" t="inlineStr">
        <is>
          <t>无</t>
        </is>
      </c>
      <c r="P222" s="3" t="inlineStr">
        <is>
          <t>blue</t>
        </is>
      </c>
      <c r="Q222" s="3" t="inlineStr">
        <is>
          <t>稀有/蓝</t>
        </is>
      </c>
      <c r="R222" s="3" t="inlineStr">
        <is>
          <t>饰品</t>
        </is>
      </c>
      <c r="S222" s="3" t="inlineStr">
        <is>
          <t>饰品</t>
        </is>
      </c>
      <c r="T222" s="3" t="inlineStr">
        <is>
          <t>以沙漠流星石串成的手链，是西域商人带来的奇物。</t>
        </is>
      </c>
      <c r="U222" s="3" t="inlineStr">
        <is>
          <t>是</t>
        </is>
      </c>
      <c r="V222" s="3" t="inlineStr">
        <is>
          <t>否</t>
        </is>
      </c>
      <c r="W222" s="3" t="inlineStr">
        <is>
          <t>equip_xingshashouchuan.png</t>
        </is>
      </c>
      <c r="X222" s="3" t="inlineStr"/>
      <c r="Y222" s="3" t="inlineStr">
        <is>
          <t>equip_ornament</t>
        </is>
      </c>
      <c r="Z222" s="3" t="inlineStr"/>
      <c r="AA222" s="3" t="inlineStr">
        <is>
          <t>无</t>
        </is>
      </c>
      <c r="AB222" s="3" t="inlineStr">
        <is>
          <t>否</t>
        </is>
      </c>
      <c r="AC222" s="3" t="inlineStr">
        <is>
          <t>否</t>
        </is>
      </c>
      <c r="AD222" s="3" t="inlineStr"/>
      <c r="AE222" s="3" t="inlineStr">
        <is>
          <t>任务宝箱装备；宝箱独立随机物品组</t>
        </is>
      </c>
      <c r="AF222" s="3" t="inlineStr">
        <is>
          <t>{"hp":150,"intellect":16,"luck":20}</t>
        </is>
      </c>
      <c r="AG222" s="3" t="inlineStr">
        <is>
          <t>data/item_templates.yaml:L6151</t>
        </is>
      </c>
    </row>
    <row r="223" hidden="1">
      <c r="A223" s="3" t="n">
        <v>222</v>
      </c>
      <c r="B223" s="3" t="inlineStr">
        <is>
          <t>equip_xuantiejie</t>
        </is>
      </c>
      <c r="C223" s="3" t="inlineStr">
        <is>
          <t>玄铁戒</t>
        </is>
      </c>
      <c r="D223" s="3" t="n">
        <v>6000</v>
      </c>
      <c r="E223" s="3" t="n">
        <v>100</v>
      </c>
      <c r="F223" s="3" t="n">
        <v>500</v>
      </c>
      <c r="G223" s="3" t="n">
        <v>15</v>
      </c>
      <c r="H223" s="3" t="n">
        <v>15</v>
      </c>
      <c r="I223" s="3" t="n">
        <v>0</v>
      </c>
      <c r="J223" s="3" t="n">
        <v>0</v>
      </c>
      <c r="K223" s="3" t="n">
        <v>0</v>
      </c>
      <c r="L223" s="3" t="n">
        <v>0</v>
      </c>
      <c r="M223" s="6">
        <f>F223/54+G223+H223+I223+J223+L223*1.2+K223/2</f>
        <v>39.25925925925926</v>
      </c>
      <c r="N223" s="3" t="inlineStr">
        <is>
          <t>无</t>
        </is>
      </c>
      <c r="O223" s="3" t="inlineStr">
        <is>
          <t>无</t>
        </is>
      </c>
      <c r="P223" s="3" t="inlineStr">
        <is>
          <t>blue</t>
        </is>
      </c>
      <c r="Q223" s="3" t="inlineStr">
        <is>
          <t>稀有/蓝</t>
        </is>
      </c>
      <c r="R223" s="3" t="inlineStr">
        <is>
          <t>饰品</t>
        </is>
      </c>
      <c r="S223" s="3" t="inlineStr">
        <is>
          <t>饰品</t>
        </is>
      </c>
      <c r="T223" s="3" t="inlineStr">
        <is>
          <t>以玄铁铸成的戒指，是某位隐世铁匠的心血之作。</t>
        </is>
      </c>
      <c r="U223" s="3" t="inlineStr">
        <is>
          <t>是</t>
        </is>
      </c>
      <c r="V223" s="3" t="inlineStr">
        <is>
          <t>否</t>
        </is>
      </c>
      <c r="W223" s="3" t="inlineStr">
        <is>
          <t>equip_xuantiejie.png</t>
        </is>
      </c>
      <c r="X223" s="3" t="inlineStr"/>
      <c r="Y223" s="3" t="inlineStr">
        <is>
          <t>equip_ornament</t>
        </is>
      </c>
      <c r="Z223" s="3" t="inlineStr"/>
      <c r="AA223" s="3" t="inlineStr">
        <is>
          <t>无</t>
        </is>
      </c>
      <c r="AB223" s="3" t="inlineStr">
        <is>
          <t>否</t>
        </is>
      </c>
      <c r="AC223" s="3" t="inlineStr">
        <is>
          <t>否</t>
        </is>
      </c>
      <c r="AD223" s="3" t="inlineStr"/>
      <c r="AE223" s="3" t="inlineStr">
        <is>
          <t>任务宝箱装备</t>
        </is>
      </c>
      <c r="AF223" s="3" t="inlineStr">
        <is>
          <t>{"hp":500,"defense":15,"force":15}</t>
        </is>
      </c>
      <c r="AG223" s="3" t="inlineStr">
        <is>
          <t>data/item_templates.yaml:L6179</t>
        </is>
      </c>
    </row>
    <row r="224" hidden="1">
      <c r="A224" s="3" t="n">
        <v>223</v>
      </c>
      <c r="B224" s="3" t="inlineStr">
        <is>
          <t>equip_xueyuzhuo</t>
        </is>
      </c>
      <c r="C224" s="3" t="inlineStr">
        <is>
          <t>血玉镯</t>
        </is>
      </c>
      <c r="D224" s="3" t="n">
        <v>6000</v>
      </c>
      <c r="E224" s="3" t="n">
        <v>100</v>
      </c>
      <c r="F224" s="3" t="n">
        <v>200</v>
      </c>
      <c r="G224" s="3" t="n">
        <v>0</v>
      </c>
      <c r="H224" s="3" t="n">
        <v>20</v>
      </c>
      <c r="I224" s="3" t="n">
        <v>0</v>
      </c>
      <c r="J224" s="3" t="n">
        <v>18</v>
      </c>
      <c r="K224" s="3" t="n">
        <v>0</v>
      </c>
      <c r="L224" s="3" t="n">
        <v>0</v>
      </c>
      <c r="M224" s="6">
        <f>F224/54+G224+H224+I224+J224+L224*1.2+K224/2</f>
        <v>41.7037037037037</v>
      </c>
      <c r="N224" s="3" t="inlineStr">
        <is>
          <t>无</t>
        </is>
      </c>
      <c r="O224" s="3" t="inlineStr">
        <is>
          <t>无</t>
        </is>
      </c>
      <c r="P224" s="3" t="inlineStr">
        <is>
          <t>blue</t>
        </is>
      </c>
      <c r="Q224" s="3" t="inlineStr">
        <is>
          <t>稀有/蓝</t>
        </is>
      </c>
      <c r="R224" s="3" t="inlineStr">
        <is>
          <t>饰品</t>
        </is>
      </c>
      <c r="S224" s="3" t="inlineStr">
        <is>
          <t>饰品</t>
        </is>
      </c>
      <c r="T224" s="3" t="inlineStr">
        <is>
          <t>以血玉雕成的手镯，据传玉中封存着某位将军的精血。</t>
        </is>
      </c>
      <c r="U224" s="3" t="inlineStr">
        <is>
          <t>是</t>
        </is>
      </c>
      <c r="V224" s="3" t="inlineStr">
        <is>
          <t>否</t>
        </is>
      </c>
      <c r="W224" s="3" t="inlineStr">
        <is>
          <t>equip_xueyuzhuo.png</t>
        </is>
      </c>
      <c r="X224" s="3" t="inlineStr"/>
      <c r="Y224" s="3" t="inlineStr">
        <is>
          <t>equip_ornament</t>
        </is>
      </c>
      <c r="Z224" s="3" t="inlineStr"/>
      <c r="AA224" s="3" t="inlineStr">
        <is>
          <t>无</t>
        </is>
      </c>
      <c r="AB224" s="3" t="inlineStr">
        <is>
          <t>否</t>
        </is>
      </c>
      <c r="AC224" s="3" t="inlineStr">
        <is>
          <t>否</t>
        </is>
      </c>
      <c r="AD224" s="3" t="inlineStr"/>
      <c r="AE224" s="3" t="inlineStr">
        <is>
          <t>任务宝箱装备</t>
        </is>
      </c>
      <c r="AF224" s="3" t="inlineStr">
        <is>
          <t>{"hp":200,"force":20,"agility":18}</t>
        </is>
      </c>
      <c r="AG224" s="3" t="inlineStr">
        <is>
          <t>data/item_templates.yaml:L6165</t>
        </is>
      </c>
    </row>
    <row r="225" hidden="1">
      <c r="A225" s="3" t="n">
        <v>224</v>
      </c>
      <c r="B225" s="3" t="inlineStr">
        <is>
          <t>equip_zhaoyaojing</t>
        </is>
      </c>
      <c r="C225" s="3" t="inlineStr">
        <is>
          <t>照妖镜</t>
        </is>
      </c>
      <c r="D225" s="3" t="n">
        <v>6000</v>
      </c>
      <c r="E225" s="3" t="n">
        <v>100</v>
      </c>
      <c r="F225" s="3" t="n">
        <v>500</v>
      </c>
      <c r="G225" s="3" t="n">
        <v>0</v>
      </c>
      <c r="H225" s="3" t="n">
        <v>25</v>
      </c>
      <c r="I225" s="3" t="n">
        <v>0</v>
      </c>
      <c r="J225" s="3" t="n">
        <v>0</v>
      </c>
      <c r="K225" s="3" t="n">
        <v>0</v>
      </c>
      <c r="L225" s="3" t="n">
        <v>15</v>
      </c>
      <c r="M225" s="6">
        <f>F225/54+G225+H225+I225+J225+L225*1.2+K225/2</f>
        <v>52.25925925925926</v>
      </c>
      <c r="N225" s="3" t="inlineStr">
        <is>
          <t>无</t>
        </is>
      </c>
      <c r="O225" s="3" t="inlineStr">
        <is>
          <t>无</t>
        </is>
      </c>
      <c r="P225" s="3" t="inlineStr">
        <is>
          <t>blue</t>
        </is>
      </c>
      <c r="Q225" s="3" t="inlineStr">
        <is>
          <t>稀有/蓝</t>
        </is>
      </c>
      <c r="R225" s="3" t="inlineStr">
        <is>
          <t>饰品</t>
        </is>
      </c>
      <c r="S225" s="3" t="inlineStr">
        <is>
          <t>饰品</t>
        </is>
      </c>
      <c r="T225" s="3" t="inlineStr">
        <is>
          <t>据说可照出妖邪真形的宝镜，镜面寒光摄人。</t>
        </is>
      </c>
      <c r="U225" s="3" t="inlineStr">
        <is>
          <t>是</t>
        </is>
      </c>
      <c r="V225" s="3" t="inlineStr">
        <is>
          <t>否</t>
        </is>
      </c>
      <c r="W225" s="3" t="inlineStr">
        <is>
          <t>equip_zhaoyaojing.png</t>
        </is>
      </c>
      <c r="X225" s="3" t="inlineStr"/>
      <c r="Y225" s="3" t="inlineStr">
        <is>
          <t>equip_ornament</t>
        </is>
      </c>
      <c r="Z225" s="3" t="inlineStr"/>
      <c r="AA225" s="3" t="inlineStr">
        <is>
          <t>无</t>
        </is>
      </c>
      <c r="AB225" s="3" t="inlineStr">
        <is>
          <t>否</t>
        </is>
      </c>
      <c r="AC225" s="3" t="inlineStr">
        <is>
          <t>否</t>
        </is>
      </c>
      <c r="AD225" s="3" t="inlineStr"/>
      <c r="AE225" s="3" t="inlineStr">
        <is>
          <t>任务宝箱装备</t>
        </is>
      </c>
      <c r="AF225" s="3" t="inlineStr">
        <is>
          <t>{"hp":500,"force":25,"luck":15}</t>
        </is>
      </c>
      <c r="AG225" s="3" t="inlineStr">
        <is>
          <t>data/item_templates.yaml:L6599</t>
        </is>
      </c>
    </row>
    <row r="226" hidden="1">
      <c r="A226" s="3" t="n">
        <v>225</v>
      </c>
      <c r="B226" s="3" t="inlineStr">
        <is>
          <t>equip_baguajing</t>
        </is>
      </c>
      <c r="C226" s="3" t="inlineStr">
        <is>
          <t>八卦镜</t>
        </is>
      </c>
      <c r="D226" s="3" t="n">
        <v>16000</v>
      </c>
      <c r="E226" s="3" t="n">
        <v>150</v>
      </c>
      <c r="F226" s="3" t="n">
        <v>500</v>
      </c>
      <c r="G226" s="3" t="n">
        <v>0</v>
      </c>
      <c r="H226" s="3" t="n">
        <v>0</v>
      </c>
      <c r="I226" s="3" t="n">
        <v>30</v>
      </c>
      <c r="J226" s="3" t="n">
        <v>0</v>
      </c>
      <c r="K226" s="3" t="n">
        <v>0</v>
      </c>
      <c r="L226" s="3" t="n">
        <v>30</v>
      </c>
      <c r="M226" s="6">
        <f>F226/54+G226+H226+I226+J226+L226*1.2+K226/2</f>
        <v>75.25925925925927</v>
      </c>
      <c r="N226" s="3" t="inlineStr">
        <is>
          <t>无</t>
        </is>
      </c>
      <c r="O226" s="3" t="inlineStr">
        <is>
          <t>无</t>
        </is>
      </c>
      <c r="P226" s="3" t="inlineStr">
        <is>
          <t>purple</t>
        </is>
      </c>
      <c r="Q226" s="3" t="inlineStr">
        <is>
          <t>史诗/紫</t>
        </is>
      </c>
      <c r="R226" s="3" t="inlineStr">
        <is>
          <t>饰品</t>
        </is>
      </c>
      <c r="S226" s="3" t="inlineStr">
        <is>
          <t>饰品</t>
        </is>
      </c>
      <c r="T226" s="3" t="inlineStr">
        <is>
          <t>按先天八卦方位铸造的铜镜，背刻河图洛书，是道门镇宅之宝。</t>
        </is>
      </c>
      <c r="U226" s="3" t="inlineStr">
        <is>
          <t>是</t>
        </is>
      </c>
      <c r="V226" s="3" t="inlineStr">
        <is>
          <t>否</t>
        </is>
      </c>
      <c r="W226" s="3" t="inlineStr">
        <is>
          <t>equip_baguajing.png</t>
        </is>
      </c>
      <c r="X226" s="3" t="inlineStr"/>
      <c r="Y226" s="3" t="inlineStr">
        <is>
          <t>equip_ornament</t>
        </is>
      </c>
      <c r="Z226" s="3" t="inlineStr"/>
      <c r="AA226" s="3" t="inlineStr">
        <is>
          <t>无</t>
        </is>
      </c>
      <c r="AB226" s="3" t="inlineStr">
        <is>
          <t>否</t>
        </is>
      </c>
      <c r="AC226" s="3" t="inlineStr">
        <is>
          <t>否</t>
        </is>
      </c>
      <c r="AD226" s="3" t="inlineStr"/>
      <c r="AE226" s="3" t="inlineStr">
        <is>
          <t>任务宝箱装备</t>
        </is>
      </c>
      <c r="AF226" s="3" t="inlineStr">
        <is>
          <t>{"hp":500,"intellect":30,"luck":30}</t>
        </is>
      </c>
      <c r="AG226" s="3" t="inlineStr">
        <is>
          <t>data/item_templates.yaml:L6736</t>
        </is>
      </c>
    </row>
    <row r="227" hidden="1">
      <c r="A227" s="3" t="n">
        <v>226</v>
      </c>
      <c r="B227" s="3" t="inlineStr">
        <is>
          <t>equip_fenghuangyu</t>
        </is>
      </c>
      <c r="C227" s="3" t="inlineStr">
        <is>
          <t>凤凰羽</t>
        </is>
      </c>
      <c r="D227" s="3" t="n">
        <v>16000</v>
      </c>
      <c r="E227" s="3" t="n">
        <v>150</v>
      </c>
      <c r="F227" s="3" t="n">
        <v>87</v>
      </c>
      <c r="G227" s="3" t="n">
        <v>10</v>
      </c>
      <c r="H227" s="3" t="n">
        <v>0</v>
      </c>
      <c r="I227" s="3" t="n">
        <v>29</v>
      </c>
      <c r="J227" s="3" t="n">
        <v>0</v>
      </c>
      <c r="K227" s="3" t="n">
        <v>0</v>
      </c>
      <c r="L227" s="3" t="n">
        <v>19</v>
      </c>
      <c r="M227" s="6">
        <f>F227/54+G227+H227+I227+J227+L227*1.2+K227/2</f>
        <v>63.41111111111111</v>
      </c>
      <c r="N227" s="3" t="inlineStr">
        <is>
          <t>凤翎套装</t>
        </is>
      </c>
      <c r="O227" s="3" t="inlineStr">
        <is>
          <t>凤翎套装3件: 智力+60、运势+30</t>
        </is>
      </c>
      <c r="P227" s="3" t="inlineStr">
        <is>
          <t>purple</t>
        </is>
      </c>
      <c r="Q227" s="3" t="inlineStr">
        <is>
          <t>史诗/紫</t>
        </is>
      </c>
      <c r="R227" s="3" t="inlineStr">
        <is>
          <t>饰品</t>
        </is>
      </c>
      <c r="S227" s="3" t="inlineStr">
        <is>
          <t>饰品</t>
        </is>
      </c>
      <c r="T227" s="3" t="inlineStr">
        <is>
          <t>传说中凤凰脱落的羽毛，通体金红，价值连城。</t>
        </is>
      </c>
      <c r="U227" s="3" t="inlineStr">
        <is>
          <t>是</t>
        </is>
      </c>
      <c r="V227" s="3" t="inlineStr">
        <is>
          <t>否</t>
        </is>
      </c>
      <c r="W227" s="3" t="inlineStr">
        <is>
          <t>equip_fenghuangyu.png</t>
        </is>
      </c>
      <c r="X227" s="3" t="inlineStr"/>
      <c r="Y227" s="3" t="inlineStr">
        <is>
          <t>equip_ornament</t>
        </is>
      </c>
      <c r="Z227" s="3" t="inlineStr">
        <is>
          <t>fengling_set</t>
        </is>
      </c>
      <c r="AA227" s="3" t="inlineStr">
        <is>
          <t>无</t>
        </is>
      </c>
      <c r="AB227" s="3" t="inlineStr">
        <is>
          <t>否</t>
        </is>
      </c>
      <c r="AC227" s="3" t="inlineStr">
        <is>
          <t>是</t>
        </is>
      </c>
      <c r="AD227" s="3" t="inlineStr">
        <is>
          <t>blueprint_fenghuangyu</t>
        </is>
      </c>
      <c r="AE227" s="3" t="inlineStr">
        <is>
          <t>图纸合成（竞技场随机图纸兑换）</t>
        </is>
      </c>
      <c r="AF227" s="3" t="inlineStr">
        <is>
          <t>{"hp":87,"defense":10,"intellect":29,"luck":19,"set_key":"fengling_set","set_description":"凤翎套装","set_bonus":{"pieces":3,"bonus":{"intellect":60,"luck":30}}}</t>
        </is>
      </c>
      <c r="AG227" s="3" t="inlineStr">
        <is>
          <t>data/item_templates.yaml:L6233</t>
        </is>
      </c>
    </row>
    <row r="228" hidden="1">
      <c r="A228" s="3" t="n">
        <v>227</v>
      </c>
      <c r="B228" s="3" t="inlineStr">
        <is>
          <t>equip_guiyuanzhu</t>
        </is>
      </c>
      <c r="C228" s="3" t="inlineStr">
        <is>
          <t>归元珠</t>
        </is>
      </c>
      <c r="D228" s="3" t="n">
        <v>16000</v>
      </c>
      <c r="E228" s="3" t="n">
        <v>150</v>
      </c>
      <c r="F228" s="3" t="n">
        <v>297</v>
      </c>
      <c r="G228" s="3" t="n">
        <v>0</v>
      </c>
      <c r="H228" s="3" t="n">
        <v>4</v>
      </c>
      <c r="I228" s="3" t="n">
        <v>23</v>
      </c>
      <c r="J228" s="3" t="n">
        <v>0</v>
      </c>
      <c r="K228" s="3" t="n">
        <v>0</v>
      </c>
      <c r="L228" s="3" t="n">
        <v>26</v>
      </c>
      <c r="M228" s="6">
        <f>F228/54+G228+H228+I228+J228+L228*1.2+K228/2</f>
        <v>63.7</v>
      </c>
      <c r="N228" s="3" t="inlineStr">
        <is>
          <t>无</t>
        </is>
      </c>
      <c r="O228" s="3" t="inlineStr">
        <is>
          <t>无</t>
        </is>
      </c>
      <c r="P228" s="3" t="inlineStr">
        <is>
          <t>purple</t>
        </is>
      </c>
      <c r="Q228" s="3" t="inlineStr">
        <is>
          <t>史诗/紫</t>
        </is>
      </c>
      <c r="R228" s="3" t="inlineStr">
        <is>
          <t>饰品</t>
        </is>
      </c>
      <c r="S228" s="3" t="inlineStr">
        <is>
          <t>饰品</t>
        </is>
      </c>
      <c r="T228" s="3" t="inlineStr">
        <is>
          <t>传说可使真气归元的宝珠，是道门至宝。</t>
        </is>
      </c>
      <c r="U228" s="3" t="inlineStr">
        <is>
          <t>是</t>
        </is>
      </c>
      <c r="V228" s="3" t="inlineStr">
        <is>
          <t>否</t>
        </is>
      </c>
      <c r="W228" s="3" t="inlineStr">
        <is>
          <t>equip_guiyuanzhu.png</t>
        </is>
      </c>
      <c r="X228" s="3" t="inlineStr"/>
      <c r="Y228" s="3" t="inlineStr">
        <is>
          <t>equip_ornament</t>
        </is>
      </c>
      <c r="Z228" s="3" t="inlineStr"/>
      <c r="AA228" s="3" t="inlineStr">
        <is>
          <t>无</t>
        </is>
      </c>
      <c r="AB228" s="3" t="inlineStr">
        <is>
          <t>否</t>
        </is>
      </c>
      <c r="AC228" s="3" t="inlineStr">
        <is>
          <t>否</t>
        </is>
      </c>
      <c r="AD228" s="3" t="inlineStr"/>
      <c r="AE228" s="3" t="inlineStr">
        <is>
          <t>任务宝箱装备</t>
        </is>
      </c>
      <c r="AF228" s="3" t="inlineStr">
        <is>
          <t>{"hp":297,"force":4,"intellect":23,"luck":26}</t>
        </is>
      </c>
      <c r="AG228" s="3" t="inlineStr">
        <is>
          <t>data/item_templates.yaml:L6314</t>
        </is>
      </c>
    </row>
    <row r="229" hidden="1">
      <c r="A229" s="3" t="n">
        <v>228</v>
      </c>
      <c r="B229" s="3" t="inlineStr">
        <is>
          <t>equip_hunyuansan</t>
        </is>
      </c>
      <c r="C229" s="3" t="inlineStr">
        <is>
          <t>混元伞</t>
        </is>
      </c>
      <c r="D229" s="3" t="n">
        <v>16000</v>
      </c>
      <c r="E229" s="3" t="n">
        <v>150</v>
      </c>
      <c r="F229" s="3" t="n">
        <v>800</v>
      </c>
      <c r="G229" s="3" t="n">
        <v>14</v>
      </c>
      <c r="H229" s="3" t="n">
        <v>42</v>
      </c>
      <c r="I229" s="3" t="n">
        <v>0</v>
      </c>
      <c r="J229" s="3" t="n">
        <v>0</v>
      </c>
      <c r="K229" s="3" t="n">
        <v>0</v>
      </c>
      <c r="L229" s="3" t="n">
        <v>5</v>
      </c>
      <c r="M229" s="6">
        <f>F229/54+G229+H229+I229+J229+L229*1.2+K229/2</f>
        <v>76.81481481481481</v>
      </c>
      <c r="N229" s="3" t="inlineStr">
        <is>
          <t>无</t>
        </is>
      </c>
      <c r="O229" s="3" t="inlineStr">
        <is>
          <t>无</t>
        </is>
      </c>
      <c r="P229" s="3" t="inlineStr">
        <is>
          <t>purple</t>
        </is>
      </c>
      <c r="Q229" s="3" t="inlineStr">
        <is>
          <t>史诗/紫</t>
        </is>
      </c>
      <c r="R229" s="3" t="inlineStr">
        <is>
          <t>饰品</t>
        </is>
      </c>
      <c r="S229" s="3" t="inlineStr">
        <is>
          <t>饰品</t>
        </is>
      </c>
      <c r="T229" s="3" t="inlineStr">
        <is>
          <t>混元宝伞，可护身御敌，伞骨隐有符纹流转。</t>
        </is>
      </c>
      <c r="U229" s="3" t="inlineStr">
        <is>
          <t>是</t>
        </is>
      </c>
      <c r="V229" s="3" t="inlineStr">
        <is>
          <t>否</t>
        </is>
      </c>
      <c r="W229" s="3" t="inlineStr">
        <is>
          <t>equip_hunyuansan.png</t>
        </is>
      </c>
      <c r="X229" s="3" t="inlineStr"/>
      <c r="Y229" s="3" t="inlineStr">
        <is>
          <t>equip_ornament</t>
        </is>
      </c>
      <c r="Z229" s="3" t="inlineStr"/>
      <c r="AA229" s="3" t="inlineStr">
        <is>
          <t>无</t>
        </is>
      </c>
      <c r="AB229" s="3" t="inlineStr">
        <is>
          <t>否</t>
        </is>
      </c>
      <c r="AC229" s="3" t="inlineStr">
        <is>
          <t>否</t>
        </is>
      </c>
      <c r="AD229" s="3" t="inlineStr"/>
      <c r="AE229" s="3" t="inlineStr">
        <is>
          <t>任务宝箱装备</t>
        </is>
      </c>
      <c r="AF229" s="3" t="inlineStr">
        <is>
          <t>{"hp":800,"defense":14,"force":42,"luck":5}</t>
        </is>
      </c>
      <c r="AG229" s="3" t="inlineStr">
        <is>
          <t>data/item_templates.yaml:L6750</t>
        </is>
      </c>
    </row>
    <row r="230" hidden="1">
      <c r="A230" s="3" t="n">
        <v>229</v>
      </c>
      <c r="B230" s="3" t="inlineStr">
        <is>
          <t>equip_longjingzhu</t>
        </is>
      </c>
      <c r="C230" s="3" t="inlineStr">
        <is>
          <t>龙睛珠</t>
        </is>
      </c>
      <c r="D230" s="3" t="n">
        <v>16000</v>
      </c>
      <c r="E230" s="3" t="n">
        <v>150</v>
      </c>
      <c r="F230" s="3" t="n">
        <v>229</v>
      </c>
      <c r="G230" s="3" t="n">
        <v>0</v>
      </c>
      <c r="H230" s="3" t="n">
        <v>19</v>
      </c>
      <c r="I230" s="3" t="n">
        <v>0</v>
      </c>
      <c r="J230" s="3" t="n">
        <v>22</v>
      </c>
      <c r="K230" s="3" t="n">
        <v>0</v>
      </c>
      <c r="L230" s="3" t="n">
        <v>18</v>
      </c>
      <c r="M230" s="6">
        <f>F230/54+G230+H230+I230+J230+L230*1.2+K230/2</f>
        <v>66.84074074074074</v>
      </c>
      <c r="N230" s="3" t="inlineStr">
        <is>
          <t>无</t>
        </is>
      </c>
      <c r="O230" s="3" t="inlineStr">
        <is>
          <t>无</t>
        </is>
      </c>
      <c r="P230" s="3" t="inlineStr">
        <is>
          <t>purple</t>
        </is>
      </c>
      <c r="Q230" s="3" t="inlineStr">
        <is>
          <t>史诗/紫</t>
        </is>
      </c>
      <c r="R230" s="3" t="inlineStr">
        <is>
          <t>饰品</t>
        </is>
      </c>
      <c r="S230" s="3" t="inlineStr">
        <is>
          <t>饰品</t>
        </is>
      </c>
      <c r="T230" s="3" t="inlineStr">
        <is>
          <t>据传是真龙眼中凝结的宝珠，内有流光转动。</t>
        </is>
      </c>
      <c r="U230" s="3" t="inlineStr">
        <is>
          <t>是</t>
        </is>
      </c>
      <c r="V230" s="3" t="inlineStr">
        <is>
          <t>否</t>
        </is>
      </c>
      <c r="W230" s="3" t="inlineStr">
        <is>
          <t>equip_longjingzhu.png</t>
        </is>
      </c>
      <c r="X230" s="3" t="inlineStr"/>
      <c r="Y230" s="3" t="inlineStr">
        <is>
          <t>equip_ornament</t>
        </is>
      </c>
      <c r="Z230" s="3" t="inlineStr"/>
      <c r="AA230" s="3" t="inlineStr">
        <is>
          <t>无</t>
        </is>
      </c>
      <c r="AB230" s="3" t="inlineStr">
        <is>
          <t>否</t>
        </is>
      </c>
      <c r="AC230" s="3" t="inlineStr">
        <is>
          <t>否</t>
        </is>
      </c>
      <c r="AD230" s="3" t="inlineStr"/>
      <c r="AE230" s="3" t="inlineStr">
        <is>
          <t>任务宝箱装备</t>
        </is>
      </c>
      <c r="AF230" s="3" t="inlineStr">
        <is>
          <t>{"hp":229,"force":19,"agility":22,"luck":18}</t>
        </is>
      </c>
      <c r="AG230" s="3" t="inlineStr">
        <is>
          <t>data/item_templates.yaml:L6254</t>
        </is>
      </c>
    </row>
    <row r="231" hidden="1">
      <c r="A231" s="3" t="n">
        <v>230</v>
      </c>
      <c r="B231" s="3" t="inlineStr">
        <is>
          <t>equip_pojunhufu</t>
        </is>
      </c>
      <c r="C231" s="3" t="inlineStr">
        <is>
          <t>破军虎符</t>
        </is>
      </c>
      <c r="D231" s="3" t="n">
        <v>16000</v>
      </c>
      <c r="E231" s="3" t="n">
        <v>150</v>
      </c>
      <c r="F231" s="3" t="n">
        <v>267</v>
      </c>
      <c r="G231" s="3" t="n">
        <v>0</v>
      </c>
      <c r="H231" s="3" t="n">
        <v>31</v>
      </c>
      <c r="I231" s="3" t="n">
        <v>9</v>
      </c>
      <c r="J231" s="3" t="n">
        <v>22</v>
      </c>
      <c r="K231" s="3" t="n">
        <v>0</v>
      </c>
      <c r="L231" s="3" t="n">
        <v>0</v>
      </c>
      <c r="M231" s="6">
        <f>F231/54+G231+H231+I231+J231+L231*1.2+K231/2</f>
        <v>66.94444444444444</v>
      </c>
      <c r="N231" s="3" t="inlineStr">
        <is>
          <t>无</t>
        </is>
      </c>
      <c r="O231" s="3" t="inlineStr">
        <is>
          <t>无</t>
        </is>
      </c>
      <c r="P231" s="3" t="inlineStr">
        <is>
          <t>purple</t>
        </is>
      </c>
      <c r="Q231" s="3" t="inlineStr">
        <is>
          <t>史诗/紫</t>
        </is>
      </c>
      <c r="R231" s="3" t="inlineStr">
        <is>
          <t>饰品</t>
        </is>
      </c>
      <c r="S231" s="3" t="inlineStr">
        <is>
          <t>饰品</t>
        </is>
      </c>
      <c r="T231" s="3" t="inlineStr">
        <is>
          <t>仿古代虎符铸造的令牌，据传曾是某位将军的兵符。</t>
        </is>
      </c>
      <c r="U231" s="3" t="inlineStr">
        <is>
          <t>是</t>
        </is>
      </c>
      <c r="V231" s="3" t="inlineStr">
        <is>
          <t>否</t>
        </is>
      </c>
      <c r="W231" s="3" t="inlineStr">
        <is>
          <t>equip_pojunhufu.png</t>
        </is>
      </c>
      <c r="X231" s="3" t="inlineStr"/>
      <c r="Y231" s="3" t="inlineStr">
        <is>
          <t>equip_ornament</t>
        </is>
      </c>
      <c r="Z231" s="3" t="inlineStr"/>
      <c r="AA231" s="3" t="inlineStr">
        <is>
          <t>无</t>
        </is>
      </c>
      <c r="AB231" s="3" t="inlineStr">
        <is>
          <t>否</t>
        </is>
      </c>
      <c r="AC231" s="3" t="inlineStr">
        <is>
          <t>否</t>
        </is>
      </c>
      <c r="AD231" s="3" t="inlineStr"/>
      <c r="AE231" s="3" t="inlineStr">
        <is>
          <t>任务宝箱装备</t>
        </is>
      </c>
      <c r="AF231" s="3" t="inlineStr">
        <is>
          <t>{"hp":267,"force":31,"intellect":9,"agility":22}</t>
        </is>
      </c>
      <c r="AG231" s="3" t="inlineStr">
        <is>
          <t>data/item_templates.yaml:L6299</t>
        </is>
      </c>
    </row>
    <row r="232" hidden="1">
      <c r="A232" s="3" t="n">
        <v>231</v>
      </c>
      <c r="B232" s="3" t="inlineStr">
        <is>
          <t>equip_qilinzui</t>
        </is>
      </c>
      <c r="C232" s="3" t="inlineStr">
        <is>
          <t>麒麟坠</t>
        </is>
      </c>
      <c r="D232" s="3" t="n">
        <v>16000</v>
      </c>
      <c r="E232" s="3" t="n">
        <v>150</v>
      </c>
      <c r="F232" s="3" t="n">
        <v>235</v>
      </c>
      <c r="G232" s="3" t="n">
        <v>0</v>
      </c>
      <c r="H232" s="3" t="n">
        <v>24</v>
      </c>
      <c r="I232" s="3" t="n">
        <v>6</v>
      </c>
      <c r="J232" s="3" t="n">
        <v>0</v>
      </c>
      <c r="K232" s="3" t="n">
        <v>0</v>
      </c>
      <c r="L232" s="3" t="n">
        <v>28</v>
      </c>
      <c r="M232" s="6">
        <f>F232/54+G232+H232+I232+J232+L232*1.2+K232/2</f>
        <v>67.95185185185184</v>
      </c>
      <c r="N232" s="3" t="inlineStr">
        <is>
          <t>麒麟套装</t>
        </is>
      </c>
      <c r="O232" s="3" t="inlineStr">
        <is>
          <t>麒麟套装4件: 生命+420、武力+38、敏捷+18、运势+30</t>
        </is>
      </c>
      <c r="P232" s="3" t="inlineStr">
        <is>
          <t>purple</t>
        </is>
      </c>
      <c r="Q232" s="3" t="inlineStr">
        <is>
          <t>史诗/紫</t>
        </is>
      </c>
      <c r="R232" s="3" t="inlineStr">
        <is>
          <t>饰品</t>
        </is>
      </c>
      <c r="S232" s="3" t="inlineStr">
        <is>
          <t>饰品</t>
        </is>
      </c>
      <c r="T232" s="3" t="inlineStr">
        <is>
          <t>以麒麟形玉石雕成的坠饰，是麒麟卫的身份标识。</t>
        </is>
      </c>
      <c r="U232" s="3" t="inlineStr">
        <is>
          <t>是</t>
        </is>
      </c>
      <c r="V232" s="3" t="inlineStr">
        <is>
          <t>否</t>
        </is>
      </c>
      <c r="W232" s="3" t="inlineStr">
        <is>
          <t>equip_qilinzui.png</t>
        </is>
      </c>
      <c r="X232" s="3" t="inlineStr"/>
      <c r="Y232" s="3" t="inlineStr">
        <is>
          <t>equip_ornament</t>
        </is>
      </c>
      <c r="Z232" s="3" t="inlineStr">
        <is>
          <t>qilin_set</t>
        </is>
      </c>
      <c r="AA232" s="3" t="inlineStr">
        <is>
          <t>无</t>
        </is>
      </c>
      <c r="AB232" s="3" t="inlineStr">
        <is>
          <t>否</t>
        </is>
      </c>
      <c r="AC232" s="3" t="inlineStr">
        <is>
          <t>否</t>
        </is>
      </c>
      <c r="AD232" s="3" t="inlineStr"/>
      <c r="AE232" s="3" t="inlineStr">
        <is>
          <t>宝箱随机装备</t>
        </is>
      </c>
      <c r="AF232" s="3" t="inlineStr">
        <is>
          <t>{"hp":235,"force":24,"intellect":6,"luck":28,"set_key":"qilin_set","set_description":"麒麟套装","set_bonus":{"pieces":4,"bonus":{"hp":420,"force":38,"agility":18,"luck":30}}}</t>
        </is>
      </c>
      <c r="AG232" s="3" t="inlineStr">
        <is>
          <t>data/item_templates.yaml:L6210</t>
        </is>
      </c>
    </row>
    <row r="233" hidden="1">
      <c r="A233" s="3" t="n">
        <v>232</v>
      </c>
      <c r="B233" s="3" t="inlineStr">
        <is>
          <t>equip_shenghuoling</t>
        </is>
      </c>
      <c r="C233" s="3" t="inlineStr">
        <is>
          <t>圣火令</t>
        </is>
      </c>
      <c r="D233" s="3" t="n">
        <v>16000</v>
      </c>
      <c r="E233" s="3" t="n">
        <v>150</v>
      </c>
      <c r="F233" s="3" t="n">
        <v>261</v>
      </c>
      <c r="G233" s="3" t="n">
        <v>0</v>
      </c>
      <c r="H233" s="3" t="n">
        <v>14</v>
      </c>
      <c r="I233" s="3" t="n">
        <v>17</v>
      </c>
      <c r="J233" s="3" t="n">
        <v>0</v>
      </c>
      <c r="K233" s="3" t="n">
        <v>0</v>
      </c>
      <c r="L233" s="3" t="n">
        <v>22</v>
      </c>
      <c r="M233" s="6">
        <f>F233/54+G233+H233+I233+J233+L233*1.2+K233/2</f>
        <v>62.23333333333333</v>
      </c>
      <c r="N233" s="3" t="inlineStr">
        <is>
          <t>无</t>
        </is>
      </c>
      <c r="O233" s="3" t="inlineStr">
        <is>
          <t>无</t>
        </is>
      </c>
      <c r="P233" s="3" t="inlineStr">
        <is>
          <t>purple</t>
        </is>
      </c>
      <c r="Q233" s="3" t="inlineStr">
        <is>
          <t>史诗/紫</t>
        </is>
      </c>
      <c r="R233" s="3" t="inlineStr">
        <is>
          <t>饰品</t>
        </is>
      </c>
      <c r="S233" s="3" t="inlineStr">
        <is>
          <t>饰品</t>
        </is>
      </c>
      <c r="T233" s="3" t="inlineStr">
        <is>
          <t>明教的至高圣物，据传可召唤圣火降世。</t>
        </is>
      </c>
      <c r="U233" s="3" t="inlineStr">
        <is>
          <t>是</t>
        </is>
      </c>
      <c r="V233" s="3" t="inlineStr">
        <is>
          <t>否</t>
        </is>
      </c>
      <c r="W233" s="3" t="inlineStr">
        <is>
          <t>equip_shenghuoling.png</t>
        </is>
      </c>
      <c r="X233" s="3" t="inlineStr"/>
      <c r="Y233" s="3" t="inlineStr">
        <is>
          <t>equip_ornament</t>
        </is>
      </c>
      <c r="Z233" s="3" t="inlineStr"/>
      <c r="AA233" s="3" t="inlineStr">
        <is>
          <t>无</t>
        </is>
      </c>
      <c r="AB233" s="3" t="inlineStr">
        <is>
          <t>否</t>
        </is>
      </c>
      <c r="AC233" s="3" t="inlineStr">
        <is>
          <t>否</t>
        </is>
      </c>
      <c r="AD233" s="3" t="inlineStr"/>
      <c r="AE233" s="3" t="inlineStr">
        <is>
          <t>任务宝箱装备；竞技场随机兑换</t>
        </is>
      </c>
      <c r="AF233" s="3" t="inlineStr">
        <is>
          <t>{"hp":261,"force":14,"intellect":17,"luck":22}</t>
        </is>
      </c>
      <c r="AG233" s="3" t="inlineStr">
        <is>
          <t>data/item_templates.yaml:L6329</t>
        </is>
      </c>
    </row>
    <row r="234" hidden="1">
      <c r="A234" s="3" t="n">
        <v>233</v>
      </c>
      <c r="B234" s="3" t="inlineStr">
        <is>
          <t>equip_tianjiyupei</t>
        </is>
      </c>
      <c r="C234" s="3" t="inlineStr">
        <is>
          <t>天机玉佩</t>
        </is>
      </c>
      <c r="D234" s="3" t="n">
        <v>16000</v>
      </c>
      <c r="E234" s="3" t="n">
        <v>150</v>
      </c>
      <c r="F234" s="3" t="n">
        <v>184</v>
      </c>
      <c r="G234" s="3" t="n">
        <v>0</v>
      </c>
      <c r="H234" s="3" t="n">
        <v>7</v>
      </c>
      <c r="I234" s="3" t="n">
        <v>26</v>
      </c>
      <c r="J234" s="3" t="n">
        <v>0</v>
      </c>
      <c r="K234" s="3" t="n">
        <v>0</v>
      </c>
      <c r="L234" s="3" t="n">
        <v>22</v>
      </c>
      <c r="M234" s="6">
        <f>F234/54+G234+H234+I234+J234+L234*1.2+K234/2</f>
        <v>62.8074074074074</v>
      </c>
      <c r="N234" s="3" t="inlineStr">
        <is>
          <t>无</t>
        </is>
      </c>
      <c r="O234" s="3" t="inlineStr">
        <is>
          <t>无</t>
        </is>
      </c>
      <c r="P234" s="3" t="inlineStr">
        <is>
          <t>purple</t>
        </is>
      </c>
      <c r="Q234" s="3" t="inlineStr">
        <is>
          <t>史诗/紫</t>
        </is>
      </c>
      <c r="R234" s="3" t="inlineStr">
        <is>
          <t>饰品</t>
        </is>
      </c>
      <c r="S234" s="3" t="inlineStr">
        <is>
          <t>饰品</t>
        </is>
      </c>
      <c r="T234" s="3" t="inlineStr">
        <is>
          <t>刻有八卦图案的玉佩，是天机门传承之物。</t>
        </is>
      </c>
      <c r="U234" s="3" t="inlineStr">
        <is>
          <t>是</t>
        </is>
      </c>
      <c r="V234" s="3" t="inlineStr">
        <is>
          <t>否</t>
        </is>
      </c>
      <c r="W234" s="3" t="inlineStr">
        <is>
          <t>equip_tianjiyupei.png</t>
        </is>
      </c>
      <c r="X234" s="3" t="inlineStr"/>
      <c r="Y234" s="3" t="inlineStr">
        <is>
          <t>equip_ornament</t>
        </is>
      </c>
      <c r="Z234" s="3" t="inlineStr"/>
      <c r="AA234" s="3" t="inlineStr">
        <is>
          <t>无</t>
        </is>
      </c>
      <c r="AB234" s="3" t="inlineStr">
        <is>
          <t>否</t>
        </is>
      </c>
      <c r="AC234" s="3" t="inlineStr">
        <is>
          <t>否</t>
        </is>
      </c>
      <c r="AD234" s="3" t="inlineStr"/>
      <c r="AE234" s="3" t="inlineStr">
        <is>
          <t>当前主要配置未发现明确途径</t>
        </is>
      </c>
      <c r="AF234" s="3" t="inlineStr">
        <is>
          <t>{"hp":184,"force":7,"intellect":26,"luck":22}</t>
        </is>
      </c>
      <c r="AG234" s="3" t="inlineStr">
        <is>
          <t>data/item_templates.yaml:L6284</t>
        </is>
      </c>
    </row>
    <row r="235" hidden="1">
      <c r="A235" s="3" t="n">
        <v>234</v>
      </c>
      <c r="B235" s="3" t="inlineStr">
        <is>
          <t>equip_tianyinguqin</t>
        </is>
      </c>
      <c r="C235" s="3" t="inlineStr">
        <is>
          <t>天音古琴</t>
        </is>
      </c>
      <c r="D235" s="3" t="n">
        <v>16000</v>
      </c>
      <c r="E235" s="3" t="n">
        <v>150</v>
      </c>
      <c r="F235" s="3" t="n">
        <v>300</v>
      </c>
      <c r="G235" s="3" t="n">
        <v>0</v>
      </c>
      <c r="H235" s="3" t="n">
        <v>0</v>
      </c>
      <c r="I235" s="3" t="n">
        <v>40</v>
      </c>
      <c r="J235" s="3" t="n">
        <v>0</v>
      </c>
      <c r="K235" s="3" t="n">
        <v>0</v>
      </c>
      <c r="L235" s="3" t="n">
        <v>17</v>
      </c>
      <c r="M235" s="6">
        <f>F235/54+G235+H235+I235+J235+L235*1.2+K235/2</f>
        <v>65.95555555555555</v>
      </c>
      <c r="N235" s="3" t="inlineStr">
        <is>
          <t>无</t>
        </is>
      </c>
      <c r="O235" s="3" t="inlineStr">
        <is>
          <t>无</t>
        </is>
      </c>
      <c r="P235" s="3" t="inlineStr">
        <is>
          <t>purple</t>
        </is>
      </c>
      <c r="Q235" s="3" t="inlineStr">
        <is>
          <t>史诗/紫</t>
        </is>
      </c>
      <c r="R235" s="3" t="inlineStr">
        <is>
          <t>饰品</t>
        </is>
      </c>
      <c r="S235" s="3" t="inlineStr">
        <is>
          <t>饰品</t>
        </is>
      </c>
      <c r="T235" s="3" t="inlineStr">
        <is>
          <t>伏羲以梧桐木斫制的古琴，琴弦为凤凰尾羽所化。</t>
        </is>
      </c>
      <c r="U235" s="3" t="inlineStr">
        <is>
          <t>是</t>
        </is>
      </c>
      <c r="V235" s="3" t="inlineStr">
        <is>
          <t>否</t>
        </is>
      </c>
      <c r="W235" s="3" t="inlineStr">
        <is>
          <t>equip_tianyinguqin.png</t>
        </is>
      </c>
      <c r="X235" s="3" t="inlineStr"/>
      <c r="Y235" s="3" t="inlineStr">
        <is>
          <t>equip_ornament</t>
        </is>
      </c>
      <c r="Z235" s="3" t="inlineStr"/>
      <c r="AA235" s="3" t="inlineStr">
        <is>
          <t>无</t>
        </is>
      </c>
      <c r="AB235" s="3" t="inlineStr">
        <is>
          <t>否</t>
        </is>
      </c>
      <c r="AC235" s="3" t="inlineStr">
        <is>
          <t>否</t>
        </is>
      </c>
      <c r="AD235" s="3" t="inlineStr"/>
      <c r="AE235" s="3" t="inlineStr">
        <is>
          <t>任务宝箱装备</t>
        </is>
      </c>
      <c r="AF235" s="3" t="inlineStr">
        <is>
          <t>{"hp":300,"intellect":40,"luck":17}</t>
        </is>
      </c>
      <c r="AG235" s="3" t="inlineStr">
        <is>
          <t>data/item_templates.yaml:L6779</t>
        </is>
      </c>
    </row>
    <row r="236" hidden="1">
      <c r="A236" s="3" t="n">
        <v>235</v>
      </c>
      <c r="B236" s="3" t="inlineStr">
        <is>
          <t>equip_xuanmingdeng</t>
        </is>
      </c>
      <c r="C236" s="3" t="inlineStr">
        <is>
          <t>玄冥灯</t>
        </is>
      </c>
      <c r="D236" s="3" t="n">
        <v>16000</v>
      </c>
      <c r="E236" s="3" t="n">
        <v>150</v>
      </c>
      <c r="F236" s="3" t="n">
        <v>256</v>
      </c>
      <c r="G236" s="3" t="n">
        <v>13</v>
      </c>
      <c r="H236" s="3" t="n">
        <v>0</v>
      </c>
      <c r="I236" s="3" t="n">
        <v>43</v>
      </c>
      <c r="J236" s="3" t="n">
        <v>0</v>
      </c>
      <c r="K236" s="3" t="n">
        <v>0</v>
      </c>
      <c r="L236" s="3" t="n">
        <v>4</v>
      </c>
      <c r="M236" s="6">
        <f>F236/54+G236+H236+I236+J236+L236*1.2+K236/2</f>
        <v>65.54074074074074</v>
      </c>
      <c r="N236" s="3" t="inlineStr">
        <is>
          <t>无</t>
        </is>
      </c>
      <c r="O236" s="3" t="inlineStr">
        <is>
          <t>无</t>
        </is>
      </c>
      <c r="P236" s="3" t="inlineStr">
        <is>
          <t>purple</t>
        </is>
      </c>
      <c r="Q236" s="3" t="inlineStr">
        <is>
          <t>史诗/紫</t>
        </is>
      </c>
      <c r="R236" s="3" t="inlineStr">
        <is>
          <t>饰品</t>
        </is>
      </c>
      <c r="S236" s="3" t="inlineStr">
        <is>
          <t>饰品</t>
        </is>
      </c>
      <c r="T236" s="3" t="inlineStr">
        <is>
          <t>传说是冥府判官的引魂灯，灯火永不熄灭。</t>
        </is>
      </c>
      <c r="U236" s="3" t="inlineStr">
        <is>
          <t>是</t>
        </is>
      </c>
      <c r="V236" s="3" t="inlineStr">
        <is>
          <t>否</t>
        </is>
      </c>
      <c r="W236" s="3" t="inlineStr">
        <is>
          <t>equip_xuanmingdeng.png</t>
        </is>
      </c>
      <c r="X236" s="3" t="inlineStr"/>
      <c r="Y236" s="3" t="inlineStr">
        <is>
          <t>equip_ornament</t>
        </is>
      </c>
      <c r="Z236" s="3" t="inlineStr"/>
      <c r="AA236" s="3" t="inlineStr">
        <is>
          <t>无</t>
        </is>
      </c>
      <c r="AB236" s="3" t="inlineStr">
        <is>
          <t>否</t>
        </is>
      </c>
      <c r="AC236" s="3" t="inlineStr">
        <is>
          <t>否</t>
        </is>
      </c>
      <c r="AD236" s="3" t="inlineStr"/>
      <c r="AE236" s="3" t="inlineStr">
        <is>
          <t>任务宝箱装备</t>
        </is>
      </c>
      <c r="AF236" s="3" t="inlineStr">
        <is>
          <t>{"hp":256,"defense":13,"intellect":43,"luck":4}</t>
        </is>
      </c>
      <c r="AG236" s="3" t="inlineStr">
        <is>
          <t>data/item_templates.yaml:L6793</t>
        </is>
      </c>
    </row>
    <row r="237" hidden="1">
      <c r="A237" s="3" t="n">
        <v>236</v>
      </c>
      <c r="B237" s="3" t="inlineStr">
        <is>
          <t>equip_xuanwuyufu</t>
        </is>
      </c>
      <c r="C237" s="3" t="inlineStr">
        <is>
          <t>玄武玉符</t>
        </is>
      </c>
      <c r="D237" s="3" t="n">
        <v>16000</v>
      </c>
      <c r="E237" s="3" t="n">
        <v>150</v>
      </c>
      <c r="F237" s="3" t="n">
        <v>286</v>
      </c>
      <c r="G237" s="3" t="n">
        <v>22</v>
      </c>
      <c r="H237" s="3" t="n">
        <v>25</v>
      </c>
      <c r="I237" s="3" t="n">
        <v>14</v>
      </c>
      <c r="J237" s="3" t="n">
        <v>0</v>
      </c>
      <c r="K237" s="3" t="n">
        <v>0</v>
      </c>
      <c r="L237" s="3" t="n">
        <v>0</v>
      </c>
      <c r="M237" s="6">
        <f>F237/54+G237+H237+I237+J237+L237*1.2+K237/2</f>
        <v>66.2962962962963</v>
      </c>
      <c r="N237" s="3" t="inlineStr">
        <is>
          <t>无</t>
        </is>
      </c>
      <c r="O237" s="3" t="inlineStr">
        <is>
          <t>无</t>
        </is>
      </c>
      <c r="P237" s="3" t="inlineStr">
        <is>
          <t>purple</t>
        </is>
      </c>
      <c r="Q237" s="3" t="inlineStr">
        <is>
          <t>史诗/紫</t>
        </is>
      </c>
      <c r="R237" s="3" t="inlineStr">
        <is>
          <t>饰品</t>
        </is>
      </c>
      <c r="S237" s="3" t="inlineStr">
        <is>
          <t>饰品</t>
        </is>
      </c>
      <c r="T237" s="3" t="inlineStr">
        <is>
          <t>以玄武形雕刻的玉符，是玄武山庄弟子的信物。</t>
        </is>
      </c>
      <c r="U237" s="3" t="inlineStr">
        <is>
          <t>是</t>
        </is>
      </c>
      <c r="V237" s="3" t="inlineStr">
        <is>
          <t>否</t>
        </is>
      </c>
      <c r="W237" s="3" t="inlineStr">
        <is>
          <t>equip_xuanwuyufu.png</t>
        </is>
      </c>
      <c r="X237" s="3" t="inlineStr"/>
      <c r="Y237" s="3" t="inlineStr">
        <is>
          <t>equip_ornament</t>
        </is>
      </c>
      <c r="Z237" s="3" t="inlineStr"/>
      <c r="AA237" s="3" t="inlineStr">
        <is>
          <t>无</t>
        </is>
      </c>
      <c r="AB237" s="3" t="inlineStr">
        <is>
          <t>否</t>
        </is>
      </c>
      <c r="AC237" s="3" t="inlineStr">
        <is>
          <t>否</t>
        </is>
      </c>
      <c r="AD237" s="3" t="inlineStr"/>
      <c r="AE237" s="3" t="inlineStr">
        <is>
          <t>任务宝箱装备</t>
        </is>
      </c>
      <c r="AF237" s="3" t="inlineStr">
        <is>
          <t>{"hp":286,"defense":22,"force":25,"intellect":14}</t>
        </is>
      </c>
      <c r="AG237" s="3" t="inlineStr">
        <is>
          <t>data/item_templates.yaml:L6269</t>
        </is>
      </c>
    </row>
    <row r="238" hidden="1">
      <c r="A238" s="3" t="n">
        <v>237</v>
      </c>
      <c r="B238" s="3" t="inlineStr">
        <is>
          <t>equip_zhuyuye</t>
        </is>
      </c>
      <c r="C238" s="3" t="inlineStr">
        <is>
          <t>茱萸叶</t>
        </is>
      </c>
      <c r="D238" s="3" t="n">
        <v>0</v>
      </c>
      <c r="E238" s="3" t="n">
        <v>150</v>
      </c>
      <c r="F238" s="3" t="n">
        <v>320</v>
      </c>
      <c r="G238" s="3" t="n">
        <v>14</v>
      </c>
      <c r="H238" s="3" t="n">
        <v>21</v>
      </c>
      <c r="I238" s="3" t="n">
        <v>0</v>
      </c>
      <c r="J238" s="3" t="n">
        <v>0</v>
      </c>
      <c r="K238" s="3" t="n">
        <v>0</v>
      </c>
      <c r="L238" s="3" t="n">
        <v>22</v>
      </c>
      <c r="M238" s="6">
        <f>F238/54+G238+H238+I238+J238+L238*1.2+K238/2</f>
        <v>67.32592592592593</v>
      </c>
      <c r="N238" s="3" t="inlineStr">
        <is>
          <t>无</t>
        </is>
      </c>
      <c r="O238" s="3" t="inlineStr">
        <is>
          <t>无</t>
        </is>
      </c>
      <c r="P238" s="3" t="inlineStr">
        <is>
          <t>purple</t>
        </is>
      </c>
      <c r="Q238" s="3" t="inlineStr">
        <is>
          <t>史诗/紫</t>
        </is>
      </c>
      <c r="R238" s="3" t="inlineStr">
        <is>
          <t>饰品</t>
        </is>
      </c>
      <c r="S238" s="3" t="inlineStr">
        <is>
          <t>饰品</t>
        </is>
      </c>
      <c r="T238" s="3" t="inlineStr">
        <is>
          <t>佩戴茱萸叶，象征着防止灾祸和祈求健康平安。</t>
        </is>
      </c>
      <c r="U238" s="3" t="inlineStr">
        <is>
          <t>否</t>
        </is>
      </c>
      <c r="V238" s="3" t="inlineStr">
        <is>
          <t>否</t>
        </is>
      </c>
      <c r="W238" s="3" t="inlineStr">
        <is>
          <t>equip_zhuyuye.png</t>
        </is>
      </c>
      <c r="X238" s="3" t="inlineStr"/>
      <c r="Y238" s="3" t="inlineStr">
        <is>
          <t>equip_ornament</t>
        </is>
      </c>
      <c r="Z238" s="3" t="inlineStr"/>
      <c r="AA238" s="3" t="inlineStr">
        <is>
          <t>无</t>
        </is>
      </c>
      <c r="AB238" s="3" t="inlineStr">
        <is>
          <t>否</t>
        </is>
      </c>
      <c r="AC238" s="3" t="inlineStr">
        <is>
          <t>否</t>
        </is>
      </c>
      <c r="AD238" s="3" t="inlineStr"/>
      <c r="AE238" s="3" t="inlineStr">
        <is>
          <t>任务宝箱装备</t>
        </is>
      </c>
      <c r="AF238" s="3" t="inlineStr">
        <is>
          <t>{"hp":320,"defense":14,"force":21,"luck":22}</t>
        </is>
      </c>
      <c r="AG238" s="3" t="inlineStr">
        <is>
          <t>data/item_templates.yaml:L5961</t>
        </is>
      </c>
    </row>
    <row r="239" hidden="1">
      <c r="A239" s="3" t="n">
        <v>238</v>
      </c>
      <c r="B239" s="3" t="inlineStr">
        <is>
          <t>equip_zijinhulu</t>
        </is>
      </c>
      <c r="C239" s="3" t="inlineStr">
        <is>
          <t>紫金葫芦</t>
        </is>
      </c>
      <c r="D239" s="3" t="n">
        <v>16000</v>
      </c>
      <c r="E239" s="3" t="n">
        <v>150</v>
      </c>
      <c r="F239" s="3" t="n">
        <v>225</v>
      </c>
      <c r="G239" s="3" t="n">
        <v>20</v>
      </c>
      <c r="H239" s="3" t="n">
        <v>0</v>
      </c>
      <c r="I239" s="3" t="n">
        <v>37</v>
      </c>
      <c r="J239" s="3" t="n">
        <v>0</v>
      </c>
      <c r="K239" s="3" t="n">
        <v>0</v>
      </c>
      <c r="L239" s="3" t="n">
        <v>0</v>
      </c>
      <c r="M239" s="6">
        <f>F239/54+G239+H239+I239+J239+L239*1.2+K239/2</f>
        <v>61.16666666666667</v>
      </c>
      <c r="N239" s="3" t="inlineStr">
        <is>
          <t>无</t>
        </is>
      </c>
      <c r="O239" s="3" t="inlineStr">
        <is>
          <t>无</t>
        </is>
      </c>
      <c r="P239" s="3" t="inlineStr">
        <is>
          <t>purple</t>
        </is>
      </c>
      <c r="Q239" s="3" t="inlineStr">
        <is>
          <t>史诗/紫</t>
        </is>
      </c>
      <c r="R239" s="3" t="inlineStr">
        <is>
          <t>饰品</t>
        </is>
      </c>
      <c r="S239" s="3" t="inlineStr">
        <is>
          <t>饰品</t>
        </is>
      </c>
      <c r="T239" s="3" t="inlineStr">
        <is>
          <t>传说是太上老君炼丹所用的葫芦，内里自成天地。</t>
        </is>
      </c>
      <c r="U239" s="3" t="inlineStr">
        <is>
          <t>是</t>
        </is>
      </c>
      <c r="V239" s="3" t="inlineStr">
        <is>
          <t>否</t>
        </is>
      </c>
      <c r="W239" s="3" t="inlineStr">
        <is>
          <t>equip_zijinhulu.png</t>
        </is>
      </c>
      <c r="X239" s="3" t="inlineStr"/>
      <c r="Y239" s="3" t="inlineStr">
        <is>
          <t>equip_ornament</t>
        </is>
      </c>
      <c r="Z239" s="3" t="inlineStr"/>
      <c r="AA239" s="3" t="inlineStr">
        <is>
          <t>无</t>
        </is>
      </c>
      <c r="AB239" s="3" t="inlineStr">
        <is>
          <t>否</t>
        </is>
      </c>
      <c r="AC239" s="3" t="inlineStr">
        <is>
          <t>否</t>
        </is>
      </c>
      <c r="AD239" s="3" t="inlineStr"/>
      <c r="AE239" s="3" t="inlineStr">
        <is>
          <t>任务宝箱装备</t>
        </is>
      </c>
      <c r="AF239" s="3" t="inlineStr">
        <is>
          <t>{"hp":225,"defense":20,"intellect":37}</t>
        </is>
      </c>
      <c r="AG239" s="3" t="inlineStr">
        <is>
          <t>data/item_templates.yaml:L6765</t>
        </is>
      </c>
    </row>
    <row r="240" hidden="1">
      <c r="A240" s="3" t="n">
        <v>239</v>
      </c>
      <c r="B240" s="3" t="inlineStr">
        <is>
          <t>equip_businiaoyu</t>
        </is>
      </c>
      <c r="C240" s="3" t="inlineStr">
        <is>
          <t>不死鸟羽</t>
        </is>
      </c>
      <c r="D240" s="3" t="n">
        <v>52000</v>
      </c>
      <c r="E240" s="3" t="n">
        <v>200</v>
      </c>
      <c r="F240" s="3" t="n">
        <v>315</v>
      </c>
      <c r="G240" s="3" t="n">
        <v>0</v>
      </c>
      <c r="H240" s="3" t="n">
        <v>35</v>
      </c>
      <c r="I240" s="3" t="n">
        <v>0</v>
      </c>
      <c r="J240" s="3" t="n">
        <v>35</v>
      </c>
      <c r="K240" s="3" t="n">
        <v>0</v>
      </c>
      <c r="L240" s="3" t="n">
        <v>0</v>
      </c>
      <c r="M240" s="6">
        <f>F240/54+G240+H240+I240+J240+L240*1.2+K240/2</f>
        <v>75.83333333333334</v>
      </c>
      <c r="N240" s="3" t="inlineStr">
        <is>
          <t>无</t>
        </is>
      </c>
      <c r="O240" s="3" t="inlineStr">
        <is>
          <t>无</t>
        </is>
      </c>
      <c r="P240" s="3" t="inlineStr">
        <is>
          <t>orange</t>
        </is>
      </c>
      <c r="Q240" s="3" t="inlineStr">
        <is>
          <t>传说/橙</t>
        </is>
      </c>
      <c r="R240" s="3" t="inlineStr">
        <is>
          <t>饰品</t>
        </is>
      </c>
      <c r="S240" s="3" t="inlineStr">
        <is>
          <t>饰品</t>
        </is>
      </c>
      <c r="T240" s="3" t="inlineStr">
        <is>
          <t>传说中不死鸟脱落的羽毛，据说可使人涅槃重生。</t>
        </is>
      </c>
      <c r="U240" s="3" t="inlineStr">
        <is>
          <t>是</t>
        </is>
      </c>
      <c r="V240" s="3" t="inlineStr">
        <is>
          <t>否</t>
        </is>
      </c>
      <c r="W240" s="3" t="inlineStr">
        <is>
          <t>equip_businiaoyu.png</t>
        </is>
      </c>
      <c r="X240" s="3" t="inlineStr"/>
      <c r="Y240" s="3" t="inlineStr">
        <is>
          <t>equip_ornament</t>
        </is>
      </c>
      <c r="Z240" s="3" t="inlineStr"/>
      <c r="AA240" s="3" t="inlineStr">
        <is>
          <t>无</t>
        </is>
      </c>
      <c r="AB240" s="3" t="inlineStr">
        <is>
          <t>否</t>
        </is>
      </c>
      <c r="AC240" s="3" t="inlineStr">
        <is>
          <t>否</t>
        </is>
      </c>
      <c r="AD240" s="3" t="inlineStr"/>
      <c r="AE240" s="3" t="inlineStr">
        <is>
          <t>当前主要配置未发现明确途径</t>
        </is>
      </c>
      <c r="AF240" s="3" t="inlineStr">
        <is>
          <t>{"hp":315,"force":35,"agility":35}</t>
        </is>
      </c>
      <c r="AG240" s="3" t="inlineStr">
        <is>
          <t>data/item_templates.yaml:L6395</t>
        </is>
      </c>
    </row>
    <row r="241" hidden="1">
      <c r="A241" s="3" t="n">
        <v>240</v>
      </c>
      <c r="B241" s="3" t="inlineStr">
        <is>
          <t>equip_chuanguoyuxi</t>
        </is>
      </c>
      <c r="C241" s="3" t="inlineStr">
        <is>
          <t>传国玉玺</t>
        </is>
      </c>
      <c r="D241" s="3" t="n">
        <v>52000</v>
      </c>
      <c r="E241" s="3" t="n">
        <v>200</v>
      </c>
      <c r="F241" s="3" t="n">
        <v>350</v>
      </c>
      <c r="G241" s="3" t="n">
        <v>5</v>
      </c>
      <c r="H241" s="3" t="n">
        <v>16</v>
      </c>
      <c r="I241" s="3" t="n">
        <v>16</v>
      </c>
      <c r="J241" s="3" t="n">
        <v>0</v>
      </c>
      <c r="K241" s="3" t="n">
        <v>200</v>
      </c>
      <c r="L241" s="3" t="n">
        <v>15</v>
      </c>
      <c r="M241" s="6">
        <f>F241/54+G241+H241+I241+J241+L241*1.2+K241/2</f>
        <v>161.48148148148147</v>
      </c>
      <c r="N241" s="3" t="inlineStr">
        <is>
          <t>无</t>
        </is>
      </c>
      <c r="O241" s="3" t="inlineStr">
        <is>
          <t>无</t>
        </is>
      </c>
      <c r="P241" s="3" t="inlineStr">
        <is>
          <t>orange</t>
        </is>
      </c>
      <c r="Q241" s="3" t="inlineStr">
        <is>
          <t>传说/橙</t>
        </is>
      </c>
      <c r="R241" s="3" t="inlineStr">
        <is>
          <t>饰品</t>
        </is>
      </c>
      <c r="S241" s="3" t="inlineStr">
        <is>
          <t>饰品</t>
        </is>
      </c>
      <c r="T241" s="3" t="inlineStr">
        <is>
          <t>仿秦始皇传国玉玺所铸，象征至高权威。</t>
        </is>
      </c>
      <c r="U241" s="3" t="inlineStr">
        <is>
          <t>是</t>
        </is>
      </c>
      <c r="V241" s="3" t="inlineStr">
        <is>
          <t>否</t>
        </is>
      </c>
      <c r="W241" s="3" t="inlineStr">
        <is>
          <t>equip_chuanguoyuxi.png</t>
        </is>
      </c>
      <c r="X241" s="3" t="inlineStr"/>
      <c r="Y241" s="3" t="inlineStr">
        <is>
          <t>equip_ornament</t>
        </is>
      </c>
      <c r="Z241" s="3" t="inlineStr"/>
      <c r="AA241" s="3" t="inlineStr">
        <is>
          <t>无</t>
        </is>
      </c>
      <c r="AB241" s="3" t="inlineStr">
        <is>
          <t>否</t>
        </is>
      </c>
      <c r="AC241" s="3" t="inlineStr">
        <is>
          <t>否</t>
        </is>
      </c>
      <c r="AD241" s="3" t="inlineStr"/>
      <c r="AE241" s="3" t="inlineStr">
        <is>
          <t>任务宝箱装备</t>
        </is>
      </c>
      <c r="AF241" s="3" t="inlineStr">
        <is>
          <t>{"hp":350,"defense":5,"force":16,"intellect":16,"troop_capacity":200,"luck":15}</t>
        </is>
      </c>
      <c r="AG241" s="3" t="inlineStr">
        <is>
          <t>data/item_templates.yaml:L6361</t>
        </is>
      </c>
    </row>
    <row r="242" hidden="1">
      <c r="A242" s="3" t="n">
        <v>241</v>
      </c>
      <c r="B242" s="3" t="inlineStr">
        <is>
          <t>equip_fengshenbang</t>
        </is>
      </c>
      <c r="C242" s="3" t="inlineStr">
        <is>
          <t>封神榜</t>
        </is>
      </c>
      <c r="D242" s="3" t="n">
        <v>52000</v>
      </c>
      <c r="E242" s="3" t="n">
        <v>200</v>
      </c>
      <c r="F242" s="3" t="n">
        <v>350</v>
      </c>
      <c r="G242" s="3" t="n">
        <v>5</v>
      </c>
      <c r="H242" s="3" t="n">
        <v>0</v>
      </c>
      <c r="I242" s="3" t="n">
        <v>45</v>
      </c>
      <c r="J242" s="3" t="n">
        <v>0</v>
      </c>
      <c r="K242" s="3" t="n">
        <v>0</v>
      </c>
      <c r="L242" s="3" t="n">
        <v>20</v>
      </c>
      <c r="M242" s="6">
        <f>F242/54+G242+H242+I242+J242+L242*1.2+K242/2</f>
        <v>80.48148148148148</v>
      </c>
      <c r="N242" s="3" t="inlineStr">
        <is>
          <t>无</t>
        </is>
      </c>
      <c r="O242" s="3" t="inlineStr">
        <is>
          <t>无</t>
        </is>
      </c>
      <c r="P242" s="3" t="inlineStr">
        <is>
          <t>orange</t>
        </is>
      </c>
      <c r="Q242" s="3" t="inlineStr">
        <is>
          <t>传说/橙</t>
        </is>
      </c>
      <c r="R242" s="3" t="inlineStr">
        <is>
          <t>饰品</t>
        </is>
      </c>
      <c r="S242" s="3" t="inlineStr">
        <is>
          <t>饰品</t>
        </is>
      </c>
      <c r="T242" s="3" t="inlineStr">
        <is>
          <t>姜子牙封神时所用的天书，记载三百六十五位正神之名。</t>
        </is>
      </c>
      <c r="U242" s="3" t="inlineStr">
        <is>
          <t>是</t>
        </is>
      </c>
      <c r="V242" s="3" t="inlineStr">
        <is>
          <t>否</t>
        </is>
      </c>
      <c r="W242" s="3" t="inlineStr">
        <is>
          <t>equip_fengshenbang.png</t>
        </is>
      </c>
      <c r="X242" s="3" t="inlineStr"/>
      <c r="Y242" s="3" t="inlineStr">
        <is>
          <t>equip_ornament</t>
        </is>
      </c>
      <c r="Z242" s="3" t="inlineStr"/>
      <c r="AA242" s="3" t="inlineStr">
        <is>
          <t>无</t>
        </is>
      </c>
      <c r="AB242" s="3" t="inlineStr">
        <is>
          <t>否</t>
        </is>
      </c>
      <c r="AC242" s="3" t="inlineStr">
        <is>
          <t>否</t>
        </is>
      </c>
      <c r="AD242" s="3" t="inlineStr"/>
      <c r="AE242" s="3" t="inlineStr">
        <is>
          <t>任务宝箱装备</t>
        </is>
      </c>
      <c r="AF242" s="3" t="inlineStr">
        <is>
          <t>{"hp":350,"defense":5,"intellect":45,"luck":20}</t>
        </is>
      </c>
      <c r="AG242" s="3" t="inlineStr">
        <is>
          <t>data/item_templates.yaml:L6881</t>
        </is>
      </c>
    </row>
    <row r="243" hidden="1">
      <c r="A243" s="3" t="n">
        <v>242</v>
      </c>
      <c r="B243" s="3" t="inlineStr">
        <is>
          <t>equip_heshibi</t>
        </is>
      </c>
      <c r="C243" s="3" t="inlineStr">
        <is>
          <t>和氏璧</t>
        </is>
      </c>
      <c r="D243" s="3" t="n">
        <v>52000</v>
      </c>
      <c r="E243" s="3" t="n">
        <v>200</v>
      </c>
      <c r="F243" s="3" t="n">
        <v>290</v>
      </c>
      <c r="G243" s="3" t="n">
        <v>7</v>
      </c>
      <c r="H243" s="3" t="n">
        <v>0</v>
      </c>
      <c r="I243" s="3" t="n">
        <v>32</v>
      </c>
      <c r="J243" s="3" t="n">
        <v>0</v>
      </c>
      <c r="K243" s="3" t="n">
        <v>0</v>
      </c>
      <c r="L243" s="3" t="n">
        <v>25</v>
      </c>
      <c r="M243" s="6">
        <f>F243/54+G243+H243+I243+J243+L243*1.2+K243/2</f>
        <v>74.37037037037037</v>
      </c>
      <c r="N243" s="3" t="inlineStr">
        <is>
          <t>无</t>
        </is>
      </c>
      <c r="O243" s="3" t="inlineStr">
        <is>
          <t>无</t>
        </is>
      </c>
      <c r="P243" s="3" t="inlineStr">
        <is>
          <t>orange</t>
        </is>
      </c>
      <c r="Q243" s="3" t="inlineStr">
        <is>
          <t>传说/橙</t>
        </is>
      </c>
      <c r="R243" s="3" t="inlineStr">
        <is>
          <t>饰品</t>
        </is>
      </c>
      <c r="S243" s="3" t="inlineStr">
        <is>
          <t>饰品</t>
        </is>
      </c>
      <c r="T243" s="3" t="inlineStr">
        <is>
          <t>相传为卞和所献的绝世美玉，历经多朝流传至今。</t>
        </is>
      </c>
      <c r="U243" s="3" t="inlineStr">
        <is>
          <t>是</t>
        </is>
      </c>
      <c r="V243" s="3" t="inlineStr">
        <is>
          <t>否</t>
        </is>
      </c>
      <c r="W243" s="3" t="inlineStr">
        <is>
          <t>equip_heshibi.png</t>
        </is>
      </c>
      <c r="X243" s="3" t="inlineStr"/>
      <c r="Y243" s="3" t="inlineStr">
        <is>
          <t>equip_ornament</t>
        </is>
      </c>
      <c r="Z243" s="3" t="inlineStr"/>
      <c r="AA243" s="3" t="inlineStr">
        <is>
          <t>无</t>
        </is>
      </c>
      <c r="AB243" s="3" t="inlineStr">
        <is>
          <t>否</t>
        </is>
      </c>
      <c r="AC243" s="3" t="inlineStr">
        <is>
          <t>否</t>
        </is>
      </c>
      <c r="AD243" s="3" t="inlineStr"/>
      <c r="AE243" s="3" t="inlineStr">
        <is>
          <t>当前主要配置未发现明确途径</t>
        </is>
      </c>
      <c r="AF243" s="3" t="inlineStr">
        <is>
          <t>{"hp":290,"defense":7,"intellect":32,"luck":25}</t>
        </is>
      </c>
      <c r="AG243" s="3" t="inlineStr">
        <is>
          <t>data/item_templates.yaml:L6346</t>
        </is>
      </c>
    </row>
    <row r="244" hidden="1">
      <c r="A244" s="3" t="n">
        <v>243</v>
      </c>
      <c r="B244" s="3" t="inlineStr">
        <is>
          <t>equip_jianghuling</t>
        </is>
      </c>
      <c r="C244" s="3" t="inlineStr">
        <is>
          <t>江湖令</t>
        </is>
      </c>
      <c r="D244" s="3" t="n">
        <v>52000</v>
      </c>
      <c r="E244" s="3" t="n">
        <v>200</v>
      </c>
      <c r="F244" s="3" t="n">
        <v>350</v>
      </c>
      <c r="G244" s="3" t="n">
        <v>0</v>
      </c>
      <c r="H244" s="3" t="n">
        <v>20</v>
      </c>
      <c r="I244" s="3" t="n">
        <v>20</v>
      </c>
      <c r="J244" s="3" t="n">
        <v>30</v>
      </c>
      <c r="K244" s="3" t="n">
        <v>100</v>
      </c>
      <c r="L244" s="3" t="n">
        <v>0</v>
      </c>
      <c r="M244" s="6">
        <f>F244/54+G244+H244+I244+J244+L244*1.2+K244/2</f>
        <v>126.48148148148148</v>
      </c>
      <c r="N244" s="3" t="inlineStr">
        <is>
          <t>无</t>
        </is>
      </c>
      <c r="O244" s="3" t="inlineStr">
        <is>
          <t>无</t>
        </is>
      </c>
      <c r="P244" s="3" t="inlineStr">
        <is>
          <t>orange</t>
        </is>
      </c>
      <c r="Q244" s="3" t="inlineStr">
        <is>
          <t>传说/橙</t>
        </is>
      </c>
      <c r="R244" s="3" t="inlineStr">
        <is>
          <t>饰品</t>
        </is>
      </c>
      <c r="S244" s="3" t="inlineStr">
        <is>
          <t>饰品</t>
        </is>
      </c>
      <c r="T244" s="3" t="inlineStr">
        <is>
          <t>武林盟主的信物，持此令者可号令江湖。</t>
        </is>
      </c>
      <c r="U244" s="3" t="inlineStr">
        <is>
          <t>是</t>
        </is>
      </c>
      <c r="V244" s="3" t="inlineStr">
        <is>
          <t>否</t>
        </is>
      </c>
      <c r="W244" s="3" t="inlineStr">
        <is>
          <t>equip_jianghuling.png</t>
        </is>
      </c>
      <c r="X244" s="3" t="inlineStr"/>
      <c r="Y244" s="3" t="inlineStr">
        <is>
          <t>equip_ornament</t>
        </is>
      </c>
      <c r="Z244" s="3" t="inlineStr"/>
      <c r="AA244" s="3" t="inlineStr">
        <is>
          <t>无</t>
        </is>
      </c>
      <c r="AB244" s="3" t="inlineStr">
        <is>
          <t>否</t>
        </is>
      </c>
      <c r="AC244" s="3" t="inlineStr">
        <is>
          <t>否</t>
        </is>
      </c>
      <c r="AD244" s="3" t="inlineStr"/>
      <c r="AE244" s="3" t="inlineStr">
        <is>
          <t>当前主要配置未发现明确途径</t>
        </is>
      </c>
      <c r="AF244" s="3" t="inlineStr">
        <is>
          <t>{"hp":350,"force":20,"intellect":20,"agility":30,"troop_capacity":100}</t>
        </is>
      </c>
      <c r="AG244" s="3" t="inlineStr">
        <is>
          <t>data/item_templates.yaml:L6409</t>
        </is>
      </c>
    </row>
    <row r="245" hidden="1">
      <c r="A245" s="3" t="n">
        <v>244</v>
      </c>
      <c r="B245" s="3" t="inlineStr">
        <is>
          <t>equip_qiankunzhu</t>
        </is>
      </c>
      <c r="C245" s="3" t="inlineStr">
        <is>
          <t>乾坤珠</t>
        </is>
      </c>
      <c r="D245" s="3" t="n">
        <v>52000</v>
      </c>
      <c r="E245" s="3" t="n">
        <v>200</v>
      </c>
      <c r="F245" s="3" t="n">
        <v>271</v>
      </c>
      <c r="G245" s="3" t="n">
        <v>20</v>
      </c>
      <c r="H245" s="3" t="n">
        <v>15</v>
      </c>
      <c r="I245" s="3" t="n">
        <v>10</v>
      </c>
      <c r="J245" s="3" t="n">
        <v>15</v>
      </c>
      <c r="K245" s="3" t="n">
        <v>0</v>
      </c>
      <c r="L245" s="3" t="n">
        <v>10</v>
      </c>
      <c r="M245" s="6">
        <f>F245/54+G245+H245+I245+J245+L245*1.2+K245/2</f>
        <v>77.01851851851852</v>
      </c>
      <c r="N245" s="3" t="inlineStr">
        <is>
          <t>无</t>
        </is>
      </c>
      <c r="O245" s="3" t="inlineStr">
        <is>
          <t>无</t>
        </is>
      </c>
      <c r="P245" s="3" t="inlineStr">
        <is>
          <t>orange</t>
        </is>
      </c>
      <c r="Q245" s="3" t="inlineStr">
        <is>
          <t>传说/橙</t>
        </is>
      </c>
      <c r="R245" s="3" t="inlineStr">
        <is>
          <t>饰品</t>
        </is>
      </c>
      <c r="S245" s="3" t="inlineStr">
        <is>
          <t>饰品</t>
        </is>
      </c>
      <c r="T245" s="3" t="inlineStr">
        <is>
          <t>据传内藏乾坤二气的宝珠，是上古仙人的遗物。</t>
        </is>
      </c>
      <c r="U245" s="3" t="inlineStr">
        <is>
          <t>是</t>
        </is>
      </c>
      <c r="V245" s="3" t="inlineStr">
        <is>
          <t>否</t>
        </is>
      </c>
      <c r="W245" s="3" t="inlineStr">
        <is>
          <t>equip_qiankunzhu.png</t>
        </is>
      </c>
      <c r="X245" s="3" t="inlineStr"/>
      <c r="Y245" s="3" t="inlineStr">
        <is>
          <t>equip_ornament</t>
        </is>
      </c>
      <c r="Z245" s="3" t="inlineStr"/>
      <c r="AA245" s="3" t="inlineStr">
        <is>
          <t>无</t>
        </is>
      </c>
      <c r="AB245" s="3" t="inlineStr">
        <is>
          <t>否</t>
        </is>
      </c>
      <c r="AC245" s="3" t="inlineStr">
        <is>
          <t>否</t>
        </is>
      </c>
      <c r="AD245" s="3" t="inlineStr"/>
      <c r="AE245" s="3" t="inlineStr">
        <is>
          <t>当前主要配置未发现明确途径</t>
        </is>
      </c>
      <c r="AF245" s="3" t="inlineStr">
        <is>
          <t>{"hp":271,"defense":20,"force":15,"intellect":10,"agility":15,"luck":10}</t>
        </is>
      </c>
      <c r="AG245" s="3" t="inlineStr">
        <is>
          <t>data/item_templates.yaml:L6378</t>
        </is>
      </c>
    </row>
    <row r="246" hidden="1">
      <c r="A246" s="3" t="n">
        <v>245</v>
      </c>
      <c r="B246" s="3" t="inlineStr">
        <is>
          <t>equip_shangshanfaeling</t>
        </is>
      </c>
      <c r="C246" s="3" t="inlineStr">
        <is>
          <t>赏善罚恶令</t>
        </is>
      </c>
      <c r="D246" s="3" t="n">
        <v>52000</v>
      </c>
      <c r="E246" s="3" t="n">
        <v>200</v>
      </c>
      <c r="F246" s="3" t="n">
        <v>273</v>
      </c>
      <c r="G246" s="3" t="n">
        <v>7</v>
      </c>
      <c r="H246" s="3" t="n">
        <v>21</v>
      </c>
      <c r="I246" s="3" t="n">
        <v>18</v>
      </c>
      <c r="J246" s="3" t="n">
        <v>0</v>
      </c>
      <c r="K246" s="3" t="n">
        <v>0</v>
      </c>
      <c r="L246" s="3" t="n">
        <v>22</v>
      </c>
      <c r="M246" s="6">
        <f>F246/54+G246+H246+I246+J246+L246*1.2+K246/2</f>
        <v>77.45555555555555</v>
      </c>
      <c r="N246" s="3" t="inlineStr">
        <is>
          <t>无</t>
        </is>
      </c>
      <c r="O246" s="3" t="inlineStr">
        <is>
          <t>无</t>
        </is>
      </c>
      <c r="P246" s="3" t="inlineStr">
        <is>
          <t>orange</t>
        </is>
      </c>
      <c r="Q246" s="3" t="inlineStr">
        <is>
          <t>传说/橙</t>
        </is>
      </c>
      <c r="R246" s="3" t="inlineStr">
        <is>
          <t>饰品</t>
        </is>
      </c>
      <c r="S246" s="3" t="inlineStr">
        <is>
          <t>饰品</t>
        </is>
      </c>
      <c r="T246" s="3" t="inlineStr">
        <is>
          <t>六扇门的执法令牌，见令如见官，可赏善罚恶。</t>
        </is>
      </c>
      <c r="U246" s="3" t="inlineStr">
        <is>
          <t>是</t>
        </is>
      </c>
      <c r="V246" s="3" t="inlineStr">
        <is>
          <t>否</t>
        </is>
      </c>
      <c r="W246" s="3" t="inlineStr">
        <is>
          <t>equip_shangshanfaeling.png</t>
        </is>
      </c>
      <c r="X246" s="3" t="inlineStr"/>
      <c r="Y246" s="3" t="inlineStr">
        <is>
          <t>equip_ornament</t>
        </is>
      </c>
      <c r="Z246" s="3" t="inlineStr"/>
      <c r="AA246" s="3" t="inlineStr">
        <is>
          <t>无</t>
        </is>
      </c>
      <c r="AB246" s="3" t="inlineStr">
        <is>
          <t>否</t>
        </is>
      </c>
      <c r="AC246" s="3" t="inlineStr">
        <is>
          <t>否</t>
        </is>
      </c>
      <c r="AD246" s="3" t="inlineStr"/>
      <c r="AE246" s="3" t="inlineStr">
        <is>
          <t>任务宝箱装备；竞技场随机兑换</t>
        </is>
      </c>
      <c r="AF246" s="3" t="inlineStr">
        <is>
          <t>{"hp":273,"defense":7,"force":21,"intellect":18,"luck":22}</t>
        </is>
      </c>
      <c r="AG246" s="3" t="inlineStr">
        <is>
          <t>data/item_templates.yaml:L6425</t>
        </is>
      </c>
    </row>
    <row r="247" hidden="1">
      <c r="A247" s="3" t="n">
        <v>246</v>
      </c>
      <c r="B247" s="3" t="inlineStr">
        <is>
          <t>equip_shanheshejitu</t>
        </is>
      </c>
      <c r="C247" s="3" t="inlineStr">
        <is>
          <t>山河社稷图</t>
        </is>
      </c>
      <c r="D247" s="3" t="n">
        <v>52000</v>
      </c>
      <c r="E247" s="3" t="n">
        <v>200</v>
      </c>
      <c r="F247" s="3" t="n">
        <v>350</v>
      </c>
      <c r="G247" s="3" t="n">
        <v>0</v>
      </c>
      <c r="H247" s="3" t="n">
        <v>0</v>
      </c>
      <c r="I247" s="3" t="n">
        <v>45</v>
      </c>
      <c r="J247" s="3" t="n">
        <v>15</v>
      </c>
      <c r="K247" s="3" t="n">
        <v>0</v>
      </c>
      <c r="L247" s="3" t="n">
        <v>10</v>
      </c>
      <c r="M247" s="6">
        <f>F247/54+G247+H247+I247+J247+L247*1.2+K247/2</f>
        <v>78.48148148148148</v>
      </c>
      <c r="N247" s="3" t="inlineStr">
        <is>
          <t>无</t>
        </is>
      </c>
      <c r="O247" s="3" t="inlineStr">
        <is>
          <t>无</t>
        </is>
      </c>
      <c r="P247" s="3" t="inlineStr">
        <is>
          <t>orange</t>
        </is>
      </c>
      <c r="Q247" s="3" t="inlineStr">
        <is>
          <t>传说/橙</t>
        </is>
      </c>
      <c r="R247" s="3" t="inlineStr">
        <is>
          <t>饰品</t>
        </is>
      </c>
      <c r="S247" s="3" t="inlineStr">
        <is>
          <t>饰品</t>
        </is>
      </c>
      <c r="T247" s="3" t="inlineStr">
        <is>
          <t>女娲娘娘的至宝，图中自成一界，山川河流一应俱全。</t>
        </is>
      </c>
      <c r="U247" s="3" t="inlineStr">
        <is>
          <t>是</t>
        </is>
      </c>
      <c r="V247" s="3" t="inlineStr">
        <is>
          <t>否</t>
        </is>
      </c>
      <c r="W247" s="3" t="inlineStr">
        <is>
          <t>equip_shanheshejitu.png</t>
        </is>
      </c>
      <c r="X247" s="3" t="inlineStr"/>
      <c r="Y247" s="3" t="inlineStr">
        <is>
          <t>equip_ornament</t>
        </is>
      </c>
      <c r="Z247" s="3" t="inlineStr"/>
      <c r="AA247" s="3" t="inlineStr">
        <is>
          <t>无</t>
        </is>
      </c>
      <c r="AB247" s="3" t="inlineStr">
        <is>
          <t>否</t>
        </is>
      </c>
      <c r="AC247" s="3" t="inlineStr">
        <is>
          <t>否</t>
        </is>
      </c>
      <c r="AD247" s="3" t="inlineStr"/>
      <c r="AE247" s="3" t="inlineStr">
        <is>
          <t>任务宝箱装备</t>
        </is>
      </c>
      <c r="AF247" s="3" t="inlineStr">
        <is>
          <t>{"hp":350,"agility":15,"intellect":45,"luck":10}</t>
        </is>
      </c>
      <c r="AG247" s="3" t="inlineStr">
        <is>
          <t>data/item_templates.yaml:L6896</t>
        </is>
      </c>
    </row>
    <row r="248" hidden="1">
      <c r="A248" s="3" t="n">
        <v>247</v>
      </c>
      <c r="B248" s="3" t="inlineStr">
        <is>
          <t>equip_taiqingyuce</t>
        </is>
      </c>
      <c r="C248" s="3" t="inlineStr">
        <is>
          <t>太清玉册</t>
        </is>
      </c>
      <c r="D248" s="3" t="n">
        <v>52000</v>
      </c>
      <c r="E248" s="3" t="n">
        <v>200</v>
      </c>
      <c r="F248" s="3" t="n">
        <v>500</v>
      </c>
      <c r="G248" s="3" t="n">
        <v>0</v>
      </c>
      <c r="H248" s="3" t="n">
        <v>0</v>
      </c>
      <c r="I248" s="3" t="n">
        <v>47</v>
      </c>
      <c r="J248" s="3" t="n">
        <v>0</v>
      </c>
      <c r="K248" s="3" t="n">
        <v>0</v>
      </c>
      <c r="L248" s="3" t="n">
        <v>16</v>
      </c>
      <c r="M248" s="6">
        <f>F248/54+G248+H248+I248+J248+L248*1.2+K248/2</f>
        <v>75.45925925925926</v>
      </c>
      <c r="N248" s="3" t="inlineStr">
        <is>
          <t>无</t>
        </is>
      </c>
      <c r="O248" s="3" t="inlineStr">
        <is>
          <t>无</t>
        </is>
      </c>
      <c r="P248" s="3" t="inlineStr">
        <is>
          <t>orange</t>
        </is>
      </c>
      <c r="Q248" s="3" t="inlineStr">
        <is>
          <t>传说/橙</t>
        </is>
      </c>
      <c r="R248" s="3" t="inlineStr">
        <is>
          <t>饰品</t>
        </is>
      </c>
      <c r="S248" s="3" t="inlineStr">
        <is>
          <t>饰品</t>
        </is>
      </c>
      <c r="T248" s="3" t="inlineStr">
        <is>
          <t>太上老君亲书的道藏精要，以白玉为简，金粉为墨。</t>
        </is>
      </c>
      <c r="U248" s="3" t="inlineStr">
        <is>
          <t>是</t>
        </is>
      </c>
      <c r="V248" s="3" t="inlineStr">
        <is>
          <t>否</t>
        </is>
      </c>
      <c r="W248" s="3" t="inlineStr">
        <is>
          <t>equip_taiqingyuce.png</t>
        </is>
      </c>
      <c r="X248" s="3" t="inlineStr"/>
      <c r="Y248" s="3" t="inlineStr">
        <is>
          <t>equip_ornament</t>
        </is>
      </c>
      <c r="Z248" s="3" t="inlineStr"/>
      <c r="AA248" s="3" t="inlineStr">
        <is>
          <t>无</t>
        </is>
      </c>
      <c r="AB248" s="3" t="inlineStr">
        <is>
          <t>否</t>
        </is>
      </c>
      <c r="AC248" s="3" t="inlineStr">
        <is>
          <t>否</t>
        </is>
      </c>
      <c r="AD248" s="3" t="inlineStr"/>
      <c r="AE248" s="3" t="inlineStr">
        <is>
          <t>任务宝箱装备</t>
        </is>
      </c>
      <c r="AF248" s="3" t="inlineStr">
        <is>
          <t>{"hp":500,"intellect":47,"luck":16}</t>
        </is>
      </c>
      <c r="AG248" s="3" t="inlineStr">
        <is>
          <t>data/item_templates.yaml:L6925</t>
        </is>
      </c>
    </row>
    <row r="249" hidden="1">
      <c r="A249" s="3" t="n">
        <v>248</v>
      </c>
      <c r="B249" s="3" t="inlineStr">
        <is>
          <t>equip_zhoutianxingpan</t>
        </is>
      </c>
      <c r="C249" s="3" t="inlineStr">
        <is>
          <t>周天星盘</t>
        </is>
      </c>
      <c r="D249" s="3" t="n">
        <v>52000</v>
      </c>
      <c r="E249" s="3" t="n">
        <v>200</v>
      </c>
      <c r="F249" s="3" t="n">
        <v>0</v>
      </c>
      <c r="G249" s="3" t="n">
        <v>30</v>
      </c>
      <c r="H249" s="3" t="n">
        <v>0</v>
      </c>
      <c r="I249" s="3" t="n">
        <v>0</v>
      </c>
      <c r="J249" s="3" t="n">
        <v>10</v>
      </c>
      <c r="K249" s="3" t="n">
        <v>0</v>
      </c>
      <c r="L249" s="3" t="n">
        <v>30</v>
      </c>
      <c r="M249" s="6">
        <f>F249/54+G249+H249+I249+J249+L249*1.2+K249/2</f>
        <v>76.0</v>
      </c>
      <c r="N249" s="3" t="inlineStr">
        <is>
          <t>无</t>
        </is>
      </c>
      <c r="O249" s="3" t="inlineStr">
        <is>
          <t>无</t>
        </is>
      </c>
      <c r="P249" s="3" t="inlineStr">
        <is>
          <t>orange</t>
        </is>
      </c>
      <c r="Q249" s="3" t="inlineStr">
        <is>
          <t>传说/橙</t>
        </is>
      </c>
      <c r="R249" s="3" t="inlineStr">
        <is>
          <t>饰品</t>
        </is>
      </c>
      <c r="S249" s="3" t="inlineStr">
        <is>
          <t>饰品</t>
        </is>
      </c>
      <c r="T249" s="3" t="inlineStr">
        <is>
          <t>周天星象凝聚的星盘，可推演命数与气运走向。</t>
        </is>
      </c>
      <c r="U249" s="3" t="inlineStr">
        <is>
          <t>是</t>
        </is>
      </c>
      <c r="V249" s="3" t="inlineStr">
        <is>
          <t>否</t>
        </is>
      </c>
      <c r="W249" s="3" t="inlineStr">
        <is>
          <t>equip_zhoutianxingpan.png</t>
        </is>
      </c>
      <c r="X249" s="3" t="inlineStr"/>
      <c r="Y249" s="3" t="inlineStr">
        <is>
          <t>equip_ornament</t>
        </is>
      </c>
      <c r="Z249" s="3" t="inlineStr"/>
      <c r="AA249" s="3" t="inlineStr">
        <is>
          <t>无</t>
        </is>
      </c>
      <c r="AB249" s="3" t="inlineStr">
        <is>
          <t>否</t>
        </is>
      </c>
      <c r="AC249" s="3" t="inlineStr">
        <is>
          <t>否</t>
        </is>
      </c>
      <c r="AD249" s="3" t="inlineStr"/>
      <c r="AE249" s="3" t="inlineStr">
        <is>
          <t>任务宝箱装备</t>
        </is>
      </c>
      <c r="AF249" s="3" t="inlineStr">
        <is>
          <t>{"defense":30,"agility":10,"luck":30}</t>
        </is>
      </c>
      <c r="AG249" s="3" t="inlineStr">
        <is>
          <t>data/item_templates.yaml:L6911</t>
        </is>
      </c>
    </row>
    <row r="250" hidden="1">
      <c r="A250" s="3" t="n">
        <v>249</v>
      </c>
      <c r="B250" s="3" t="inlineStr">
        <is>
          <t>equip_tongchanjiguan</t>
        </is>
      </c>
      <c r="C250" s="3" t="inlineStr">
        <is>
          <t>铜蝉机关</t>
        </is>
      </c>
      <c r="D250" s="3" t="n">
        <v>2000</v>
      </c>
      <c r="E250" s="3" t="n">
        <v>75</v>
      </c>
      <c r="F250" s="3" t="n">
        <v>200</v>
      </c>
      <c r="G250" s="3" t="n">
        <v>0</v>
      </c>
      <c r="H250" s="3" t="n">
        <v>15</v>
      </c>
      <c r="I250" s="3" t="n">
        <v>5</v>
      </c>
      <c r="J250" s="3" t="n">
        <v>18</v>
      </c>
      <c r="K250" s="3" t="n">
        <v>0</v>
      </c>
      <c r="L250" s="3" t="n">
        <v>0</v>
      </c>
      <c r="M250" s="6">
        <f>F250/54+G250+H250+I250+J250+L250*1.2+K250/2</f>
        <v>41.7037037037037</v>
      </c>
      <c r="N250" s="3" t="inlineStr">
        <is>
          <t>无</t>
        </is>
      </c>
      <c r="O250" s="3" t="inlineStr">
        <is>
          <t>无</t>
        </is>
      </c>
      <c r="P250" s="3" t="inlineStr">
        <is>
          <t>green</t>
        </is>
      </c>
      <c r="Q250" s="3" t="inlineStr">
        <is>
          <t>优秀/绿</t>
        </is>
      </c>
      <c r="R250" s="3" t="inlineStr">
        <is>
          <t>器械</t>
        </is>
      </c>
      <c r="S250" s="3" t="inlineStr">
        <is>
          <t>器械</t>
        </is>
      </c>
      <c r="T250" s="3" t="inlineStr">
        <is>
          <t>战国时期的墨家遗物，薄翼振动时发出蝉鸣，可传声数里之外。</t>
        </is>
      </c>
      <c r="U250" s="3" t="inlineStr">
        <is>
          <t>是</t>
        </is>
      </c>
      <c r="V250" s="3" t="inlineStr">
        <is>
          <t>否</t>
        </is>
      </c>
      <c r="W250" s="3" t="inlineStr">
        <is>
          <t>equip_tongchanjiguan.png</t>
        </is>
      </c>
      <c r="X250" s="3" t="inlineStr"/>
      <c r="Y250" s="3" t="inlineStr">
        <is>
          <t>equip_device</t>
        </is>
      </c>
      <c r="Z250" s="3" t="inlineStr"/>
      <c r="AA250" s="3" t="inlineStr">
        <is>
          <t>全兵种攻击+0.5%</t>
        </is>
      </c>
      <c r="AB250" s="3" t="inlineStr">
        <is>
          <t>否</t>
        </is>
      </c>
      <c r="AC250" s="3" t="inlineStr">
        <is>
          <t>是</t>
        </is>
      </c>
      <c r="AD250" s="3" t="inlineStr">
        <is>
          <t>blueprint_tongchanjiguan</t>
        </is>
      </c>
      <c r="AE250" s="3" t="inlineStr">
        <is>
          <t>图纸合成（乱舞器械图纸随机兑换）；图纸合成（任务宝箱）</t>
        </is>
      </c>
      <c r="AF250" s="3" t="inlineStr">
        <is>
          <t>{"hp":200,"agility":18,"force":15,"intellect":5,"troop_stat_bonus":{"dao":{"attack_pct":0.005},"qiang":{"attack_pct":0.005},"jian":{"attack_pct":0.005},"quan":{"attack_pct":0.005},"gong":{"attack_pct":0.005},"scout":{"attack_pct":0.005}}}</t>
        </is>
      </c>
      <c r="AG250" s="3" t="inlineStr">
        <is>
          <t>data/item_templates.yaml:L6575</t>
        </is>
      </c>
    </row>
    <row r="251" hidden="1">
      <c r="A251" s="3" t="n">
        <v>250</v>
      </c>
      <c r="B251" s="3" t="inlineStr">
        <is>
          <t>equip_xiaoxingjiguanshu</t>
        </is>
      </c>
      <c r="C251" s="3" t="inlineStr">
        <is>
          <t>小型机关鼠</t>
        </is>
      </c>
      <c r="D251" s="3" t="n">
        <v>2000</v>
      </c>
      <c r="E251" s="3" t="n">
        <v>75</v>
      </c>
      <c r="F251" s="3" t="n">
        <v>800</v>
      </c>
      <c r="G251" s="3" t="n">
        <v>0</v>
      </c>
      <c r="H251" s="3" t="n">
        <v>15</v>
      </c>
      <c r="I251" s="3" t="n">
        <v>0</v>
      </c>
      <c r="J251" s="3" t="n">
        <v>15</v>
      </c>
      <c r="K251" s="3" t="n">
        <v>0</v>
      </c>
      <c r="L251" s="3" t="n">
        <v>0</v>
      </c>
      <c r="M251" s="6">
        <f>F251/54+G251+H251+I251+J251+L251*1.2+K251/2</f>
        <v>44.81481481481482</v>
      </c>
      <c r="N251" s="3" t="inlineStr">
        <is>
          <t>无</t>
        </is>
      </c>
      <c r="O251" s="3" t="inlineStr">
        <is>
          <t>无</t>
        </is>
      </c>
      <c r="P251" s="3" t="inlineStr">
        <is>
          <t>green</t>
        </is>
      </c>
      <c r="Q251" s="3" t="inlineStr">
        <is>
          <t>优秀/绿</t>
        </is>
      </c>
      <c r="R251" s="3" t="inlineStr">
        <is>
          <t>器械</t>
        </is>
      </c>
      <c r="S251" s="3" t="inlineStr">
        <is>
          <t>器械</t>
        </is>
      </c>
      <c r="T251" s="3" t="inlineStr">
        <is>
          <t>鲁班传人所制的入门之作，以铜丝为须，机簧为心，可自行奔走。</t>
        </is>
      </c>
      <c r="U251" s="3" t="inlineStr">
        <is>
          <t>是</t>
        </is>
      </c>
      <c r="V251" s="3" t="inlineStr">
        <is>
          <t>否</t>
        </is>
      </c>
      <c r="W251" s="3" t="inlineStr">
        <is>
          <t>equip_xiaoxingjiguanshu.png</t>
        </is>
      </c>
      <c r="X251" s="3" t="inlineStr"/>
      <c r="Y251" s="3" t="inlineStr">
        <is>
          <t>equip_device</t>
        </is>
      </c>
      <c r="Z251" s="3" t="inlineStr"/>
      <c r="AA251" s="3" t="inlineStr">
        <is>
          <t>全兵种生命+0.5%</t>
        </is>
      </c>
      <c r="AB251" s="3" t="inlineStr">
        <is>
          <t>否</t>
        </is>
      </c>
      <c r="AC251" s="3" t="inlineStr">
        <is>
          <t>是</t>
        </is>
      </c>
      <c r="AD251" s="3" t="inlineStr">
        <is>
          <t>blueprint_xiaoxingjiguanshu</t>
        </is>
      </c>
      <c r="AE251" s="3" t="inlineStr">
        <is>
          <t>图纸合成（乱舞器械图纸随机兑换）；图纸合成（任务宝箱）</t>
        </is>
      </c>
      <c r="AF251" s="3" t="inlineStr">
        <is>
          <t>{"hp":800,"force":15,"agility":15,"troop_stat_bonus":{"dao":{"hp_pct":0.005},"qiang":{"hp_pct":0.005},"jian":{"hp_pct":0.005},"quan":{"hp_pct":0.005},"gong":{"hp_pct":0.005},"scout":{"hp_pct":0.005}}}</t>
        </is>
      </c>
      <c r="AG251" s="3" t="inlineStr">
        <is>
          <t>data/item_templates.yaml:L6554</t>
        </is>
      </c>
    </row>
    <row r="252" hidden="1">
      <c r="A252" s="3" t="n">
        <v>251</v>
      </c>
      <c r="B252" s="3" t="inlineStr">
        <is>
          <t>equip_qingtongzhijiaodoushi</t>
        </is>
      </c>
      <c r="C252" s="3" t="inlineStr">
        <is>
          <t>青铜之角斗士</t>
        </is>
      </c>
      <c r="D252" s="3" t="n">
        <v>2000</v>
      </c>
      <c r="E252" s="3" t="n">
        <v>75</v>
      </c>
      <c r="F252" s="3" t="n">
        <v>300</v>
      </c>
      <c r="G252" s="3" t="n">
        <v>8</v>
      </c>
      <c r="H252" s="3" t="n">
        <v>18</v>
      </c>
      <c r="I252" s="3" t="n">
        <v>0</v>
      </c>
      <c r="J252" s="3" t="n">
        <v>8</v>
      </c>
      <c r="K252" s="3" t="n">
        <v>0</v>
      </c>
      <c r="L252" s="3" t="n">
        <v>0</v>
      </c>
      <c r="M252" s="6">
        <f>F252/54+G252+H252+I252+J252+L252*1.2+K252/2</f>
        <v>39.55555555555556</v>
      </c>
      <c r="N252" s="3" t="inlineStr">
        <is>
          <t>无</t>
        </is>
      </c>
      <c r="O252" s="3" t="inlineStr">
        <is>
          <t>无</t>
        </is>
      </c>
      <c r="P252" s="3" t="inlineStr">
        <is>
          <t>green</t>
        </is>
      </c>
      <c r="Q252" s="3" t="inlineStr">
        <is>
          <t>优秀/绿</t>
        </is>
      </c>
      <c r="R252" s="3" t="inlineStr">
        <is>
          <t>器械</t>
        </is>
      </c>
      <c r="S252" s="3" t="inlineStr">
        <is>
          <t>器械</t>
        </is>
      </c>
      <c r="T252" s="3" t="inlineStr">
        <is>
          <t>青铜甲片与机簧拼装的角斗士机关偶，持剑护卫冲锋阵线。</t>
        </is>
      </c>
      <c r="U252" s="3" t="inlineStr">
        <is>
          <t>是</t>
        </is>
      </c>
      <c r="V252" s="3" t="inlineStr">
        <is>
          <t>否</t>
        </is>
      </c>
      <c r="W252" s="3" t="inlineStr">
        <is>
          <t>equip_qingtongzhijiaodoushi.png</t>
        </is>
      </c>
      <c r="X252" s="3" t="inlineStr"/>
      <c r="Y252" s="3" t="inlineStr">
        <is>
          <t>equip_device</t>
        </is>
      </c>
      <c r="Z252" s="3" t="inlineStr"/>
      <c r="AA252" s="3" t="inlineStr">
        <is>
          <t>拳系攻击+0.5%</t>
        </is>
      </c>
      <c r="AB252" s="3" t="inlineStr">
        <is>
          <t>否</t>
        </is>
      </c>
      <c r="AC252" s="3" t="inlineStr">
        <is>
          <t>否</t>
        </is>
      </c>
      <c r="AD252" s="3" t="inlineStr"/>
      <c r="AE252" s="3" t="inlineStr">
        <is>
          <t>竞技场固定兑换</t>
        </is>
      </c>
      <c r="AF252" s="3" t="inlineStr">
        <is>
          <t>{"hp":300,"defense":8,"force":18,"agility":8,"troop_stat_bonus":{"quan":{"attack_pct":0.005}}}</t>
        </is>
      </c>
      <c r="AG252" s="3" t="inlineStr">
        <is>
          <t>data/item_templates.yaml:L7004</t>
        </is>
      </c>
    </row>
    <row r="253" hidden="1">
      <c r="A253" s="3" t="n">
        <v>252</v>
      </c>
      <c r="B253" s="3" t="inlineStr">
        <is>
          <t>equip_jiguanchuniao</t>
        </is>
      </c>
      <c r="C253" s="3" t="inlineStr">
        <is>
          <t>机关雏鸟</t>
        </is>
      </c>
      <c r="D253" s="3" t="n">
        <v>6000</v>
      </c>
      <c r="E253" s="3" t="n">
        <v>100</v>
      </c>
      <c r="F253" s="3" t="n">
        <v>500</v>
      </c>
      <c r="G253" s="3" t="n">
        <v>0</v>
      </c>
      <c r="H253" s="3" t="n">
        <v>15</v>
      </c>
      <c r="I253" s="3" t="n">
        <v>0</v>
      </c>
      <c r="J253" s="3" t="n">
        <v>30</v>
      </c>
      <c r="K253" s="3" t="n">
        <v>0</v>
      </c>
      <c r="L253" s="3" t="n">
        <v>0</v>
      </c>
      <c r="M253" s="6">
        <f>F253/54+G253+H253+I253+J253+L253*1.2+K253/2</f>
        <v>54.25925925925926</v>
      </c>
      <c r="N253" s="3" t="inlineStr">
        <is>
          <t>无</t>
        </is>
      </c>
      <c r="O253" s="3" t="inlineStr">
        <is>
          <t>无</t>
        </is>
      </c>
      <c r="P253" s="3" t="inlineStr">
        <is>
          <t>blue</t>
        </is>
      </c>
      <c r="Q253" s="3" t="inlineStr">
        <is>
          <t>稀有/蓝</t>
        </is>
      </c>
      <c r="R253" s="3" t="inlineStr">
        <is>
          <t>器械</t>
        </is>
      </c>
      <c r="S253" s="3" t="inlineStr">
        <is>
          <t>器械</t>
        </is>
      </c>
      <c r="T253" s="3" t="inlineStr">
        <is>
          <t>墨家弟子仿飞禽所造，翅以薄铜片制成，可借风力滑翔数里。</t>
        </is>
      </c>
      <c r="U253" s="3" t="inlineStr">
        <is>
          <t>是</t>
        </is>
      </c>
      <c r="V253" s="3" t="inlineStr">
        <is>
          <t>否</t>
        </is>
      </c>
      <c r="W253" s="3" t="inlineStr">
        <is>
          <t>equip_jiguanchuniao.png</t>
        </is>
      </c>
      <c r="X253" s="3" t="inlineStr"/>
      <c r="Y253" s="3" t="inlineStr">
        <is>
          <t>equip_device</t>
        </is>
      </c>
      <c r="Z253" s="3" t="inlineStr"/>
      <c r="AA253" s="3" t="inlineStr">
        <is>
          <t>弓系攻击+1%</t>
        </is>
      </c>
      <c r="AB253" s="3" t="inlineStr">
        <is>
          <t>否</t>
        </is>
      </c>
      <c r="AC253" s="3" t="inlineStr">
        <is>
          <t>是</t>
        </is>
      </c>
      <c r="AD253" s="3" t="inlineStr">
        <is>
          <t>blueprint_jiguanchuniao</t>
        </is>
      </c>
      <c r="AE253" s="3" t="inlineStr">
        <is>
          <t>图纸合成（乱舞器械图纸随机兑换）；图纸合成（任务宝箱）；图纸合成（竞技场随机图纸兑换）</t>
        </is>
      </c>
      <c r="AF253" s="3" t="inlineStr">
        <is>
          <t>{"hp":500,"force":15,"agility":30,"troop_stat_bonus":{"gong":{"attack_pct":0.01}}}</t>
        </is>
      </c>
      <c r="AG253" s="3" t="inlineStr">
        <is>
          <t>data/item_templates.yaml:L6686</t>
        </is>
      </c>
    </row>
    <row r="254" hidden="1">
      <c r="A254" s="3" t="n">
        <v>253</v>
      </c>
      <c r="B254" s="3" t="inlineStr">
        <is>
          <t>equip_jixiemao</t>
        </is>
      </c>
      <c r="C254" s="3" t="inlineStr">
        <is>
          <t>机械猫</t>
        </is>
      </c>
      <c r="D254" s="3" t="n">
        <v>6000</v>
      </c>
      <c r="E254" s="3" t="n">
        <v>100</v>
      </c>
      <c r="F254" s="3" t="n">
        <v>500</v>
      </c>
      <c r="G254" s="3" t="n">
        <v>0</v>
      </c>
      <c r="H254" s="3" t="n">
        <v>25</v>
      </c>
      <c r="I254" s="3" t="n">
        <v>10</v>
      </c>
      <c r="J254" s="3" t="n">
        <v>10</v>
      </c>
      <c r="K254" s="3" t="n">
        <v>0</v>
      </c>
      <c r="L254" s="3" t="n">
        <v>0</v>
      </c>
      <c r="M254" s="6">
        <f>F254/54+G254+H254+I254+J254+L254*1.2+K254/2</f>
        <v>54.25925925925926</v>
      </c>
      <c r="N254" s="3" t="inlineStr">
        <is>
          <t>无</t>
        </is>
      </c>
      <c r="O254" s="3" t="inlineStr">
        <is>
          <t>无</t>
        </is>
      </c>
      <c r="P254" s="3" t="inlineStr">
        <is>
          <t>blue</t>
        </is>
      </c>
      <c r="Q254" s="3" t="inlineStr">
        <is>
          <t>稀有/蓝</t>
        </is>
      </c>
      <c r="R254" s="3" t="inlineStr">
        <is>
          <t>器械</t>
        </is>
      </c>
      <c r="S254" s="3" t="inlineStr">
        <is>
          <t>器械</t>
        </is>
      </c>
      <c r="T254" s="3" t="inlineStr">
        <is>
          <t>相传为鲁班暮年所制，以精铜为骨，绢丝为毛，栩栩如生，能自行走动觅食。</t>
        </is>
      </c>
      <c r="U254" s="3" t="inlineStr">
        <is>
          <t>是</t>
        </is>
      </c>
      <c r="V254" s="3" t="inlineStr">
        <is>
          <t>否</t>
        </is>
      </c>
      <c r="W254" s="3" t="inlineStr">
        <is>
          <t>equip_jixiemao.png</t>
        </is>
      </c>
      <c r="X254" s="3" t="inlineStr"/>
      <c r="Y254" s="3" t="inlineStr">
        <is>
          <t>equip_device</t>
        </is>
      </c>
      <c r="Z254" s="3" t="inlineStr"/>
      <c r="AA254" s="3" t="inlineStr">
        <is>
          <t>弓系生命+1%</t>
        </is>
      </c>
      <c r="AB254" s="3" t="inlineStr">
        <is>
          <t>否</t>
        </is>
      </c>
      <c r="AC254" s="3" t="inlineStr">
        <is>
          <t>是</t>
        </is>
      </c>
      <c r="AD254" s="3" t="inlineStr">
        <is>
          <t>blueprint_jixiemao</t>
        </is>
      </c>
      <c r="AE254" s="3" t="inlineStr">
        <is>
          <t>图纸合成（乱舞器械图纸随机兑换）；图纸合成（任务宝箱）；图纸合成（竞技场随机图纸兑换）</t>
        </is>
      </c>
      <c r="AF254" s="3" t="inlineStr">
        <is>
          <t>{"hp":500,"intellect":10,"agility":10,"force":25,"troop_stat_bonus":{"gong":{"hp_pct":0.01}}}</t>
        </is>
      </c>
      <c r="AG254" s="3" t="inlineStr">
        <is>
          <t>data/item_templates.yaml:L6669</t>
        </is>
      </c>
    </row>
    <row r="255" hidden="1">
      <c r="A255" s="3" t="n">
        <v>254</v>
      </c>
      <c r="B255" s="3" t="inlineStr">
        <is>
          <t>equip_kuileimuren</t>
        </is>
      </c>
      <c r="C255" s="3" t="inlineStr">
        <is>
          <t>傀儡木人</t>
        </is>
      </c>
      <c r="D255" s="3" t="n">
        <v>6000</v>
      </c>
      <c r="E255" s="3" t="n">
        <v>100</v>
      </c>
      <c r="F255" s="3" t="n">
        <v>150</v>
      </c>
      <c r="G255" s="3" t="n">
        <v>5</v>
      </c>
      <c r="H255" s="3" t="n">
        <v>20</v>
      </c>
      <c r="I255" s="3" t="n">
        <v>25</v>
      </c>
      <c r="J255" s="3" t="n">
        <v>0</v>
      </c>
      <c r="K255" s="3" t="n">
        <v>0</v>
      </c>
      <c r="L255" s="3" t="n">
        <v>0</v>
      </c>
      <c r="M255" s="6">
        <f>F255/54+G255+H255+I255+J255+L255*1.2+K255/2</f>
        <v>52.77777777777778</v>
      </c>
      <c r="N255" s="3" t="inlineStr">
        <is>
          <t>无</t>
        </is>
      </c>
      <c r="O255" s="3" t="inlineStr">
        <is>
          <t>无</t>
        </is>
      </c>
      <c r="P255" s="3" t="inlineStr">
        <is>
          <t>blue</t>
        </is>
      </c>
      <c r="Q255" s="3" t="inlineStr">
        <is>
          <t>稀有/蓝</t>
        </is>
      </c>
      <c r="R255" s="3" t="inlineStr">
        <is>
          <t>器械</t>
        </is>
      </c>
      <c r="S255" s="3" t="inlineStr">
        <is>
          <t>器械</t>
        </is>
      </c>
      <c r="T255" s="3" t="inlineStr">
        <is>
          <t>以桐木雕刻的简易木偶，内含简单机括，是练习傀儡术的常用器物。</t>
        </is>
      </c>
      <c r="U255" s="3" t="inlineStr">
        <is>
          <t>是</t>
        </is>
      </c>
      <c r="V255" s="3" t="inlineStr">
        <is>
          <t>否</t>
        </is>
      </c>
      <c r="W255" s="3" t="inlineStr">
        <is>
          <t>equip_kuileimuren.png</t>
        </is>
      </c>
      <c r="X255" s="3" t="inlineStr"/>
      <c r="Y255" s="3" t="inlineStr">
        <is>
          <t>equip_device</t>
        </is>
      </c>
      <c r="Z255" s="3" t="inlineStr"/>
      <c r="AA255" s="3" t="inlineStr">
        <is>
          <t>枪系生命+1%</t>
        </is>
      </c>
      <c r="AB255" s="3" t="inlineStr">
        <is>
          <t>否</t>
        </is>
      </c>
      <c r="AC255" s="3" t="inlineStr">
        <is>
          <t>是</t>
        </is>
      </c>
      <c r="AD255" s="3" t="inlineStr">
        <is>
          <t>blueprint_kuileimuren</t>
        </is>
      </c>
      <c r="AE255" s="3" t="inlineStr">
        <is>
          <t>图纸合成（乱舞器械图纸随机兑换）；图纸合成（任务宝箱）；图纸合成（竞技场随机图纸兑换）</t>
        </is>
      </c>
      <c r="AF255" s="3" t="inlineStr">
        <is>
          <t>{"hp":150,"defense":5,"force":20,"intellect":25,"troop_stat_bonus":{"qiang":{"hp_pct":0.01}}}</t>
        </is>
      </c>
      <c r="AG255" s="3" t="inlineStr">
        <is>
          <t>data/item_templates.yaml:L6702</t>
        </is>
      </c>
    </row>
    <row r="256" hidden="1">
      <c r="A256" s="3" t="n">
        <v>255</v>
      </c>
      <c r="B256" s="3" t="inlineStr">
        <is>
          <t>equip_qingji</t>
        </is>
      </c>
      <c r="C256" s="3" t="inlineStr">
        <is>
          <t>庆忌</t>
        </is>
      </c>
      <c r="D256" s="3" t="n">
        <v>6000</v>
      </c>
      <c r="E256" s="3" t="n">
        <v>100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35</v>
      </c>
      <c r="K256" s="3" t="n">
        <v>0</v>
      </c>
      <c r="L256" s="3" t="n">
        <v>12</v>
      </c>
      <c r="M256" s="6">
        <f>F256/54+G256+H256+I256+J256+L256*1.2+K256/2</f>
        <v>49.4</v>
      </c>
      <c r="N256" s="3" t="inlineStr">
        <is>
          <t>无</t>
        </is>
      </c>
      <c r="O256" s="3" t="inlineStr">
        <is>
          <t>无</t>
        </is>
      </c>
      <c r="P256" s="3" t="inlineStr">
        <is>
          <t>blue</t>
        </is>
      </c>
      <c r="Q256" s="3" t="inlineStr">
        <is>
          <t>稀有/蓝</t>
        </is>
      </c>
      <c r="R256" s="3" t="inlineStr">
        <is>
          <t>器械</t>
        </is>
      </c>
      <c r="S256" s="3" t="inlineStr">
        <is>
          <t>器械</t>
        </is>
      </c>
      <c r="T256" s="3" t="inlineStr">
        <is>
          <t>庆忌者，其状若人，其长四寸，衣黄衣，冠黄冠，戴黄盖，乘小马，好急驰。</t>
        </is>
      </c>
      <c r="U256" s="3" t="inlineStr">
        <is>
          <t>是</t>
        </is>
      </c>
      <c r="V256" s="3" t="inlineStr">
        <is>
          <t>否</t>
        </is>
      </c>
      <c r="W256" s="3" t="inlineStr">
        <is>
          <t>equip_qingji.png</t>
        </is>
      </c>
      <c r="X256" s="3" t="inlineStr"/>
      <c r="Y256" s="3" t="inlineStr">
        <is>
          <t>equip_device</t>
        </is>
      </c>
      <c r="Z256" s="3" t="inlineStr"/>
      <c r="AA256" s="3" t="inlineStr">
        <is>
          <t>剑系攻击+1%</t>
        </is>
      </c>
      <c r="AB256" s="3" t="inlineStr">
        <is>
          <t>否</t>
        </is>
      </c>
      <c r="AC256" s="3" t="inlineStr">
        <is>
          <t>是</t>
        </is>
      </c>
      <c r="AD256" s="3" t="inlineStr">
        <is>
          <t>blueprint_qingji</t>
        </is>
      </c>
      <c r="AE256" s="3" t="inlineStr">
        <is>
          <t>图纸合成（乱舞器械图纸随机兑换）；图纸合成（任务宝箱）；图纸合成（竞技场随机图纸兑换）</t>
        </is>
      </c>
      <c r="AF256" s="3" t="inlineStr">
        <is>
          <t>{"agility":35,"luck":12,"troop_stat_bonus":{"jian":{"attack_pct":0.01}}}</t>
        </is>
      </c>
      <c r="AG256" s="3" t="inlineStr">
        <is>
          <t>data/item_templates.yaml:L6719</t>
        </is>
      </c>
    </row>
    <row r="257" hidden="1">
      <c r="A257" s="3" t="n">
        <v>256</v>
      </c>
      <c r="B257" s="3" t="inlineStr">
        <is>
          <t>equip_baiyinzhijiaodoushi</t>
        </is>
      </c>
      <c r="C257" s="3" t="inlineStr">
        <is>
          <t>白银之角斗士</t>
        </is>
      </c>
      <c r="D257" s="3" t="n">
        <v>6000</v>
      </c>
      <c r="E257" s="3" t="n">
        <v>100</v>
      </c>
      <c r="F257" s="3" t="n">
        <v>500</v>
      </c>
      <c r="G257" s="3" t="n">
        <v>10</v>
      </c>
      <c r="H257" s="3" t="n">
        <v>27</v>
      </c>
      <c r="I257" s="3" t="n">
        <v>0</v>
      </c>
      <c r="J257" s="3" t="n">
        <v>12</v>
      </c>
      <c r="K257" s="3" t="n">
        <v>0</v>
      </c>
      <c r="L257" s="3" t="n">
        <v>0</v>
      </c>
      <c r="M257" s="6">
        <f>F257/54+G257+H257+I257+J257+L257*1.2+K257/2</f>
        <v>58.25925925925926</v>
      </c>
      <c r="N257" s="3" t="inlineStr">
        <is>
          <t>无</t>
        </is>
      </c>
      <c r="O257" s="3" t="inlineStr">
        <is>
          <t>无</t>
        </is>
      </c>
      <c r="P257" s="3" t="inlineStr">
        <is>
          <t>blue</t>
        </is>
      </c>
      <c r="Q257" s="3" t="inlineStr">
        <is>
          <t>稀有/蓝</t>
        </is>
      </c>
      <c r="R257" s="3" t="inlineStr">
        <is>
          <t>器械</t>
        </is>
      </c>
      <c r="S257" s="3" t="inlineStr">
        <is>
          <t>器械</t>
        </is>
      </c>
      <c r="T257" s="3" t="inlineStr">
        <is>
          <t>白银甲胄与精钢关节制成的角斗士机关偶，盾矛并举。</t>
        </is>
      </c>
      <c r="U257" s="3" t="inlineStr">
        <is>
          <t>是</t>
        </is>
      </c>
      <c r="V257" s="3" t="inlineStr">
        <is>
          <t>否</t>
        </is>
      </c>
      <c r="W257" s="3" t="inlineStr">
        <is>
          <t>equip_baiyinzhijiaodoushi.png</t>
        </is>
      </c>
      <c r="X257" s="3" t="inlineStr"/>
      <c r="Y257" s="3" t="inlineStr">
        <is>
          <t>equip_device</t>
        </is>
      </c>
      <c r="Z257" s="3" t="inlineStr"/>
      <c r="AA257" s="3" t="inlineStr">
        <is>
          <t>拳系攻击+1%</t>
        </is>
      </c>
      <c r="AB257" s="3" t="inlineStr">
        <is>
          <t>否</t>
        </is>
      </c>
      <c r="AC257" s="3" t="inlineStr">
        <is>
          <t>否</t>
        </is>
      </c>
      <c r="AD257" s="3" t="inlineStr"/>
      <c r="AE257" s="3" t="inlineStr">
        <is>
          <t>竞技场固定兑换</t>
        </is>
      </c>
      <c r="AF257" s="3" t="inlineStr">
        <is>
          <t>{"hp":500,"defense":10,"force":27,"agility":12,"troop_stat_bonus":{"quan":{"attack_pct":0.01}}}</t>
        </is>
      </c>
      <c r="AG257" s="3" t="inlineStr">
        <is>
          <t>data/item_templates.yaml:L7021</t>
        </is>
      </c>
    </row>
    <row r="258" hidden="1">
      <c r="A258" s="3" t="n">
        <v>257</v>
      </c>
      <c r="B258" s="3" t="inlineStr">
        <is>
          <t>equip_jiguanxiong</t>
        </is>
      </c>
      <c r="C258" s="3" t="inlineStr">
        <is>
          <t>机关熊</t>
        </is>
      </c>
      <c r="D258" s="3" t="n">
        <v>16000</v>
      </c>
      <c r="E258" s="3" t="n">
        <v>150</v>
      </c>
      <c r="F258" s="3" t="n">
        <v>800</v>
      </c>
      <c r="G258" s="3" t="n">
        <v>15</v>
      </c>
      <c r="H258" s="3" t="n">
        <v>45</v>
      </c>
      <c r="I258" s="3" t="n">
        <v>0</v>
      </c>
      <c r="J258" s="3" t="n">
        <v>0</v>
      </c>
      <c r="K258" s="3" t="n">
        <v>0</v>
      </c>
      <c r="L258" s="3" t="n">
        <v>0</v>
      </c>
      <c r="M258" s="6">
        <f>F258/54+G258+H258+I258+J258+L258*1.2+K258/2</f>
        <v>74.81481481481481</v>
      </c>
      <c r="N258" s="3" t="inlineStr">
        <is>
          <t>无</t>
        </is>
      </c>
      <c r="O258" s="3" t="inlineStr">
        <is>
          <t>无</t>
        </is>
      </c>
      <c r="P258" s="3" t="inlineStr">
        <is>
          <t>purple</t>
        </is>
      </c>
      <c r="Q258" s="3" t="inlineStr">
        <is>
          <t>史诗/紫</t>
        </is>
      </c>
      <c r="R258" s="3" t="inlineStr">
        <is>
          <t>器械</t>
        </is>
      </c>
      <c r="S258" s="3" t="inlineStr">
        <is>
          <t>器械</t>
        </is>
      </c>
      <c r="T258" s="3" t="inlineStr">
        <is>
          <t>蜀中工匠依照山中黑熊制作，内藏齿轮发条，力大无穷。</t>
        </is>
      </c>
      <c r="U258" s="3" t="inlineStr">
        <is>
          <t>是</t>
        </is>
      </c>
      <c r="V258" s="3" t="inlineStr">
        <is>
          <t>否</t>
        </is>
      </c>
      <c r="W258" s="3" t="inlineStr">
        <is>
          <t>equip_jiguanxiong.png</t>
        </is>
      </c>
      <c r="X258" s="3" t="inlineStr"/>
      <c r="Y258" s="3" t="inlineStr">
        <is>
          <t>equip_device</t>
        </is>
      </c>
      <c r="Z258" s="3" t="inlineStr"/>
      <c r="AA258" s="3" t="inlineStr">
        <is>
          <t>拳系攻击+1%</t>
        </is>
      </c>
      <c r="AB258" s="3" t="inlineStr">
        <is>
          <t>否</t>
        </is>
      </c>
      <c r="AC258" s="3" t="inlineStr">
        <is>
          <t>是</t>
        </is>
      </c>
      <c r="AD258" s="3" t="inlineStr">
        <is>
          <t>blueprint_jiguanxiong</t>
        </is>
      </c>
      <c r="AE258" s="3" t="inlineStr">
        <is>
          <t>图纸合成（乱舞器械图纸随机兑换）；图纸合成（任务宝箱）；图纸合成（竞技场随机图纸兑换）</t>
        </is>
      </c>
      <c r="AF258" s="3" t="inlineStr">
        <is>
          <t>{"hp":800,"defense":15,"force":45,"troop_stat_bonus":{"quan":{"attack_pct":0.01}}}</t>
        </is>
      </c>
      <c r="AG258" s="3" t="inlineStr">
        <is>
          <t>data/item_templates.yaml:L6808</t>
        </is>
      </c>
    </row>
    <row r="259" hidden="1">
      <c r="A259" s="3" t="n">
        <v>258</v>
      </c>
      <c r="B259" s="3" t="inlineStr">
        <is>
          <t>equip_kuileiren</t>
        </is>
      </c>
      <c r="C259" s="3" t="inlineStr">
        <is>
          <t>傀儡人</t>
        </is>
      </c>
      <c r="D259" s="3" t="n">
        <v>16000</v>
      </c>
      <c r="E259" s="3" t="n">
        <v>150</v>
      </c>
      <c r="F259" s="3" t="n">
        <v>179</v>
      </c>
      <c r="G259" s="3" t="n">
        <v>10</v>
      </c>
      <c r="H259" s="3" t="n">
        <v>0</v>
      </c>
      <c r="I259" s="3" t="n">
        <v>37</v>
      </c>
      <c r="J259" s="3" t="n">
        <v>13</v>
      </c>
      <c r="K259" s="3" t="n">
        <v>0</v>
      </c>
      <c r="L259" s="3" t="n">
        <v>0</v>
      </c>
      <c r="M259" s="6">
        <f>F259/54+G259+H259+I259+J259+L259*1.2+K259/2</f>
        <v>63.31481481481482</v>
      </c>
      <c r="N259" s="3" t="inlineStr">
        <is>
          <t>无</t>
        </is>
      </c>
      <c r="O259" s="3" t="inlineStr">
        <is>
          <t>无</t>
        </is>
      </c>
      <c r="P259" s="3" t="inlineStr">
        <is>
          <t>purple</t>
        </is>
      </c>
      <c r="Q259" s="3" t="inlineStr">
        <is>
          <t>史诗/紫</t>
        </is>
      </c>
      <c r="R259" s="3" t="inlineStr">
        <is>
          <t>器械</t>
        </is>
      </c>
      <c r="S259" s="3" t="inlineStr">
        <is>
          <t>器械</t>
        </is>
      </c>
      <c r="T259" s="3" t="inlineStr">
        <is>
          <t>机关傀儡人，内藏机括与符纹，可攻可守，行止如生。</t>
        </is>
      </c>
      <c r="U259" s="3" t="inlineStr">
        <is>
          <t>是</t>
        </is>
      </c>
      <c r="V259" s="3" t="inlineStr">
        <is>
          <t>否</t>
        </is>
      </c>
      <c r="W259" s="3" t="inlineStr">
        <is>
          <t>equip_kuileiren.png</t>
        </is>
      </c>
      <c r="X259" s="3" t="inlineStr"/>
      <c r="Y259" s="3" t="inlineStr">
        <is>
          <t>equip_device</t>
        </is>
      </c>
      <c r="Z259" s="3" t="inlineStr"/>
      <c r="AA259" s="3" t="inlineStr">
        <is>
          <t>剑系全部属性+0.5%</t>
        </is>
      </c>
      <c r="AB259" s="3" t="inlineStr">
        <is>
          <t>否</t>
        </is>
      </c>
      <c r="AC259" s="3" t="inlineStr">
        <is>
          <t>是</t>
        </is>
      </c>
      <c r="AD259" s="3" t="inlineStr">
        <is>
          <t>blueprint_kuileiren</t>
        </is>
      </c>
      <c r="AE259" s="3" t="inlineStr">
        <is>
          <t>图纸合成（乱舞器械图纸随机兑换）；图纸合成（竞技场随机图纸兑换）</t>
        </is>
      </c>
      <c r="AF259" s="3" t="inlineStr">
        <is>
          <t>{"hp":179,"defense":10,"intellect":37,"agility":13,"troop_stat_bonus":{"jian":{"attack_pct":0.005,"defense_pct":0.005,"hp_pct":0.005}}}</t>
        </is>
      </c>
      <c r="AG259" s="3" t="inlineStr">
        <is>
          <t>data/item_templates.yaml:L6846</t>
        </is>
      </c>
    </row>
    <row r="260" hidden="1">
      <c r="A260" s="3" t="n">
        <v>259</v>
      </c>
      <c r="B260" s="3" t="inlineStr">
        <is>
          <t>equip_muniuliuma</t>
        </is>
      </c>
      <c r="C260" s="3" t="inlineStr">
        <is>
          <t>木牛流马</t>
        </is>
      </c>
      <c r="D260" s="3" t="n">
        <v>16000</v>
      </c>
      <c r="E260" s="3" t="n">
        <v>150</v>
      </c>
      <c r="F260" s="3" t="n">
        <v>300</v>
      </c>
      <c r="G260" s="3" t="n">
        <v>0</v>
      </c>
      <c r="H260" s="3" t="n">
        <v>0</v>
      </c>
      <c r="I260" s="3" t="n">
        <v>34</v>
      </c>
      <c r="J260" s="3" t="n">
        <v>13</v>
      </c>
      <c r="K260" s="3" t="n">
        <v>0</v>
      </c>
      <c r="L260" s="3" t="n">
        <v>11</v>
      </c>
      <c r="M260" s="6">
        <f>F260/54+G260+H260+I260+J260+L260*1.2+K260/2</f>
        <v>65.75555555555556</v>
      </c>
      <c r="N260" s="3" t="inlineStr">
        <is>
          <t>无</t>
        </is>
      </c>
      <c r="O260" s="3" t="inlineStr">
        <is>
          <t>无</t>
        </is>
      </c>
      <c r="P260" s="3" t="inlineStr">
        <is>
          <t>purple</t>
        </is>
      </c>
      <c r="Q260" s="3" t="inlineStr">
        <is>
          <t>史诗/紫</t>
        </is>
      </c>
      <c r="R260" s="3" t="inlineStr">
        <is>
          <t>器械</t>
        </is>
      </c>
      <c r="S260" s="3" t="inlineStr">
        <is>
          <t>器械</t>
        </is>
      </c>
      <c r="T260" s="3" t="inlineStr">
        <is>
          <t>诸葛武侯北伐时所创，不食草料而能行走，曾运粮于蜀道险峻之处。</t>
        </is>
      </c>
      <c r="U260" s="3" t="inlineStr">
        <is>
          <t>是</t>
        </is>
      </c>
      <c r="V260" s="3" t="inlineStr">
        <is>
          <t>否</t>
        </is>
      </c>
      <c r="W260" s="3" t="inlineStr">
        <is>
          <t>equip_muniuliuma.png</t>
        </is>
      </c>
      <c r="X260" s="3" t="inlineStr"/>
      <c r="Y260" s="3" t="inlineStr">
        <is>
          <t>equip_device</t>
        </is>
      </c>
      <c r="Z260" s="3" t="inlineStr"/>
      <c r="AA260" s="3" t="inlineStr">
        <is>
          <t>全兵种生命+0.5%</t>
        </is>
      </c>
      <c r="AB260" s="3" t="inlineStr">
        <is>
          <t>否</t>
        </is>
      </c>
      <c r="AC260" s="3" t="inlineStr">
        <is>
          <t>是</t>
        </is>
      </c>
      <c r="AD260" s="3" t="inlineStr">
        <is>
          <t>blueprint_muniuliuma</t>
        </is>
      </c>
      <c r="AE260" s="3" t="inlineStr">
        <is>
          <t>图纸合成（乱舞器械图纸随机兑换）；图纸合成（任务宝箱）；图纸合成（竞技场随机图纸兑换）</t>
        </is>
      </c>
      <c r="AF260" s="3" t="inlineStr">
        <is>
          <t>{"hp":300,"intellect":34,"agility":13,"luck":11,"troop_stat_bonus":{"dao":{"hp_pct":0.005},"qiang":{"hp_pct":0.005},"jian":{"hp_pct":0.005},"quan":{"hp_pct":0.005},"gong":{"hp_pct":0.005},"scout":{"hp_pct":0.005}}}</t>
        </is>
      </c>
      <c r="AG260" s="3" t="inlineStr">
        <is>
          <t>data/item_templates.yaml:L6824</t>
        </is>
      </c>
    </row>
    <row r="261" hidden="1">
      <c r="A261" s="3" t="n">
        <v>260</v>
      </c>
      <c r="B261" s="3" t="inlineStr">
        <is>
          <t>equip_taotieding</t>
        </is>
      </c>
      <c r="C261" s="3" t="inlineStr">
        <is>
          <t>饕餮鼎</t>
        </is>
      </c>
      <c r="D261" s="3" t="n">
        <v>0</v>
      </c>
      <c r="E261" s="3" t="n">
        <v>150</v>
      </c>
      <c r="F261" s="3" t="n">
        <v>500</v>
      </c>
      <c r="G261" s="3" t="n">
        <v>15</v>
      </c>
      <c r="H261" s="3" t="n">
        <v>18</v>
      </c>
      <c r="I261" s="3" t="n">
        <v>25</v>
      </c>
      <c r="J261" s="3" t="n">
        <v>0</v>
      </c>
      <c r="K261" s="3" t="n">
        <v>0</v>
      </c>
      <c r="L261" s="3" t="n">
        <v>10</v>
      </c>
      <c r="M261" s="6">
        <f>F261/54+G261+H261+I261+J261+L261*1.2+K261/2</f>
        <v>79.25925925925927</v>
      </c>
      <c r="N261" s="3" t="inlineStr">
        <is>
          <t>无</t>
        </is>
      </c>
      <c r="O261" s="3" t="inlineStr">
        <is>
          <t>无</t>
        </is>
      </c>
      <c r="P261" s="3" t="inlineStr">
        <is>
          <t>purple</t>
        </is>
      </c>
      <c r="Q261" s="3" t="inlineStr">
        <is>
          <t>史诗/紫</t>
        </is>
      </c>
      <c r="R261" s="3" t="inlineStr">
        <is>
          <t>器械</t>
        </is>
      </c>
      <c r="S261" s="3" t="inlineStr">
        <is>
          <t>器械</t>
        </is>
      </c>
      <c r="T261" s="3" t="inlineStr">
        <is>
          <t>鼎身上的饕餮图案而得名，象征着权力和财富，常用于祭祀或重要场合。</t>
        </is>
      </c>
      <c r="U261" s="3" t="inlineStr">
        <is>
          <t>是</t>
        </is>
      </c>
      <c r="V261" s="3" t="inlineStr">
        <is>
          <t>否</t>
        </is>
      </c>
      <c r="W261" s="3" t="inlineStr">
        <is>
          <t>taotieding.png</t>
        </is>
      </c>
      <c r="X261" s="3" t="inlineStr"/>
      <c r="Y261" s="3" t="inlineStr">
        <is>
          <t>equip_device</t>
        </is>
      </c>
      <c r="Z261" s="3" t="inlineStr"/>
      <c r="AA261" s="3" t="inlineStr">
        <is>
          <t>全兵种全部属性+0.25%</t>
        </is>
      </c>
      <c r="AB261" s="3" t="inlineStr">
        <is>
          <t>否</t>
        </is>
      </c>
      <c r="AC261" s="3" t="inlineStr">
        <is>
          <t>是</t>
        </is>
      </c>
      <c r="AD261" s="3" t="inlineStr">
        <is>
          <t>blueprint_taotieding</t>
        </is>
      </c>
      <c r="AE261" s="3" t="inlineStr">
        <is>
          <t>图纸合成（乱舞器械图纸随机兑换）；图纸合成（任务宝箱）；图纸合成（竞技场随机图纸兑换）</t>
        </is>
      </c>
      <c r="AF261" s="3" t="inlineStr">
        <is>
          <t>{"hp":500,"defense":15,"force":18,"intellect":25,"luck":10,"troop_stat_bonus":{"dao":{"attack_pct":0.0025,"defense_pct":0.0025,"hp_pct":0.0025},"qiang":{"attack_pct":0.0025,"defense_pct":0.0025,"hp_pct":0.0025},"jian":{"attack_pct":0.0025,"defense_pct":0.0025,"hp_pct":0.0025},"quan":{"attack_pct":0.0025,"defense_pct":0.0025,"hp_pct":0.0025},"gong":{"attack_pct":0.0025,"defense_pct":0.0025,"hp_pct":0.0025},"scout":{"attack_pct":0.0025,"defense_pct":0.0025,"hp_pct":0.0025}}}</t>
        </is>
      </c>
      <c r="AG261" s="3" t="inlineStr">
        <is>
          <t>data/item_templates.yaml:L6445</t>
        </is>
      </c>
    </row>
    <row r="262" hidden="1">
      <c r="A262" s="3" t="n">
        <v>261</v>
      </c>
      <c r="B262" s="3" t="inlineStr">
        <is>
          <t>equip_xuanwujigui</t>
        </is>
      </c>
      <c r="C262" s="3" t="inlineStr">
        <is>
          <t>玄武机龟</t>
        </is>
      </c>
      <c r="D262" s="3" t="n">
        <v>16000</v>
      </c>
      <c r="E262" s="3" t="n">
        <v>150</v>
      </c>
      <c r="F262" s="3" t="n">
        <v>800</v>
      </c>
      <c r="G262" s="3" t="n">
        <v>45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15</v>
      </c>
      <c r="M262" s="6">
        <f>F262/54+G262+H262+I262+J262+L262*1.2+K262/2</f>
        <v>77.81481481481481</v>
      </c>
      <c r="N262" s="3" t="inlineStr">
        <is>
          <t>无</t>
        </is>
      </c>
      <c r="O262" s="3" t="inlineStr">
        <is>
          <t>无</t>
        </is>
      </c>
      <c r="P262" s="3" t="inlineStr">
        <is>
          <t>purple</t>
        </is>
      </c>
      <c r="Q262" s="3" t="inlineStr">
        <is>
          <t>史诗/紫</t>
        </is>
      </c>
      <c r="R262" s="3" t="inlineStr">
        <is>
          <t>器械</t>
        </is>
      </c>
      <c r="S262" s="3" t="inlineStr">
        <is>
          <t>器械</t>
        </is>
      </c>
      <c r="T262" s="3" t="inlineStr">
        <is>
          <t>以玄武为形的机关造物，龟壳刻有北方星宿图，据说可镇一方水土。</t>
        </is>
      </c>
      <c r="U262" s="3" t="inlineStr">
        <is>
          <t>是</t>
        </is>
      </c>
      <c r="V262" s="3" t="inlineStr">
        <is>
          <t>否</t>
        </is>
      </c>
      <c r="W262" s="3" t="inlineStr">
        <is>
          <t>equip_xuanwujigui.png</t>
        </is>
      </c>
      <c r="X262" s="3" t="inlineStr"/>
      <c r="Y262" s="3" t="inlineStr">
        <is>
          <t>equip_device</t>
        </is>
      </c>
      <c r="Z262" s="3" t="inlineStr"/>
      <c r="AA262" s="3" t="inlineStr">
        <is>
          <t>枪系全部属性+0.5%</t>
        </is>
      </c>
      <c r="AB262" s="3" t="inlineStr">
        <is>
          <t>否</t>
        </is>
      </c>
      <c r="AC262" s="3" t="inlineStr">
        <is>
          <t>是</t>
        </is>
      </c>
      <c r="AD262" s="3" t="inlineStr">
        <is>
          <t>blueprint_xuanwujigui</t>
        </is>
      </c>
      <c r="AE262" s="3" t="inlineStr">
        <is>
          <t>图纸合成（乱舞器械图纸随机兑换）；图纸合成（竞技场随机图纸兑换）</t>
        </is>
      </c>
      <c r="AF262" s="3" t="inlineStr">
        <is>
          <t>{"hp":800,"defense":45,"luck":15,"troop_stat_bonus":{"qiang":{"attack_pct":0.005,"defense_pct":0.005,"hp_pct":0.005}}}</t>
        </is>
      </c>
      <c r="AG262" s="3" t="inlineStr">
        <is>
          <t>data/item_templates.yaml:L6863</t>
        </is>
      </c>
    </row>
    <row r="263" hidden="1">
      <c r="A263" s="3" t="n">
        <v>262</v>
      </c>
      <c r="B263" s="3" t="inlineStr">
        <is>
          <t>equip_huangjinzhijiaodoushi</t>
        </is>
      </c>
      <c r="C263" s="3" t="inlineStr">
        <is>
          <t>黄金之角斗士</t>
        </is>
      </c>
      <c r="D263" s="3" t="n">
        <v>16000</v>
      </c>
      <c r="E263" s="3" t="n">
        <v>150</v>
      </c>
      <c r="F263" s="3" t="n">
        <v>750</v>
      </c>
      <c r="G263" s="3" t="n">
        <v>15</v>
      </c>
      <c r="H263" s="3" t="n">
        <v>38</v>
      </c>
      <c r="I263" s="3" t="n">
        <v>0</v>
      </c>
      <c r="J263" s="3" t="n">
        <v>16</v>
      </c>
      <c r="K263" s="3" t="n">
        <v>0</v>
      </c>
      <c r="L263" s="3" t="n">
        <v>0</v>
      </c>
      <c r="M263" s="6">
        <f>F263/54+G263+H263+I263+J263+L263*1.2+K263/2</f>
        <v>82.88888888888889</v>
      </c>
      <c r="N263" s="3" t="inlineStr">
        <is>
          <t>无</t>
        </is>
      </c>
      <c r="O263" s="3" t="inlineStr">
        <is>
          <t>无</t>
        </is>
      </c>
      <c r="P263" s="3" t="inlineStr">
        <is>
          <t>purple</t>
        </is>
      </c>
      <c r="Q263" s="3" t="inlineStr">
        <is>
          <t>史诗/紫</t>
        </is>
      </c>
      <c r="R263" s="3" t="inlineStr">
        <is>
          <t>器械</t>
        </is>
      </c>
      <c r="S263" s="3" t="inlineStr">
        <is>
          <t>器械</t>
        </is>
      </c>
      <c r="T263" s="3" t="inlineStr">
        <is>
          <t>鎏金精钢打造的角斗士机关偶，以耀日战盾护阵，以短剑破敌。</t>
        </is>
      </c>
      <c r="U263" s="3" t="inlineStr">
        <is>
          <t>是</t>
        </is>
      </c>
      <c r="V263" s="3" t="inlineStr">
        <is>
          <t>否</t>
        </is>
      </c>
      <c r="W263" s="3" t="inlineStr">
        <is>
          <t>equip_huangjinzhijiaodoushi.png</t>
        </is>
      </c>
      <c r="X263" s="3" t="inlineStr"/>
      <c r="Y263" s="3" t="inlineStr">
        <is>
          <t>equip_device</t>
        </is>
      </c>
      <c r="Z263" s="3" t="inlineStr"/>
      <c r="AA263" s="3" t="inlineStr">
        <is>
          <t>拳系攻击+1%、拳系防御+0.5%</t>
        </is>
      </c>
      <c r="AB263" s="3" t="inlineStr">
        <is>
          <t>否</t>
        </is>
      </c>
      <c r="AC263" s="3" t="inlineStr">
        <is>
          <t>否</t>
        </is>
      </c>
      <c r="AD263" s="3" t="inlineStr"/>
      <c r="AE263" s="3" t="inlineStr">
        <is>
          <t>竞技场固定兑换</t>
        </is>
      </c>
      <c r="AF263" s="3" t="inlineStr">
        <is>
          <t>{"hp":750,"defense":15,"force":38,"agility":16,"troop_stat_bonus":{"quan":{"attack_pct":0.01,"defense_pct":0.005}}}</t>
        </is>
      </c>
      <c r="AG263" s="3" t="inlineStr">
        <is>
          <t>data/item_templates.yaml:L7038</t>
        </is>
      </c>
    </row>
    <row r="264">
      <c r="A264" s="3" t="n">
        <v>263</v>
      </c>
      <c r="B264" s="3" t="inlineStr">
        <is>
          <t>equip_chixiaojifeng</t>
        </is>
      </c>
      <c r="C264" s="3" t="inlineStr">
        <is>
          <t>赤霄机凤</t>
        </is>
      </c>
      <c r="D264" s="3" t="n">
        <v>52000</v>
      </c>
      <c r="E264" s="3" t="n">
        <v>200</v>
      </c>
      <c r="F264" s="3" t="n">
        <v>300</v>
      </c>
      <c r="G264" s="3" t="n">
        <v>0</v>
      </c>
      <c r="H264" s="3" t="n">
        <v>45</v>
      </c>
      <c r="I264" s="3" t="n">
        <v>0</v>
      </c>
      <c r="J264" s="3" t="n">
        <v>35</v>
      </c>
      <c r="K264" s="3" t="n">
        <v>0</v>
      </c>
      <c r="L264" s="3" t="n">
        <v>10</v>
      </c>
      <c r="M264" s="6">
        <f>F264/54+G264+H264+I264+J264+L264*1.2+K264/2</f>
        <v>97.55555555555556</v>
      </c>
      <c r="N264" s="3" t="inlineStr">
        <is>
          <t>无</t>
        </is>
      </c>
      <c r="O264" s="3" t="inlineStr">
        <is>
          <t>无</t>
        </is>
      </c>
      <c r="P264" s="3" t="inlineStr">
        <is>
          <t>orange</t>
        </is>
      </c>
      <c r="Q264" s="3" t="inlineStr">
        <is>
          <t>传说/橙</t>
        </is>
      </c>
      <c r="R264" s="3" t="inlineStr">
        <is>
          <t>器械</t>
        </is>
      </c>
      <c r="S264" s="3" t="inlineStr">
        <is>
          <t>器械</t>
        </is>
      </c>
      <c r="T264" s="3" t="inlineStr">
        <is>
          <t>仿南方朱雀所制的机关神兽，以赤铜为羽，展翅时灿若朝霞。</t>
        </is>
      </c>
      <c r="U264" s="3" t="inlineStr">
        <is>
          <t>是</t>
        </is>
      </c>
      <c r="V264" s="3" t="inlineStr">
        <is>
          <t>否</t>
        </is>
      </c>
      <c r="W264" s="3" t="inlineStr">
        <is>
          <t>equip_chixiaojifeng.png</t>
        </is>
      </c>
      <c r="X264" s="3" t="inlineStr"/>
      <c r="Y264" s="3" t="inlineStr">
        <is>
          <t>equip_device</t>
        </is>
      </c>
      <c r="Z264" s="3" t="inlineStr"/>
      <c r="AA264" s="3" t="inlineStr">
        <is>
          <t>弓系攻击+1.5%</t>
        </is>
      </c>
      <c r="AB264" s="3" t="inlineStr">
        <is>
          <t>否</t>
        </is>
      </c>
      <c r="AC264" s="3" t="inlineStr">
        <is>
          <t>是</t>
        </is>
      </c>
      <c r="AD264" s="3" t="inlineStr">
        <is>
          <t>blueprint_chixiaojifeng</t>
        </is>
      </c>
      <c r="AE264" s="3" t="inlineStr">
        <is>
          <t>图纸合成（乱舞器械图纸随机兑换）；图纸合成（任务宝箱）；图纸合成（协作竞技场图纸掉落）；图纸合成（帮会图纸领取）</t>
        </is>
      </c>
      <c r="AF264" s="3" t="inlineStr">
        <is>
          <t>{"hp":300,"force":45,"agility":35,"luck":10,"troop_stat_bonus":{"gong":{"attack_pct":0.015}}}</t>
        </is>
      </c>
      <c r="AG264" s="3" t="inlineStr">
        <is>
          <t>data/item_templates.yaml:L6961</t>
        </is>
      </c>
    </row>
    <row r="265">
      <c r="A265" s="3" t="n">
        <v>264</v>
      </c>
      <c r="B265" s="3" t="inlineStr">
        <is>
          <t>equip_feiyuan</t>
        </is>
      </c>
      <c r="C265" s="3" t="inlineStr">
        <is>
          <t>飞鸢</t>
        </is>
      </c>
      <c r="D265" s="3" t="n">
        <v>52000</v>
      </c>
      <c r="E265" s="3" t="n">
        <v>200</v>
      </c>
      <c r="F265" s="3" t="n">
        <v>500</v>
      </c>
      <c r="G265" s="3" t="n">
        <v>0</v>
      </c>
      <c r="H265" s="3" t="n">
        <v>0</v>
      </c>
      <c r="I265" s="3" t="n">
        <v>40</v>
      </c>
      <c r="J265" s="3" t="n">
        <v>30</v>
      </c>
      <c r="K265" s="3" t="n">
        <v>0</v>
      </c>
      <c r="L265" s="3" t="n">
        <v>10</v>
      </c>
      <c r="M265" s="6">
        <f>F265/54+G265+H265+I265+J265+L265*1.2+K265/2</f>
        <v>91.25925925925927</v>
      </c>
      <c r="N265" s="3" t="inlineStr">
        <is>
          <t>无</t>
        </is>
      </c>
      <c r="O265" s="3" t="inlineStr">
        <is>
          <t>无</t>
        </is>
      </c>
      <c r="P265" s="3" t="inlineStr">
        <is>
          <t>orange</t>
        </is>
      </c>
      <c r="Q265" s="3" t="inlineStr">
        <is>
          <t>传说/橙</t>
        </is>
      </c>
      <c r="R265" s="3" t="inlineStr">
        <is>
          <t>器械</t>
        </is>
      </c>
      <c r="S265" s="3" t="inlineStr">
        <is>
          <t>器械</t>
        </is>
      </c>
      <c r="T265" s="3" t="inlineStr">
        <is>
          <t>墨子削竹木为鸢，三年而成，飞三日不下，是机关术的开山之作。</t>
        </is>
      </c>
      <c r="U265" s="3" t="inlineStr">
        <is>
          <t>是</t>
        </is>
      </c>
      <c r="V265" s="3" t="inlineStr">
        <is>
          <t>否</t>
        </is>
      </c>
      <c r="W265" s="3" t="inlineStr">
        <is>
          <t>equip_feiyuan.png</t>
        </is>
      </c>
      <c r="X265" s="3" t="inlineStr"/>
      <c r="Y265" s="3" t="inlineStr">
        <is>
          <t>equip_device</t>
        </is>
      </c>
      <c r="Z265" s="3" t="inlineStr"/>
      <c r="AA265" s="3" t="inlineStr">
        <is>
          <t>全兵种攻击+0.5%</t>
        </is>
      </c>
      <c r="AB265" s="3" t="inlineStr">
        <is>
          <t>否</t>
        </is>
      </c>
      <c r="AC265" s="3" t="inlineStr">
        <is>
          <t>是</t>
        </is>
      </c>
      <c r="AD265" s="3" t="inlineStr">
        <is>
          <t>blueprint_feiyuan</t>
        </is>
      </c>
      <c r="AE265" s="3" t="inlineStr">
        <is>
          <t>图纸合成（乱舞器械图纸随机兑换）；图纸合成（任务宝箱）；图纸合成（协作竞技场图纸掉落）；图纸合成（帮会图纸领取）</t>
        </is>
      </c>
      <c r="AF265" s="3" t="inlineStr">
        <is>
          <t>{"hp":500,"intellect":40,"agility":30,"luck":10,"troop_stat_bonus":{"dao":{"attack_pct":0.005},"qiang":{"attack_pct":0.005},"jian":{"attack_pct":0.005},"quan":{"attack_pct":0.005},"gong":{"attack_pct":0.005},"scout":{"attack_pct":0.005}}}</t>
        </is>
      </c>
      <c r="AG265" s="3" t="inlineStr">
        <is>
          <t>data/item_templates.yaml:L6939</t>
        </is>
      </c>
    </row>
    <row r="266">
      <c r="A266" s="3" t="n">
        <v>265</v>
      </c>
      <c r="B266" s="3" t="inlineStr">
        <is>
          <t>equip_mojiajiguanren</t>
        </is>
      </c>
      <c r="C266" s="3" t="inlineStr">
        <is>
          <t>墨家机关人</t>
        </is>
      </c>
      <c r="D266" s="3" t="n">
        <v>52000</v>
      </c>
      <c r="E266" s="3" t="n">
        <v>200</v>
      </c>
      <c r="F266" s="3" t="n">
        <v>800</v>
      </c>
      <c r="G266" s="3" t="n">
        <v>15</v>
      </c>
      <c r="H266" s="3" t="n">
        <v>25</v>
      </c>
      <c r="I266" s="3" t="n">
        <v>25</v>
      </c>
      <c r="J266" s="3" t="n">
        <v>15</v>
      </c>
      <c r="K266" s="3" t="n">
        <v>0</v>
      </c>
      <c r="L266" s="3" t="n">
        <v>10</v>
      </c>
      <c r="M266" s="6">
        <f>F266/54+G266+H266+I266+J266+L266*1.2+K266/2</f>
        <v>106.81481481481481</v>
      </c>
      <c r="N266" s="3" t="inlineStr">
        <is>
          <t>无</t>
        </is>
      </c>
      <c r="O266" s="3" t="inlineStr">
        <is>
          <t>无</t>
        </is>
      </c>
      <c r="P266" s="3" t="inlineStr">
        <is>
          <t>orange</t>
        </is>
      </c>
      <c r="Q266" s="3" t="inlineStr">
        <is>
          <t>传说/橙</t>
        </is>
      </c>
      <c r="R266" s="3" t="inlineStr">
        <is>
          <t>器械</t>
        </is>
      </c>
      <c r="S266" s="3" t="inlineStr">
        <is>
          <t>器械</t>
        </is>
      </c>
      <c r="T266" s="3" t="inlineStr">
        <is>
          <t>墨家巨子亲手打造的绝世之作，内藏百道机关，可攻可守，几近通灵。</t>
        </is>
      </c>
      <c r="U266" s="3" t="inlineStr">
        <is>
          <t>是</t>
        </is>
      </c>
      <c r="V266" s="3" t="inlineStr">
        <is>
          <t>否</t>
        </is>
      </c>
      <c r="W266" s="3" t="inlineStr">
        <is>
          <t>equip_mojiajiguanren.png</t>
        </is>
      </c>
      <c r="X266" s="3" t="inlineStr"/>
      <c r="Y266" s="3" t="inlineStr">
        <is>
          <t>equip_device</t>
        </is>
      </c>
      <c r="Z266" s="3" t="inlineStr"/>
      <c r="AA266" s="3" t="inlineStr">
        <is>
          <t>全兵种全部属性+0.5%</t>
        </is>
      </c>
      <c r="AB266" s="3" t="inlineStr">
        <is>
          <t>否</t>
        </is>
      </c>
      <c r="AC266" s="3" t="inlineStr">
        <is>
          <t>是</t>
        </is>
      </c>
      <c r="AD266" s="3" t="inlineStr">
        <is>
          <t>blueprint_mojiajiguanren</t>
        </is>
      </c>
      <c r="AE266" s="3" t="inlineStr">
        <is>
          <t>图纸合成（乱舞器械图纸随机兑换）；图纸合成（任务宝箱）；图纸合成（协作竞技场图纸掉落）；图纸合成（帮会图纸领取）</t>
        </is>
      </c>
      <c r="AF266" s="3" t="inlineStr">
        <is>
          <t>{"hp":800,"defense":15,"force":25,"intellect":25,"agility":15,"luck":10,"troop_stat_bonus":{"dao":{"attack_pct":0.005,"defense_pct":0.005,"hp_pct":0.005},"qiang":{"attack_pct":0.005,"defense_pct":0.005,"hp_pct":0.005},"jian":{"attack_pct":0.005,"defense_pct":0.005,"hp_pct":0.005},"quan":{"attack_pct":0.005,"defense_pct":0.005,"hp_pct":0.005},"gong":{"attack_pct":0.005,"defense_pct":0.005,"hp_pct":0.005},"scout":{"attack_pct":0.005,"defense_pct":0.005,"hp_pct":0.005}}}</t>
        </is>
      </c>
      <c r="AG266" s="3" t="inlineStr">
        <is>
          <t>data/item_templates.yaml:L6978</t>
        </is>
      </c>
    </row>
  </sheetData>
  <autoFilter ref="A1:AG266">
    <filterColumn colId="15" hiddenButton="0" showButton="1">
      <filters>
        <filter val="purple"/>
      </filters>
    </filterColumn>
  </autoFilter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65" customWidth="1" min="12" max="12"/>
    <col width="90" customWidth="1" min="13" max="13"/>
    <col width="42" customWidth="1" min="14" max="14"/>
  </cols>
  <sheetData>
    <row r="1" ht="30" customHeight="1">
      <c r="A1" s="1" t="inlineStr">
        <is>
          <t>套装key</t>
        </is>
      </c>
      <c r="B1" s="1" t="inlineStr">
        <is>
          <t>套装名称</t>
        </is>
      </c>
      <c r="C1" s="1" t="inlineStr">
        <is>
          <t>生效件数</t>
        </is>
      </c>
      <c r="D1" s="1" t="inlineStr">
        <is>
          <t>攻击</t>
        </is>
      </c>
      <c r="E1" s="1" t="inlineStr">
        <is>
          <t>防御</t>
        </is>
      </c>
      <c r="F1" s="1" t="inlineStr">
        <is>
          <t>生命</t>
        </is>
      </c>
      <c r="G1" s="1" t="inlineStr">
        <is>
          <t>武力</t>
        </is>
      </c>
      <c r="H1" s="1" t="inlineStr">
        <is>
          <t>智力</t>
        </is>
      </c>
      <c r="I1" s="1" t="inlineStr">
        <is>
          <t>敏捷</t>
        </is>
      </c>
      <c r="J1" s="1" t="inlineStr">
        <is>
          <t>运势</t>
        </is>
      </c>
      <c r="K1" s="1" t="inlineStr">
        <is>
          <t>带兵上限</t>
        </is>
      </c>
      <c r="L1" s="1" t="inlineStr">
        <is>
          <t>成员装备</t>
        </is>
      </c>
      <c r="M1" s="1" t="inlineStr">
        <is>
          <t>成员装备key</t>
        </is>
      </c>
      <c r="N1" s="1" t="inlineStr">
        <is>
          <t>数据来源</t>
        </is>
      </c>
    </row>
    <row r="2">
      <c r="A2" s="3" t="inlineStr">
        <is>
          <t>starter_cloth_set</t>
        </is>
      </c>
      <c r="B2" s="3" t="inlineStr">
        <is>
          <t>一蓑烟雨</t>
        </is>
      </c>
      <c r="C2" s="3" t="n">
        <v>4</v>
      </c>
      <c r="D2" s="3" t="n">
        <v>0</v>
      </c>
      <c r="E2" s="3" t="n">
        <v>0</v>
      </c>
      <c r="F2" s="3" t="n">
        <v>200</v>
      </c>
      <c r="G2" s="3" t="n">
        <v>20</v>
      </c>
      <c r="H2" s="3" t="n">
        <v>0</v>
      </c>
      <c r="I2" s="3" t="n">
        <v>0</v>
      </c>
      <c r="J2" s="3" t="n">
        <v>15</v>
      </c>
      <c r="K2" s="3" t="n">
        <v>20</v>
      </c>
      <c r="L2" s="3" t="inlineStr">
        <is>
          <t>斗笠；蓑衣；草鞋；铁剑</t>
        </is>
      </c>
      <c r="M2" s="3" t="inlineStr">
        <is>
          <t>equip_caomao；equip_suoyi；equip_caoxie；equip_tiejian</t>
        </is>
      </c>
      <c r="N2" s="3" t="inlineStr">
        <is>
          <t>data/item_templates.yaml:L3240</t>
        </is>
      </c>
    </row>
    <row r="3">
      <c r="A3" s="3" t="inlineStr">
        <is>
          <t>yeman_set</t>
        </is>
      </c>
      <c r="B3" s="3" t="inlineStr">
        <is>
          <t>野蛮套装</t>
        </is>
      </c>
      <c r="C3" s="3" t="n">
        <v>2</v>
      </c>
      <c r="D3" s="3" t="n">
        <v>0</v>
      </c>
      <c r="E3" s="3" t="n">
        <v>10</v>
      </c>
      <c r="F3" s="3" t="n">
        <v>300</v>
      </c>
      <c r="G3" s="3" t="n">
        <v>25</v>
      </c>
      <c r="H3" s="3" t="n">
        <v>0</v>
      </c>
      <c r="I3" s="3" t="n">
        <v>0</v>
      </c>
      <c r="J3" s="3" t="n">
        <v>0</v>
      </c>
      <c r="K3" s="3" t="n">
        <v>0</v>
      </c>
      <c r="L3" s="3" t="inlineStr">
        <is>
          <t>野蛮头盔；野蛮砍刀</t>
        </is>
      </c>
      <c r="M3" s="3" t="inlineStr">
        <is>
          <t>equip_yemantoukie；equip_yemankandao</t>
        </is>
      </c>
      <c r="N3" s="3" t="inlineStr">
        <is>
          <t>data/item_templates.yaml:L3425</t>
        </is>
      </c>
    </row>
    <row r="4">
      <c r="A4" s="3" t="inlineStr">
        <is>
          <t>kasukabe_defense_set</t>
        </is>
      </c>
      <c r="B4" s="3" t="inlineStr">
        <is>
          <t>春日部防卫队</t>
        </is>
      </c>
      <c r="C4" s="3" t="n">
        <v>2</v>
      </c>
      <c r="D4" s="3" t="n">
        <v>30</v>
      </c>
      <c r="E4" s="3" t="n">
        <v>20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inlineStr">
        <is>
          <t>动感超人面具；春日部小书包；动感光波手套；野原家的平底锅；小白的散步绳</t>
        </is>
      </c>
      <c r="M4" s="3" t="inlineStr">
        <is>
          <t>equip_action_mask；equip_kasukabe_satchel；equip_action_beam_glove；equip_nohara_pan；equip_shiro_leash</t>
        </is>
      </c>
      <c r="N4" s="3" t="inlineStr">
        <is>
          <t>data/item_templates.yaml:L3113</t>
        </is>
      </c>
    </row>
    <row r="5">
      <c r="A5" s="3" t="inlineStr">
        <is>
          <t>kasukabe_defense_set</t>
        </is>
      </c>
      <c r="B5" s="3" t="inlineStr">
        <is>
          <t>春日部防卫队</t>
        </is>
      </c>
      <c r="C5" s="3" t="n">
        <v>4</v>
      </c>
      <c r="D5" s="3" t="n">
        <v>0</v>
      </c>
      <c r="E5" s="3" t="n">
        <v>0</v>
      </c>
      <c r="F5" s="3" t="n">
        <v>600</v>
      </c>
      <c r="G5" s="3" t="n">
        <v>0</v>
      </c>
      <c r="H5" s="3" t="n">
        <v>0</v>
      </c>
      <c r="I5" s="3" t="n">
        <v>20</v>
      </c>
      <c r="J5" s="3" t="n">
        <v>15</v>
      </c>
      <c r="K5" s="3" t="n">
        <v>0</v>
      </c>
      <c r="L5" s="3" t="inlineStr">
        <is>
          <t>动感超人面具；春日部小书包；动感光波手套；野原家的平底锅；小白的散步绳</t>
        </is>
      </c>
      <c r="M5" s="3" t="inlineStr">
        <is>
          <t>equip_action_mask；equip_kasukabe_satchel；equip_action_beam_glove；equip_nohara_pan；equip_shiro_leash</t>
        </is>
      </c>
      <c r="N5" s="3" t="inlineStr">
        <is>
          <t>data/item_templates.yaml:L3113</t>
        </is>
      </c>
    </row>
    <row r="6">
      <c r="A6" s="3" t="inlineStr">
        <is>
          <t>jiaodoushi_set</t>
        </is>
      </c>
      <c r="B6" s="3" t="inlineStr">
        <is>
          <t>角斗士套装</t>
        </is>
      </c>
      <c r="C6" s="3" t="n">
        <v>4</v>
      </c>
      <c r="D6" s="3" t="n">
        <v>0</v>
      </c>
      <c r="E6" s="3" t="n">
        <v>10</v>
      </c>
      <c r="F6" s="3" t="n">
        <v>280</v>
      </c>
      <c r="G6" s="3" t="n">
        <v>30</v>
      </c>
      <c r="H6" s="3" t="n">
        <v>0</v>
      </c>
      <c r="I6" s="3" t="n">
        <v>15</v>
      </c>
      <c r="J6" s="3" t="n">
        <v>0</v>
      </c>
      <c r="K6" s="3" t="n">
        <v>0</v>
      </c>
      <c r="L6" s="3" t="inlineStr">
        <is>
          <t>角斗士头盔；角斗士胸甲；角斗士之靴；角斗士之锤</t>
        </is>
      </c>
      <c r="M6" s="3" t="inlineStr">
        <is>
          <t>equip_jiaodoushitoukui；equip_jiaodoushixiongjia；equip_jiaodoushizhixue；equip_jiaodoushizhichui</t>
        </is>
      </c>
      <c r="N6" s="3" t="inlineStr">
        <is>
          <t>data/item_templates.yaml:L3528</t>
        </is>
      </c>
    </row>
    <row r="7">
      <c r="A7" s="3" t="inlineStr">
        <is>
          <t>sixiang_set</t>
        </is>
      </c>
      <c r="B7" s="3" t="inlineStr">
        <is>
          <t>四象套装</t>
        </is>
      </c>
      <c r="C7" s="3" t="n">
        <v>4</v>
      </c>
      <c r="D7" s="3" t="n">
        <v>0</v>
      </c>
      <c r="E7" s="3" t="n">
        <v>0</v>
      </c>
      <c r="F7" s="3" t="n">
        <v>360</v>
      </c>
      <c r="G7" s="3" t="n">
        <v>35</v>
      </c>
      <c r="H7" s="3" t="n">
        <v>35</v>
      </c>
      <c r="I7" s="3" t="n">
        <v>20</v>
      </c>
      <c r="J7" s="3" t="n">
        <v>0</v>
      </c>
      <c r="K7" s="3" t="n">
        <v>0</v>
      </c>
      <c r="L7" s="3" t="inlineStr">
        <is>
          <t>青龙盔；青龙甲；青龙靴；青龙刀</t>
        </is>
      </c>
      <c r="M7" s="3" t="inlineStr">
        <is>
          <t>equip_qinglongkui；equip_qinglongjia；equip_qinglongxue；equip_qinglongdao</t>
        </is>
      </c>
      <c r="N7" s="3" t="inlineStr">
        <is>
          <t>data/item_templates.yaml:L3564</t>
        </is>
      </c>
    </row>
    <row r="8">
      <c r="A8" s="3" t="inlineStr">
        <is>
          <t>xiaowei_set</t>
        </is>
      </c>
      <c r="B8" s="3" t="inlineStr">
        <is>
          <t>校尉套装</t>
        </is>
      </c>
      <c r="C8" s="3" t="n">
        <v>4</v>
      </c>
      <c r="D8" s="3" t="n">
        <v>0</v>
      </c>
      <c r="E8" s="3" t="n">
        <v>15</v>
      </c>
      <c r="F8" s="3" t="n">
        <v>360</v>
      </c>
      <c r="G8" s="3" t="n">
        <v>40</v>
      </c>
      <c r="H8" s="3" t="n">
        <v>0</v>
      </c>
      <c r="I8" s="3" t="n">
        <v>0</v>
      </c>
      <c r="J8" s="3" t="n">
        <v>0</v>
      </c>
      <c r="K8" s="3" t="n">
        <v>100</v>
      </c>
      <c r="L8" s="3" t="inlineStr">
        <is>
          <t>校尉头盔；校尉铠甲；校尉长靴；校尉长剑</t>
        </is>
      </c>
      <c r="M8" s="3" t="inlineStr">
        <is>
          <t>equip_xiaoweitoukui；equip_xiaoweikaijia；equip_xiaoweichangxue；equip_xiaoweichangjian</t>
        </is>
      </c>
      <c r="N8" s="3" t="inlineStr">
        <is>
          <t>data/item_templates.yaml:L3505</t>
        </is>
      </c>
    </row>
    <row r="9">
      <c r="A9" s="3" t="inlineStr">
        <is>
          <t>fengling_set</t>
        </is>
      </c>
      <c r="B9" s="3" t="inlineStr">
        <is>
          <t>凤翎套装</t>
        </is>
      </c>
      <c r="C9" s="3" t="n">
        <v>3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60</v>
      </c>
      <c r="I9" s="3" t="n">
        <v>0</v>
      </c>
      <c r="J9" s="3" t="n">
        <v>30</v>
      </c>
      <c r="K9" s="3" t="n">
        <v>0</v>
      </c>
      <c r="L9" s="3" t="inlineStr">
        <is>
          <t>凤翎冠；凤翎扇；凤凰羽</t>
        </is>
      </c>
      <c r="M9" s="3" t="inlineStr">
        <is>
          <t>equip_fenglingguan；equip_fenglingshan；equip_fenghuangyu</t>
        </is>
      </c>
      <c r="N9" s="3" t="inlineStr">
        <is>
          <t>data/item_templates.yaml:L3670</t>
        </is>
      </c>
    </row>
    <row r="10">
      <c r="A10" s="3" t="inlineStr">
        <is>
          <t>qilin_set</t>
        </is>
      </c>
      <c r="B10" s="3" t="inlineStr">
        <is>
          <t>麒麟套装</t>
        </is>
      </c>
      <c r="C10" s="3" t="n">
        <v>4</v>
      </c>
      <c r="D10" s="3" t="n">
        <v>0</v>
      </c>
      <c r="E10" s="3" t="n">
        <v>0</v>
      </c>
      <c r="F10" s="3" t="n">
        <v>420</v>
      </c>
      <c r="G10" s="3" t="n">
        <v>38</v>
      </c>
      <c r="H10" s="3" t="n">
        <v>0</v>
      </c>
      <c r="I10" s="3" t="n">
        <v>18</v>
      </c>
      <c r="J10" s="3" t="n">
        <v>30</v>
      </c>
      <c r="K10" s="3" t="n">
        <v>0</v>
      </c>
      <c r="L10" s="3" t="inlineStr">
        <is>
          <t>麒麟盔；麒麟甲；麒麟靴；麒麟刀；麒麟坠</t>
        </is>
      </c>
      <c r="M10" s="3" t="inlineStr">
        <is>
          <t>equip_qilinkui；equip_qilinjia；equip_qilinxue；equip_qilindao；equip_qilinzui</t>
        </is>
      </c>
      <c r="N10" s="3" t="inlineStr">
        <is>
          <t>data/item_templates.yaml:L3647</t>
        </is>
      </c>
    </row>
    <row r="11">
      <c r="A11" s="3" t="inlineStr">
        <is>
          <t>xuanwu_set</t>
        </is>
      </c>
      <c r="B11" s="3" t="inlineStr">
        <is>
          <t>玄武套装</t>
        </is>
      </c>
      <c r="C11" s="3" t="n">
        <v>4</v>
      </c>
      <c r="D11" s="3" t="n">
        <v>0</v>
      </c>
      <c r="E11" s="3" t="n">
        <v>70</v>
      </c>
      <c r="F11" s="3" t="n">
        <v>260</v>
      </c>
      <c r="G11" s="3" t="n">
        <v>20</v>
      </c>
      <c r="H11" s="3" t="n">
        <v>0</v>
      </c>
      <c r="I11" s="3" t="n">
        <v>0</v>
      </c>
      <c r="J11" s="3" t="n">
        <v>0</v>
      </c>
      <c r="K11" s="3" t="n">
        <v>0</v>
      </c>
      <c r="L11" s="3" t="inlineStr">
        <is>
          <t>玄武盔；玄武甲；玄武靴；玄武锤</t>
        </is>
      </c>
      <c r="M11" s="3" t="inlineStr">
        <is>
          <t>equip_xuanwukui；equip_xuanwujia；equip_xuanwuxue；equip_xuanwuchui</t>
        </is>
      </c>
      <c r="N11" s="3" t="inlineStr">
        <is>
          <t>data/item_templates.yaml:L3705</t>
        </is>
      </c>
    </row>
    <row r="12">
      <c r="A12" s="3" t="inlineStr">
        <is>
          <t>nichang_set</t>
        </is>
      </c>
      <c r="B12" s="3" t="inlineStr">
        <is>
          <t>霓裳</t>
        </is>
      </c>
      <c r="C12" s="3" t="n">
        <v>3</v>
      </c>
      <c r="D12" s="3" t="n">
        <v>0</v>
      </c>
      <c r="E12" s="3" t="n">
        <v>0</v>
      </c>
      <c r="F12" s="3" t="n">
        <v>150</v>
      </c>
      <c r="G12" s="3" t="n">
        <v>0</v>
      </c>
      <c r="H12" s="3" t="n">
        <v>20</v>
      </c>
      <c r="I12" s="3" t="n">
        <v>10</v>
      </c>
      <c r="J12" s="3" t="n">
        <v>15</v>
      </c>
      <c r="K12" s="3" t="n">
        <v>0</v>
      </c>
      <c r="L12" s="3" t="inlineStr">
        <is>
          <t>霓裳羽衣；霓裳舞鞋；霓裳剑</t>
        </is>
      </c>
      <c r="M12" s="3" t="inlineStr">
        <is>
          <t>equip_nichangyuyi；equip_nichangwuxie；equip_nichangjian</t>
        </is>
      </c>
      <c r="N12" s="3" t="inlineStr">
        <is>
          <t>data/item_templates.yaml:L3954</t>
        </is>
      </c>
    </row>
    <row r="13">
      <c r="A13" s="3" t="inlineStr">
        <is>
          <t>huxian_set</t>
        </is>
      </c>
      <c r="B13" s="3" t="inlineStr">
        <is>
          <t>狐仙套装</t>
        </is>
      </c>
      <c r="C13" s="3" t="n">
        <v>3</v>
      </c>
      <c r="D13" s="3" t="n">
        <v>0</v>
      </c>
      <c r="E13" s="3" t="n">
        <v>0</v>
      </c>
      <c r="F13" s="3" t="n">
        <v>280</v>
      </c>
      <c r="G13" s="3" t="n">
        <v>0</v>
      </c>
      <c r="H13" s="3" t="n">
        <v>64</v>
      </c>
      <c r="I13" s="3" t="n">
        <v>0</v>
      </c>
      <c r="J13" s="3" t="n">
        <v>18</v>
      </c>
      <c r="K13" s="3" t="n">
        <v>0</v>
      </c>
      <c r="L13" s="3" t="inlineStr">
        <is>
          <t>狐仙袍；狐仙鞋；狐仙剑</t>
        </is>
      </c>
      <c r="M13" s="3" t="inlineStr">
        <is>
          <t>equip_huxianpao；equip_huxianxie；equip_huxianjian</t>
        </is>
      </c>
      <c r="N13" s="3" t="inlineStr">
        <is>
          <t>data/item_templates.yaml:L4104</t>
        </is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42" customWidth="1" min="11" max="11"/>
  </cols>
  <sheetData>
    <row r="1" ht="30" customHeight="1">
      <c r="A1" s="1" t="inlineStr">
        <is>
          <t>装备key</t>
        </is>
      </c>
      <c r="B1" s="1" t="inlineStr">
        <is>
          <t>装备名称</t>
        </is>
      </c>
      <c r="C1" s="1" t="inlineStr">
        <is>
          <t>兵种代码</t>
        </is>
      </c>
      <c r="D1" s="1" t="inlineStr">
        <is>
          <t>兵种</t>
        </is>
      </c>
      <c r="E1" s="1" t="inlineStr">
        <is>
          <t>攻击固定值</t>
        </is>
      </c>
      <c r="F1" s="1" t="inlineStr">
        <is>
          <t>攻击比例</t>
        </is>
      </c>
      <c r="G1" s="1" t="inlineStr">
        <is>
          <t>防御固定值</t>
        </is>
      </c>
      <c r="H1" s="1" t="inlineStr">
        <is>
          <t>防御比例</t>
        </is>
      </c>
      <c r="I1" s="1" t="inlineStr">
        <is>
          <t>生命固定值</t>
        </is>
      </c>
      <c r="J1" s="1" t="inlineStr">
        <is>
          <t>生命比例</t>
        </is>
      </c>
      <c r="K1" s="1" t="inlineStr">
        <is>
          <t>数据来源</t>
        </is>
      </c>
    </row>
    <row r="2">
      <c r="A2" s="3" t="inlineStr">
        <is>
          <t>equip_tongchanjiguan</t>
        </is>
      </c>
      <c r="B2" s="3" t="inlineStr">
        <is>
          <t>铜蝉机关</t>
        </is>
      </c>
      <c r="C2" s="3" t="inlineStr">
        <is>
          <t>dao</t>
        </is>
      </c>
      <c r="D2" s="3" t="inlineStr">
        <is>
          <t>刀系</t>
        </is>
      </c>
      <c r="E2" s="3" t="n">
        <v>0</v>
      </c>
      <c r="F2" s="7" t="n">
        <v>0.005</v>
      </c>
      <c r="G2" s="3" t="n">
        <v>0</v>
      </c>
      <c r="H2" s="7" t="n">
        <v>0</v>
      </c>
      <c r="I2" s="3" t="n">
        <v>0</v>
      </c>
      <c r="J2" s="7" t="n">
        <v>0</v>
      </c>
      <c r="K2" s="3" t="inlineStr">
        <is>
          <t>data/item_templates.yaml:L6575</t>
        </is>
      </c>
    </row>
    <row r="3">
      <c r="A3" s="3" t="inlineStr">
        <is>
          <t>equip_tongchanjiguan</t>
        </is>
      </c>
      <c r="B3" s="3" t="inlineStr">
        <is>
          <t>铜蝉机关</t>
        </is>
      </c>
      <c r="C3" s="3" t="inlineStr">
        <is>
          <t>qiang</t>
        </is>
      </c>
      <c r="D3" s="3" t="inlineStr">
        <is>
          <t>枪系</t>
        </is>
      </c>
      <c r="E3" s="3" t="n">
        <v>0</v>
      </c>
      <c r="F3" s="7" t="n">
        <v>0.005</v>
      </c>
      <c r="G3" s="3" t="n">
        <v>0</v>
      </c>
      <c r="H3" s="7" t="n">
        <v>0</v>
      </c>
      <c r="I3" s="3" t="n">
        <v>0</v>
      </c>
      <c r="J3" s="7" t="n">
        <v>0</v>
      </c>
      <c r="K3" s="3" t="inlineStr">
        <is>
          <t>data/item_templates.yaml:L6575</t>
        </is>
      </c>
    </row>
    <row r="4">
      <c r="A4" s="3" t="inlineStr">
        <is>
          <t>equip_tongchanjiguan</t>
        </is>
      </c>
      <c r="B4" s="3" t="inlineStr">
        <is>
          <t>铜蝉机关</t>
        </is>
      </c>
      <c r="C4" s="3" t="inlineStr">
        <is>
          <t>jian</t>
        </is>
      </c>
      <c r="D4" s="3" t="inlineStr">
        <is>
          <t>剑系</t>
        </is>
      </c>
      <c r="E4" s="3" t="n">
        <v>0</v>
      </c>
      <c r="F4" s="7" t="n">
        <v>0.005</v>
      </c>
      <c r="G4" s="3" t="n">
        <v>0</v>
      </c>
      <c r="H4" s="7" t="n">
        <v>0</v>
      </c>
      <c r="I4" s="3" t="n">
        <v>0</v>
      </c>
      <c r="J4" s="7" t="n">
        <v>0</v>
      </c>
      <c r="K4" s="3" t="inlineStr">
        <is>
          <t>data/item_templates.yaml:L6575</t>
        </is>
      </c>
    </row>
    <row r="5">
      <c r="A5" s="3" t="inlineStr">
        <is>
          <t>equip_tongchanjiguan</t>
        </is>
      </c>
      <c r="B5" s="3" t="inlineStr">
        <is>
          <t>铜蝉机关</t>
        </is>
      </c>
      <c r="C5" s="3" t="inlineStr">
        <is>
          <t>quan</t>
        </is>
      </c>
      <c r="D5" s="3" t="inlineStr">
        <is>
          <t>拳系</t>
        </is>
      </c>
      <c r="E5" s="3" t="n">
        <v>0</v>
      </c>
      <c r="F5" s="7" t="n">
        <v>0.005</v>
      </c>
      <c r="G5" s="3" t="n">
        <v>0</v>
      </c>
      <c r="H5" s="7" t="n">
        <v>0</v>
      </c>
      <c r="I5" s="3" t="n">
        <v>0</v>
      </c>
      <c r="J5" s="7" t="n">
        <v>0</v>
      </c>
      <c r="K5" s="3" t="inlineStr">
        <is>
          <t>data/item_templates.yaml:L6575</t>
        </is>
      </c>
    </row>
    <row r="6">
      <c r="A6" s="3" t="inlineStr">
        <is>
          <t>equip_tongchanjiguan</t>
        </is>
      </c>
      <c r="B6" s="3" t="inlineStr">
        <is>
          <t>铜蝉机关</t>
        </is>
      </c>
      <c r="C6" s="3" t="inlineStr">
        <is>
          <t>gong</t>
        </is>
      </c>
      <c r="D6" s="3" t="inlineStr">
        <is>
          <t>弓系</t>
        </is>
      </c>
      <c r="E6" s="3" t="n">
        <v>0</v>
      </c>
      <c r="F6" s="7" t="n">
        <v>0.005</v>
      </c>
      <c r="G6" s="3" t="n">
        <v>0</v>
      </c>
      <c r="H6" s="7" t="n">
        <v>0</v>
      </c>
      <c r="I6" s="3" t="n">
        <v>0</v>
      </c>
      <c r="J6" s="7" t="n">
        <v>0</v>
      </c>
      <c r="K6" s="3" t="inlineStr">
        <is>
          <t>data/item_templates.yaml:L6575</t>
        </is>
      </c>
    </row>
    <row r="7">
      <c r="A7" s="3" t="inlineStr">
        <is>
          <t>equip_tongchanjiguan</t>
        </is>
      </c>
      <c r="B7" s="3" t="inlineStr">
        <is>
          <t>铜蝉机关</t>
        </is>
      </c>
      <c r="C7" s="3" t="inlineStr">
        <is>
          <t>scout</t>
        </is>
      </c>
      <c r="D7" s="3" t="inlineStr">
        <is>
          <t>探子</t>
        </is>
      </c>
      <c r="E7" s="3" t="n">
        <v>0</v>
      </c>
      <c r="F7" s="7" t="n">
        <v>0.005</v>
      </c>
      <c r="G7" s="3" t="n">
        <v>0</v>
      </c>
      <c r="H7" s="7" t="n">
        <v>0</v>
      </c>
      <c r="I7" s="3" t="n">
        <v>0</v>
      </c>
      <c r="J7" s="7" t="n">
        <v>0</v>
      </c>
      <c r="K7" s="3" t="inlineStr">
        <is>
          <t>data/item_templates.yaml:L6575</t>
        </is>
      </c>
    </row>
    <row r="8">
      <c r="A8" s="3" t="inlineStr">
        <is>
          <t>equip_xiaoxingjiguanshu</t>
        </is>
      </c>
      <c r="B8" s="3" t="inlineStr">
        <is>
          <t>小型机关鼠</t>
        </is>
      </c>
      <c r="C8" s="3" t="inlineStr">
        <is>
          <t>dao</t>
        </is>
      </c>
      <c r="D8" s="3" t="inlineStr">
        <is>
          <t>刀系</t>
        </is>
      </c>
      <c r="E8" s="3" t="n">
        <v>0</v>
      </c>
      <c r="F8" s="7" t="n">
        <v>0</v>
      </c>
      <c r="G8" s="3" t="n">
        <v>0</v>
      </c>
      <c r="H8" s="7" t="n">
        <v>0</v>
      </c>
      <c r="I8" s="3" t="n">
        <v>0</v>
      </c>
      <c r="J8" s="7" t="n">
        <v>0.005</v>
      </c>
      <c r="K8" s="3" t="inlineStr">
        <is>
          <t>data/item_templates.yaml:L6554</t>
        </is>
      </c>
    </row>
    <row r="9">
      <c r="A9" s="3" t="inlineStr">
        <is>
          <t>equip_xiaoxingjiguanshu</t>
        </is>
      </c>
      <c r="B9" s="3" t="inlineStr">
        <is>
          <t>小型机关鼠</t>
        </is>
      </c>
      <c r="C9" s="3" t="inlineStr">
        <is>
          <t>qiang</t>
        </is>
      </c>
      <c r="D9" s="3" t="inlineStr">
        <is>
          <t>枪系</t>
        </is>
      </c>
      <c r="E9" s="3" t="n">
        <v>0</v>
      </c>
      <c r="F9" s="7" t="n">
        <v>0</v>
      </c>
      <c r="G9" s="3" t="n">
        <v>0</v>
      </c>
      <c r="H9" s="7" t="n">
        <v>0</v>
      </c>
      <c r="I9" s="3" t="n">
        <v>0</v>
      </c>
      <c r="J9" s="7" t="n">
        <v>0.005</v>
      </c>
      <c r="K9" s="3" t="inlineStr">
        <is>
          <t>data/item_templates.yaml:L6554</t>
        </is>
      </c>
    </row>
    <row r="10">
      <c r="A10" s="3" t="inlineStr">
        <is>
          <t>equip_xiaoxingjiguanshu</t>
        </is>
      </c>
      <c r="B10" s="3" t="inlineStr">
        <is>
          <t>小型机关鼠</t>
        </is>
      </c>
      <c r="C10" s="3" t="inlineStr">
        <is>
          <t>jian</t>
        </is>
      </c>
      <c r="D10" s="3" t="inlineStr">
        <is>
          <t>剑系</t>
        </is>
      </c>
      <c r="E10" s="3" t="n">
        <v>0</v>
      </c>
      <c r="F10" s="7" t="n">
        <v>0</v>
      </c>
      <c r="G10" s="3" t="n">
        <v>0</v>
      </c>
      <c r="H10" s="7" t="n">
        <v>0</v>
      </c>
      <c r="I10" s="3" t="n">
        <v>0</v>
      </c>
      <c r="J10" s="7" t="n">
        <v>0.005</v>
      </c>
      <c r="K10" s="3" t="inlineStr">
        <is>
          <t>data/item_templates.yaml:L6554</t>
        </is>
      </c>
    </row>
    <row r="11">
      <c r="A11" s="3" t="inlineStr">
        <is>
          <t>equip_xiaoxingjiguanshu</t>
        </is>
      </c>
      <c r="B11" s="3" t="inlineStr">
        <is>
          <t>小型机关鼠</t>
        </is>
      </c>
      <c r="C11" s="3" t="inlineStr">
        <is>
          <t>quan</t>
        </is>
      </c>
      <c r="D11" s="3" t="inlineStr">
        <is>
          <t>拳系</t>
        </is>
      </c>
      <c r="E11" s="3" t="n">
        <v>0</v>
      </c>
      <c r="F11" s="7" t="n">
        <v>0</v>
      </c>
      <c r="G11" s="3" t="n">
        <v>0</v>
      </c>
      <c r="H11" s="7" t="n">
        <v>0</v>
      </c>
      <c r="I11" s="3" t="n">
        <v>0</v>
      </c>
      <c r="J11" s="7" t="n">
        <v>0.005</v>
      </c>
      <c r="K11" s="3" t="inlineStr">
        <is>
          <t>data/item_templates.yaml:L6554</t>
        </is>
      </c>
    </row>
    <row r="12">
      <c r="A12" s="3" t="inlineStr">
        <is>
          <t>equip_xiaoxingjiguanshu</t>
        </is>
      </c>
      <c r="B12" s="3" t="inlineStr">
        <is>
          <t>小型机关鼠</t>
        </is>
      </c>
      <c r="C12" s="3" t="inlineStr">
        <is>
          <t>gong</t>
        </is>
      </c>
      <c r="D12" s="3" t="inlineStr">
        <is>
          <t>弓系</t>
        </is>
      </c>
      <c r="E12" s="3" t="n">
        <v>0</v>
      </c>
      <c r="F12" s="7" t="n">
        <v>0</v>
      </c>
      <c r="G12" s="3" t="n">
        <v>0</v>
      </c>
      <c r="H12" s="7" t="n">
        <v>0</v>
      </c>
      <c r="I12" s="3" t="n">
        <v>0</v>
      </c>
      <c r="J12" s="7" t="n">
        <v>0.005</v>
      </c>
      <c r="K12" s="3" t="inlineStr">
        <is>
          <t>data/item_templates.yaml:L6554</t>
        </is>
      </c>
    </row>
    <row r="13">
      <c r="A13" s="3" t="inlineStr">
        <is>
          <t>equip_xiaoxingjiguanshu</t>
        </is>
      </c>
      <c r="B13" s="3" t="inlineStr">
        <is>
          <t>小型机关鼠</t>
        </is>
      </c>
      <c r="C13" s="3" t="inlineStr">
        <is>
          <t>scout</t>
        </is>
      </c>
      <c r="D13" s="3" t="inlineStr">
        <is>
          <t>探子</t>
        </is>
      </c>
      <c r="E13" s="3" t="n">
        <v>0</v>
      </c>
      <c r="F13" s="7" t="n">
        <v>0</v>
      </c>
      <c r="G13" s="3" t="n">
        <v>0</v>
      </c>
      <c r="H13" s="7" t="n">
        <v>0</v>
      </c>
      <c r="I13" s="3" t="n">
        <v>0</v>
      </c>
      <c r="J13" s="7" t="n">
        <v>0.005</v>
      </c>
      <c r="K13" s="3" t="inlineStr">
        <is>
          <t>data/item_templates.yaml:L6554</t>
        </is>
      </c>
    </row>
    <row r="14">
      <c r="A14" s="3" t="inlineStr">
        <is>
          <t>equip_qingtongzhijiaodoushi</t>
        </is>
      </c>
      <c r="B14" s="3" t="inlineStr">
        <is>
          <t>青铜之角斗士</t>
        </is>
      </c>
      <c r="C14" s="3" t="inlineStr">
        <is>
          <t>quan</t>
        </is>
      </c>
      <c r="D14" s="3" t="inlineStr">
        <is>
          <t>拳系</t>
        </is>
      </c>
      <c r="E14" s="3" t="n">
        <v>0</v>
      </c>
      <c r="F14" s="7" t="n">
        <v>0.005</v>
      </c>
      <c r="G14" s="3" t="n">
        <v>0</v>
      </c>
      <c r="H14" s="7" t="n">
        <v>0</v>
      </c>
      <c r="I14" s="3" t="n">
        <v>0</v>
      </c>
      <c r="J14" s="7" t="n">
        <v>0</v>
      </c>
      <c r="K14" s="3" t="inlineStr">
        <is>
          <t>data/item_templates.yaml:L7004</t>
        </is>
      </c>
    </row>
    <row r="15">
      <c r="A15" s="3" t="inlineStr">
        <is>
          <t>equip_jiguanchuniao</t>
        </is>
      </c>
      <c r="B15" s="3" t="inlineStr">
        <is>
          <t>机关雏鸟</t>
        </is>
      </c>
      <c r="C15" s="3" t="inlineStr">
        <is>
          <t>gong</t>
        </is>
      </c>
      <c r="D15" s="3" t="inlineStr">
        <is>
          <t>弓系</t>
        </is>
      </c>
      <c r="E15" s="3" t="n">
        <v>0</v>
      </c>
      <c r="F15" s="7" t="n">
        <v>0.01</v>
      </c>
      <c r="G15" s="3" t="n">
        <v>0</v>
      </c>
      <c r="H15" s="7" t="n">
        <v>0</v>
      </c>
      <c r="I15" s="3" t="n">
        <v>0</v>
      </c>
      <c r="J15" s="7" t="n">
        <v>0</v>
      </c>
      <c r="K15" s="3" t="inlineStr">
        <is>
          <t>data/item_templates.yaml:L6686</t>
        </is>
      </c>
    </row>
    <row r="16">
      <c r="A16" s="3" t="inlineStr">
        <is>
          <t>equip_jixiemao</t>
        </is>
      </c>
      <c r="B16" s="3" t="inlineStr">
        <is>
          <t>机械猫</t>
        </is>
      </c>
      <c r="C16" s="3" t="inlineStr">
        <is>
          <t>gong</t>
        </is>
      </c>
      <c r="D16" s="3" t="inlineStr">
        <is>
          <t>弓系</t>
        </is>
      </c>
      <c r="E16" s="3" t="n">
        <v>0</v>
      </c>
      <c r="F16" s="7" t="n">
        <v>0</v>
      </c>
      <c r="G16" s="3" t="n">
        <v>0</v>
      </c>
      <c r="H16" s="7" t="n">
        <v>0</v>
      </c>
      <c r="I16" s="3" t="n">
        <v>0</v>
      </c>
      <c r="J16" s="7" t="n">
        <v>0.01</v>
      </c>
      <c r="K16" s="3" t="inlineStr">
        <is>
          <t>data/item_templates.yaml:L6669</t>
        </is>
      </c>
    </row>
    <row r="17">
      <c r="A17" s="3" t="inlineStr">
        <is>
          <t>equip_kuileimuren</t>
        </is>
      </c>
      <c r="B17" s="3" t="inlineStr">
        <is>
          <t>傀儡木人</t>
        </is>
      </c>
      <c r="C17" s="3" t="inlineStr">
        <is>
          <t>qiang</t>
        </is>
      </c>
      <c r="D17" s="3" t="inlineStr">
        <is>
          <t>枪系</t>
        </is>
      </c>
      <c r="E17" s="3" t="n">
        <v>0</v>
      </c>
      <c r="F17" s="7" t="n">
        <v>0</v>
      </c>
      <c r="G17" s="3" t="n">
        <v>0</v>
      </c>
      <c r="H17" s="7" t="n">
        <v>0</v>
      </c>
      <c r="I17" s="3" t="n">
        <v>0</v>
      </c>
      <c r="J17" s="7" t="n">
        <v>0.01</v>
      </c>
      <c r="K17" s="3" t="inlineStr">
        <is>
          <t>data/item_templates.yaml:L6702</t>
        </is>
      </c>
    </row>
    <row r="18">
      <c r="A18" s="3" t="inlineStr">
        <is>
          <t>equip_qingji</t>
        </is>
      </c>
      <c r="B18" s="3" t="inlineStr">
        <is>
          <t>庆忌</t>
        </is>
      </c>
      <c r="C18" s="3" t="inlineStr">
        <is>
          <t>jian</t>
        </is>
      </c>
      <c r="D18" s="3" t="inlineStr">
        <is>
          <t>剑系</t>
        </is>
      </c>
      <c r="E18" s="3" t="n">
        <v>0</v>
      </c>
      <c r="F18" s="7" t="n">
        <v>0.01</v>
      </c>
      <c r="G18" s="3" t="n">
        <v>0</v>
      </c>
      <c r="H18" s="7" t="n">
        <v>0</v>
      </c>
      <c r="I18" s="3" t="n">
        <v>0</v>
      </c>
      <c r="J18" s="7" t="n">
        <v>0</v>
      </c>
      <c r="K18" s="3" t="inlineStr">
        <is>
          <t>data/item_templates.yaml:L6719</t>
        </is>
      </c>
    </row>
    <row r="19">
      <c r="A19" s="3" t="inlineStr">
        <is>
          <t>equip_baiyinzhijiaodoushi</t>
        </is>
      </c>
      <c r="B19" s="3" t="inlineStr">
        <is>
          <t>白银之角斗士</t>
        </is>
      </c>
      <c r="C19" s="3" t="inlineStr">
        <is>
          <t>quan</t>
        </is>
      </c>
      <c r="D19" s="3" t="inlineStr">
        <is>
          <t>拳系</t>
        </is>
      </c>
      <c r="E19" s="3" t="n">
        <v>0</v>
      </c>
      <c r="F19" s="7" t="n">
        <v>0.01</v>
      </c>
      <c r="G19" s="3" t="n">
        <v>0</v>
      </c>
      <c r="H19" s="7" t="n">
        <v>0</v>
      </c>
      <c r="I19" s="3" t="n">
        <v>0</v>
      </c>
      <c r="J19" s="7" t="n">
        <v>0</v>
      </c>
      <c r="K19" s="3" t="inlineStr">
        <is>
          <t>data/item_templates.yaml:L7021</t>
        </is>
      </c>
    </row>
    <row r="20">
      <c r="A20" s="3" t="inlineStr">
        <is>
          <t>equip_jiguanxiong</t>
        </is>
      </c>
      <c r="B20" s="3" t="inlineStr">
        <is>
          <t>机关熊</t>
        </is>
      </c>
      <c r="C20" s="3" t="inlineStr">
        <is>
          <t>quan</t>
        </is>
      </c>
      <c r="D20" s="3" t="inlineStr">
        <is>
          <t>拳系</t>
        </is>
      </c>
      <c r="E20" s="3" t="n">
        <v>0</v>
      </c>
      <c r="F20" s="7" t="n">
        <v>0.01</v>
      </c>
      <c r="G20" s="3" t="n">
        <v>0</v>
      </c>
      <c r="H20" s="7" t="n">
        <v>0</v>
      </c>
      <c r="I20" s="3" t="n">
        <v>0</v>
      </c>
      <c r="J20" s="7" t="n">
        <v>0</v>
      </c>
      <c r="K20" s="3" t="inlineStr">
        <is>
          <t>data/item_templates.yaml:L6808</t>
        </is>
      </c>
    </row>
    <row r="21">
      <c r="A21" s="3" t="inlineStr">
        <is>
          <t>equip_kuileiren</t>
        </is>
      </c>
      <c r="B21" s="3" t="inlineStr">
        <is>
          <t>傀儡人</t>
        </is>
      </c>
      <c r="C21" s="3" t="inlineStr">
        <is>
          <t>jian</t>
        </is>
      </c>
      <c r="D21" s="3" t="inlineStr">
        <is>
          <t>剑系</t>
        </is>
      </c>
      <c r="E21" s="3" t="n">
        <v>0</v>
      </c>
      <c r="F21" s="7" t="n">
        <v>0.005</v>
      </c>
      <c r="G21" s="3" t="n">
        <v>0</v>
      </c>
      <c r="H21" s="7" t="n">
        <v>0.005</v>
      </c>
      <c r="I21" s="3" t="n">
        <v>0</v>
      </c>
      <c r="J21" s="7" t="n">
        <v>0.005</v>
      </c>
      <c r="K21" s="3" t="inlineStr">
        <is>
          <t>data/item_templates.yaml:L6846</t>
        </is>
      </c>
    </row>
    <row r="22">
      <c r="A22" s="3" t="inlineStr">
        <is>
          <t>equip_muniuliuma</t>
        </is>
      </c>
      <c r="B22" s="3" t="inlineStr">
        <is>
          <t>木牛流马</t>
        </is>
      </c>
      <c r="C22" s="3" t="inlineStr">
        <is>
          <t>dao</t>
        </is>
      </c>
      <c r="D22" s="3" t="inlineStr">
        <is>
          <t>刀系</t>
        </is>
      </c>
      <c r="E22" s="3" t="n">
        <v>0</v>
      </c>
      <c r="F22" s="7" t="n">
        <v>0</v>
      </c>
      <c r="G22" s="3" t="n">
        <v>0</v>
      </c>
      <c r="H22" s="7" t="n">
        <v>0</v>
      </c>
      <c r="I22" s="3" t="n">
        <v>0</v>
      </c>
      <c r="J22" s="7" t="n">
        <v>0.005</v>
      </c>
      <c r="K22" s="3" t="inlineStr">
        <is>
          <t>data/item_templates.yaml:L6824</t>
        </is>
      </c>
    </row>
    <row r="23">
      <c r="A23" s="3" t="inlineStr">
        <is>
          <t>equip_muniuliuma</t>
        </is>
      </c>
      <c r="B23" s="3" t="inlineStr">
        <is>
          <t>木牛流马</t>
        </is>
      </c>
      <c r="C23" s="3" t="inlineStr">
        <is>
          <t>qiang</t>
        </is>
      </c>
      <c r="D23" s="3" t="inlineStr">
        <is>
          <t>枪系</t>
        </is>
      </c>
      <c r="E23" s="3" t="n">
        <v>0</v>
      </c>
      <c r="F23" s="7" t="n">
        <v>0</v>
      </c>
      <c r="G23" s="3" t="n">
        <v>0</v>
      </c>
      <c r="H23" s="7" t="n">
        <v>0</v>
      </c>
      <c r="I23" s="3" t="n">
        <v>0</v>
      </c>
      <c r="J23" s="7" t="n">
        <v>0.005</v>
      </c>
      <c r="K23" s="3" t="inlineStr">
        <is>
          <t>data/item_templates.yaml:L6824</t>
        </is>
      </c>
    </row>
    <row r="24">
      <c r="A24" s="3" t="inlineStr">
        <is>
          <t>equip_muniuliuma</t>
        </is>
      </c>
      <c r="B24" s="3" t="inlineStr">
        <is>
          <t>木牛流马</t>
        </is>
      </c>
      <c r="C24" s="3" t="inlineStr">
        <is>
          <t>jian</t>
        </is>
      </c>
      <c r="D24" s="3" t="inlineStr">
        <is>
          <t>剑系</t>
        </is>
      </c>
      <c r="E24" s="3" t="n">
        <v>0</v>
      </c>
      <c r="F24" s="7" t="n">
        <v>0</v>
      </c>
      <c r="G24" s="3" t="n">
        <v>0</v>
      </c>
      <c r="H24" s="7" t="n">
        <v>0</v>
      </c>
      <c r="I24" s="3" t="n">
        <v>0</v>
      </c>
      <c r="J24" s="7" t="n">
        <v>0.005</v>
      </c>
      <c r="K24" s="3" t="inlineStr">
        <is>
          <t>data/item_templates.yaml:L6824</t>
        </is>
      </c>
    </row>
    <row r="25">
      <c r="A25" s="3" t="inlineStr">
        <is>
          <t>equip_muniuliuma</t>
        </is>
      </c>
      <c r="B25" s="3" t="inlineStr">
        <is>
          <t>木牛流马</t>
        </is>
      </c>
      <c r="C25" s="3" t="inlineStr">
        <is>
          <t>quan</t>
        </is>
      </c>
      <c r="D25" s="3" t="inlineStr">
        <is>
          <t>拳系</t>
        </is>
      </c>
      <c r="E25" s="3" t="n">
        <v>0</v>
      </c>
      <c r="F25" s="7" t="n">
        <v>0</v>
      </c>
      <c r="G25" s="3" t="n">
        <v>0</v>
      </c>
      <c r="H25" s="7" t="n">
        <v>0</v>
      </c>
      <c r="I25" s="3" t="n">
        <v>0</v>
      </c>
      <c r="J25" s="7" t="n">
        <v>0.005</v>
      </c>
      <c r="K25" s="3" t="inlineStr">
        <is>
          <t>data/item_templates.yaml:L6824</t>
        </is>
      </c>
    </row>
    <row r="26">
      <c r="A26" s="3" t="inlineStr">
        <is>
          <t>equip_muniuliuma</t>
        </is>
      </c>
      <c r="B26" s="3" t="inlineStr">
        <is>
          <t>木牛流马</t>
        </is>
      </c>
      <c r="C26" s="3" t="inlineStr">
        <is>
          <t>gong</t>
        </is>
      </c>
      <c r="D26" s="3" t="inlineStr">
        <is>
          <t>弓系</t>
        </is>
      </c>
      <c r="E26" s="3" t="n">
        <v>0</v>
      </c>
      <c r="F26" s="7" t="n">
        <v>0</v>
      </c>
      <c r="G26" s="3" t="n">
        <v>0</v>
      </c>
      <c r="H26" s="7" t="n">
        <v>0</v>
      </c>
      <c r="I26" s="3" t="n">
        <v>0</v>
      </c>
      <c r="J26" s="7" t="n">
        <v>0.005</v>
      </c>
      <c r="K26" s="3" t="inlineStr">
        <is>
          <t>data/item_templates.yaml:L6824</t>
        </is>
      </c>
    </row>
    <row r="27">
      <c r="A27" s="3" t="inlineStr">
        <is>
          <t>equip_muniuliuma</t>
        </is>
      </c>
      <c r="B27" s="3" t="inlineStr">
        <is>
          <t>木牛流马</t>
        </is>
      </c>
      <c r="C27" s="3" t="inlineStr">
        <is>
          <t>scout</t>
        </is>
      </c>
      <c r="D27" s="3" t="inlineStr">
        <is>
          <t>探子</t>
        </is>
      </c>
      <c r="E27" s="3" t="n">
        <v>0</v>
      </c>
      <c r="F27" s="7" t="n">
        <v>0</v>
      </c>
      <c r="G27" s="3" t="n">
        <v>0</v>
      </c>
      <c r="H27" s="7" t="n">
        <v>0</v>
      </c>
      <c r="I27" s="3" t="n">
        <v>0</v>
      </c>
      <c r="J27" s="7" t="n">
        <v>0.005</v>
      </c>
      <c r="K27" s="3" t="inlineStr">
        <is>
          <t>data/item_templates.yaml:L6824</t>
        </is>
      </c>
    </row>
    <row r="28">
      <c r="A28" s="3" t="inlineStr">
        <is>
          <t>equip_taotieding</t>
        </is>
      </c>
      <c r="B28" s="3" t="inlineStr">
        <is>
          <t>饕餮鼎</t>
        </is>
      </c>
      <c r="C28" s="3" t="inlineStr">
        <is>
          <t>dao</t>
        </is>
      </c>
      <c r="D28" s="3" t="inlineStr">
        <is>
          <t>刀系</t>
        </is>
      </c>
      <c r="E28" s="3" t="n">
        <v>0</v>
      </c>
      <c r="F28" s="7" t="n">
        <v>0.0025</v>
      </c>
      <c r="G28" s="3" t="n">
        <v>0</v>
      </c>
      <c r="H28" s="7" t="n">
        <v>0.0025</v>
      </c>
      <c r="I28" s="3" t="n">
        <v>0</v>
      </c>
      <c r="J28" s="7" t="n">
        <v>0.0025</v>
      </c>
      <c r="K28" s="3" t="inlineStr">
        <is>
          <t>data/item_templates.yaml:L6445</t>
        </is>
      </c>
    </row>
    <row r="29">
      <c r="A29" s="3" t="inlineStr">
        <is>
          <t>equip_taotieding</t>
        </is>
      </c>
      <c r="B29" s="3" t="inlineStr">
        <is>
          <t>饕餮鼎</t>
        </is>
      </c>
      <c r="C29" s="3" t="inlineStr">
        <is>
          <t>qiang</t>
        </is>
      </c>
      <c r="D29" s="3" t="inlineStr">
        <is>
          <t>枪系</t>
        </is>
      </c>
      <c r="E29" s="3" t="n">
        <v>0</v>
      </c>
      <c r="F29" s="7" t="n">
        <v>0.0025</v>
      </c>
      <c r="G29" s="3" t="n">
        <v>0</v>
      </c>
      <c r="H29" s="7" t="n">
        <v>0.0025</v>
      </c>
      <c r="I29" s="3" t="n">
        <v>0</v>
      </c>
      <c r="J29" s="7" t="n">
        <v>0.0025</v>
      </c>
      <c r="K29" s="3" t="inlineStr">
        <is>
          <t>data/item_templates.yaml:L6445</t>
        </is>
      </c>
    </row>
    <row r="30">
      <c r="A30" s="3" t="inlineStr">
        <is>
          <t>equip_taotieding</t>
        </is>
      </c>
      <c r="B30" s="3" t="inlineStr">
        <is>
          <t>饕餮鼎</t>
        </is>
      </c>
      <c r="C30" s="3" t="inlineStr">
        <is>
          <t>jian</t>
        </is>
      </c>
      <c r="D30" s="3" t="inlineStr">
        <is>
          <t>剑系</t>
        </is>
      </c>
      <c r="E30" s="3" t="n">
        <v>0</v>
      </c>
      <c r="F30" s="7" t="n">
        <v>0.0025</v>
      </c>
      <c r="G30" s="3" t="n">
        <v>0</v>
      </c>
      <c r="H30" s="7" t="n">
        <v>0.0025</v>
      </c>
      <c r="I30" s="3" t="n">
        <v>0</v>
      </c>
      <c r="J30" s="7" t="n">
        <v>0.0025</v>
      </c>
      <c r="K30" s="3" t="inlineStr">
        <is>
          <t>data/item_templates.yaml:L6445</t>
        </is>
      </c>
    </row>
    <row r="31">
      <c r="A31" s="3" t="inlineStr">
        <is>
          <t>equip_taotieding</t>
        </is>
      </c>
      <c r="B31" s="3" t="inlineStr">
        <is>
          <t>饕餮鼎</t>
        </is>
      </c>
      <c r="C31" s="3" t="inlineStr">
        <is>
          <t>quan</t>
        </is>
      </c>
      <c r="D31" s="3" t="inlineStr">
        <is>
          <t>拳系</t>
        </is>
      </c>
      <c r="E31" s="3" t="n">
        <v>0</v>
      </c>
      <c r="F31" s="7" t="n">
        <v>0.0025</v>
      </c>
      <c r="G31" s="3" t="n">
        <v>0</v>
      </c>
      <c r="H31" s="7" t="n">
        <v>0.0025</v>
      </c>
      <c r="I31" s="3" t="n">
        <v>0</v>
      </c>
      <c r="J31" s="7" t="n">
        <v>0.0025</v>
      </c>
      <c r="K31" s="3" t="inlineStr">
        <is>
          <t>data/item_templates.yaml:L6445</t>
        </is>
      </c>
    </row>
    <row r="32">
      <c r="A32" s="3" t="inlineStr">
        <is>
          <t>equip_taotieding</t>
        </is>
      </c>
      <c r="B32" s="3" t="inlineStr">
        <is>
          <t>饕餮鼎</t>
        </is>
      </c>
      <c r="C32" s="3" t="inlineStr">
        <is>
          <t>gong</t>
        </is>
      </c>
      <c r="D32" s="3" t="inlineStr">
        <is>
          <t>弓系</t>
        </is>
      </c>
      <c r="E32" s="3" t="n">
        <v>0</v>
      </c>
      <c r="F32" s="7" t="n">
        <v>0.0025</v>
      </c>
      <c r="G32" s="3" t="n">
        <v>0</v>
      </c>
      <c r="H32" s="7" t="n">
        <v>0.0025</v>
      </c>
      <c r="I32" s="3" t="n">
        <v>0</v>
      </c>
      <c r="J32" s="7" t="n">
        <v>0.0025</v>
      </c>
      <c r="K32" s="3" t="inlineStr">
        <is>
          <t>data/item_templates.yaml:L6445</t>
        </is>
      </c>
    </row>
    <row r="33">
      <c r="A33" s="3" t="inlineStr">
        <is>
          <t>equip_taotieding</t>
        </is>
      </c>
      <c r="B33" s="3" t="inlineStr">
        <is>
          <t>饕餮鼎</t>
        </is>
      </c>
      <c r="C33" s="3" t="inlineStr">
        <is>
          <t>scout</t>
        </is>
      </c>
      <c r="D33" s="3" t="inlineStr">
        <is>
          <t>探子</t>
        </is>
      </c>
      <c r="E33" s="3" t="n">
        <v>0</v>
      </c>
      <c r="F33" s="7" t="n">
        <v>0.0025</v>
      </c>
      <c r="G33" s="3" t="n">
        <v>0</v>
      </c>
      <c r="H33" s="7" t="n">
        <v>0.0025</v>
      </c>
      <c r="I33" s="3" t="n">
        <v>0</v>
      </c>
      <c r="J33" s="7" t="n">
        <v>0.0025</v>
      </c>
      <c r="K33" s="3" t="inlineStr">
        <is>
          <t>data/item_templates.yaml:L6445</t>
        </is>
      </c>
    </row>
    <row r="34">
      <c r="A34" s="3" t="inlineStr">
        <is>
          <t>equip_xuanwujigui</t>
        </is>
      </c>
      <c r="B34" s="3" t="inlineStr">
        <is>
          <t>玄武机龟</t>
        </is>
      </c>
      <c r="C34" s="3" t="inlineStr">
        <is>
          <t>qiang</t>
        </is>
      </c>
      <c r="D34" s="3" t="inlineStr">
        <is>
          <t>枪系</t>
        </is>
      </c>
      <c r="E34" s="3" t="n">
        <v>0</v>
      </c>
      <c r="F34" s="7" t="n">
        <v>0.005</v>
      </c>
      <c r="G34" s="3" t="n">
        <v>0</v>
      </c>
      <c r="H34" s="7" t="n">
        <v>0.005</v>
      </c>
      <c r="I34" s="3" t="n">
        <v>0</v>
      </c>
      <c r="J34" s="7" t="n">
        <v>0.005</v>
      </c>
      <c r="K34" s="3" t="inlineStr">
        <is>
          <t>data/item_templates.yaml:L6863</t>
        </is>
      </c>
    </row>
    <row r="35">
      <c r="A35" s="3" t="inlineStr">
        <is>
          <t>equip_huangjinzhijiaodoushi</t>
        </is>
      </c>
      <c r="B35" s="3" t="inlineStr">
        <is>
          <t>黄金之角斗士</t>
        </is>
      </c>
      <c r="C35" s="3" t="inlineStr">
        <is>
          <t>quan</t>
        </is>
      </c>
      <c r="D35" s="3" t="inlineStr">
        <is>
          <t>拳系</t>
        </is>
      </c>
      <c r="E35" s="3" t="n">
        <v>0</v>
      </c>
      <c r="F35" s="7" t="n">
        <v>0.01</v>
      </c>
      <c r="G35" s="3" t="n">
        <v>0</v>
      </c>
      <c r="H35" s="7" t="n">
        <v>0.005</v>
      </c>
      <c r="I35" s="3" t="n">
        <v>0</v>
      </c>
      <c r="J35" s="7" t="n">
        <v>0</v>
      </c>
      <c r="K35" s="3" t="inlineStr">
        <is>
          <t>data/item_templates.yaml:L7038</t>
        </is>
      </c>
    </row>
    <row r="36">
      <c r="A36" s="3" t="inlineStr">
        <is>
          <t>equip_chixiaojifeng</t>
        </is>
      </c>
      <c r="B36" s="3" t="inlineStr">
        <is>
          <t>赤霄机凤</t>
        </is>
      </c>
      <c r="C36" s="3" t="inlineStr">
        <is>
          <t>gong</t>
        </is>
      </c>
      <c r="D36" s="3" t="inlineStr">
        <is>
          <t>弓系</t>
        </is>
      </c>
      <c r="E36" s="3" t="n">
        <v>0</v>
      </c>
      <c r="F36" s="7" t="n">
        <v>0.015</v>
      </c>
      <c r="G36" s="3" t="n">
        <v>0</v>
      </c>
      <c r="H36" s="7" t="n">
        <v>0</v>
      </c>
      <c r="I36" s="3" t="n">
        <v>0</v>
      </c>
      <c r="J36" s="7" t="n">
        <v>0</v>
      </c>
      <c r="K36" s="3" t="inlineStr">
        <is>
          <t>data/item_templates.yaml:L6961</t>
        </is>
      </c>
    </row>
    <row r="37">
      <c r="A37" s="3" t="inlineStr">
        <is>
          <t>equip_feiyuan</t>
        </is>
      </c>
      <c r="B37" s="3" t="inlineStr">
        <is>
          <t>飞鸢</t>
        </is>
      </c>
      <c r="C37" s="3" t="inlineStr">
        <is>
          <t>dao</t>
        </is>
      </c>
      <c r="D37" s="3" t="inlineStr">
        <is>
          <t>刀系</t>
        </is>
      </c>
      <c r="E37" s="3" t="n">
        <v>0</v>
      </c>
      <c r="F37" s="7" t="n">
        <v>0.005</v>
      </c>
      <c r="G37" s="3" t="n">
        <v>0</v>
      </c>
      <c r="H37" s="7" t="n">
        <v>0</v>
      </c>
      <c r="I37" s="3" t="n">
        <v>0</v>
      </c>
      <c r="J37" s="7" t="n">
        <v>0</v>
      </c>
      <c r="K37" s="3" t="inlineStr">
        <is>
          <t>data/item_templates.yaml:L6939</t>
        </is>
      </c>
    </row>
    <row r="38">
      <c r="A38" s="3" t="inlineStr">
        <is>
          <t>equip_feiyuan</t>
        </is>
      </c>
      <c r="B38" s="3" t="inlineStr">
        <is>
          <t>飞鸢</t>
        </is>
      </c>
      <c r="C38" s="3" t="inlineStr">
        <is>
          <t>qiang</t>
        </is>
      </c>
      <c r="D38" s="3" t="inlineStr">
        <is>
          <t>枪系</t>
        </is>
      </c>
      <c r="E38" s="3" t="n">
        <v>0</v>
      </c>
      <c r="F38" s="7" t="n">
        <v>0.005</v>
      </c>
      <c r="G38" s="3" t="n">
        <v>0</v>
      </c>
      <c r="H38" s="7" t="n">
        <v>0</v>
      </c>
      <c r="I38" s="3" t="n">
        <v>0</v>
      </c>
      <c r="J38" s="7" t="n">
        <v>0</v>
      </c>
      <c r="K38" s="3" t="inlineStr">
        <is>
          <t>data/item_templates.yaml:L6939</t>
        </is>
      </c>
    </row>
    <row r="39">
      <c r="A39" s="3" t="inlineStr">
        <is>
          <t>equip_feiyuan</t>
        </is>
      </c>
      <c r="B39" s="3" t="inlineStr">
        <is>
          <t>飞鸢</t>
        </is>
      </c>
      <c r="C39" s="3" t="inlineStr">
        <is>
          <t>jian</t>
        </is>
      </c>
      <c r="D39" s="3" t="inlineStr">
        <is>
          <t>剑系</t>
        </is>
      </c>
      <c r="E39" s="3" t="n">
        <v>0</v>
      </c>
      <c r="F39" s="7" t="n">
        <v>0.005</v>
      </c>
      <c r="G39" s="3" t="n">
        <v>0</v>
      </c>
      <c r="H39" s="7" t="n">
        <v>0</v>
      </c>
      <c r="I39" s="3" t="n">
        <v>0</v>
      </c>
      <c r="J39" s="7" t="n">
        <v>0</v>
      </c>
      <c r="K39" s="3" t="inlineStr">
        <is>
          <t>data/item_templates.yaml:L6939</t>
        </is>
      </c>
    </row>
    <row r="40">
      <c r="A40" s="3" t="inlineStr">
        <is>
          <t>equip_feiyuan</t>
        </is>
      </c>
      <c r="B40" s="3" t="inlineStr">
        <is>
          <t>飞鸢</t>
        </is>
      </c>
      <c r="C40" s="3" t="inlineStr">
        <is>
          <t>quan</t>
        </is>
      </c>
      <c r="D40" s="3" t="inlineStr">
        <is>
          <t>拳系</t>
        </is>
      </c>
      <c r="E40" s="3" t="n">
        <v>0</v>
      </c>
      <c r="F40" s="7" t="n">
        <v>0.005</v>
      </c>
      <c r="G40" s="3" t="n">
        <v>0</v>
      </c>
      <c r="H40" s="7" t="n">
        <v>0</v>
      </c>
      <c r="I40" s="3" t="n">
        <v>0</v>
      </c>
      <c r="J40" s="7" t="n">
        <v>0</v>
      </c>
      <c r="K40" s="3" t="inlineStr">
        <is>
          <t>data/item_templates.yaml:L6939</t>
        </is>
      </c>
    </row>
    <row r="41">
      <c r="A41" s="3" t="inlineStr">
        <is>
          <t>equip_feiyuan</t>
        </is>
      </c>
      <c r="B41" s="3" t="inlineStr">
        <is>
          <t>飞鸢</t>
        </is>
      </c>
      <c r="C41" s="3" t="inlineStr">
        <is>
          <t>gong</t>
        </is>
      </c>
      <c r="D41" s="3" t="inlineStr">
        <is>
          <t>弓系</t>
        </is>
      </c>
      <c r="E41" s="3" t="n">
        <v>0</v>
      </c>
      <c r="F41" s="7" t="n">
        <v>0.005</v>
      </c>
      <c r="G41" s="3" t="n">
        <v>0</v>
      </c>
      <c r="H41" s="7" t="n">
        <v>0</v>
      </c>
      <c r="I41" s="3" t="n">
        <v>0</v>
      </c>
      <c r="J41" s="7" t="n">
        <v>0</v>
      </c>
      <c r="K41" s="3" t="inlineStr">
        <is>
          <t>data/item_templates.yaml:L6939</t>
        </is>
      </c>
    </row>
    <row r="42">
      <c r="A42" s="3" t="inlineStr">
        <is>
          <t>equip_feiyuan</t>
        </is>
      </c>
      <c r="B42" s="3" t="inlineStr">
        <is>
          <t>飞鸢</t>
        </is>
      </c>
      <c r="C42" s="3" t="inlineStr">
        <is>
          <t>scout</t>
        </is>
      </c>
      <c r="D42" s="3" t="inlineStr">
        <is>
          <t>探子</t>
        </is>
      </c>
      <c r="E42" s="3" t="n">
        <v>0</v>
      </c>
      <c r="F42" s="7" t="n">
        <v>0.005</v>
      </c>
      <c r="G42" s="3" t="n">
        <v>0</v>
      </c>
      <c r="H42" s="7" t="n">
        <v>0</v>
      </c>
      <c r="I42" s="3" t="n">
        <v>0</v>
      </c>
      <c r="J42" s="7" t="n">
        <v>0</v>
      </c>
      <c r="K42" s="3" t="inlineStr">
        <is>
          <t>data/item_templates.yaml:L6939</t>
        </is>
      </c>
    </row>
    <row r="43">
      <c r="A43" s="3" t="inlineStr">
        <is>
          <t>equip_mojiajiguanren</t>
        </is>
      </c>
      <c r="B43" s="3" t="inlineStr">
        <is>
          <t>墨家机关人</t>
        </is>
      </c>
      <c r="C43" s="3" t="inlineStr">
        <is>
          <t>dao</t>
        </is>
      </c>
      <c r="D43" s="3" t="inlineStr">
        <is>
          <t>刀系</t>
        </is>
      </c>
      <c r="E43" s="3" t="n">
        <v>0</v>
      </c>
      <c r="F43" s="7" t="n">
        <v>0.005</v>
      </c>
      <c r="G43" s="3" t="n">
        <v>0</v>
      </c>
      <c r="H43" s="7" t="n">
        <v>0.005</v>
      </c>
      <c r="I43" s="3" t="n">
        <v>0</v>
      </c>
      <c r="J43" s="7" t="n">
        <v>0.005</v>
      </c>
      <c r="K43" s="3" t="inlineStr">
        <is>
          <t>data/item_templates.yaml:L6978</t>
        </is>
      </c>
    </row>
    <row r="44">
      <c r="A44" s="3" t="inlineStr">
        <is>
          <t>equip_mojiajiguanren</t>
        </is>
      </c>
      <c r="B44" s="3" t="inlineStr">
        <is>
          <t>墨家机关人</t>
        </is>
      </c>
      <c r="C44" s="3" t="inlineStr">
        <is>
          <t>qiang</t>
        </is>
      </c>
      <c r="D44" s="3" t="inlineStr">
        <is>
          <t>枪系</t>
        </is>
      </c>
      <c r="E44" s="3" t="n">
        <v>0</v>
      </c>
      <c r="F44" s="7" t="n">
        <v>0.005</v>
      </c>
      <c r="G44" s="3" t="n">
        <v>0</v>
      </c>
      <c r="H44" s="7" t="n">
        <v>0.005</v>
      </c>
      <c r="I44" s="3" t="n">
        <v>0</v>
      </c>
      <c r="J44" s="7" t="n">
        <v>0.005</v>
      </c>
      <c r="K44" s="3" t="inlineStr">
        <is>
          <t>data/item_templates.yaml:L6978</t>
        </is>
      </c>
    </row>
    <row r="45">
      <c r="A45" s="3" t="inlineStr">
        <is>
          <t>equip_mojiajiguanren</t>
        </is>
      </c>
      <c r="B45" s="3" t="inlineStr">
        <is>
          <t>墨家机关人</t>
        </is>
      </c>
      <c r="C45" s="3" t="inlineStr">
        <is>
          <t>jian</t>
        </is>
      </c>
      <c r="D45" s="3" t="inlineStr">
        <is>
          <t>剑系</t>
        </is>
      </c>
      <c r="E45" s="3" t="n">
        <v>0</v>
      </c>
      <c r="F45" s="7" t="n">
        <v>0.005</v>
      </c>
      <c r="G45" s="3" t="n">
        <v>0</v>
      </c>
      <c r="H45" s="7" t="n">
        <v>0.005</v>
      </c>
      <c r="I45" s="3" t="n">
        <v>0</v>
      </c>
      <c r="J45" s="7" t="n">
        <v>0.005</v>
      </c>
      <c r="K45" s="3" t="inlineStr">
        <is>
          <t>data/item_templates.yaml:L6978</t>
        </is>
      </c>
    </row>
    <row r="46">
      <c r="A46" s="3" t="inlineStr">
        <is>
          <t>equip_mojiajiguanren</t>
        </is>
      </c>
      <c r="B46" s="3" t="inlineStr">
        <is>
          <t>墨家机关人</t>
        </is>
      </c>
      <c r="C46" s="3" t="inlineStr">
        <is>
          <t>quan</t>
        </is>
      </c>
      <c r="D46" s="3" t="inlineStr">
        <is>
          <t>拳系</t>
        </is>
      </c>
      <c r="E46" s="3" t="n">
        <v>0</v>
      </c>
      <c r="F46" s="7" t="n">
        <v>0.005</v>
      </c>
      <c r="G46" s="3" t="n">
        <v>0</v>
      </c>
      <c r="H46" s="7" t="n">
        <v>0.005</v>
      </c>
      <c r="I46" s="3" t="n">
        <v>0</v>
      </c>
      <c r="J46" s="7" t="n">
        <v>0.005</v>
      </c>
      <c r="K46" s="3" t="inlineStr">
        <is>
          <t>data/item_templates.yaml:L6978</t>
        </is>
      </c>
    </row>
    <row r="47">
      <c r="A47" s="3" t="inlineStr">
        <is>
          <t>equip_mojiajiguanren</t>
        </is>
      </c>
      <c r="B47" s="3" t="inlineStr">
        <is>
          <t>墨家机关人</t>
        </is>
      </c>
      <c r="C47" s="3" t="inlineStr">
        <is>
          <t>gong</t>
        </is>
      </c>
      <c r="D47" s="3" t="inlineStr">
        <is>
          <t>弓系</t>
        </is>
      </c>
      <c r="E47" s="3" t="n">
        <v>0</v>
      </c>
      <c r="F47" s="7" t="n">
        <v>0.005</v>
      </c>
      <c r="G47" s="3" t="n">
        <v>0</v>
      </c>
      <c r="H47" s="7" t="n">
        <v>0.005</v>
      </c>
      <c r="I47" s="3" t="n">
        <v>0</v>
      </c>
      <c r="J47" s="7" t="n">
        <v>0.005</v>
      </c>
      <c r="K47" s="3" t="inlineStr">
        <is>
          <t>data/item_templates.yaml:L6978</t>
        </is>
      </c>
    </row>
    <row r="48">
      <c r="A48" s="3" t="inlineStr">
        <is>
          <t>equip_mojiajiguanren</t>
        </is>
      </c>
      <c r="B48" s="3" t="inlineStr">
        <is>
          <t>墨家机关人</t>
        </is>
      </c>
      <c r="C48" s="3" t="inlineStr">
        <is>
          <t>scout</t>
        </is>
      </c>
      <c r="D48" s="3" t="inlineStr">
        <is>
          <t>探子</t>
        </is>
      </c>
      <c r="E48" s="3" t="n">
        <v>0</v>
      </c>
      <c r="F48" s="7" t="n">
        <v>0.005</v>
      </c>
      <c r="G48" s="3" t="n">
        <v>0</v>
      </c>
      <c r="H48" s="7" t="n">
        <v>0.005</v>
      </c>
      <c r="I48" s="3" t="n">
        <v>0</v>
      </c>
      <c r="J48" s="7" t="n">
        <v>0.005</v>
      </c>
      <c r="K48" s="3" t="inlineStr">
        <is>
          <t>data/item_templates.yaml:L6978</t>
        </is>
      </c>
    </row>
  </sheetData>
  <autoFilter ref="A1:K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2" customWidth="1" min="4" max="4"/>
    <col width="18" customWidth="1" min="5" max="5"/>
    <col width="18" customWidth="1" min="6" max="6"/>
    <col width="12" customWidth="1" min="7" max="7"/>
    <col width="38" customWidth="1" min="8" max="8"/>
    <col width="24" customWidth="1" min="9" max="9"/>
    <col width="95" customWidth="1" min="10" max="10"/>
    <col width="90" customWidth="1" min="11" max="11"/>
    <col width="72" customWidth="1" min="12" max="12"/>
  </cols>
  <sheetData>
    <row r="1" ht="30" customHeight="1">
      <c r="A1" s="1" t="inlineStr">
        <is>
          <t>装备key</t>
        </is>
      </c>
      <c r="B1" s="1" t="inlineStr">
        <is>
          <t>装备名称</t>
        </is>
      </c>
      <c r="C1" s="1" t="inlineStr">
        <is>
          <t>制作方式</t>
        </is>
      </c>
      <c r="D1" s="1" t="inlineStr">
        <is>
          <t>类别</t>
        </is>
      </c>
      <c r="E1" s="1" t="inlineStr">
        <is>
          <t>所需技能等级</t>
        </is>
      </c>
      <c r="F1" s="1" t="inlineStr">
        <is>
          <t>基准耗时(秒)</t>
        </is>
      </c>
      <c r="G1" s="1" t="inlineStr">
        <is>
          <t>单次产量</t>
        </is>
      </c>
      <c r="H1" s="1" t="inlineStr">
        <is>
          <t>消耗图纸key(每次1张)</t>
        </is>
      </c>
      <c r="I1" s="1" t="inlineStr">
        <is>
          <t>图纸名称</t>
        </is>
      </c>
      <c r="J1" s="1" t="inlineStr">
        <is>
          <t>材料消耗(每次)</t>
        </is>
      </c>
      <c r="K1" s="1" t="inlineStr">
        <is>
          <t>材料(JSON)</t>
        </is>
      </c>
      <c r="L1" s="1" t="inlineStr">
        <is>
          <t>数据来源</t>
        </is>
      </c>
    </row>
    <row r="2">
      <c r="A2" s="3" t="inlineStr">
        <is>
          <t>equip_bumao</t>
        </is>
      </c>
      <c r="B2" s="3" t="inlineStr">
        <is>
          <t>布帽</t>
        </is>
      </c>
      <c r="C2" s="3" t="inlineStr">
        <is>
          <t>普通锻造</t>
        </is>
      </c>
      <c r="D2" s="3" t="inlineStr">
        <is>
          <t>头盔</t>
        </is>
      </c>
      <c r="E2" s="3" t="n">
        <v>1</v>
      </c>
      <c r="F2" s="3" t="n">
        <v>120</v>
      </c>
      <c r="G2" s="3" t="n">
        <v>1</v>
      </c>
      <c r="H2" s="3" t="inlineStr"/>
      <c r="I2" s="3" t="inlineStr"/>
      <c r="J2" s="3" t="inlineStr">
        <is>
          <t>铜×5</t>
        </is>
      </c>
      <c r="K2" s="3" t="inlineStr">
        <is>
          <t>{"tong":5}</t>
        </is>
      </c>
      <c r="L2" s="3" t="inlineStr">
        <is>
          <t>data/forge_equipment.yaml:equipment.equip_bumao</t>
        </is>
      </c>
    </row>
    <row r="3">
      <c r="A3" s="3" t="inlineStr">
        <is>
          <t>equip_niupimao</t>
        </is>
      </c>
      <c r="B3" s="3" t="inlineStr">
        <is>
          <t>牛皮帽</t>
        </is>
      </c>
      <c r="C3" s="3" t="inlineStr">
        <is>
          <t>普通锻造</t>
        </is>
      </c>
      <c r="D3" s="3" t="inlineStr">
        <is>
          <t>头盔</t>
        </is>
      </c>
      <c r="E3" s="3" t="n">
        <v>3</v>
      </c>
      <c r="F3" s="3" t="n">
        <v>180</v>
      </c>
      <c r="G3" s="3" t="n">
        <v>1</v>
      </c>
      <c r="H3" s="3" t="inlineStr"/>
      <c r="I3" s="3" t="inlineStr"/>
      <c r="J3" s="3" t="inlineStr">
        <is>
          <t>铜×10、锡×5</t>
        </is>
      </c>
      <c r="K3" s="3" t="inlineStr">
        <is>
          <t>{"tong":10,"xi":5}</t>
        </is>
      </c>
      <c r="L3" s="3" t="inlineStr">
        <is>
          <t>data/forge_equipment.yaml:equipment.equip_niupimao</t>
        </is>
      </c>
    </row>
    <row r="4">
      <c r="A4" s="3" t="inlineStr">
        <is>
          <t>equip_baihongkui</t>
        </is>
      </c>
      <c r="B4" s="3" t="inlineStr">
        <is>
          <t>白虹盔</t>
        </is>
      </c>
      <c r="C4" s="3" t="inlineStr">
        <is>
          <t>普通锻造</t>
        </is>
      </c>
      <c r="D4" s="3" t="inlineStr">
        <is>
          <t>头盔</t>
        </is>
      </c>
      <c r="E4" s="3" t="n">
        <v>9</v>
      </c>
      <c r="F4" s="3" t="n">
        <v>360</v>
      </c>
      <c r="G4" s="3" t="n">
        <v>1</v>
      </c>
      <c r="H4" s="3" t="inlineStr"/>
      <c r="I4" s="3" t="inlineStr"/>
      <c r="J4" s="3" t="inlineStr">
        <is>
          <t>铁×30</t>
        </is>
      </c>
      <c r="K4" s="3" t="inlineStr">
        <is>
          <t>{"tie":30}</t>
        </is>
      </c>
      <c r="L4" s="3" t="inlineStr">
        <is>
          <t>data/forge_equipment.yaml:equipment.equip_baihongkui</t>
        </is>
      </c>
    </row>
    <row r="5">
      <c r="A5" s="3" t="inlineStr">
        <is>
          <t>equip_tieyekui</t>
        </is>
      </c>
      <c r="B5" s="3" t="inlineStr">
        <is>
          <t>铁叶盔</t>
        </is>
      </c>
      <c r="C5" s="3" t="inlineStr">
        <is>
          <t>普通锻造</t>
        </is>
      </c>
      <c r="D5" s="3" t="inlineStr">
        <is>
          <t>头盔</t>
        </is>
      </c>
      <c r="E5" s="3" t="n">
        <v>5</v>
      </c>
      <c r="F5" s="3" t="n">
        <v>240</v>
      </c>
      <c r="G5" s="3" t="n">
        <v>1</v>
      </c>
      <c r="H5" s="3" t="inlineStr"/>
      <c r="I5" s="3" t="inlineStr"/>
      <c r="J5" s="3" t="inlineStr">
        <is>
          <t>铁×10</t>
        </is>
      </c>
      <c r="K5" s="3" t="inlineStr">
        <is>
          <t>{"tie":10}</t>
        </is>
      </c>
      <c r="L5" s="3" t="inlineStr">
        <is>
          <t>data/forge_equipment.yaml:equipment.equip_tieyekui</t>
        </is>
      </c>
    </row>
    <row r="6">
      <c r="A6" s="3" t="inlineStr">
        <is>
          <t>equip_yulindin</t>
        </is>
      </c>
      <c r="B6" s="3" t="inlineStr">
        <is>
          <t>鱼鳞顶</t>
        </is>
      </c>
      <c r="C6" s="3" t="inlineStr">
        <is>
          <t>普通锻造</t>
        </is>
      </c>
      <c r="D6" s="3" t="inlineStr">
        <is>
          <t>头盔</t>
        </is>
      </c>
      <c r="E6" s="3" t="n">
        <v>7</v>
      </c>
      <c r="F6" s="3" t="n">
        <v>300</v>
      </c>
      <c r="G6" s="3" t="n">
        <v>1</v>
      </c>
      <c r="H6" s="3" t="inlineStr"/>
      <c r="I6" s="3" t="inlineStr"/>
      <c r="J6" s="3" t="inlineStr">
        <is>
          <t>铁×20</t>
        </is>
      </c>
      <c r="K6" s="3" t="inlineStr">
        <is>
          <t>{"tie":20}</t>
        </is>
      </c>
      <c r="L6" s="3" t="inlineStr">
        <is>
          <t>data/forge_equipment.yaml:equipment.equip_yulindin</t>
        </is>
      </c>
    </row>
    <row r="7">
      <c r="A7" s="3" t="inlineStr">
        <is>
          <t>equip_qinglongkui</t>
        </is>
      </c>
      <c r="B7" s="3" t="inlineStr">
        <is>
          <t>青龙盔</t>
        </is>
      </c>
      <c r="C7" s="3" t="inlineStr">
        <is>
          <t>图纸合成</t>
        </is>
      </c>
      <c r="D7" s="3" t="inlineStr">
        <is>
          <t>头盔</t>
        </is>
      </c>
      <c r="E7" s="3" t="n">
        <v>5</v>
      </c>
      <c r="F7" s="3" t="inlineStr">
        <is>
          <t>即时合成</t>
        </is>
      </c>
      <c r="G7" s="3" t="n">
        <v>1</v>
      </c>
      <c r="H7" s="3" t="inlineStr">
        <is>
          <t>blueprint_qinglongkui</t>
        </is>
      </c>
      <c r="I7" s="3" t="inlineStr">
        <is>
          <t>青龙盔图纸</t>
        </is>
      </c>
      <c r="J7" s="3" t="inlineStr">
        <is>
          <t>铜×29、锡×17、铁×12、木质精华×3、铜质精华×2、紫檀木×5、黑原石×4、金刚煤×3、刨子×3、凿子×3、空气之石×2</t>
        </is>
      </c>
      <c r="K7" s="3" t="inlineStr">
        <is>
          <t>{"tong":29,"xi":17,"tie":12,"wood_essence":3,"copper_essence":2,"zitanmu":5,"heiyuanshi":4,"jingangmei":3,"paozi":3,"zaozi":3,"air_stone":2}</t>
        </is>
      </c>
      <c r="L7" s="3" t="inlineStr">
        <is>
          <t>data/forge_blueprints.yaml:blueprint_key=blueprint_qinglongkui</t>
        </is>
      </c>
    </row>
    <row r="8">
      <c r="A8" s="3" t="inlineStr">
        <is>
          <t>equip_xiaoweitoukui</t>
        </is>
      </c>
      <c r="B8" s="3" t="inlineStr">
        <is>
          <t>校尉头盔</t>
        </is>
      </c>
      <c r="C8" s="3" t="inlineStr">
        <is>
          <t>图纸合成</t>
        </is>
      </c>
      <c r="D8" s="3" t="inlineStr">
        <is>
          <t>头盔</t>
        </is>
      </c>
      <c r="E8" s="3" t="n">
        <v>5</v>
      </c>
      <c r="F8" s="3" t="inlineStr">
        <is>
          <t>即时合成</t>
        </is>
      </c>
      <c r="G8" s="3" t="n">
        <v>1</v>
      </c>
      <c r="H8" s="3" t="inlineStr">
        <is>
          <t>blueprint_xiaoweitoukie</t>
        </is>
      </c>
      <c r="I8" s="3" t="inlineStr">
        <is>
          <t>校尉头盔图纸</t>
        </is>
      </c>
      <c r="J8" s="3" t="inlineStr">
        <is>
          <t>铜×27、锡×17、铁×12、木质精华×2、铜质精华×2、铁木×4、黑原石×5、金刚煤×4、凿子×4、大地之石×2</t>
        </is>
      </c>
      <c r="K8" s="3" t="inlineStr">
        <is>
          <t>{"tong":27,"xi":17,"tie":12,"wood_essence":2,"copper_essence":2,"tiemu":4,"heiyuanshi":5,"jingangmei":4,"zaozi":4,"earth_stone":2}</t>
        </is>
      </c>
      <c r="L8" s="3" t="inlineStr">
        <is>
          <t>data/forge_blueprints.yaml:blueprint_key=blueprint_xiaoweitoukie</t>
        </is>
      </c>
    </row>
    <row r="9">
      <c r="A9" s="3" t="inlineStr">
        <is>
          <t>equip_fenglingguan</t>
        </is>
      </c>
      <c r="B9" s="3" t="inlineStr">
        <is>
          <t>凤翎冠</t>
        </is>
      </c>
      <c r="C9" s="3" t="inlineStr">
        <is>
          <t>图纸合成</t>
        </is>
      </c>
      <c r="D9" s="3" t="inlineStr">
        <is>
          <t>头盔</t>
        </is>
      </c>
      <c r="E9" s="3" t="n">
        <v>7</v>
      </c>
      <c r="F9" s="3" t="inlineStr">
        <is>
          <t>即时合成</t>
        </is>
      </c>
      <c r="G9" s="3" t="n">
        <v>1</v>
      </c>
      <c r="H9" s="3" t="inlineStr">
        <is>
          <t>blueprint_fenglingguan</t>
        </is>
      </c>
      <c r="I9" s="3" t="inlineStr">
        <is>
          <t>凤翎冠图纸</t>
        </is>
      </c>
      <c r="J9" s="3" t="inlineStr">
        <is>
          <t>铜×36、锡×22、铁×17、木质精华×3、铜质精华×4、紫檀木×9、水曲木×6、铁木×3、金刚煤×3、刨子×6、凿子×3、高炉×1、空气之石×3</t>
        </is>
      </c>
      <c r="K9" s="3" t="inlineStr">
        <is>
          <t>{"tong":36,"xi":22,"tie":17,"wood_essence":3,"copper_essence":4,"zitanmu":9,"shuiqumu":6,"tiemu":3,"jingangmei":3,"paozi":6,"zaozi":3,"gaolu":1,"air_stone":3}</t>
        </is>
      </c>
      <c r="L9" s="3" t="inlineStr">
        <is>
          <t>data/forge_blueprints.yaml:blueprint_key=blueprint_fenglingguan</t>
        </is>
      </c>
    </row>
    <row r="10">
      <c r="A10" s="3" t="inlineStr">
        <is>
          <t>equip_qilinkui</t>
        </is>
      </c>
      <c r="B10" s="3" t="inlineStr">
        <is>
          <t>麒麟盔</t>
        </is>
      </c>
      <c r="C10" s="3" t="inlineStr">
        <is>
          <t>图纸合成</t>
        </is>
      </c>
      <c r="D10" s="3" t="inlineStr">
        <is>
          <t>头盔</t>
        </is>
      </c>
      <c r="E10" s="3" t="n">
        <v>9</v>
      </c>
      <c r="F10" s="3" t="inlineStr">
        <is>
          <t>即时合成</t>
        </is>
      </c>
      <c r="G10" s="3" t="n">
        <v>1</v>
      </c>
      <c r="H10" s="3" t="inlineStr">
        <is>
          <t>blueprint_qilinkui</t>
        </is>
      </c>
      <c r="I10" s="3" t="inlineStr">
        <is>
          <t>麒麟盔图纸</t>
        </is>
      </c>
      <c r="J10" s="3" t="inlineStr">
        <is>
          <t>铜×46、锡×29、铁×22、玄铁精华×2、紫檀木×4、铁木×8、黑原石×9、金刚煤×6、凿子×6、高炉×2、火焰之石×3</t>
        </is>
      </c>
      <c r="K10" s="3" t="inlineStr">
        <is>
          <t>{"tong":46,"xi":29,"tie":22,"xuan_tie_essence":2,"zitanmu":4,"tiemu":8,"heiyuanshi":9,"jingangmei":6,"zaozi":6,"gaolu":2,"fire_stone":3}</t>
        </is>
      </c>
      <c r="L10" s="3" t="inlineStr">
        <is>
          <t>data/forge_blueprints.yaml:blueprint_key=blueprint_qilinkui</t>
        </is>
      </c>
    </row>
    <row r="11">
      <c r="A11" s="3" t="inlineStr">
        <is>
          <t>equip_xuanwukui</t>
        </is>
      </c>
      <c r="B11" s="3" t="inlineStr">
        <is>
          <t>玄武盔</t>
        </is>
      </c>
      <c r="C11" s="3" t="inlineStr">
        <is>
          <t>图纸合成</t>
        </is>
      </c>
      <c r="D11" s="3" t="inlineStr">
        <is>
          <t>头盔</t>
        </is>
      </c>
      <c r="E11" s="3" t="n">
        <v>9</v>
      </c>
      <c r="F11" s="3" t="inlineStr">
        <is>
          <t>即时合成</t>
        </is>
      </c>
      <c r="G11" s="3" t="n">
        <v>1</v>
      </c>
      <c r="H11" s="3" t="inlineStr">
        <is>
          <t>blueprint_xuanwukui</t>
        </is>
      </c>
      <c r="I11" s="3" t="inlineStr">
        <is>
          <t>玄武盔图纸</t>
        </is>
      </c>
      <c r="J11" s="3" t="inlineStr">
        <is>
          <t>铜×48、锡×32、铁×24、玄铁精华×2、铁木×9、黑原石×11、金刚煤×6、凿子×8、高炉×2、纯水之石×3</t>
        </is>
      </c>
      <c r="K11" s="3" t="inlineStr">
        <is>
          <t>{"tong":48,"xi":32,"tie":24,"xuan_tie_essence":2,"tiemu":9,"heiyuanshi":11,"jingangmei":6,"zaozi":8,"gaolu":2,"water_stone":3}</t>
        </is>
      </c>
      <c r="L11" s="3" t="inlineStr">
        <is>
          <t>data/forge_blueprints.yaml:blueprint_key=blueprint_xuanwukui</t>
        </is>
      </c>
    </row>
    <row r="12">
      <c r="A12" s="3" t="inlineStr">
        <is>
          <t>equip_bupao</t>
        </is>
      </c>
      <c r="B12" s="3" t="inlineStr">
        <is>
          <t>布袍</t>
        </is>
      </c>
      <c r="C12" s="3" t="inlineStr">
        <is>
          <t>普通锻造</t>
        </is>
      </c>
      <c r="D12" s="3" t="inlineStr">
        <is>
          <t>护甲</t>
        </is>
      </c>
      <c r="E12" s="3" t="n">
        <v>1</v>
      </c>
      <c r="F12" s="3" t="n">
        <v>120</v>
      </c>
      <c r="G12" s="3" t="n">
        <v>1</v>
      </c>
      <c r="H12" s="3" t="inlineStr"/>
      <c r="I12" s="3" t="inlineStr"/>
      <c r="J12" s="3" t="inlineStr">
        <is>
          <t>铜×5</t>
        </is>
      </c>
      <c r="K12" s="3" t="inlineStr">
        <is>
          <t>{"tong":5}</t>
        </is>
      </c>
      <c r="L12" s="3" t="inlineStr">
        <is>
          <t>data/forge_equipment.yaml:equipment.equip_bupao</t>
        </is>
      </c>
    </row>
    <row r="13">
      <c r="A13" s="3" t="inlineStr">
        <is>
          <t>equip_shengpijia</t>
        </is>
      </c>
      <c r="B13" s="3" t="inlineStr">
        <is>
          <t>生皮甲</t>
        </is>
      </c>
      <c r="C13" s="3" t="inlineStr">
        <is>
          <t>普通锻造</t>
        </is>
      </c>
      <c r="D13" s="3" t="inlineStr">
        <is>
          <t>护甲</t>
        </is>
      </c>
      <c r="E13" s="3" t="n">
        <v>3</v>
      </c>
      <c r="F13" s="3" t="n">
        <v>180</v>
      </c>
      <c r="G13" s="3" t="n">
        <v>1</v>
      </c>
      <c r="H13" s="3" t="inlineStr"/>
      <c r="I13" s="3" t="inlineStr"/>
      <c r="J13" s="3" t="inlineStr">
        <is>
          <t>铜×10、锡×5</t>
        </is>
      </c>
      <c r="K13" s="3" t="inlineStr">
        <is>
          <t>{"tong":10,"xi":5}</t>
        </is>
      </c>
      <c r="L13" s="3" t="inlineStr">
        <is>
          <t>data/forge_equipment.yaml:equipment.equip_shengpijia</t>
        </is>
      </c>
    </row>
    <row r="14">
      <c r="A14" s="3" t="inlineStr">
        <is>
          <t>equip_housipao</t>
        </is>
      </c>
      <c r="B14" s="3" t="inlineStr">
        <is>
          <t>厚丝袍</t>
        </is>
      </c>
      <c r="C14" s="3" t="inlineStr">
        <is>
          <t>普通锻造</t>
        </is>
      </c>
      <c r="D14" s="3" t="inlineStr">
        <is>
          <t>护甲</t>
        </is>
      </c>
      <c r="E14" s="3" t="n">
        <v>5</v>
      </c>
      <c r="F14" s="3" t="n">
        <v>240</v>
      </c>
      <c r="G14" s="3" t="n">
        <v>1</v>
      </c>
      <c r="H14" s="3" t="inlineStr"/>
      <c r="I14" s="3" t="inlineStr"/>
      <c r="J14" s="3" t="inlineStr">
        <is>
          <t>铁×10</t>
        </is>
      </c>
      <c r="K14" s="3" t="inlineStr">
        <is>
          <t>{"tie":10}</t>
        </is>
      </c>
      <c r="L14" s="3" t="inlineStr">
        <is>
          <t>data/forge_equipment.yaml:equipment.equip_housipao</t>
        </is>
      </c>
    </row>
    <row r="15">
      <c r="A15" s="3" t="inlineStr">
        <is>
          <t>equip_shapijia</t>
        </is>
      </c>
      <c r="B15" s="3" t="inlineStr">
        <is>
          <t>鲨皮甲</t>
        </is>
      </c>
      <c r="C15" s="3" t="inlineStr">
        <is>
          <t>普通锻造</t>
        </is>
      </c>
      <c r="D15" s="3" t="inlineStr">
        <is>
          <t>护甲</t>
        </is>
      </c>
      <c r="E15" s="3" t="n">
        <v>7</v>
      </c>
      <c r="F15" s="3" t="n">
        <v>300</v>
      </c>
      <c r="G15" s="3" t="n">
        <v>1</v>
      </c>
      <c r="H15" s="3" t="inlineStr"/>
      <c r="I15" s="3" t="inlineStr"/>
      <c r="J15" s="3" t="inlineStr">
        <is>
          <t>铁×20</t>
        </is>
      </c>
      <c r="K15" s="3" t="inlineStr">
        <is>
          <t>{"tie":20}</t>
        </is>
      </c>
      <c r="L15" s="3" t="inlineStr">
        <is>
          <t>data/forge_equipment.yaml:equipment.equip_shapijia</t>
        </is>
      </c>
    </row>
    <row r="16">
      <c r="A16" s="3" t="inlineStr">
        <is>
          <t>equip_qinglongjia</t>
        </is>
      </c>
      <c r="B16" s="3" t="inlineStr">
        <is>
          <t>青龙甲</t>
        </is>
      </c>
      <c r="C16" s="3" t="inlineStr">
        <is>
          <t>图纸合成</t>
        </is>
      </c>
      <c r="D16" s="3" t="inlineStr">
        <is>
          <t>护甲</t>
        </is>
      </c>
      <c r="E16" s="3" t="n">
        <v>5</v>
      </c>
      <c r="F16" s="3" t="inlineStr">
        <is>
          <t>即时合成</t>
        </is>
      </c>
      <c r="G16" s="3" t="n">
        <v>1</v>
      </c>
      <c r="H16" s="3" t="inlineStr">
        <is>
          <t>blueprint_qinglongjia</t>
        </is>
      </c>
      <c r="I16" s="3" t="inlineStr">
        <is>
          <t>青龙甲图纸</t>
        </is>
      </c>
      <c r="J16" s="3" t="inlineStr">
        <is>
          <t>铜×36、锡×22、铁×17、木质精华×3、铜质精华×3、紫檀木×4、铁木×6、黑原石×6、金刚煤×4、凿子×5、纯水之石×2、大地之石×2</t>
        </is>
      </c>
      <c r="K16" s="3" t="inlineStr">
        <is>
          <t>{"tong":36,"xi":22,"tie":17,"wood_essence":3,"copper_essence":3,"zitanmu":4,"tiemu":6,"heiyuanshi":6,"jingangmei":4,"zaozi":5,"water_stone":2,"earth_stone":2}</t>
        </is>
      </c>
      <c r="L16" s="3" t="inlineStr">
        <is>
          <t>data/forge_blueprints.yaml:blueprint_key=blueprint_qinglongjia</t>
        </is>
      </c>
    </row>
    <row r="17">
      <c r="A17" s="3" t="inlineStr">
        <is>
          <t>equip_xiaoweikaijia</t>
        </is>
      </c>
      <c r="B17" s="3" t="inlineStr">
        <is>
          <t>校尉铠甲</t>
        </is>
      </c>
      <c r="C17" s="3" t="inlineStr">
        <is>
          <t>图纸合成</t>
        </is>
      </c>
      <c r="D17" s="3" t="inlineStr">
        <is>
          <t>护甲</t>
        </is>
      </c>
      <c r="E17" s="3" t="n">
        <v>5</v>
      </c>
      <c r="F17" s="3" t="inlineStr">
        <is>
          <t>即时合成</t>
        </is>
      </c>
      <c r="G17" s="3" t="n">
        <v>1</v>
      </c>
      <c r="H17" s="3" t="inlineStr">
        <is>
          <t>blueprint_xiaoweikaijia</t>
        </is>
      </c>
      <c r="I17" s="3" t="inlineStr">
        <is>
          <t>校尉铠甲图纸</t>
        </is>
      </c>
      <c r="J17" s="3" t="inlineStr">
        <is>
          <t>铜×36、锡×22、铁×17、木质精华×2、铜质精华×3、铁木×6、黑原石×9、金刚煤×6、凿子×6、大地之石×3</t>
        </is>
      </c>
      <c r="K17" s="3" t="inlineStr">
        <is>
          <t>{"tong":36,"xi":22,"tie":17,"wood_essence":2,"copper_essence":3,"tiemu":6,"heiyuanshi":9,"jingangmei":6,"zaozi":6,"earth_stone":3}</t>
        </is>
      </c>
      <c r="L17" s="3" t="inlineStr">
        <is>
          <t>data/forge_blueprints.yaml:blueprint_key=blueprint_xiaoweikaijia</t>
        </is>
      </c>
    </row>
    <row r="18">
      <c r="A18" s="3" t="inlineStr">
        <is>
          <t>equip_huxianpao</t>
        </is>
      </c>
      <c r="B18" s="3" t="inlineStr">
        <is>
          <t>狐仙袍</t>
        </is>
      </c>
      <c r="C18" s="3" t="inlineStr">
        <is>
          <t>图纸合成</t>
        </is>
      </c>
      <c r="D18" s="3" t="inlineStr">
        <is>
          <t>护甲</t>
        </is>
      </c>
      <c r="E18" s="3" t="n">
        <v>7</v>
      </c>
      <c r="F18" s="3" t="inlineStr">
        <is>
          <t>即时合成</t>
        </is>
      </c>
      <c r="G18" s="3" t="n">
        <v>1</v>
      </c>
      <c r="H18" s="3" t="inlineStr">
        <is>
          <t>blueprint_huxianpao</t>
        </is>
      </c>
      <c r="I18" s="3" t="inlineStr">
        <is>
          <t>狐仙袍图纸</t>
        </is>
      </c>
      <c r="J18" s="3" t="inlineStr">
        <is>
          <t>铜×41、锡×27、铁×20、木质精华×4、铜质精华×3、玄铁精华×2、紫檀木×11、水曲木×12、铁木×4、金刚煤×4、刨子×8、凿子×3、高炉×2、纯水之石×3</t>
        </is>
      </c>
      <c r="K18" s="3" t="inlineStr">
        <is>
          <t>{"tong":41,"xi":27,"tie":20,"wood_essence":4,"copper_essence":3,"xuan_tie_essence":2,"zitanmu":11,"shuiqumu":12,"tiemu":4,"jingangmei":4,"paozi":8,"zaozi":3,"gaolu":2,"water_stone":3}</t>
        </is>
      </c>
      <c r="L18" s="3" t="inlineStr">
        <is>
          <t>data/forge_blueprints.yaml:blueprint_key=blueprint_huxianpao</t>
        </is>
      </c>
    </row>
    <row r="19">
      <c r="A19" s="3" t="inlineStr">
        <is>
          <t>equip_qilinjia</t>
        </is>
      </c>
      <c r="B19" s="3" t="inlineStr">
        <is>
          <t>麒麟甲</t>
        </is>
      </c>
      <c r="C19" s="3" t="inlineStr">
        <is>
          <t>图纸合成</t>
        </is>
      </c>
      <c r="D19" s="3" t="inlineStr">
        <is>
          <t>护甲</t>
        </is>
      </c>
      <c r="E19" s="3" t="n">
        <v>9</v>
      </c>
      <c r="F19" s="3" t="inlineStr">
        <is>
          <t>即时合成</t>
        </is>
      </c>
      <c r="G19" s="3" t="n">
        <v>1</v>
      </c>
      <c r="H19" s="3" t="inlineStr">
        <is>
          <t>blueprint_qilinjia</t>
        </is>
      </c>
      <c r="I19" s="3" t="inlineStr">
        <is>
          <t>麒麟甲图纸</t>
        </is>
      </c>
      <c r="J19" s="3" t="inlineStr">
        <is>
          <t>铜×56、锡×36、铁×29、玄铁精华×3、铁木×12、黑原石×15、金刚煤×10、刨子×3、凿子×10、高炉×3、火焰之石×3、大地之石×3</t>
        </is>
      </c>
      <c r="K19" s="3" t="inlineStr">
        <is>
          <t>{"tong":56,"xi":36,"tie":29,"xuan_tie_essence":3,"tiemu":12,"heiyuanshi":15,"jingangmei":10,"paozi":3,"zaozi":10,"gaolu":3,"fire_stone":3,"earth_stone":3}</t>
        </is>
      </c>
      <c r="L19" s="3" t="inlineStr">
        <is>
          <t>data/forge_blueprints.yaml:blueprint_key=blueprint_qilinjia</t>
        </is>
      </c>
    </row>
    <row r="20">
      <c r="A20" s="3" t="inlineStr">
        <is>
          <t>equip_xuanwujia</t>
        </is>
      </c>
      <c r="B20" s="3" t="inlineStr">
        <is>
          <t>玄武甲</t>
        </is>
      </c>
      <c r="C20" s="3" t="inlineStr">
        <is>
          <t>图纸合成</t>
        </is>
      </c>
      <c r="D20" s="3" t="inlineStr">
        <is>
          <t>护甲</t>
        </is>
      </c>
      <c r="E20" s="3" t="n">
        <v>9</v>
      </c>
      <c r="F20" s="3" t="inlineStr">
        <is>
          <t>即时合成</t>
        </is>
      </c>
      <c r="G20" s="3" t="n">
        <v>1</v>
      </c>
      <c r="H20" s="3" t="inlineStr">
        <is>
          <t>blueprint_xuanwujia</t>
        </is>
      </c>
      <c r="I20" s="3" t="inlineStr">
        <is>
          <t>玄武甲图纸</t>
        </is>
      </c>
      <c r="J20" s="3" t="inlineStr">
        <is>
          <t>铜×58、锡×39、铁×32、玄铁精华×3、铁木×15、黑原石×17、金刚煤×11、刨子×3、凿子×11、高炉×3、纯水之石×3、大地之石×3</t>
        </is>
      </c>
      <c r="K20" s="3" t="inlineStr">
        <is>
          <t>{"tong":58,"xi":39,"tie":32,"xuan_tie_essence":3,"tiemu":15,"heiyuanshi":17,"jingangmei":11,"paozi":3,"zaozi":11,"gaolu":3,"water_stone":3,"earth_stone":3}</t>
        </is>
      </c>
      <c r="L20" s="3" t="inlineStr">
        <is>
          <t>data/forge_blueprints.yaml:blueprint_key=blueprint_xuanwujia</t>
        </is>
      </c>
    </row>
    <row r="21">
      <c r="A21" s="3" t="inlineStr">
        <is>
          <t>equip_buxie</t>
        </is>
      </c>
      <c r="B21" s="3" t="inlineStr">
        <is>
          <t>布鞋</t>
        </is>
      </c>
      <c r="C21" s="3" t="inlineStr">
        <is>
          <t>普通锻造</t>
        </is>
      </c>
      <c r="D21" s="3" t="inlineStr">
        <is>
          <t>鞋子</t>
        </is>
      </c>
      <c r="E21" s="3" t="n">
        <v>1</v>
      </c>
      <c r="F21" s="3" t="n">
        <v>120</v>
      </c>
      <c r="G21" s="3" t="n">
        <v>1</v>
      </c>
      <c r="H21" s="3" t="inlineStr"/>
      <c r="I21" s="3" t="inlineStr"/>
      <c r="J21" s="3" t="inlineStr">
        <is>
          <t>铜×5</t>
        </is>
      </c>
      <c r="K21" s="3" t="inlineStr">
        <is>
          <t>{"tong":5}</t>
        </is>
      </c>
      <c r="L21" s="3" t="inlineStr">
        <is>
          <t>data/forge_equipment.yaml:equipment.equip_buxie</t>
        </is>
      </c>
    </row>
    <row r="22">
      <c r="A22" s="3" t="inlineStr">
        <is>
          <t>equip_yangpixue</t>
        </is>
      </c>
      <c r="B22" s="3" t="inlineStr">
        <is>
          <t>羊皮靴</t>
        </is>
      </c>
      <c r="C22" s="3" t="inlineStr">
        <is>
          <t>普通锻造</t>
        </is>
      </c>
      <c r="D22" s="3" t="inlineStr">
        <is>
          <t>鞋子</t>
        </is>
      </c>
      <c r="E22" s="3" t="n">
        <v>3</v>
      </c>
      <c r="F22" s="3" t="n">
        <v>180</v>
      </c>
      <c r="G22" s="3" t="n">
        <v>1</v>
      </c>
      <c r="H22" s="3" t="inlineStr"/>
      <c r="I22" s="3" t="inlineStr"/>
      <c r="J22" s="3" t="inlineStr">
        <is>
          <t>铜×10、锡×5</t>
        </is>
      </c>
      <c r="K22" s="3" t="inlineStr">
        <is>
          <t>{"tong":10,"xi":5}</t>
        </is>
      </c>
      <c r="L22" s="3" t="inlineStr">
        <is>
          <t>data/forge_equipment.yaml:equipment.equip_yangpixue</t>
        </is>
      </c>
    </row>
    <row r="23">
      <c r="A23" s="3" t="inlineStr">
        <is>
          <t>equip_gangpianxue</t>
        </is>
      </c>
      <c r="B23" s="3" t="inlineStr">
        <is>
          <t>钢片靴</t>
        </is>
      </c>
      <c r="C23" s="3" t="inlineStr">
        <is>
          <t>普通锻造</t>
        </is>
      </c>
      <c r="D23" s="3" t="inlineStr">
        <is>
          <t>鞋子</t>
        </is>
      </c>
      <c r="E23" s="3" t="n">
        <v>5</v>
      </c>
      <c r="F23" s="3" t="n">
        <v>240</v>
      </c>
      <c r="G23" s="3" t="n">
        <v>1</v>
      </c>
      <c r="H23" s="3" t="inlineStr"/>
      <c r="I23" s="3" t="inlineStr"/>
      <c r="J23" s="3" t="inlineStr">
        <is>
          <t>铁×10</t>
        </is>
      </c>
      <c r="K23" s="3" t="inlineStr">
        <is>
          <t>{"tie":10}</t>
        </is>
      </c>
      <c r="L23" s="3" t="inlineStr">
        <is>
          <t>data/forge_equipment.yaml:equipment.equip_gangpianxue</t>
        </is>
      </c>
    </row>
    <row r="24">
      <c r="A24" s="3" t="inlineStr">
        <is>
          <t>equip_yanyuxue</t>
        </is>
      </c>
      <c r="B24" s="3" t="inlineStr">
        <is>
          <t>燕羽靴</t>
        </is>
      </c>
      <c r="C24" s="3" t="inlineStr">
        <is>
          <t>普通锻造</t>
        </is>
      </c>
      <c r="D24" s="3" t="inlineStr">
        <is>
          <t>鞋子</t>
        </is>
      </c>
      <c r="E24" s="3" t="n">
        <v>7</v>
      </c>
      <c r="F24" s="3" t="n">
        <v>300</v>
      </c>
      <c r="G24" s="3" t="n">
        <v>1</v>
      </c>
      <c r="H24" s="3" t="inlineStr"/>
      <c r="I24" s="3" t="inlineStr"/>
      <c r="J24" s="3" t="inlineStr">
        <is>
          <t>铁×20</t>
        </is>
      </c>
      <c r="K24" s="3" t="inlineStr">
        <is>
          <t>{"tie":20}</t>
        </is>
      </c>
      <c r="L24" s="3" t="inlineStr">
        <is>
          <t>data/forge_equipment.yaml:equipment.equip_yanyuxue</t>
        </is>
      </c>
    </row>
    <row r="25">
      <c r="A25" s="3" t="inlineStr">
        <is>
          <t>equip_qinglongxue</t>
        </is>
      </c>
      <c r="B25" s="3" t="inlineStr">
        <is>
          <t>青龙靴</t>
        </is>
      </c>
      <c r="C25" s="3" t="inlineStr">
        <is>
          <t>图纸合成</t>
        </is>
      </c>
      <c r="D25" s="3" t="inlineStr">
        <is>
          <t>鞋子</t>
        </is>
      </c>
      <c r="E25" s="3" t="n">
        <v>5</v>
      </c>
      <c r="F25" s="3" t="inlineStr">
        <is>
          <t>即时合成</t>
        </is>
      </c>
      <c r="G25" s="3" t="n">
        <v>1</v>
      </c>
      <c r="H25" s="3" t="inlineStr">
        <is>
          <t>blueprint_qinglongxue</t>
        </is>
      </c>
      <c r="I25" s="3" t="inlineStr">
        <is>
          <t>青龙靴图纸</t>
        </is>
      </c>
      <c r="J25" s="3" t="inlineStr">
        <is>
          <t>铜×22、锡×12、铁×10、木质精华×3、铜质精华×2、紫檀木×4、水曲木×9、刨子×5、空气之石×2</t>
        </is>
      </c>
      <c r="K25" s="3" t="inlineStr">
        <is>
          <t>{"tong":22,"xi":12,"tie":10,"wood_essence":3,"copper_essence":2,"zitanmu":4,"shuiqumu":9,"paozi":5,"air_stone":2}</t>
        </is>
      </c>
      <c r="L25" s="3" t="inlineStr">
        <is>
          <t>data/forge_blueprints.yaml:blueprint_key=blueprint_qinglongxue</t>
        </is>
      </c>
    </row>
    <row r="26">
      <c r="A26" s="3" t="inlineStr">
        <is>
          <t>equip_xiaoweichangxue</t>
        </is>
      </c>
      <c r="B26" s="3" t="inlineStr">
        <is>
          <t>校尉长靴</t>
        </is>
      </c>
      <c r="C26" s="3" t="inlineStr">
        <is>
          <t>图纸合成</t>
        </is>
      </c>
      <c r="D26" s="3" t="inlineStr">
        <is>
          <t>鞋子</t>
        </is>
      </c>
      <c r="E26" s="3" t="n">
        <v>5</v>
      </c>
      <c r="F26" s="3" t="inlineStr">
        <is>
          <t>即时合成</t>
        </is>
      </c>
      <c r="G26" s="3" t="n">
        <v>1</v>
      </c>
      <c r="H26" s="3" t="inlineStr">
        <is>
          <t>blueprint_xiaoweichangxue</t>
        </is>
      </c>
      <c r="I26" s="3" t="inlineStr">
        <is>
          <t>校尉长靴图纸</t>
        </is>
      </c>
      <c r="J26" s="3" t="inlineStr">
        <is>
          <t>铜×22、锡×12、铁×10、木质精华×2、铜质精华×2、水曲木×8、铁木×4、刨子×5、空气之石×2</t>
        </is>
      </c>
      <c r="K26" s="3" t="inlineStr">
        <is>
          <t>{"tong":22,"xi":12,"tie":10,"wood_essence":2,"copper_essence":2,"shuiqumu":8,"tiemu":4,"paozi":5,"air_stone":2}</t>
        </is>
      </c>
      <c r="L26" s="3" t="inlineStr">
        <is>
          <t>data/forge_blueprints.yaml:blueprint_key=blueprint_xiaoweichangxue</t>
        </is>
      </c>
    </row>
    <row r="27">
      <c r="A27" s="3" t="inlineStr">
        <is>
          <t>equip_huxianxie</t>
        </is>
      </c>
      <c r="B27" s="3" t="inlineStr">
        <is>
          <t>狐仙鞋</t>
        </is>
      </c>
      <c r="C27" s="3" t="inlineStr">
        <is>
          <t>图纸合成</t>
        </is>
      </c>
      <c r="D27" s="3" t="inlineStr">
        <is>
          <t>鞋子</t>
        </is>
      </c>
      <c r="E27" s="3" t="n">
        <v>7</v>
      </c>
      <c r="F27" s="3" t="inlineStr">
        <is>
          <t>即时合成</t>
        </is>
      </c>
      <c r="G27" s="3" t="n">
        <v>1</v>
      </c>
      <c r="H27" s="3" t="inlineStr">
        <is>
          <t>blueprint_huxianxie</t>
        </is>
      </c>
      <c r="I27" s="3" t="inlineStr">
        <is>
          <t>狐仙鞋图纸</t>
        </is>
      </c>
      <c r="J27" s="3" t="inlineStr">
        <is>
          <t>铜×32、锡×20、铁×15、木质精华×3、铜质精华×3、玄铁精华×2、紫檀木×6、水曲木×12、铁木×3、金刚煤×2、刨子×8、凿子×2、高炉×1、空气之石×3</t>
        </is>
      </c>
      <c r="K27" s="3" t="inlineStr">
        <is>
          <t>{"tong":32,"xi":20,"tie":15,"wood_essence":3,"copper_essence":3,"xuan_tie_essence":2,"zitanmu":6,"shuiqumu":12,"tiemu":3,"jingangmei":2,"paozi":8,"zaozi":2,"gaolu":1,"air_stone":3}</t>
        </is>
      </c>
      <c r="L27" s="3" t="inlineStr">
        <is>
          <t>data/forge_blueprints.yaml:blueprint_key=blueprint_huxianxie</t>
        </is>
      </c>
    </row>
    <row r="28">
      <c r="A28" s="3" t="inlineStr">
        <is>
          <t>equip_qilinxue</t>
        </is>
      </c>
      <c r="B28" s="3" t="inlineStr">
        <is>
          <t>麒麟靴</t>
        </is>
      </c>
      <c r="C28" s="3" t="inlineStr">
        <is>
          <t>图纸合成</t>
        </is>
      </c>
      <c r="D28" s="3" t="inlineStr">
        <is>
          <t>鞋子</t>
        </is>
      </c>
      <c r="E28" s="3" t="n">
        <v>9</v>
      </c>
      <c r="F28" s="3" t="inlineStr">
        <is>
          <t>即时合成</t>
        </is>
      </c>
      <c r="G28" s="3" t="n">
        <v>1</v>
      </c>
      <c r="H28" s="3" t="inlineStr">
        <is>
          <t>blueprint_qilinxue</t>
        </is>
      </c>
      <c r="I28" s="3" t="inlineStr">
        <is>
          <t>麒麟靴图纸</t>
        </is>
      </c>
      <c r="J28" s="3" t="inlineStr">
        <is>
          <t>铜×36、锡×22、铁×17、玄铁精华×2、水曲木×10、铁木×6、金刚煤×4、刨子×6、凿子×3、高炉×1、火焰之石×2、空气之石×2</t>
        </is>
      </c>
      <c r="K28" s="3" t="inlineStr">
        <is>
          <t>{"tong":36,"xi":22,"tie":17,"xuan_tie_essence":2,"shuiqumu":10,"tiemu":6,"jingangmei":4,"paozi":6,"zaozi":3,"gaolu":1,"fire_stone":2,"air_stone":2}</t>
        </is>
      </c>
      <c r="L28" s="3" t="inlineStr">
        <is>
          <t>data/forge_blueprints.yaml:blueprint_key=blueprint_qilinxue</t>
        </is>
      </c>
    </row>
    <row r="29">
      <c r="A29" s="3" t="inlineStr">
        <is>
          <t>equip_xuanwuxue</t>
        </is>
      </c>
      <c r="B29" s="3" t="inlineStr">
        <is>
          <t>玄武靴</t>
        </is>
      </c>
      <c r="C29" s="3" t="inlineStr">
        <is>
          <t>图纸合成</t>
        </is>
      </c>
      <c r="D29" s="3" t="inlineStr">
        <is>
          <t>鞋子</t>
        </is>
      </c>
      <c r="E29" s="3" t="n">
        <v>9</v>
      </c>
      <c r="F29" s="3" t="inlineStr">
        <is>
          <t>即时合成</t>
        </is>
      </c>
      <c r="G29" s="3" t="n">
        <v>1</v>
      </c>
      <c r="H29" s="3" t="inlineStr">
        <is>
          <t>blueprint_xuanwuxue</t>
        </is>
      </c>
      <c r="I29" s="3" t="inlineStr">
        <is>
          <t>玄武靴图纸</t>
        </is>
      </c>
      <c r="J29" s="3" t="inlineStr">
        <is>
          <t>铜×39、锡×24、铁×20、玄铁精华×2、水曲木×8、铁木×9、黑原石×5、金刚煤×4、刨子×5、凿子×4、高炉×1、大地之石×3</t>
        </is>
      </c>
      <c r="K29" s="3" t="inlineStr">
        <is>
          <t>{"tong":39,"xi":24,"tie":20,"xuan_tie_essence":2,"shuiqumu":8,"tiemu":9,"heiyuanshi":5,"jingangmei":4,"paozi":5,"zaozi":4,"gaolu":1,"earth_stone":3}</t>
        </is>
      </c>
      <c r="L29" s="3" t="inlineStr">
        <is>
          <t>data/forge_blueprints.yaml:blueprint_key=blueprint_xuanwuxue</t>
        </is>
      </c>
    </row>
    <row r="30">
      <c r="A30" s="3" t="inlineStr">
        <is>
          <t>equip_dakandao</t>
        </is>
      </c>
      <c r="B30" s="3" t="inlineStr">
        <is>
          <t>大砍刀</t>
        </is>
      </c>
      <c r="C30" s="3" t="inlineStr">
        <is>
          <t>普通锻造</t>
        </is>
      </c>
      <c r="D30" s="3" t="inlineStr">
        <is>
          <t>刀</t>
        </is>
      </c>
      <c r="E30" s="3" t="n">
        <v>3</v>
      </c>
      <c r="F30" s="3" t="n">
        <v>180</v>
      </c>
      <c r="G30" s="3" t="n">
        <v>1</v>
      </c>
      <c r="H30" s="3" t="inlineStr"/>
      <c r="I30" s="3" t="inlineStr"/>
      <c r="J30" s="3" t="inlineStr">
        <is>
          <t>铜×10、锡×5</t>
        </is>
      </c>
      <c r="K30" s="3" t="inlineStr">
        <is>
          <t>{"tong":10,"xi":5}</t>
        </is>
      </c>
      <c r="L30" s="3" t="inlineStr">
        <is>
          <t>data/forge_equipment.yaml:equipment.equip_dakandao</t>
        </is>
      </c>
    </row>
    <row r="31">
      <c r="A31" s="3" t="inlineStr">
        <is>
          <t>equip_duandao</t>
        </is>
      </c>
      <c r="B31" s="3" t="inlineStr">
        <is>
          <t>短刀</t>
        </is>
      </c>
      <c r="C31" s="3" t="inlineStr">
        <is>
          <t>普通锻造</t>
        </is>
      </c>
      <c r="D31" s="3" t="inlineStr">
        <is>
          <t>刀</t>
        </is>
      </c>
      <c r="E31" s="3" t="n">
        <v>1</v>
      </c>
      <c r="F31" s="3" t="n">
        <v>120</v>
      </c>
      <c r="G31" s="3" t="n">
        <v>1</v>
      </c>
      <c r="H31" s="3" t="inlineStr"/>
      <c r="I31" s="3" t="inlineStr"/>
      <c r="J31" s="3" t="inlineStr">
        <is>
          <t>铜×5</t>
        </is>
      </c>
      <c r="K31" s="3" t="inlineStr">
        <is>
          <t>{"tong":5}</t>
        </is>
      </c>
      <c r="L31" s="3" t="inlineStr">
        <is>
          <t>data/forge_equipment.yaml:equipment.equip_duandao</t>
        </is>
      </c>
    </row>
    <row r="32">
      <c r="A32" s="3" t="inlineStr">
        <is>
          <t>equip_changjian</t>
        </is>
      </c>
      <c r="B32" s="3" t="inlineStr">
        <is>
          <t>长剑</t>
        </is>
      </c>
      <c r="C32" s="3" t="inlineStr">
        <is>
          <t>普通锻造</t>
        </is>
      </c>
      <c r="D32" s="3" t="inlineStr">
        <is>
          <t>剑</t>
        </is>
      </c>
      <c r="E32" s="3" t="n">
        <v>3</v>
      </c>
      <c r="F32" s="3" t="n">
        <v>180</v>
      </c>
      <c r="G32" s="3" t="n">
        <v>1</v>
      </c>
      <c r="H32" s="3" t="inlineStr"/>
      <c r="I32" s="3" t="inlineStr"/>
      <c r="J32" s="3" t="inlineStr">
        <is>
          <t>铜×10、锡×5</t>
        </is>
      </c>
      <c r="K32" s="3" t="inlineStr">
        <is>
          <t>{"tong":10,"xi":5}</t>
        </is>
      </c>
      <c r="L32" s="3" t="inlineStr">
        <is>
          <t>data/forge_equipment.yaml:equipment.equip_changjian</t>
        </is>
      </c>
    </row>
    <row r="33">
      <c r="A33" s="3" t="inlineStr">
        <is>
          <t>equip_duanjian</t>
        </is>
      </c>
      <c r="B33" s="3" t="inlineStr">
        <is>
          <t>短剑</t>
        </is>
      </c>
      <c r="C33" s="3" t="inlineStr">
        <is>
          <t>普通锻造</t>
        </is>
      </c>
      <c r="D33" s="3" t="inlineStr">
        <is>
          <t>剑</t>
        </is>
      </c>
      <c r="E33" s="3" t="n">
        <v>1</v>
      </c>
      <c r="F33" s="3" t="n">
        <v>120</v>
      </c>
      <c r="G33" s="3" t="n">
        <v>1</v>
      </c>
      <c r="H33" s="3" t="inlineStr"/>
      <c r="I33" s="3" t="inlineStr"/>
      <c r="J33" s="3" t="inlineStr">
        <is>
          <t>铜×5</t>
        </is>
      </c>
      <c r="K33" s="3" t="inlineStr">
        <is>
          <t>{"tong":5}</t>
        </is>
      </c>
      <c r="L33" s="3" t="inlineStr">
        <is>
          <t>data/forge_equipment.yaml:equipment.equip_duanjian</t>
        </is>
      </c>
    </row>
    <row r="34">
      <c r="A34" s="3" t="inlineStr">
        <is>
          <t>equip_changgong</t>
        </is>
      </c>
      <c r="B34" s="3" t="inlineStr">
        <is>
          <t>长弓</t>
        </is>
      </c>
      <c r="C34" s="3" t="inlineStr">
        <is>
          <t>普通锻造</t>
        </is>
      </c>
      <c r="D34" s="3" t="inlineStr">
        <is>
          <t>弓</t>
        </is>
      </c>
      <c r="E34" s="3" t="n">
        <v>1</v>
      </c>
      <c r="F34" s="3" t="n">
        <v>120</v>
      </c>
      <c r="G34" s="3" t="n">
        <v>1</v>
      </c>
      <c r="H34" s="3" t="inlineStr"/>
      <c r="I34" s="3" t="inlineStr"/>
      <c r="J34" s="3" t="inlineStr">
        <is>
          <t>铜×5</t>
        </is>
      </c>
      <c r="K34" s="3" t="inlineStr">
        <is>
          <t>{"tong":5}</t>
        </is>
      </c>
      <c r="L34" s="3" t="inlineStr">
        <is>
          <t>data/forge_equipment.yaml:equipment.equip_changgong</t>
        </is>
      </c>
    </row>
    <row r="35">
      <c r="A35" s="3" t="inlineStr">
        <is>
          <t>equip_fanqugong</t>
        </is>
      </c>
      <c r="B35" s="3" t="inlineStr">
        <is>
          <t>反曲弓</t>
        </is>
      </c>
      <c r="C35" s="3" t="inlineStr">
        <is>
          <t>普通锻造</t>
        </is>
      </c>
      <c r="D35" s="3" t="inlineStr">
        <is>
          <t>弓</t>
        </is>
      </c>
      <c r="E35" s="3" t="n">
        <v>3</v>
      </c>
      <c r="F35" s="3" t="n">
        <v>180</v>
      </c>
      <c r="G35" s="3" t="n">
        <v>1</v>
      </c>
      <c r="H35" s="3" t="inlineStr"/>
      <c r="I35" s="3" t="inlineStr"/>
      <c r="J35" s="3" t="inlineStr">
        <is>
          <t>铜×10、锡×5</t>
        </is>
      </c>
      <c r="K35" s="3" t="inlineStr">
        <is>
          <t>{"tong":10,"xi":5}</t>
        </is>
      </c>
      <c r="L35" s="3" t="inlineStr">
        <is>
          <t>data/forge_equipment.yaml:equipment.equip_fanqugong</t>
        </is>
      </c>
    </row>
    <row r="36">
      <c r="A36" s="3" t="inlineStr">
        <is>
          <t>equip_baoweiqiang</t>
        </is>
      </c>
      <c r="B36" s="3" t="inlineStr">
        <is>
          <t>豹尾枪</t>
        </is>
      </c>
      <c r="C36" s="3" t="inlineStr">
        <is>
          <t>普通锻造</t>
        </is>
      </c>
      <c r="D36" s="3" t="inlineStr">
        <is>
          <t>枪</t>
        </is>
      </c>
      <c r="E36" s="3" t="n">
        <v>3</v>
      </c>
      <c r="F36" s="3" t="n">
        <v>180</v>
      </c>
      <c r="G36" s="3" t="n">
        <v>1</v>
      </c>
      <c r="H36" s="3" t="inlineStr"/>
      <c r="I36" s="3" t="inlineStr"/>
      <c r="J36" s="3" t="inlineStr">
        <is>
          <t>铜×10、锡×5</t>
        </is>
      </c>
      <c r="K36" s="3" t="inlineStr">
        <is>
          <t>{"tong":10,"xi":5}</t>
        </is>
      </c>
      <c r="L36" s="3" t="inlineStr">
        <is>
          <t>data/forge_equipment.yaml:equipment.equip_baoweiqiang</t>
        </is>
      </c>
    </row>
    <row r="37">
      <c r="A37" s="3" t="inlineStr">
        <is>
          <t>equip_changqiang</t>
        </is>
      </c>
      <c r="B37" s="3" t="inlineStr">
        <is>
          <t>长枪</t>
        </is>
      </c>
      <c r="C37" s="3" t="inlineStr">
        <is>
          <t>普通锻造</t>
        </is>
      </c>
      <c r="D37" s="3" t="inlineStr">
        <is>
          <t>枪</t>
        </is>
      </c>
      <c r="E37" s="3" t="n">
        <v>1</v>
      </c>
      <c r="F37" s="3" t="n">
        <v>120</v>
      </c>
      <c r="G37" s="3" t="n">
        <v>1</v>
      </c>
      <c r="H37" s="3" t="inlineStr"/>
      <c r="I37" s="3" t="inlineStr"/>
      <c r="J37" s="3" t="inlineStr">
        <is>
          <t>铜×5</t>
        </is>
      </c>
      <c r="K37" s="3" t="inlineStr">
        <is>
          <t>{"tong":5}</t>
        </is>
      </c>
      <c r="L37" s="3" t="inlineStr">
        <is>
          <t>data/forge_equipment.yaml:equipment.equip_changqiang</t>
        </is>
      </c>
    </row>
    <row r="38">
      <c r="A38" s="3" t="inlineStr">
        <is>
          <t>equip_changbian</t>
        </is>
      </c>
      <c r="B38" s="3" t="inlineStr">
        <is>
          <t>长鞭</t>
        </is>
      </c>
      <c r="C38" s="3" t="inlineStr">
        <is>
          <t>普通锻造</t>
        </is>
      </c>
      <c r="D38" s="3" t="inlineStr">
        <is>
          <t>鞭</t>
        </is>
      </c>
      <c r="E38" s="3" t="n">
        <v>1</v>
      </c>
      <c r="F38" s="3" t="n">
        <v>120</v>
      </c>
      <c r="G38" s="3" t="n">
        <v>1</v>
      </c>
      <c r="H38" s="3" t="inlineStr"/>
      <c r="I38" s="3" t="inlineStr"/>
      <c r="J38" s="3" t="inlineStr">
        <is>
          <t>铜×5</t>
        </is>
      </c>
      <c r="K38" s="3" t="inlineStr">
        <is>
          <t>{"tong":5}</t>
        </is>
      </c>
      <c r="L38" s="3" t="inlineStr">
        <is>
          <t>data/forge_equipment.yaml:equipment.equip_changbian</t>
        </is>
      </c>
    </row>
    <row r="39">
      <c r="A39" s="3" t="inlineStr">
        <is>
          <t>equip_niupibian</t>
        </is>
      </c>
      <c r="B39" s="3" t="inlineStr">
        <is>
          <t>牛皮鞭</t>
        </is>
      </c>
      <c r="C39" s="3" t="inlineStr">
        <is>
          <t>普通锻造</t>
        </is>
      </c>
      <c r="D39" s="3" t="inlineStr">
        <is>
          <t>鞭</t>
        </is>
      </c>
      <c r="E39" s="3" t="n">
        <v>3</v>
      </c>
      <c r="F39" s="3" t="n">
        <v>180</v>
      </c>
      <c r="G39" s="3" t="n">
        <v>1</v>
      </c>
      <c r="H39" s="3" t="inlineStr"/>
      <c r="I39" s="3" t="inlineStr"/>
      <c r="J39" s="3" t="inlineStr">
        <is>
          <t>铜×10、锡×5</t>
        </is>
      </c>
      <c r="K39" s="3" t="inlineStr">
        <is>
          <t>{"tong":10,"xi":5}</t>
        </is>
      </c>
      <c r="L39" s="3" t="inlineStr">
        <is>
          <t>data/forge_equipment.yaml:equipment.equip_niupibian</t>
        </is>
      </c>
    </row>
    <row r="40">
      <c r="A40" s="3" t="inlineStr">
        <is>
          <t>equip_jingtiedao</t>
        </is>
      </c>
      <c r="B40" s="3" t="inlineStr">
        <is>
          <t>精铁刀</t>
        </is>
      </c>
      <c r="C40" s="3" t="inlineStr">
        <is>
          <t>普通锻造</t>
        </is>
      </c>
      <c r="D40" s="3" t="inlineStr">
        <is>
          <t>刀</t>
        </is>
      </c>
      <c r="E40" s="3" t="n">
        <v>7</v>
      </c>
      <c r="F40" s="3" t="n">
        <v>300</v>
      </c>
      <c r="G40" s="3" t="n">
        <v>1</v>
      </c>
      <c r="H40" s="3" t="inlineStr"/>
      <c r="I40" s="3" t="inlineStr"/>
      <c r="J40" s="3" t="inlineStr">
        <is>
          <t>铁×20</t>
        </is>
      </c>
      <c r="K40" s="3" t="inlineStr">
        <is>
          <t>{"tie":20}</t>
        </is>
      </c>
      <c r="L40" s="3" t="inlineStr">
        <is>
          <t>data/forge_equipment.yaml:equipment.equip_jingtiedao</t>
        </is>
      </c>
    </row>
    <row r="41">
      <c r="A41" s="3" t="inlineStr">
        <is>
          <t>equip_tongchangdao</t>
        </is>
      </c>
      <c r="B41" s="3" t="inlineStr">
        <is>
          <t>铜长刀</t>
        </is>
      </c>
      <c r="C41" s="3" t="inlineStr">
        <is>
          <t>普通锻造</t>
        </is>
      </c>
      <c r="D41" s="3" t="inlineStr">
        <is>
          <t>刀</t>
        </is>
      </c>
      <c r="E41" s="3" t="n">
        <v>5</v>
      </c>
      <c r="F41" s="3" t="n">
        <v>240</v>
      </c>
      <c r="G41" s="3" t="n">
        <v>1</v>
      </c>
      <c r="H41" s="3" t="inlineStr"/>
      <c r="I41" s="3" t="inlineStr"/>
      <c r="J41" s="3" t="inlineStr">
        <is>
          <t>铁×10</t>
        </is>
      </c>
      <c r="K41" s="3" t="inlineStr">
        <is>
          <t>{"tie":10}</t>
        </is>
      </c>
      <c r="L41" s="3" t="inlineStr">
        <is>
          <t>data/forge_equipment.yaml:equipment.equip_tongchangdao</t>
        </is>
      </c>
    </row>
    <row r="42">
      <c r="A42" s="3" t="inlineStr">
        <is>
          <t>equip_duanmajian</t>
        </is>
      </c>
      <c r="B42" s="3" t="inlineStr">
        <is>
          <t>断马剑</t>
        </is>
      </c>
      <c r="C42" s="3" t="inlineStr">
        <is>
          <t>普通锻造</t>
        </is>
      </c>
      <c r="D42" s="3" t="inlineStr">
        <is>
          <t>剑</t>
        </is>
      </c>
      <c r="E42" s="3" t="n">
        <v>7</v>
      </c>
      <c r="F42" s="3" t="n">
        <v>300</v>
      </c>
      <c r="G42" s="3" t="n">
        <v>1</v>
      </c>
      <c r="H42" s="3" t="inlineStr"/>
      <c r="I42" s="3" t="inlineStr"/>
      <c r="J42" s="3" t="inlineStr">
        <is>
          <t>铁×20</t>
        </is>
      </c>
      <c r="K42" s="3" t="inlineStr">
        <is>
          <t>{"tie":20}</t>
        </is>
      </c>
      <c r="L42" s="3" t="inlineStr">
        <is>
          <t>data/forge_equipment.yaml:equipment.equip_duanmajian</t>
        </is>
      </c>
    </row>
    <row r="43">
      <c r="A43" s="3" t="inlineStr">
        <is>
          <t>equip_qingmangjian</t>
        </is>
      </c>
      <c r="B43" s="3" t="inlineStr">
        <is>
          <t>青芒剑</t>
        </is>
      </c>
      <c r="C43" s="3" t="inlineStr">
        <is>
          <t>普通锻造</t>
        </is>
      </c>
      <c r="D43" s="3" t="inlineStr">
        <is>
          <t>剑</t>
        </is>
      </c>
      <c r="E43" s="3" t="n">
        <v>5</v>
      </c>
      <c r="F43" s="3" t="n">
        <v>240</v>
      </c>
      <c r="G43" s="3" t="n">
        <v>1</v>
      </c>
      <c r="H43" s="3" t="inlineStr"/>
      <c r="I43" s="3" t="inlineStr"/>
      <c r="J43" s="3" t="inlineStr">
        <is>
          <t>铁×10</t>
        </is>
      </c>
      <c r="K43" s="3" t="inlineStr">
        <is>
          <t>{"tie":10}</t>
        </is>
      </c>
      <c r="L43" s="3" t="inlineStr">
        <is>
          <t>data/forge_equipment.yaml:equipment.equip_qingmangjian</t>
        </is>
      </c>
    </row>
    <row r="44">
      <c r="A44" s="3" t="inlineStr">
        <is>
          <t>equip_shenbigong</t>
        </is>
      </c>
      <c r="B44" s="3" t="inlineStr">
        <is>
          <t>神臂弓</t>
        </is>
      </c>
      <c r="C44" s="3" t="inlineStr">
        <is>
          <t>普通锻造</t>
        </is>
      </c>
      <c r="D44" s="3" t="inlineStr">
        <is>
          <t>弓</t>
        </is>
      </c>
      <c r="E44" s="3" t="n">
        <v>7</v>
      </c>
      <c r="F44" s="3" t="n">
        <v>300</v>
      </c>
      <c r="G44" s="3" t="n">
        <v>1</v>
      </c>
      <c r="H44" s="3" t="inlineStr"/>
      <c r="I44" s="3" t="inlineStr"/>
      <c r="J44" s="3" t="inlineStr">
        <is>
          <t>铁×20</t>
        </is>
      </c>
      <c r="K44" s="3" t="inlineStr">
        <is>
          <t>{"tie":20}</t>
        </is>
      </c>
      <c r="L44" s="3" t="inlineStr">
        <is>
          <t>data/forge_equipment.yaml:equipment.equip_shenbigong</t>
        </is>
      </c>
    </row>
    <row r="45">
      <c r="A45" s="3" t="inlineStr">
        <is>
          <t>equip_tietaigong</t>
        </is>
      </c>
      <c r="B45" s="3" t="inlineStr">
        <is>
          <t>铁胎弓</t>
        </is>
      </c>
      <c r="C45" s="3" t="inlineStr">
        <is>
          <t>普通锻造</t>
        </is>
      </c>
      <c r="D45" s="3" t="inlineStr">
        <is>
          <t>弓</t>
        </is>
      </c>
      <c r="E45" s="3" t="n">
        <v>5</v>
      </c>
      <c r="F45" s="3" t="n">
        <v>240</v>
      </c>
      <c r="G45" s="3" t="n">
        <v>1</v>
      </c>
      <c r="H45" s="3" t="inlineStr"/>
      <c r="I45" s="3" t="inlineStr"/>
      <c r="J45" s="3" t="inlineStr">
        <is>
          <t>铁×10</t>
        </is>
      </c>
      <c r="K45" s="3" t="inlineStr">
        <is>
          <t>{"tie":10}</t>
        </is>
      </c>
      <c r="L45" s="3" t="inlineStr">
        <is>
          <t>data/forge_equipment.yaml:equipment.equip_tietaigong</t>
        </is>
      </c>
    </row>
    <row r="46">
      <c r="A46" s="3" t="inlineStr">
        <is>
          <t>equip_hutoumao</t>
        </is>
      </c>
      <c r="B46" s="3" t="inlineStr">
        <is>
          <t>虎头矛</t>
        </is>
      </c>
      <c r="C46" s="3" t="inlineStr">
        <is>
          <t>普通锻造</t>
        </is>
      </c>
      <c r="D46" s="3" t="inlineStr">
        <is>
          <t>枪</t>
        </is>
      </c>
      <c r="E46" s="3" t="n">
        <v>5</v>
      </c>
      <c r="F46" s="3" t="n">
        <v>240</v>
      </c>
      <c r="G46" s="3" t="n">
        <v>1</v>
      </c>
      <c r="H46" s="3" t="inlineStr"/>
      <c r="I46" s="3" t="inlineStr"/>
      <c r="J46" s="3" t="inlineStr">
        <is>
          <t>铁×10</t>
        </is>
      </c>
      <c r="K46" s="3" t="inlineStr">
        <is>
          <t>{"tie":10}</t>
        </is>
      </c>
      <c r="L46" s="3" t="inlineStr">
        <is>
          <t>data/forge_equipment.yaml:equipment.equip_hutoumao</t>
        </is>
      </c>
    </row>
    <row r="47">
      <c r="A47" s="3" t="inlineStr">
        <is>
          <t>equip_pansheqiang</t>
        </is>
      </c>
      <c r="B47" s="3" t="inlineStr">
        <is>
          <t>盘蛇枪</t>
        </is>
      </c>
      <c r="C47" s="3" t="inlineStr">
        <is>
          <t>普通锻造</t>
        </is>
      </c>
      <c r="D47" s="3" t="inlineStr">
        <is>
          <t>枪</t>
        </is>
      </c>
      <c r="E47" s="3" t="n">
        <v>7</v>
      </c>
      <c r="F47" s="3" t="n">
        <v>300</v>
      </c>
      <c r="G47" s="3" t="n">
        <v>1</v>
      </c>
      <c r="H47" s="3" t="inlineStr"/>
      <c r="I47" s="3" t="inlineStr"/>
      <c r="J47" s="3" t="inlineStr">
        <is>
          <t>铁×20</t>
        </is>
      </c>
      <c r="K47" s="3" t="inlineStr">
        <is>
          <t>{"tie":20}</t>
        </is>
      </c>
      <c r="L47" s="3" t="inlineStr">
        <is>
          <t>data/forge_equipment.yaml:equipment.equip_pansheqiang</t>
        </is>
      </c>
    </row>
    <row r="48">
      <c r="A48" s="3" t="inlineStr">
        <is>
          <t>equip_jicibian</t>
        </is>
      </c>
      <c r="B48" s="3" t="inlineStr">
        <is>
          <t>棘刺鞭</t>
        </is>
      </c>
      <c r="C48" s="3" t="inlineStr">
        <is>
          <t>普通锻造</t>
        </is>
      </c>
      <c r="D48" s="3" t="inlineStr">
        <is>
          <t>鞭</t>
        </is>
      </c>
      <c r="E48" s="3" t="n">
        <v>5</v>
      </c>
      <c r="F48" s="3" t="n">
        <v>240</v>
      </c>
      <c r="G48" s="3" t="n">
        <v>1</v>
      </c>
      <c r="H48" s="3" t="inlineStr"/>
      <c r="I48" s="3" t="inlineStr"/>
      <c r="J48" s="3" t="inlineStr">
        <is>
          <t>铁×10</t>
        </is>
      </c>
      <c r="K48" s="3" t="inlineStr">
        <is>
          <t>{"tie":10}</t>
        </is>
      </c>
      <c r="L48" s="3" t="inlineStr">
        <is>
          <t>data/forge_equipment.yaml:equipment.equip_jicibian</t>
        </is>
      </c>
    </row>
    <row r="49">
      <c r="A49" s="3" t="inlineStr">
        <is>
          <t>equip_jiulonggangbian</t>
        </is>
      </c>
      <c r="B49" s="3" t="inlineStr">
        <is>
          <t>九龙钢鞭</t>
        </is>
      </c>
      <c r="C49" s="3" t="inlineStr">
        <is>
          <t>普通锻造</t>
        </is>
      </c>
      <c r="D49" s="3" t="inlineStr">
        <is>
          <t>鞭</t>
        </is>
      </c>
      <c r="E49" s="3" t="n">
        <v>7</v>
      </c>
      <c r="F49" s="3" t="n">
        <v>300</v>
      </c>
      <c r="G49" s="3" t="n">
        <v>1</v>
      </c>
      <c r="H49" s="3" t="inlineStr"/>
      <c r="I49" s="3" t="inlineStr"/>
      <c r="J49" s="3" t="inlineStr">
        <is>
          <t>铁×20</t>
        </is>
      </c>
      <c r="K49" s="3" t="inlineStr">
        <is>
          <t>{"tie":20}</t>
        </is>
      </c>
      <c r="L49" s="3" t="inlineStr">
        <is>
          <t>data/forge_equipment.yaml:equipment.equip_jiulonggangbian</t>
        </is>
      </c>
    </row>
    <row r="50">
      <c r="A50" s="3" t="inlineStr">
        <is>
          <t>equip_mingshejiebian</t>
        </is>
      </c>
      <c r="B50" s="3" t="inlineStr">
        <is>
          <t>冥蛇节鞭</t>
        </is>
      </c>
      <c r="C50" s="3" t="inlineStr">
        <is>
          <t>普通锻造</t>
        </is>
      </c>
      <c r="D50" s="3" t="inlineStr">
        <is>
          <t>鞭</t>
        </is>
      </c>
      <c r="E50" s="3" t="n">
        <v>9</v>
      </c>
      <c r="F50" s="3" t="n">
        <v>360</v>
      </c>
      <c r="G50" s="3" t="n">
        <v>1</v>
      </c>
      <c r="H50" s="3" t="inlineStr"/>
      <c r="I50" s="3" t="inlineStr"/>
      <c r="J50" s="3" t="inlineStr">
        <is>
          <t>铁×30</t>
        </is>
      </c>
      <c r="K50" s="3" t="inlineStr">
        <is>
          <t>{"tie":30}</t>
        </is>
      </c>
      <c r="L50" s="3" t="inlineStr">
        <is>
          <t>data/forge_equipment.yaml:equipment.equip_mingshejiebian</t>
        </is>
      </c>
    </row>
    <row r="51">
      <c r="A51" s="3" t="inlineStr">
        <is>
          <t>equip_qinglongdao</t>
        </is>
      </c>
      <c r="B51" s="3" t="inlineStr">
        <is>
          <t>青龙刀</t>
        </is>
      </c>
      <c r="C51" s="3" t="inlineStr">
        <is>
          <t>图纸合成</t>
        </is>
      </c>
      <c r="D51" s="3" t="inlineStr">
        <is>
          <t>武器</t>
        </is>
      </c>
      <c r="E51" s="3" t="n">
        <v>5</v>
      </c>
      <c r="F51" s="3" t="inlineStr">
        <is>
          <t>即时合成</t>
        </is>
      </c>
      <c r="G51" s="3" t="n">
        <v>1</v>
      </c>
      <c r="H51" s="3" t="inlineStr">
        <is>
          <t>blueprint_qinglongdao</t>
        </is>
      </c>
      <c r="I51" s="3" t="inlineStr">
        <is>
          <t>青龙刀图纸</t>
        </is>
      </c>
      <c r="J51" s="3" t="inlineStr">
        <is>
          <t>铜×32、锡×20、铁×15、木质精华×3、铜质精华×3、紫檀木×4、铁木×5、黑原石×6、金刚煤×5、凿子×4、空气之石×2、纯水之石×2</t>
        </is>
      </c>
      <c r="K51" s="3" t="inlineStr">
        <is>
          <t>{"tong":32,"xi":20,"tie":15,"wood_essence":3,"copper_essence":3,"zitanmu":4,"tiemu":5,"heiyuanshi":6,"jingangmei":5,"zaozi":4,"air_stone":2,"water_stone":2}</t>
        </is>
      </c>
      <c r="L51" s="3" t="inlineStr">
        <is>
          <t>data/forge_blueprints.yaml:blueprint_key=blueprint_qinglongdao</t>
        </is>
      </c>
    </row>
    <row r="52">
      <c r="A52" s="3" t="inlineStr">
        <is>
          <t>equip_xiaoweichangjian</t>
        </is>
      </c>
      <c r="B52" s="3" t="inlineStr">
        <is>
          <t>校尉长剑</t>
        </is>
      </c>
      <c r="C52" s="3" t="inlineStr">
        <is>
          <t>图纸合成</t>
        </is>
      </c>
      <c r="D52" s="3" t="inlineStr">
        <is>
          <t>武器</t>
        </is>
      </c>
      <c r="E52" s="3" t="n">
        <v>5</v>
      </c>
      <c r="F52" s="3" t="inlineStr">
        <is>
          <t>即时合成</t>
        </is>
      </c>
      <c r="G52" s="3" t="n">
        <v>1</v>
      </c>
      <c r="H52" s="3" t="inlineStr">
        <is>
          <t>blueprint_xiaoweichangjian</t>
        </is>
      </c>
      <c r="I52" s="3" t="inlineStr">
        <is>
          <t>校尉长剑图纸</t>
        </is>
      </c>
      <c r="J52" s="3" t="inlineStr">
        <is>
          <t>铜×32、锡×20、铁×15、木质精华×2、铜质精华×3、铁木×5、黑原石×8、金刚煤×5、凿子×5、火焰之石×2</t>
        </is>
      </c>
      <c r="K52" s="3" t="inlineStr">
        <is>
          <t>{"tong":32,"xi":20,"tie":15,"wood_essence":2,"copper_essence":3,"tiemu":5,"heiyuanshi":8,"jingangmei":5,"zaozi":5,"fire_stone":2}</t>
        </is>
      </c>
      <c r="L52" s="3" t="inlineStr">
        <is>
          <t>data/forge_blueprints.yaml:blueprint_key=blueprint_xiaoweichangjian</t>
        </is>
      </c>
    </row>
    <row r="53">
      <c r="A53" s="3" t="inlineStr">
        <is>
          <t>equip_fenglingshan</t>
        </is>
      </c>
      <c r="B53" s="3" t="inlineStr">
        <is>
          <t>凤翎扇</t>
        </is>
      </c>
      <c r="C53" s="3" t="inlineStr">
        <is>
          <t>图纸合成</t>
        </is>
      </c>
      <c r="D53" s="3" t="inlineStr">
        <is>
          <t>武器</t>
        </is>
      </c>
      <c r="E53" s="3" t="n">
        <v>7</v>
      </c>
      <c r="F53" s="3" t="inlineStr">
        <is>
          <t>即时合成</t>
        </is>
      </c>
      <c r="G53" s="3" t="n">
        <v>1</v>
      </c>
      <c r="H53" s="3" t="inlineStr">
        <is>
          <t>blueprint_fenglingshan</t>
        </is>
      </c>
      <c r="I53" s="3" t="inlineStr">
        <is>
          <t>凤翎扇图纸</t>
        </is>
      </c>
      <c r="J53" s="3" t="inlineStr">
        <is>
          <t>铜×41、锡×24、铁×20、木质精华×3、铜质精华×4、紫檀木×11、水曲木×10、铁木×3、金刚煤×3、刨子×9、凿子×3、高炉×1、空气之石×3、纯水之石×2</t>
        </is>
      </c>
      <c r="K53" s="3" t="inlineStr">
        <is>
          <t>{"tong":41,"xi":24,"tie":20,"wood_essence":3,"copper_essence":4,"zitanmu":11,"shuiqumu":10,"tiemu":3,"jingangmei":3,"paozi":9,"zaozi":3,"gaolu":1,"air_stone":3,"water_stone":2}</t>
        </is>
      </c>
      <c r="L53" s="3" t="inlineStr">
        <is>
          <t>data/forge_blueprints.yaml:blueprint_key=blueprint_fenglingshan</t>
        </is>
      </c>
    </row>
    <row r="54">
      <c r="A54" s="3" t="inlineStr">
        <is>
          <t>equip_huxianjian</t>
        </is>
      </c>
      <c r="B54" s="3" t="inlineStr">
        <is>
          <t>狐仙剑</t>
        </is>
      </c>
      <c r="C54" s="3" t="inlineStr">
        <is>
          <t>图纸合成</t>
        </is>
      </c>
      <c r="D54" s="3" t="inlineStr">
        <is>
          <t>武器</t>
        </is>
      </c>
      <c r="E54" s="3" t="n">
        <v>7</v>
      </c>
      <c r="F54" s="3" t="inlineStr">
        <is>
          <t>即时合成</t>
        </is>
      </c>
      <c r="G54" s="3" t="n">
        <v>1</v>
      </c>
      <c r="H54" s="3" t="inlineStr">
        <is>
          <t>blueprint_huxianjian</t>
        </is>
      </c>
      <c r="I54" s="3" t="inlineStr">
        <is>
          <t>狐仙剑图纸</t>
        </is>
      </c>
      <c r="J54" s="3" t="inlineStr">
        <is>
          <t>铜×39、锡×24、铁×20、木质精华×3、铜质精华×3、玄铁精华×2、紫檀木×6、铁木×6、黑原石×10、金刚煤×8、刨子×3、凿子×6、高炉×2、空气之石×2、纯水之石×3</t>
        </is>
      </c>
      <c r="K54" s="3" t="inlineStr">
        <is>
          <t>{"tong":39,"xi":24,"tie":20,"wood_essence":3,"copper_essence":3,"xuan_tie_essence":2,"zitanmu":6,"tiemu":6,"heiyuanshi":10,"jingangmei":8,"paozi":3,"zaozi":6,"gaolu":2,"air_stone":2,"water_stone":3}</t>
        </is>
      </c>
      <c r="L54" s="3" t="inlineStr">
        <is>
          <t>data/forge_blueprints.yaml:blueprint_key=blueprint_huxianjian</t>
        </is>
      </c>
    </row>
    <row r="55">
      <c r="A55" s="3" t="inlineStr">
        <is>
          <t>equip_qilindao</t>
        </is>
      </c>
      <c r="B55" s="3" t="inlineStr">
        <is>
          <t>麒麟刀</t>
        </is>
      </c>
      <c r="C55" s="3" t="inlineStr">
        <is>
          <t>图纸合成</t>
        </is>
      </c>
      <c r="D55" s="3" t="inlineStr">
        <is>
          <t>武器</t>
        </is>
      </c>
      <c r="E55" s="3" t="n">
        <v>9</v>
      </c>
      <c r="F55" s="3" t="inlineStr">
        <is>
          <t>即时合成</t>
        </is>
      </c>
      <c r="G55" s="3" t="n">
        <v>1</v>
      </c>
      <c r="H55" s="3" t="inlineStr">
        <is>
          <t>blueprint_qilindao</t>
        </is>
      </c>
      <c r="I55" s="3" t="inlineStr">
        <is>
          <t>麒麟刀图纸</t>
        </is>
      </c>
      <c r="J55" s="3" t="inlineStr">
        <is>
          <t>铜×51、锡×32、铁×24、玄铁精华×3、铁木×10、黑原石×12、金刚煤×9、刨子×3、凿子×8、高炉×2、火焰之石×4</t>
        </is>
      </c>
      <c r="K55" s="3" t="inlineStr">
        <is>
          <t>{"tong":51,"xi":32,"tie":24,"xuan_tie_essence":3,"tiemu":10,"heiyuanshi":12,"jingangmei":9,"paozi":3,"zaozi":8,"gaolu":2,"fire_stone":4}</t>
        </is>
      </c>
      <c r="L55" s="3" t="inlineStr">
        <is>
          <t>data/forge_blueprints.yaml:blueprint_key=blueprint_qilindao</t>
        </is>
      </c>
    </row>
    <row r="56">
      <c r="A56" s="3" t="inlineStr">
        <is>
          <t>equip_xuanwuchui</t>
        </is>
      </c>
      <c r="B56" s="3" t="inlineStr">
        <is>
          <t>玄武锤</t>
        </is>
      </c>
      <c r="C56" s="3" t="inlineStr">
        <is>
          <t>图纸合成</t>
        </is>
      </c>
      <c r="D56" s="3" t="inlineStr">
        <is>
          <t>武器</t>
        </is>
      </c>
      <c r="E56" s="3" t="n">
        <v>9</v>
      </c>
      <c r="F56" s="3" t="inlineStr">
        <is>
          <t>即时合成</t>
        </is>
      </c>
      <c r="G56" s="3" t="n">
        <v>1</v>
      </c>
      <c r="H56" s="3" t="inlineStr">
        <is>
          <t>blueprint_xuanwuchui</t>
        </is>
      </c>
      <c r="I56" s="3" t="inlineStr">
        <is>
          <t>玄武锤图纸</t>
        </is>
      </c>
      <c r="J56" s="3" t="inlineStr">
        <is>
          <t>铜×53、锡×34、铁×27、玄铁精华×3、铁木×12、黑原石×15、金刚煤×11、刨子×3、凿子×10、高炉×3、纯水之石×2、大地之石×3、火焰之石×2</t>
        </is>
      </c>
      <c r="K56" s="3" t="inlineStr">
        <is>
          <t>{"tong":53,"xi":34,"tie":27,"xuan_tie_essence":3,"tiemu":12,"heiyuanshi":15,"jingangmei":11,"paozi":3,"zaozi":10,"gaolu":3,"water_stone":2,"earth_stone":3,"fire_stone":2}</t>
        </is>
      </c>
      <c r="L56" s="3" t="inlineStr">
        <is>
          <t>data/forge_blueprints.yaml:blueprint_key=blueprint_xuanwuchui</t>
        </is>
      </c>
    </row>
    <row r="57">
      <c r="A57" s="3" t="inlineStr">
        <is>
          <t>equip_huangbiaoma</t>
        </is>
      </c>
      <c r="B57" s="3" t="inlineStr">
        <is>
          <t>黄膘马</t>
        </is>
      </c>
      <c r="C57" s="3" t="inlineStr">
        <is>
          <t>马厩养马</t>
        </is>
      </c>
      <c r="D57" s="3" t="inlineStr">
        <is>
          <t>坐骑</t>
        </is>
      </c>
      <c r="E57" s="3" t="n">
        <v>3</v>
      </c>
      <c r="F57" s="3" t="n">
        <v>180</v>
      </c>
      <c r="G57" s="3" t="n">
        <v>1</v>
      </c>
      <c r="H57" s="3" t="inlineStr"/>
      <c r="I57" s="3" t="inlineStr"/>
      <c r="J57" s="3" t="inlineStr">
        <is>
          <t>粮食×800</t>
        </is>
      </c>
      <c r="K57" s="3" t="inlineStr">
        <is>
          <t>{"grain":800}</t>
        </is>
      </c>
      <c r="L57" s="3" t="inlineStr">
        <is>
          <t>data/stable_production.yaml:production.equip_huangbiaoma</t>
        </is>
      </c>
    </row>
    <row r="58">
      <c r="A58" s="3" t="inlineStr">
        <is>
          <t>equip_zaohongma</t>
        </is>
      </c>
      <c r="B58" s="3" t="inlineStr">
        <is>
          <t>枣红马</t>
        </is>
      </c>
      <c r="C58" s="3" t="inlineStr">
        <is>
          <t>马厩养马</t>
        </is>
      </c>
      <c r="D58" s="3" t="inlineStr">
        <is>
          <t>坐骑</t>
        </is>
      </c>
      <c r="E58" s="3" t="n">
        <v>1</v>
      </c>
      <c r="F58" s="3" t="n">
        <v>120</v>
      </c>
      <c r="G58" s="3" t="n">
        <v>1</v>
      </c>
      <c r="H58" s="3" t="inlineStr"/>
      <c r="I58" s="3" t="inlineStr"/>
      <c r="J58" s="3" t="inlineStr">
        <is>
          <t>粮食×500</t>
        </is>
      </c>
      <c r="K58" s="3" t="inlineStr">
        <is>
          <t>{"grain":500}</t>
        </is>
      </c>
      <c r="L58" s="3" t="inlineStr">
        <is>
          <t>data/stable_production.yaml:production.equip_zaohongma</t>
        </is>
      </c>
    </row>
    <row r="59">
      <c r="A59" s="3" t="inlineStr">
        <is>
          <t>equip_dawanma</t>
        </is>
      </c>
      <c r="B59" s="3" t="inlineStr">
        <is>
          <t>大宛马</t>
        </is>
      </c>
      <c r="C59" s="3" t="inlineStr">
        <is>
          <t>马厩养马</t>
        </is>
      </c>
      <c r="D59" s="3" t="inlineStr">
        <is>
          <t>坐骑</t>
        </is>
      </c>
      <c r="E59" s="3" t="n">
        <v>5</v>
      </c>
      <c r="F59" s="3" t="n">
        <v>240</v>
      </c>
      <c r="G59" s="3" t="n">
        <v>1</v>
      </c>
      <c r="H59" s="3" t="inlineStr"/>
      <c r="I59" s="3" t="inlineStr"/>
      <c r="J59" s="3" t="inlineStr">
        <is>
          <t>粮食×1200</t>
        </is>
      </c>
      <c r="K59" s="3" t="inlineStr">
        <is>
          <t>{"grain":1200}</t>
        </is>
      </c>
      <c r="L59" s="3" t="inlineStr">
        <is>
          <t>data/stable_production.yaml:production.equip_dawanma</t>
        </is>
      </c>
    </row>
    <row r="60">
      <c r="A60" s="3" t="inlineStr">
        <is>
          <t>equip_fenghuangyu</t>
        </is>
      </c>
      <c r="B60" s="3" t="inlineStr">
        <is>
          <t>凤凰羽</t>
        </is>
      </c>
      <c r="C60" s="3" t="inlineStr">
        <is>
          <t>图纸合成</t>
        </is>
      </c>
      <c r="D60" s="3" t="inlineStr">
        <is>
          <t>饰品</t>
        </is>
      </c>
      <c r="E60" s="3" t="n">
        <v>7</v>
      </c>
      <c r="F60" s="3" t="inlineStr">
        <is>
          <t>即时合成</t>
        </is>
      </c>
      <c r="G60" s="3" t="n">
        <v>1</v>
      </c>
      <c r="H60" s="3" t="inlineStr">
        <is>
          <t>blueprint_fenghuangyu</t>
        </is>
      </c>
      <c r="I60" s="3" t="inlineStr">
        <is>
          <t>凤凰羽图纸</t>
        </is>
      </c>
      <c r="J60" s="3" t="inlineStr">
        <is>
          <t>铜×29、锡×17、铁×12、木质精华×4、铜质精华×4、紫檀木×10、水曲木×11、金刚煤×2、刨子×8、凿子×2、高炉×1、空气之石×3、纯水之石×2</t>
        </is>
      </c>
      <c r="K60" s="3" t="inlineStr">
        <is>
          <t>{"tong":29,"xi":17,"tie":12,"wood_essence":4,"copper_essence":4,"zitanmu":10,"shuiqumu":11,"jingangmei":2,"paozi":8,"zaozi":2,"gaolu":1,"air_stone":3,"water_stone":2}</t>
        </is>
      </c>
      <c r="L60" s="3" t="inlineStr">
        <is>
          <t>data/forge_blueprints.yaml:blueprint_key=blueprint_fenghuangyu</t>
        </is>
      </c>
    </row>
    <row r="61">
      <c r="A61" s="3" t="inlineStr">
        <is>
          <t>equip_tongchanjiguan</t>
        </is>
      </c>
      <c r="B61" s="3" t="inlineStr">
        <is>
          <t>铜蝉机关</t>
        </is>
      </c>
      <c r="C61" s="3" t="inlineStr">
        <is>
          <t>图纸合成</t>
        </is>
      </c>
      <c r="D61" s="3" t="inlineStr">
        <is>
          <t>器械</t>
        </is>
      </c>
      <c r="E61" s="3" t="n">
        <v>6</v>
      </c>
      <c r="F61" s="3" t="inlineStr">
        <is>
          <t>即时合成</t>
        </is>
      </c>
      <c r="G61" s="3" t="n">
        <v>1</v>
      </c>
      <c r="H61" s="3" t="inlineStr">
        <is>
          <t>blueprint_tongchanjiguan</t>
        </is>
      </c>
      <c r="I61" s="3" t="inlineStr">
        <is>
          <t>铜蝉机关图纸</t>
        </is>
      </c>
      <c r="J61" s="3" t="inlineStr">
        <is>
          <t>铜×36、锡×24、铁×20、木质精华×2、铜质精华×3、紫檀木×3、水曲木×5、黑原石×3、金刚煤×2、刨子×3、凿子×4、纯水之石×2</t>
        </is>
      </c>
      <c r="K61" s="3" t="inlineStr">
        <is>
          <t>{"tong":36,"xi":24,"tie":20,"wood_essence":2,"copper_essence":3,"zitanmu":3,"shuiqumu":5,"heiyuanshi":3,"jingangmei":2,"paozi":3,"zaozi":4,"water_stone":2}</t>
        </is>
      </c>
      <c r="L61" s="3" t="inlineStr">
        <is>
          <t>data/forge_blueprints.yaml:blueprint_key=blueprint_tongchanjiguan</t>
        </is>
      </c>
    </row>
    <row r="62">
      <c r="A62" s="3" t="inlineStr">
        <is>
          <t>equip_xiaoxingjiguanshu</t>
        </is>
      </c>
      <c r="B62" s="3" t="inlineStr">
        <is>
          <t>小型机关鼠</t>
        </is>
      </c>
      <c r="C62" s="3" t="inlineStr">
        <is>
          <t>图纸合成</t>
        </is>
      </c>
      <c r="D62" s="3" t="inlineStr">
        <is>
          <t>器械</t>
        </is>
      </c>
      <c r="E62" s="3" t="n">
        <v>6</v>
      </c>
      <c r="F62" s="3" t="inlineStr">
        <is>
          <t>即时合成</t>
        </is>
      </c>
      <c r="G62" s="3" t="n">
        <v>1</v>
      </c>
      <c r="H62" s="3" t="inlineStr">
        <is>
          <t>blueprint_xiaoxingjiguanshu</t>
        </is>
      </c>
      <c r="I62" s="3" t="inlineStr">
        <is>
          <t>小型机关鼠图纸</t>
        </is>
      </c>
      <c r="J62" s="3" t="inlineStr">
        <is>
          <t>铜×34、锡×22、铁×17、木质精华×3、铜质精华×2、水曲木×8、铁木×3、金刚煤×2、刨子×4、凿子×3、空气之石×2</t>
        </is>
      </c>
      <c r="K62" s="3" t="inlineStr">
        <is>
          <t>{"tong":34,"xi":22,"tie":17,"wood_essence":3,"copper_essence":2,"shuiqumu":8,"tiemu":3,"jingangmei":2,"paozi":4,"zaozi":3,"air_stone":2}</t>
        </is>
      </c>
      <c r="L62" s="3" t="inlineStr">
        <is>
          <t>data/forge_blueprints.yaml:blueprint_key=blueprint_xiaoxingjiguanshu</t>
        </is>
      </c>
    </row>
    <row r="63">
      <c r="A63" s="3" t="inlineStr">
        <is>
          <t>equip_jiguanchuniao</t>
        </is>
      </c>
      <c r="B63" s="3" t="inlineStr">
        <is>
          <t>机关雏鸟</t>
        </is>
      </c>
      <c r="C63" s="3" t="inlineStr">
        <is>
          <t>图纸合成</t>
        </is>
      </c>
      <c r="D63" s="3" t="inlineStr">
        <is>
          <t>器械</t>
        </is>
      </c>
      <c r="E63" s="3" t="n">
        <v>8</v>
      </c>
      <c r="F63" s="3" t="inlineStr">
        <is>
          <t>即时合成</t>
        </is>
      </c>
      <c r="G63" s="3" t="n">
        <v>1</v>
      </c>
      <c r="H63" s="3" t="inlineStr">
        <is>
          <t>blueprint_jiguanchuniao</t>
        </is>
      </c>
      <c r="I63" s="3" t="inlineStr">
        <is>
          <t>机关雏鸟图纸</t>
        </is>
      </c>
      <c r="J63" s="3" t="inlineStr">
        <is>
          <t>铜×51、锡×34、铁×24、木质精华×3、铜质精华×3、玄铁精华×2、紫檀木×4、水曲木×8、铁木×3、黑原石×4、金刚煤×3、刨子×5、凿子×3、空气之石×2、纯水之石×2</t>
        </is>
      </c>
      <c r="K63" s="3" t="inlineStr">
        <is>
          <t>{"tong":51,"xi":34,"tie":24,"wood_essence":3,"copper_essence":3,"xuan_tie_essence":2,"zitanmu":4,"shuiqumu":8,"tiemu":3,"heiyuanshi":4,"jingangmei":3,"paozi":5,"zaozi":3,"air_stone":2,"water_stone":2}</t>
        </is>
      </c>
      <c r="L63" s="3" t="inlineStr">
        <is>
          <t>data/forge_blueprints.yaml:blueprint_key=blueprint_jiguanchuniao</t>
        </is>
      </c>
    </row>
    <row r="64">
      <c r="A64" s="3" t="inlineStr">
        <is>
          <t>equip_jixiemao</t>
        </is>
      </c>
      <c r="B64" s="3" t="inlineStr">
        <is>
          <t>机械猫</t>
        </is>
      </c>
      <c r="C64" s="3" t="inlineStr">
        <is>
          <t>图纸合成</t>
        </is>
      </c>
      <c r="D64" s="3" t="inlineStr">
        <is>
          <t>器械</t>
        </is>
      </c>
      <c r="E64" s="3" t="n">
        <v>8</v>
      </c>
      <c r="F64" s="3" t="inlineStr">
        <is>
          <t>即时合成</t>
        </is>
      </c>
      <c r="G64" s="3" t="n">
        <v>1</v>
      </c>
      <c r="H64" s="3" t="inlineStr">
        <is>
          <t>blueprint_jixiemao</t>
        </is>
      </c>
      <c r="I64" s="3" t="inlineStr">
        <is>
          <t>机械猫图纸</t>
        </is>
      </c>
      <c r="J64" s="3" t="inlineStr">
        <is>
          <t>铜×48、锡×32、铁×24、木质精华×3、铜质精华×3、玄铁精华×2、紫檀木×4、铁木×6、黑原石×6、金刚煤×4、刨子×4、凿子×4、空气之石×2</t>
        </is>
      </c>
      <c r="K64" s="3" t="inlineStr">
        <is>
          <t>{"tong":48,"xi":32,"tie":24,"wood_essence":3,"copper_essence":3,"xuan_tie_essence":2,"zitanmu":4,"tiemu":6,"heiyuanshi":6,"jingangmei":4,"paozi":4,"zaozi":4,"air_stone":2}</t>
        </is>
      </c>
      <c r="L64" s="3" t="inlineStr">
        <is>
          <t>data/forge_blueprints.yaml:blueprint_key=blueprint_jixiemao</t>
        </is>
      </c>
    </row>
    <row r="65">
      <c r="A65" s="3" t="inlineStr">
        <is>
          <t>equip_kuileimuren</t>
        </is>
      </c>
      <c r="B65" s="3" t="inlineStr">
        <is>
          <t>傀儡木人</t>
        </is>
      </c>
      <c r="C65" s="3" t="inlineStr">
        <is>
          <t>图纸合成</t>
        </is>
      </c>
      <c r="D65" s="3" t="inlineStr">
        <is>
          <t>器械</t>
        </is>
      </c>
      <c r="E65" s="3" t="n">
        <v>8</v>
      </c>
      <c r="F65" s="3" t="inlineStr">
        <is>
          <t>即时合成</t>
        </is>
      </c>
      <c r="G65" s="3" t="n">
        <v>1</v>
      </c>
      <c r="H65" s="3" t="inlineStr">
        <is>
          <t>blueprint_kuileimuren</t>
        </is>
      </c>
      <c r="I65" s="3" t="inlineStr">
        <is>
          <t>傀儡木人图纸</t>
        </is>
      </c>
      <c r="J65" s="3" t="inlineStr">
        <is>
          <t>铜×53、锡×36、铁×29、木质精华×3、铜质精华×4、玄铁精华×2、水曲木×6、铁木×10、黑原石×3、金刚煤×4、刨子×6、凿子×4、大地之石×3</t>
        </is>
      </c>
      <c r="K65" s="3" t="inlineStr">
        <is>
          <t>{"tong":53,"xi":36,"tie":29,"wood_essence":3,"copper_essence":4,"xuan_tie_essence":2,"shuiqumu":6,"tiemu":10,"heiyuanshi":3,"jingangmei":4,"paozi":6,"zaozi":4,"earth_stone":3}</t>
        </is>
      </c>
      <c r="L65" s="3" t="inlineStr">
        <is>
          <t>data/forge_blueprints.yaml:blueprint_key=blueprint_kuileimuren</t>
        </is>
      </c>
    </row>
    <row r="66">
      <c r="A66" s="3" t="inlineStr">
        <is>
          <t>equip_qingji</t>
        </is>
      </c>
      <c r="B66" s="3" t="inlineStr">
        <is>
          <t>庆忌</t>
        </is>
      </c>
      <c r="C66" s="3" t="inlineStr">
        <is>
          <t>图纸合成</t>
        </is>
      </c>
      <c r="D66" s="3" t="inlineStr">
        <is>
          <t>器械</t>
        </is>
      </c>
      <c r="E66" s="3" t="n">
        <v>8</v>
      </c>
      <c r="F66" s="3" t="inlineStr">
        <is>
          <t>即时合成</t>
        </is>
      </c>
      <c r="G66" s="3" t="n">
        <v>1</v>
      </c>
      <c r="H66" s="3" t="inlineStr">
        <is>
          <t>blueprint_qingji</t>
        </is>
      </c>
      <c r="I66" s="3" t="inlineStr">
        <is>
          <t>庆忌图纸</t>
        </is>
      </c>
      <c r="J66" s="3" t="inlineStr">
        <is>
          <t>铜×46、锡×29、铁×22、木质精华×3、铜质精华×3、玄铁精华×2、紫檀木×6、铁木×3、黑原石×6、金刚煤×4、刨子×3、凿子×5、空气之石×2</t>
        </is>
      </c>
      <c r="K66" s="3" t="inlineStr">
        <is>
          <t>{"tong":46,"xi":29,"tie":22,"wood_essence":3,"copper_essence":3,"xuan_tie_essence":2,"zitanmu":6,"tiemu":3,"heiyuanshi":6,"jingangmei":4,"paozi":3,"zaozi":5,"air_stone":2}</t>
        </is>
      </c>
      <c r="L66" s="3" t="inlineStr">
        <is>
          <t>data/forge_blueprints.yaml:blueprint_key=blueprint_qingji</t>
        </is>
      </c>
    </row>
    <row r="67">
      <c r="A67" s="3" t="inlineStr">
        <is>
          <t>equip_jiguanxiong</t>
        </is>
      </c>
      <c r="B67" s="3" t="inlineStr">
        <is>
          <t>机关熊</t>
        </is>
      </c>
      <c r="C67" s="3" t="inlineStr">
        <is>
          <t>图纸合成</t>
        </is>
      </c>
      <c r="D67" s="3" t="inlineStr">
        <is>
          <t>器械</t>
        </is>
      </c>
      <c r="E67" s="3" t="n">
        <v>10</v>
      </c>
      <c r="F67" s="3" t="inlineStr">
        <is>
          <t>即时合成</t>
        </is>
      </c>
      <c r="G67" s="3" t="n">
        <v>1</v>
      </c>
      <c r="H67" s="3" t="inlineStr">
        <is>
          <t>blueprint_jiguanxiong</t>
        </is>
      </c>
      <c r="I67" s="3" t="inlineStr">
        <is>
          <t>机关熊图纸</t>
        </is>
      </c>
      <c r="J67" s="3" t="inlineStr">
        <is>
          <t>铜×68、锡×46、铁×36、木质精华×3、铜质精华×4、玄铁精华×3、紫檀木×4、铁木×15、黑原石×12、金刚煤×10、刨子×8、凿子×9、高炉×3、大地之石×3、火焰之石×2</t>
        </is>
      </c>
      <c r="K67" s="3" t="inlineStr">
        <is>
          <t>{"tong":68,"xi":46,"tie":36,"wood_essence":3,"copper_essence":4,"xuan_tie_essence":3,"zitanmu":4,"tiemu":15,"heiyuanshi":12,"jingangmei":10,"paozi":8,"zaozi":9,"gaolu":3,"earth_stone":3,"fire_stone":2}</t>
        </is>
      </c>
      <c r="L67" s="3" t="inlineStr">
        <is>
          <t>data/forge_blueprints.yaml:blueprint_key=blueprint_jiguanxiong</t>
        </is>
      </c>
    </row>
    <row r="68">
      <c r="A68" s="3" t="inlineStr">
        <is>
          <t>equip_kuileiren</t>
        </is>
      </c>
      <c r="B68" s="3" t="inlineStr">
        <is>
          <t>傀儡人</t>
        </is>
      </c>
      <c r="C68" s="3" t="inlineStr">
        <is>
          <t>图纸合成</t>
        </is>
      </c>
      <c r="D68" s="3" t="inlineStr">
        <is>
          <t>器械</t>
        </is>
      </c>
      <c r="E68" s="3" t="n">
        <v>10</v>
      </c>
      <c r="F68" s="3" t="inlineStr">
        <is>
          <t>即时合成</t>
        </is>
      </c>
      <c r="G68" s="3" t="n">
        <v>1</v>
      </c>
      <c r="H68" s="3" t="inlineStr">
        <is>
          <t>blueprint_kuileiren</t>
        </is>
      </c>
      <c r="I68" s="3" t="inlineStr">
        <is>
          <t>傀儡人图纸</t>
        </is>
      </c>
      <c r="J68" s="3" t="inlineStr">
        <is>
          <t>铜×70、锡×46、铁×36、木质精华×3、铜质精华×4、玄铁精华×3、紫檀木×6、水曲木×5、铁木×16、黑原石×12、金刚煤×9、刨子×9、凿子×11、高炉×3、大地之石×3、空气之石×2</t>
        </is>
      </c>
      <c r="K68" s="3" t="inlineStr">
        <is>
          <t>{"tong":70,"xi":46,"tie":36,"wood_essence":3,"copper_essence":4,"xuan_tie_essence":3,"zitanmu":6,"shuiqumu":5,"tiemu":16,"heiyuanshi":12,"jingangmei":9,"paozi":9,"zaozi":11,"gaolu":3,"earth_stone":3,"air_stone":2}</t>
        </is>
      </c>
      <c r="L68" s="3" t="inlineStr">
        <is>
          <t>data/forge_blueprints.yaml:blueprint_key=blueprint_kuileiren</t>
        </is>
      </c>
    </row>
    <row r="69">
      <c r="A69" s="3" t="inlineStr">
        <is>
          <t>equip_muniuliuma</t>
        </is>
      </c>
      <c r="B69" s="3" t="inlineStr">
        <is>
          <t>木牛流马</t>
        </is>
      </c>
      <c r="C69" s="3" t="inlineStr">
        <is>
          <t>图纸合成</t>
        </is>
      </c>
      <c r="D69" s="3" t="inlineStr">
        <is>
          <t>器械</t>
        </is>
      </c>
      <c r="E69" s="3" t="n">
        <v>10</v>
      </c>
      <c r="F69" s="3" t="inlineStr">
        <is>
          <t>即时合成</t>
        </is>
      </c>
      <c r="G69" s="3" t="n">
        <v>1</v>
      </c>
      <c r="H69" s="3" t="inlineStr">
        <is>
          <t>blueprint_muniuliuma</t>
        </is>
      </c>
      <c r="I69" s="3" t="inlineStr">
        <is>
          <t>木牛流马图纸</t>
        </is>
      </c>
      <c r="J69" s="3" t="inlineStr">
        <is>
          <t>铜×65、锡×44、铁×34、木质精华×4、铜质精华×4、玄铁精华×3、紫檀木×8、水曲木×12、铁木×17、黑原石×5、金刚煤×8、刨子×11、凿子×8、高炉×3、大地之石×3、纯水之石×2</t>
        </is>
      </c>
      <c r="K69" s="3" t="inlineStr">
        <is>
          <t>{"tong":65,"xi":44,"tie":34,"wood_essence":4,"copper_essence":4,"xuan_tie_essence":3,"zitanmu":8,"shuiqumu":12,"tiemu":17,"heiyuanshi":5,"jingangmei":8,"paozi":11,"zaozi":8,"gaolu":3,"earth_stone":3,"water_stone":2}</t>
        </is>
      </c>
      <c r="L69" s="3" t="inlineStr">
        <is>
          <t>data/forge_blueprints.yaml:blueprint_key=blueprint_muniuliuma</t>
        </is>
      </c>
    </row>
    <row r="70">
      <c r="A70" s="3" t="inlineStr">
        <is>
          <t>equip_taotieding</t>
        </is>
      </c>
      <c r="B70" s="3" t="inlineStr">
        <is>
          <t>饕餮鼎</t>
        </is>
      </c>
      <c r="C70" s="3" t="inlineStr">
        <is>
          <t>图纸合成</t>
        </is>
      </c>
      <c r="D70" s="3" t="inlineStr">
        <is>
          <t>器械</t>
        </is>
      </c>
      <c r="E70" s="3" t="n">
        <v>10</v>
      </c>
      <c r="F70" s="3" t="inlineStr">
        <is>
          <t>即时合成</t>
        </is>
      </c>
      <c r="G70" s="3" t="n">
        <v>1</v>
      </c>
      <c r="H70" s="3" t="inlineStr">
        <is>
          <t>blueprint_taotieding</t>
        </is>
      </c>
      <c r="I70" s="3" t="inlineStr">
        <is>
          <t>饕餮鼎图纸</t>
        </is>
      </c>
      <c r="J70" s="3" t="inlineStr">
        <is>
          <t>铜×72、锡×48、铁×39、木质精华×3、铜质精华×4、玄铁精华×3、铁木×12、黑原石×18、金刚煤×15、刨子×3、凿子×12、高炉×4、纯水之石×2、大地之石×3、火焰之石×3</t>
        </is>
      </c>
      <c r="K70" s="3" t="inlineStr">
        <is>
          <t>{"tong":72,"xi":48,"tie":39,"wood_essence":3,"copper_essence":4,"xuan_tie_essence":3,"tiemu":12,"heiyuanshi":18,"jingangmei":15,"paozi":3,"zaozi":12,"gaolu":4,"water_stone":2,"earth_stone":3,"fire_stone":3}</t>
        </is>
      </c>
      <c r="L70" s="3" t="inlineStr">
        <is>
          <t>data/forge_blueprints.yaml:blueprint_key=blueprint_taotieding</t>
        </is>
      </c>
    </row>
    <row r="71">
      <c r="A71" s="3" t="inlineStr">
        <is>
          <t>equip_xuanwujigui</t>
        </is>
      </c>
      <c r="B71" s="3" t="inlineStr">
        <is>
          <t>玄武机龟</t>
        </is>
      </c>
      <c r="C71" s="3" t="inlineStr">
        <is>
          <t>图纸合成</t>
        </is>
      </c>
      <c r="D71" s="3" t="inlineStr">
        <is>
          <t>器械</t>
        </is>
      </c>
      <c r="E71" s="3" t="n">
        <v>10</v>
      </c>
      <c r="F71" s="3" t="inlineStr">
        <is>
          <t>即时合成</t>
        </is>
      </c>
      <c r="G71" s="3" t="n">
        <v>1</v>
      </c>
      <c r="H71" s="3" t="inlineStr">
        <is>
          <t>blueprint_xuanwujigui</t>
        </is>
      </c>
      <c r="I71" s="3" t="inlineStr">
        <is>
          <t>玄武机龟图纸</t>
        </is>
      </c>
      <c r="J71" s="3" t="inlineStr">
        <is>
          <t>铜×75、锡×51、铁×41、木质精华×3、铜质精华×4、玄铁精华×3、紫檀木×3、铁木×14、黑原石×17、金刚煤×11、刨子×5、凿子×11、高炉×4、纯水之石×3、大地之石×3</t>
        </is>
      </c>
      <c r="K71" s="3" t="inlineStr">
        <is>
          <t>{"tong":75,"xi":51,"tie":41,"wood_essence":3,"copper_essence":4,"xuan_tie_essence":3,"zitanmu":3,"tiemu":14,"heiyuanshi":17,"jingangmei":11,"paozi":5,"zaozi":11,"gaolu":4,"water_stone":3,"earth_stone":3}</t>
        </is>
      </c>
      <c r="L71" s="3" t="inlineStr">
        <is>
          <t>data/forge_blueprints.yaml:blueprint_key=blueprint_xuanwujigui</t>
        </is>
      </c>
    </row>
    <row r="72">
      <c r="A72" s="3" t="inlineStr">
        <is>
          <t>equip_chixiaojifeng</t>
        </is>
      </c>
      <c r="B72" s="3" t="inlineStr">
        <is>
          <t>赤霄机凤</t>
        </is>
      </c>
      <c r="C72" s="3" t="inlineStr">
        <is>
          <t>图纸合成</t>
        </is>
      </c>
      <c r="D72" s="3" t="inlineStr">
        <is>
          <t>器械</t>
        </is>
      </c>
      <c r="E72" s="3" t="n">
        <v>10</v>
      </c>
      <c r="F72" s="3" t="inlineStr">
        <is>
          <t>即时合成</t>
        </is>
      </c>
      <c r="G72" s="3" t="n">
        <v>1</v>
      </c>
      <c r="H72" s="3" t="inlineStr">
        <is>
          <t>blueprint_chixiaojifeng</t>
        </is>
      </c>
      <c r="I72" s="3" t="inlineStr">
        <is>
          <t>赤霄机凤图纸</t>
        </is>
      </c>
      <c r="J72" s="3" t="inlineStr">
        <is>
          <t>铜×106、锡×70、铁×56、玄铁精华×4、紫檀木×15、水曲木×10、铁木×20、黑原石×22、金刚煤×22、刨子×9、凿子×15、高炉×8、火焰之石×5、空气之石×3</t>
        </is>
      </c>
      <c r="K72" s="3" t="inlineStr">
        <is>
          <t>{"tong":106,"xi":70,"tie":56,"xuan_tie_essence":4,"zitanmu":15,"shuiqumu":10,"tiemu":20,"heiyuanshi":22,"jingangmei":22,"paozi":9,"zaozi":15,"gaolu":8,"fire_stone":5,"air_stone":3}</t>
        </is>
      </c>
      <c r="L72" s="3" t="inlineStr">
        <is>
          <t>data/forge_blueprints.yaml:blueprint_key=blueprint_chixiaojifeng</t>
        </is>
      </c>
    </row>
    <row r="73">
      <c r="A73" s="3" t="inlineStr">
        <is>
          <t>equip_feiyuan</t>
        </is>
      </c>
      <c r="B73" s="3" t="inlineStr">
        <is>
          <t>飞鸢</t>
        </is>
      </c>
      <c r="C73" s="3" t="inlineStr">
        <is>
          <t>图纸合成</t>
        </is>
      </c>
      <c r="D73" s="3" t="inlineStr">
        <is>
          <t>器械</t>
        </is>
      </c>
      <c r="E73" s="3" t="n">
        <v>10</v>
      </c>
      <c r="F73" s="3" t="inlineStr">
        <is>
          <t>即时合成</t>
        </is>
      </c>
      <c r="G73" s="3" t="n">
        <v>1</v>
      </c>
      <c r="H73" s="3" t="inlineStr">
        <is>
          <t>blueprint_feiyuan</t>
        </is>
      </c>
      <c r="I73" s="3" t="inlineStr">
        <is>
          <t>飞鸢图纸</t>
        </is>
      </c>
      <c r="J73" s="3" t="inlineStr">
        <is>
          <t>铜×101、锡×68、铁×53、玄铁精华×4、紫檀木×17、水曲木×22、铁木×15、黑原石×12、金刚煤×12、刨子×15、凿子×9、高炉×7、空气之石×4、火焰之石×3</t>
        </is>
      </c>
      <c r="K73" s="3" t="inlineStr">
        <is>
          <t>{"tong":101,"xi":68,"tie":53,"xuan_tie_essence":4,"zitanmu":17,"shuiqumu":22,"tiemu":15,"heiyuanshi":12,"jingangmei":12,"paozi":15,"zaozi":9,"gaolu":7,"air_stone":4,"fire_stone":3}</t>
        </is>
      </c>
      <c r="L73" s="3" t="inlineStr">
        <is>
          <t>data/forge_blueprints.yaml:blueprint_key=blueprint_feiyuan</t>
        </is>
      </c>
    </row>
    <row r="74">
      <c r="A74" s="3" t="inlineStr">
        <is>
          <t>equip_mojiajiguanren</t>
        </is>
      </c>
      <c r="B74" s="3" t="inlineStr">
        <is>
          <t>墨家机关人</t>
        </is>
      </c>
      <c r="C74" s="3" t="inlineStr">
        <is>
          <t>图纸合成</t>
        </is>
      </c>
      <c r="D74" s="3" t="inlineStr">
        <is>
          <t>器械</t>
        </is>
      </c>
      <c r="E74" s="3" t="n">
        <v>10</v>
      </c>
      <c r="F74" s="3" t="inlineStr">
        <is>
          <t>即时合成</t>
        </is>
      </c>
      <c r="G74" s="3" t="n">
        <v>1</v>
      </c>
      <c r="H74" s="3" t="inlineStr">
        <is>
          <t>blueprint_mojiajiguanren</t>
        </is>
      </c>
      <c r="I74" s="3" t="inlineStr">
        <is>
          <t>墨家机关人图纸</t>
        </is>
      </c>
      <c r="J74" s="3" t="inlineStr">
        <is>
          <t>铜×116、锡×77、铁×63、玄铁精华×5、紫檀木×15、水曲木×10、铁木×27、黑原石×29、金刚煤×27、刨子×12、凿子×20、高炉×10、大地之石×3、火焰之石×3、纯水之石×3</t>
        </is>
      </c>
      <c r="K74" s="3" t="inlineStr">
        <is>
          <t>{"tong":116,"xi":77,"tie":63,"xuan_tie_essence":5,"zitanmu":15,"shuiqumu":10,"tiemu":27,"heiyuanshi":29,"jingangmei":27,"paozi":12,"zaozi":20,"gaolu":10,"earth_stone":3,"fire_stone":3,"water_stone":3}</t>
        </is>
      </c>
      <c r="L74" s="3" t="inlineStr">
        <is>
          <t>data/forge_blueprints.yaml:blueprint_key=blueprint_mojiajiguanren</t>
        </is>
      </c>
    </row>
  </sheetData>
  <autoFilter ref="A1:L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8" customWidth="1" min="3" max="3"/>
    <col width="110" customWidth="1" min="4" max="4"/>
    <col width="80" customWidth="1" min="5" max="5"/>
  </cols>
  <sheetData>
    <row r="1" ht="30" customHeight="1">
      <c r="A1" s="1" t="inlineStr">
        <is>
          <t>装备key</t>
        </is>
      </c>
      <c r="B1" s="1" t="inlineStr">
        <is>
          <t>装备名称</t>
        </is>
      </c>
      <c r="C1" s="1" t="inlineStr">
        <is>
          <t>获取方式</t>
        </is>
      </c>
      <c r="D1" s="1" t="inlineStr">
        <is>
          <t>条件与配置明细</t>
        </is>
      </c>
      <c r="E1" s="1" t="inlineStr">
        <is>
          <t>数据来源</t>
        </is>
      </c>
    </row>
    <row r="2">
      <c r="A2" s="3" t="inlineStr">
        <is>
          <t>equip_bumao</t>
        </is>
      </c>
      <c r="B2" s="3" t="inlineStr">
        <is>
          <t>布帽</t>
        </is>
      </c>
      <c r="C2" s="3" t="inlineStr">
        <is>
          <t>铁匠铺直接锻造</t>
        </is>
      </c>
      <c r="D2" s="3" t="inlineStr">
        <is>
          <t>锻造技1级；基础时长120秒（实际受时间缩放和建筑速度影响）；每件材料：铜(tong)×5</t>
        </is>
      </c>
      <c r="E2" s="3" t="inlineStr">
        <is>
          <t>data/forge_equipment.yaml</t>
        </is>
      </c>
    </row>
    <row r="3">
      <c r="A3" s="3" t="inlineStr">
        <is>
          <t>equip_caomao</t>
        </is>
      </c>
      <c r="B3" s="3" t="inlineStr">
        <is>
          <t>斗笠</t>
        </is>
      </c>
      <c r="C3" s="3" t="inlineStr">
        <is>
          <t>宝箱随机装备</t>
        </is>
      </c>
      <c r="D3" s="3" t="inlineStr">
        <is>
          <t>持有打工宝箱（小）（work_chest_small）后开启；装备池概率10%；该装备概率0.526316%；数量1；宝箱来源：打工奖励：初级打工完成后领取1个宝箱</t>
        </is>
      </c>
      <c r="E3" s="3" t="inlineStr">
        <is>
          <t>data/item_templates.yaml；gameplay/services/work.py</t>
        </is>
      </c>
    </row>
    <row r="4">
      <c r="A4" s="3" t="inlineStr">
        <is>
          <t>equip_caomao</t>
        </is>
      </c>
      <c r="B4" s="3" t="inlineStr">
        <is>
          <t>斗笠</t>
        </is>
      </c>
      <c r="C4" s="3" t="inlineStr">
        <is>
          <t>宝箱随机装备</t>
        </is>
      </c>
      <c r="D4" s="3" t="inlineStr">
        <is>
          <t>持有打工宝箱（中）（work_chest_medium）后开启；装备池概率10%；该装备概率0.333333%；数量1；宝箱来源：打工奖励：中级打工完成后领取1个宝箱</t>
        </is>
      </c>
      <c r="E4" s="3" t="inlineStr">
        <is>
          <t>data/item_templates.yaml；gameplay/services/work.py</t>
        </is>
      </c>
    </row>
    <row r="5">
      <c r="A5" s="3" t="inlineStr">
        <is>
          <t>equip_caomao</t>
        </is>
      </c>
      <c r="B5" s="3" t="inlineStr">
        <is>
          <t>斗笠</t>
        </is>
      </c>
      <c r="C5" s="3" t="inlineStr">
        <is>
          <t>宝箱随机装备</t>
        </is>
      </c>
      <c r="D5" s="3" t="inlineStr">
        <is>
          <t>持有打工宝箱（大）（work_chest_large）后开启；装备池概率20%；该装备概率0.526316%；数量1；宝箱来源：打工奖励：高级打工完成后领取1个宝箱</t>
        </is>
      </c>
      <c r="E5" s="3" t="inlineStr">
        <is>
          <t>data/item_templates.yaml；gameplay/services/work.py</t>
        </is>
      </c>
    </row>
    <row r="6">
      <c r="A6" s="3" t="inlineStr">
        <is>
          <t>equip_niupimao</t>
        </is>
      </c>
      <c r="B6" s="3" t="inlineStr">
        <is>
          <t>牛皮帽</t>
        </is>
      </c>
      <c r="C6" s="3" t="inlineStr">
        <is>
          <t>铁匠铺直接锻造</t>
        </is>
      </c>
      <c r="D6" s="3" t="inlineStr">
        <is>
          <t>锻造技3级；基础时长180秒（实际受时间缩放和建筑速度影响）；每件材料：铜(tong)×10、锡(xi)×5</t>
        </is>
      </c>
      <c r="E6" s="3" t="inlineStr">
        <is>
          <t>data/forge_equipment.yaml</t>
        </is>
      </c>
    </row>
    <row r="7">
      <c r="A7" s="3" t="inlineStr">
        <is>
          <t>equip_zhubiankui</t>
        </is>
      </c>
      <c r="B7" s="3" t="inlineStr">
        <is>
          <t>竹编盔</t>
        </is>
      </c>
      <c r="C7" s="3" t="inlineStr">
        <is>
          <t>宝箱随机装备</t>
        </is>
      </c>
      <c r="D7" s="3" t="inlineStr">
        <is>
          <t>持有打工宝箱（小）（work_chest_small）后开启；装备池概率10%；该装备概率0.526316%；数量1；宝箱来源：打工奖励：初级打工完成后领取1个宝箱</t>
        </is>
      </c>
      <c r="E7" s="3" t="inlineStr">
        <is>
          <t>data/item_templates.yaml；gameplay/services/work.py</t>
        </is>
      </c>
    </row>
    <row r="8">
      <c r="A8" s="3" t="inlineStr">
        <is>
          <t>equip_zhubiankui</t>
        </is>
      </c>
      <c r="B8" s="3" t="inlineStr">
        <is>
          <t>竹编盔</t>
        </is>
      </c>
      <c r="C8" s="3" t="inlineStr">
        <is>
          <t>宝箱随机装备</t>
        </is>
      </c>
      <c r="D8" s="3" t="inlineStr">
        <is>
          <t>持有打工宝箱（中）（work_chest_medium）后开启；装备池概率10%；该装备概率0.333333%；数量1；宝箱来源：打工奖励：中级打工完成后领取1个宝箱</t>
        </is>
      </c>
      <c r="E8" s="3" t="inlineStr">
        <is>
          <t>data/item_templates.yaml；gameplay/services/work.py</t>
        </is>
      </c>
    </row>
    <row r="9">
      <c r="A9" s="3" t="inlineStr">
        <is>
          <t>equip_zhubiankui</t>
        </is>
      </c>
      <c r="B9" s="3" t="inlineStr">
        <is>
          <t>竹编盔</t>
        </is>
      </c>
      <c r="C9" s="3" t="inlineStr">
        <is>
          <t>宝箱随机装备</t>
        </is>
      </c>
      <c r="D9" s="3" t="inlineStr">
        <is>
          <t>持有打工宝箱（大）（work_chest_large）后开启；装备池概率20%；该装备概率0.526316%；数量1；宝箱来源：打工奖励：高级打工完成后领取1个宝箱</t>
        </is>
      </c>
      <c r="E9" s="3" t="inlineStr">
        <is>
          <t>data/item_templates.yaml；gameplay/services/work.py</t>
        </is>
      </c>
    </row>
    <row r="10">
      <c r="A10" s="3" t="inlineStr">
        <is>
          <t>equip_baihongkui</t>
        </is>
      </c>
      <c r="B10" s="3" t="inlineStr">
        <is>
          <t>白虹盔</t>
        </is>
      </c>
      <c r="C10" s="3" t="inlineStr">
        <is>
          <t>商铺购买</t>
        </is>
      </c>
      <c r="D10" s="3" t="inlineStr">
        <is>
          <t>购买价22500银两/件；库存不限量；每日刷新否</t>
        </is>
      </c>
      <c r="E10" s="3" t="inlineStr">
        <is>
          <t>data/shop_items.yaml</t>
        </is>
      </c>
    </row>
    <row r="11">
      <c r="A11" s="3" t="inlineStr">
        <is>
          <t>equip_baihongkui</t>
        </is>
      </c>
      <c r="B11" s="3" t="inlineStr">
        <is>
          <t>白虹盔</t>
        </is>
      </c>
      <c r="C11" s="3" t="inlineStr">
        <is>
          <t>宝箱随机装备</t>
        </is>
      </c>
      <c r="D11" s="3" t="inlineStr">
        <is>
          <t>持有打工宝箱（大）（work_chest_large）后开启；装备池概率20%；该装备概率0.526316%；数量1；宝箱来源：打工奖励：高级打工完成后领取1个宝箱</t>
        </is>
      </c>
      <c r="E11" s="3" t="inlineStr">
        <is>
          <t>data/item_templates.yaml；gameplay/services/work.py</t>
        </is>
      </c>
    </row>
    <row r="12">
      <c r="A12" s="3" t="inlineStr">
        <is>
          <t>equip_baihongkui</t>
        </is>
      </c>
      <c r="B12" s="3" t="inlineStr">
        <is>
          <t>白虹盔</t>
        </is>
      </c>
      <c r="C12" s="3" t="inlineStr">
        <is>
          <t>宝箱随机装备</t>
        </is>
      </c>
      <c r="D12" s="3" t="inlineStr">
        <is>
          <t>持有帮会精制护院箱（guild_guard_box_refined）后开启；装备池概率100%；该装备概率14%；数量1；宝箱来源：帮会仓库兑换：帮会科技guard；解锁等级7；配置等级7,8,9,10；贡献兑换价[320]；每周个人兑换上限[1]；各科技等级每日产量7级×1,8级×2,9级×1,10级×1</t>
        </is>
      </c>
      <c r="E12" s="3" t="inlineStr">
        <is>
          <t>data/item_templates.yaml；data/warehouse_production.yaml</t>
        </is>
      </c>
    </row>
    <row r="13">
      <c r="A13" s="3" t="inlineStr">
        <is>
          <t>equip_baihongkui</t>
        </is>
      </c>
      <c r="B13" s="3" t="inlineStr">
        <is>
          <t>白虹盔</t>
        </is>
      </c>
      <c r="C13" s="3" t="inlineStr">
        <is>
          <t>宝箱随机装备</t>
        </is>
      </c>
      <c r="D13" s="3" t="inlineStr">
        <is>
          <t>持有帮会宗师护院匣（guild_guard_box_master）后开启；装备池概率100%；该装备概率16%；数量1；宝箱来源：帮会仓库兑换：帮会科技guard；解锁等级9；配置等级9,10；贡献兑换价[360]；每周个人兑换上限[1]；各科技等级每日产量9级×1,10级×2</t>
        </is>
      </c>
      <c r="E13" s="3" t="inlineStr">
        <is>
          <t>data/item_templates.yaml；data/warehouse_production.yaml</t>
        </is>
      </c>
    </row>
    <row r="14">
      <c r="A14" s="3" t="inlineStr">
        <is>
          <t>equip_baihongkui</t>
        </is>
      </c>
      <c r="B14" s="3" t="inlineStr">
        <is>
          <t>白虹盔</t>
        </is>
      </c>
      <c r="C14" s="3" t="inlineStr">
        <is>
          <t>铁匠铺直接锻造</t>
        </is>
      </c>
      <c r="D14" s="3" t="inlineStr">
        <is>
          <t>锻造技9级；基础时长360秒（实际受时间缩放和建筑速度影响）；每件材料：铁(tie)×30</t>
        </is>
      </c>
      <c r="E14" s="3" t="inlineStr">
        <is>
          <t>data/forge_equipment.yaml</t>
        </is>
      </c>
    </row>
    <row r="15">
      <c r="A15" s="3" t="inlineStr">
        <is>
          <t>equip_baoutoukui</t>
        </is>
      </c>
      <c r="B15" s="3" t="inlineStr">
        <is>
          <t>豹头盔</t>
        </is>
      </c>
      <c r="C15" s="3" t="inlineStr">
        <is>
          <t>宝箱随机装备</t>
        </is>
      </c>
      <c r="D15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5" s="3" t="inlineStr">
        <is>
          <t>data/item_templates.yaml；gameplay/services/work.py</t>
        </is>
      </c>
    </row>
    <row r="16">
      <c r="A16" s="3" t="inlineStr">
        <is>
          <t>equip_baoutoukui</t>
        </is>
      </c>
      <c r="B16" s="3" t="inlineStr">
        <is>
          <t>豹头盔</t>
        </is>
      </c>
      <c r="C16" s="3" t="inlineStr">
        <is>
          <t>宝箱随机装备</t>
        </is>
      </c>
      <c r="D16" s="3" t="inlineStr">
        <is>
          <t>持有打工宝箱（大）（work_chest_large）后开启；装备池概率20%；该装备概率0.526316%；数量1；宝箱来源：打工奖励：高级打工完成后领取1个宝箱</t>
        </is>
      </c>
      <c r="E16" s="3" t="inlineStr">
        <is>
          <t>data/item_templates.yaml；gameplay/services/work.py</t>
        </is>
      </c>
    </row>
    <row r="17">
      <c r="A17" s="3" t="inlineStr">
        <is>
          <t>equip_huwenkui</t>
        </is>
      </c>
      <c r="B17" s="3" t="inlineStr">
        <is>
          <t>虎纹盔</t>
        </is>
      </c>
      <c r="C17" s="3" t="inlineStr">
        <is>
          <t>宝箱随机装备</t>
        </is>
      </c>
      <c r="D17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7" s="3" t="inlineStr">
        <is>
          <t>data/item_templates.yaml；gameplay/services/work.py</t>
        </is>
      </c>
    </row>
    <row r="18">
      <c r="A18" s="3" t="inlineStr">
        <is>
          <t>equip_huwenkui</t>
        </is>
      </c>
      <c r="B18" s="3" t="inlineStr">
        <is>
          <t>虎纹盔</t>
        </is>
      </c>
      <c r="C18" s="3" t="inlineStr">
        <is>
          <t>宝箱随机装备</t>
        </is>
      </c>
      <c r="D18" s="3" t="inlineStr">
        <is>
          <t>持有打工宝箱（大）（work_chest_large）后开启；装备池概率20%；该装备概率0.526316%；数量1；宝箱来源：打工奖励：高级打工完成后领取1个宝箱</t>
        </is>
      </c>
      <c r="E18" s="3" t="inlineStr">
        <is>
          <t>data/item_templates.yaml；gameplay/services/work.py</t>
        </is>
      </c>
    </row>
    <row r="19">
      <c r="A19" s="3" t="inlineStr">
        <is>
          <t>equip_qingtengguan</t>
        </is>
      </c>
      <c r="B19" s="3" t="inlineStr">
        <is>
          <t>青藤冠</t>
        </is>
      </c>
      <c r="C19" s="3" t="inlineStr">
        <is>
          <t>宝箱随机装备</t>
        </is>
      </c>
      <c r="D19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9" s="3" t="inlineStr">
        <is>
          <t>data/item_templates.yaml；gameplay/services/work.py</t>
        </is>
      </c>
    </row>
    <row r="20">
      <c r="A20" s="3" t="inlineStr">
        <is>
          <t>equip_qingtengguan</t>
        </is>
      </c>
      <c r="B20" s="3" t="inlineStr">
        <is>
          <t>青藤冠</t>
        </is>
      </c>
      <c r="C20" s="3" t="inlineStr">
        <is>
          <t>宝箱随机装备</t>
        </is>
      </c>
      <c r="D20" s="3" t="inlineStr">
        <is>
          <t>持有打工宝箱（大）（work_chest_large）后开启；装备池概率20%；该装备概率0.526316%；数量1；宝箱来源：打工奖励：高级打工完成后领取1个宝箱</t>
        </is>
      </c>
      <c r="E20" s="3" t="inlineStr">
        <is>
          <t>data/item_templates.yaml；gameplay/services/work.py</t>
        </is>
      </c>
    </row>
    <row r="21">
      <c r="A21" s="3" t="inlineStr">
        <is>
          <t>equip_tieyekui</t>
        </is>
      </c>
      <c r="B21" s="3" t="inlineStr">
        <is>
          <t>铁叶盔</t>
        </is>
      </c>
      <c r="C21" s="3" t="inlineStr">
        <is>
          <t>商铺购买</t>
        </is>
      </c>
      <c r="D21" s="3" t="inlineStr">
        <is>
          <t>购买价7500银两/件；库存不限量；每日刷新否</t>
        </is>
      </c>
      <c r="E21" s="3" t="inlineStr">
        <is>
          <t>data/shop_items.yaml</t>
        </is>
      </c>
    </row>
    <row r="22">
      <c r="A22" s="3" t="inlineStr">
        <is>
          <t>equip_tieyekui</t>
        </is>
      </c>
      <c r="B22" s="3" t="inlineStr">
        <is>
          <t>铁叶盔</t>
        </is>
      </c>
      <c r="C22" s="3" t="inlineStr">
        <is>
          <t>宝箱随机装备</t>
        </is>
      </c>
      <c r="D22" s="3" t="inlineStr">
        <is>
          <t>持有打工宝箱（小）（work_chest_small）后开启；装备池概率10%；该装备概率0.526316%；数量1；宝箱来源：打工奖励：初级打工完成后领取1个宝箱</t>
        </is>
      </c>
      <c r="E22" s="3" t="inlineStr">
        <is>
          <t>data/item_templates.yaml；gameplay/services/work.py</t>
        </is>
      </c>
    </row>
    <row r="23">
      <c r="A23" s="3" t="inlineStr">
        <is>
          <t>equip_tieyekui</t>
        </is>
      </c>
      <c r="B23" s="3" t="inlineStr">
        <is>
          <t>铁叶盔</t>
        </is>
      </c>
      <c r="C23" s="3" t="inlineStr">
        <is>
          <t>宝箱随机装备</t>
        </is>
      </c>
      <c r="D23" s="3" t="inlineStr">
        <is>
          <t>持有打工宝箱（中）（work_chest_medium）后开启；装备池概率10%；该装备概率0.333333%；数量1；宝箱来源：打工奖励：中级打工完成后领取1个宝箱</t>
        </is>
      </c>
      <c r="E23" s="3" t="inlineStr">
        <is>
          <t>data/item_templates.yaml；gameplay/services/work.py</t>
        </is>
      </c>
    </row>
    <row r="24">
      <c r="A24" s="3" t="inlineStr">
        <is>
          <t>equip_tieyekui</t>
        </is>
      </c>
      <c r="B24" s="3" t="inlineStr">
        <is>
          <t>铁叶盔</t>
        </is>
      </c>
      <c r="C24" s="3" t="inlineStr">
        <is>
          <t>宝箱随机装备</t>
        </is>
      </c>
      <c r="D24" s="3" t="inlineStr">
        <is>
          <t>持有帮会进阶护院箱（guild_guard_box_advanced）后开启；装备池概率100%；该装备概率16%；数量1；宝箱来源：帮会仓库兑换：帮会科技guard；解锁等级3；配置等级3,4,5,6；贡献兑换价[180]；每周个人兑换上限[3]；各科技等级每日产量3级×1,4级×2,5级×1,6级×1</t>
        </is>
      </c>
      <c r="E24" s="3" t="inlineStr">
        <is>
          <t>data/item_templates.yaml；data/warehouse_production.yaml</t>
        </is>
      </c>
    </row>
    <row r="25">
      <c r="A25" s="3" t="inlineStr">
        <is>
          <t>equip_tieyekui</t>
        </is>
      </c>
      <c r="B25" s="3" t="inlineStr">
        <is>
          <t>铁叶盔</t>
        </is>
      </c>
      <c r="C25" s="3" t="inlineStr">
        <is>
          <t>宝箱随机装备</t>
        </is>
      </c>
      <c r="D25" s="3" t="inlineStr">
        <is>
          <t>持有帮会绿装箱（guild_gear_box_green）后开启；装备池概率100%；该装备概率14%；数量1；宝箱来源：帮会仓库兑换：帮会科技equipment；解锁等级1；配置等级1,2,3,4,5,6,7,8,9,10；贡献兑换价[70]；每周个人兑换上限[4]；各科技等级每日产量1级×1,2级×2,3级×2,4级×2,5级×2,6级×2,7级×2,8级×2,9级×2,10级×2</t>
        </is>
      </c>
      <c r="E25" s="3" t="inlineStr">
        <is>
          <t>data/item_templates.yaml；data/warehouse_production.yaml</t>
        </is>
      </c>
    </row>
    <row r="26">
      <c r="A26" s="3" t="inlineStr">
        <is>
          <t>equip_tieyekui</t>
        </is>
      </c>
      <c r="B26" s="3" t="inlineStr">
        <is>
          <t>铁叶盔</t>
        </is>
      </c>
      <c r="C26" s="3" t="inlineStr">
        <is>
          <t>铁匠铺直接锻造</t>
        </is>
      </c>
      <c r="D26" s="3" t="inlineStr">
        <is>
          <t>锻造技5级；基础时长240秒（实际受时间缩放和建筑速度影响）；每件材料：铁(tie)×10</t>
        </is>
      </c>
      <c r="E26" s="3" t="inlineStr">
        <is>
          <t>data/forge_equipment.yaml</t>
        </is>
      </c>
    </row>
    <row r="27">
      <c r="A27" s="3" t="inlineStr">
        <is>
          <t>equip_yanlingmao</t>
        </is>
      </c>
      <c r="B27" s="3" t="inlineStr">
        <is>
          <t>雁翎帽</t>
        </is>
      </c>
      <c r="C27" s="3" t="inlineStr">
        <is>
          <t>宝箱随机装备</t>
        </is>
      </c>
      <c r="D27" s="3" t="inlineStr">
        <is>
          <t>持有打工宝箱（中）（work_chest_medium）后开启；装备池概率10%；该装备概率0.333333%；数量1；宝箱来源：打工奖励：中级打工完成后领取1个宝箱</t>
        </is>
      </c>
      <c r="E27" s="3" t="inlineStr">
        <is>
          <t>data/item_templates.yaml；gameplay/services/work.py</t>
        </is>
      </c>
    </row>
    <row r="28">
      <c r="A28" s="3" t="inlineStr">
        <is>
          <t>equip_yanlingmao</t>
        </is>
      </c>
      <c r="B28" s="3" t="inlineStr">
        <is>
          <t>雁翎帽</t>
        </is>
      </c>
      <c r="C28" s="3" t="inlineStr">
        <is>
          <t>宝箱随机装备</t>
        </is>
      </c>
      <c r="D28" s="3" t="inlineStr">
        <is>
          <t>持有打工宝箱（大）（work_chest_large）后开启；装备池概率20%；该装备概率0.526316%；数量1；宝箱来源：打工奖励：高级打工完成后领取1个宝箱</t>
        </is>
      </c>
      <c r="E28" s="3" t="inlineStr">
        <is>
          <t>data/item_templates.yaml；gameplay/services/work.py</t>
        </is>
      </c>
    </row>
    <row r="29">
      <c r="A29" s="3" t="inlineStr">
        <is>
          <t>equip_yulindin</t>
        </is>
      </c>
      <c r="B29" s="3" t="inlineStr">
        <is>
          <t>鱼鳞顶</t>
        </is>
      </c>
      <c r="C29" s="3" t="inlineStr">
        <is>
          <t>商铺购买</t>
        </is>
      </c>
      <c r="D29" s="3" t="inlineStr">
        <is>
          <t>购买价15000银两/件；库存不限量；每日刷新否</t>
        </is>
      </c>
      <c r="E29" s="3" t="inlineStr">
        <is>
          <t>data/shop_items.yaml</t>
        </is>
      </c>
    </row>
    <row r="30">
      <c r="A30" s="3" t="inlineStr">
        <is>
          <t>equip_yulindin</t>
        </is>
      </c>
      <c r="B30" s="3" t="inlineStr">
        <is>
          <t>鱼鳞顶</t>
        </is>
      </c>
      <c r="C30" s="3" t="inlineStr">
        <is>
          <t>宝箱随机装备</t>
        </is>
      </c>
      <c r="D30" s="3" t="inlineStr">
        <is>
          <t>持有帮会精锐护院箱（guild_guard_box_elite）后开启；装备池概率100%；该装备概率14%；数量1；宝箱来源：帮会仓库兑换：帮会科技guard；解锁等级5；配置等级5,6,7,8；贡献兑换价[260]；每周个人兑换上限[2]；各科技等级每日产量5级×1,6级×2,7级×1,8级×1</t>
        </is>
      </c>
      <c r="E30" s="3" t="inlineStr">
        <is>
          <t>data/item_templates.yaml；data/warehouse_production.yaml</t>
        </is>
      </c>
    </row>
    <row r="31">
      <c r="A31" s="3" t="inlineStr">
        <is>
          <t>equip_yulindin</t>
        </is>
      </c>
      <c r="B31" s="3" t="inlineStr">
        <is>
          <t>鱼鳞顶</t>
        </is>
      </c>
      <c r="C31" s="3" t="inlineStr">
        <is>
          <t>铁匠铺直接锻造</t>
        </is>
      </c>
      <c r="D31" s="3" t="inlineStr">
        <is>
          <t>锻造技7级；基础时长300秒（实际受时间缩放和建筑速度影响）；每件材料：铁(tie)×20</t>
        </is>
      </c>
      <c r="E31" s="3" t="inlineStr">
        <is>
          <t>data/forge_equipment.yaml</t>
        </is>
      </c>
    </row>
    <row r="32">
      <c r="A32" s="3" t="inlineStr">
        <is>
          <t>equip_jiaodoushitoukui</t>
        </is>
      </c>
      <c r="B32" s="3" t="inlineStr">
        <is>
          <t>角斗士头盔</t>
        </is>
      </c>
      <c r="C32" s="3" t="inlineStr">
        <is>
          <t>竞技场随机兑换</t>
        </is>
      </c>
      <c r="D32" s="3" t="inlineStr">
        <is>
          <t>角斗士宝箱（gladiator_chest）；花费500竞技币；每日限2次；该物品概率30%；数量1</t>
        </is>
      </c>
      <c r="E32" s="3" t="inlineStr">
        <is>
          <t>data/arena_rewards.yaml</t>
        </is>
      </c>
    </row>
    <row r="33">
      <c r="A33" s="3" t="inlineStr">
        <is>
          <t>equip_jiaodoushitoukui</t>
        </is>
      </c>
      <c r="B33" s="3" t="inlineStr">
        <is>
          <t>角斗士头盔</t>
        </is>
      </c>
      <c r="C33" s="3" t="inlineStr">
        <is>
          <t>宝箱随机装备</t>
        </is>
      </c>
      <c r="D33" s="3" t="inlineStr">
        <is>
          <t>持有帮会蓝装箱（guild_gear_box_blue）后开启；装备池概率100%；该装备概率15%；数量1；宝箱来源：帮会仓库兑换：帮会科技equipment；解锁等级3；配置等级3,4,5,6,7,8,9,10；贡献兑换价[180]；每周个人兑换上限[3]；各科技等级每日产量3级×1,4级×2,5级×2,6级×2,7级×2,8级×2,9级×2,10级×2</t>
        </is>
      </c>
      <c r="E33" s="3" t="inlineStr">
        <is>
          <t>data/item_templates.yaml；data/warehouse_production.yaml</t>
        </is>
      </c>
    </row>
    <row r="34">
      <c r="A34" s="3" t="inlineStr">
        <is>
          <t>equip_qinglongkui</t>
        </is>
      </c>
      <c r="B34" s="3" t="inlineStr">
        <is>
          <t>青龙盔</t>
        </is>
      </c>
      <c r="C34" s="3" t="inlineStr">
        <is>
          <t>图纸合成（竞技场随机图纸兑换）</t>
        </is>
      </c>
      <c r="D34" s="3" t="inlineStr">
        <is>
          <t>消耗图纸青龙盔图纸(blueprint_qinglongkui)×1；锻造技5级；每次产出1件；材料：铜(tong)×29、锡(xi)×17、铁(tie)×12、木质精华(wood_essence)×3、铜质精华(copper_essence)×2、紫檀木(zitanmu)×5、黑原石(heiyuanshi)×4、金刚煤(jingangmei)×3、刨子(paozi)×3、凿子(zaozi)×3、空气之石(air_stone)×2；图纸来源：随机蓝色装备图纸；600竞技币；每日限1次；12张同品质图纸均匀随机</t>
        </is>
      </c>
      <c r="E34" s="3" t="inlineStr">
        <is>
          <t>data/forge_blueprints.yaml; data/arena_rewards.yaml</t>
        </is>
      </c>
    </row>
    <row r="35">
      <c r="A35" s="3" t="inlineStr">
        <is>
          <t>equip_qinglongkui</t>
        </is>
      </c>
      <c r="B35" s="3" t="inlineStr">
        <is>
          <t>青龙盔</t>
        </is>
      </c>
      <c r="C35" s="3" t="inlineStr">
        <is>
          <t>图纸合成（帮会图纸领取）</t>
        </is>
      </c>
      <c r="D35" s="3" t="inlineStr">
        <is>
          <t>消耗图纸青龙盔图纸(blueprint_qinglongkui)×1；锻造技5级；每次产出1件；材料：铜(tong)×29、锡(xi)×17、铁(tie)×12、木质精华(wood_essence)×3、铜质精华(copper_essence)×2、紫檀木(zitanmu)×5、黑原石(heiyuanshi)×4、金刚煤(jingangmei)×3、刨子(paozi)×3、凿子(zaozi)×3、空气之石(air_stone)×2；图纸来源：本周贡献大于0且有效帮会成员；blue图纸每周共享领取上限5</t>
        </is>
      </c>
      <c r="E35" s="3" t="inlineStr">
        <is>
          <t>data/forge_blueprints.yaml; data/guild_rules.yaml; guilds/services/blueprint_rewards.py</t>
        </is>
      </c>
    </row>
    <row r="36">
      <c r="A36" s="3" t="inlineStr">
        <is>
          <t>equip_xiaoweitoukui</t>
        </is>
      </c>
      <c r="B36" s="3" t="inlineStr">
        <is>
          <t>校尉头盔</t>
        </is>
      </c>
      <c r="C36" s="3" t="inlineStr">
        <is>
          <t>宝箱随机装备</t>
        </is>
      </c>
      <c r="D36" s="3" t="inlineStr">
        <is>
          <t>持有打工宝箱（大）（work_chest_large）后开启；装备池概率20%；该装备概率0.526316%；数量1；宝箱来源：打工奖励：高级打工完成后领取1个宝箱</t>
        </is>
      </c>
      <c r="E36" s="3" t="inlineStr">
        <is>
          <t>data/item_templates.yaml；gameplay/services/work.py</t>
        </is>
      </c>
    </row>
    <row r="37">
      <c r="A37" s="3" t="inlineStr">
        <is>
          <t>equip_xiaoweitoukui</t>
        </is>
      </c>
      <c r="B37" s="3" t="inlineStr">
        <is>
          <t>校尉头盔</t>
        </is>
      </c>
      <c r="C37" s="3" t="inlineStr">
        <is>
          <t>图纸合成（竞技场随机图纸兑换）</t>
        </is>
      </c>
      <c r="D37" s="3" t="inlineStr">
        <is>
          <t>消耗图纸校尉头盔图纸(blueprint_xiaoweitoukie)×1；锻造技5级；每次产出1件；材料：铜(tong)×27、锡(xi)×17、铁(tie)×12、木质精华(wood_essence)×2、铜质精华(copper_essence)×2、铁木(tiemu)×4、黑原石(heiyuanshi)×5、金刚煤(jingangmei)×4、凿子(zaozi)×4、大地之石(earth_stone)×2；图纸来源：随机蓝色装备图纸；600竞技币；每日限1次；12张同品质图纸均匀随机</t>
        </is>
      </c>
      <c r="E37" s="3" t="inlineStr">
        <is>
          <t>data/forge_blueprints.yaml; data/arena_rewards.yaml</t>
        </is>
      </c>
    </row>
    <row r="38">
      <c r="A38" s="3" t="inlineStr">
        <is>
          <t>equip_xiaoweitoukui</t>
        </is>
      </c>
      <c r="B38" s="3" t="inlineStr">
        <is>
          <t>校尉头盔</t>
        </is>
      </c>
      <c r="C38" s="3" t="inlineStr">
        <is>
          <t>图纸合成（帮会图纸领取）</t>
        </is>
      </c>
      <c r="D38" s="3" t="inlineStr">
        <is>
          <t>消耗图纸校尉头盔图纸(blueprint_xiaoweitoukie)×1；锻造技5级；每次产出1件；材料：铜(tong)×27、锡(xi)×17、铁(tie)×12、木质精华(wood_essence)×2、铜质精华(copper_essence)×2、铁木(tiemu)×4、黑原石(heiyuanshi)×5、金刚煤(jingangmei)×4、凿子(zaozi)×4、大地之石(earth_stone)×2；图纸来源：本周贡献大于0且有效帮会成员；blue图纸每周共享领取上限5</t>
        </is>
      </c>
      <c r="E38" s="3" t="inlineStr">
        <is>
          <t>data/forge_blueprints.yaml; data/guild_rules.yaml; guilds/services/blueprint_rewards.py</t>
        </is>
      </c>
    </row>
    <row r="39">
      <c r="A39" s="3" t="inlineStr">
        <is>
          <t>equip_fenglingguan</t>
        </is>
      </c>
      <c r="B39" s="3" t="inlineStr">
        <is>
          <t>凤翎冠</t>
        </is>
      </c>
      <c r="C39" s="3" t="inlineStr">
        <is>
          <t>图纸合成（竞技场随机图纸兑换）</t>
        </is>
      </c>
      <c r="D39" s="3" t="inlineStr">
        <is>
          <t>消耗图纸凤翎冠图纸(blueprint_fenglingguan)×1；锻造技7级；每次产出1件；材料：铜(tong)×36、锡(xi)×22、铁(tie)×17、木质精华(wood_essence)×3、铜质精华(copper_essence)×4、紫檀木(zitanmu)×9、水曲木(shuiqumu)×6、铁木(tiemu)×3、金刚煤(jingangmei)×3、刨子(paozi)×6、凿子(zaozi)×3、高炉(gaolu)×1、空气之石(air_stone)×3；图纸来源：随机紫色装备图纸；1800竞技币；每日限1次；19张同品质图纸均匀随机</t>
        </is>
      </c>
      <c r="E39" s="3" t="inlineStr">
        <is>
          <t>data/forge_blueprints.yaml; data/arena_rewards.yaml</t>
        </is>
      </c>
    </row>
    <row r="40">
      <c r="A40" s="3" t="inlineStr">
        <is>
          <t>equip_qilinkui</t>
        </is>
      </c>
      <c r="B40" s="3" t="inlineStr">
        <is>
          <t>麒麟盔</t>
        </is>
      </c>
      <c r="C40" s="3" t="inlineStr">
        <is>
          <t>宝箱随机装备</t>
        </is>
      </c>
      <c r="D40" s="3" t="inlineStr">
        <is>
          <t>持有帮会紫装箱（guild_gear_box_purple）后开启；装备池概率100%；该装备概率12.698413%；数量1；宝箱来源：帮会仓库兑换：帮会科技equipment；解锁等级5；配置等级5,6,7,8,9,10；贡献兑换价[500]；每周个人兑换上限[1]；各科技等级每日产量5级×1,6级×2,7级×2,8级×2,9级×2,10级×2</t>
        </is>
      </c>
      <c r="E40" s="3" t="inlineStr">
        <is>
          <t>data/item_templates.yaml；data/warehouse_production.yaml</t>
        </is>
      </c>
    </row>
    <row r="41">
      <c r="A41" s="3" t="inlineStr">
        <is>
          <t>equip_qilinkui</t>
        </is>
      </c>
      <c r="B41" s="3" t="inlineStr">
        <is>
          <t>麒麟盔</t>
        </is>
      </c>
      <c r="C41" s="3" t="inlineStr">
        <is>
          <t>宝箱随机装备</t>
        </is>
      </c>
      <c r="D41" s="3" t="inlineStr">
        <is>
          <t>持有帮会精铸紫装箱（guild_gear_box_refined_purple）后开启；装备池概率100%；该装备概率17.699115%；数量1；宝箱来源：帮会仓库兑换：帮会科技equipment；解锁等级7；配置等级7,8,9,10；贡献兑换价[650]；每周个人兑换上限[1]；各科技等级每日产量7级×1,8级×3,9级×3,10级×3</t>
        </is>
      </c>
      <c r="E41" s="3" t="inlineStr">
        <is>
          <t>data/item_templates.yaml；data/warehouse_production.yaml</t>
        </is>
      </c>
    </row>
    <row r="42">
      <c r="A42" s="3" t="inlineStr">
        <is>
          <t>equip_qilinkui</t>
        </is>
      </c>
      <c r="B42" s="3" t="inlineStr">
        <is>
          <t>麒麟盔</t>
        </is>
      </c>
      <c r="C42" s="3" t="inlineStr">
        <is>
          <t>宝箱随机装备</t>
        </is>
      </c>
      <c r="D42" s="3" t="inlineStr">
        <is>
          <t>持有帮会宗师秘匣（guild_gear_box_master）后开启；装备池概率100%；该装备概率16%；数量1；宝箱来源：帮会仓库兑换：帮会科技equipment；解锁等级9；配置等级9,10；贡献兑换价[800]；每周个人兑换上限[1]；各科技等级每日产量9级×1,10级×2</t>
        </is>
      </c>
      <c r="E42" s="3" t="inlineStr">
        <is>
          <t>data/item_templates.yaml；data/warehouse_production.yaml</t>
        </is>
      </c>
    </row>
    <row r="43">
      <c r="A43" s="3" t="inlineStr">
        <is>
          <t>equip_qilinkui</t>
        </is>
      </c>
      <c r="B43" s="3" t="inlineStr">
        <is>
          <t>麒麟盔</t>
        </is>
      </c>
      <c r="C43" s="3" t="inlineStr">
        <is>
          <t>图纸合成（竞技场随机图纸兑换）</t>
        </is>
      </c>
      <c r="D43" s="3" t="inlineStr">
        <is>
          <t>消耗图纸麒麟盔图纸(blueprint_qilinkui)×1；锻造技9级；每次产出1件；材料：铜(tong)×46、锡(xi)×29、铁(tie)×22、玄铁精华(xuan_tie_essence)×2、紫檀木(zitanmu)×4、铁木(tiemu)×8、黑原石(heiyuanshi)×9、金刚煤(jingangmei)×6、凿子(zaozi)×6、高炉(gaolu)×2、火焰之石(fire_stone)×3；图纸来源：随机紫色装备图纸；1800竞技币；每日限1次；19张同品质图纸均匀随机</t>
        </is>
      </c>
      <c r="E43" s="3" t="inlineStr">
        <is>
          <t>data/forge_blueprints.yaml; data/arena_rewards.yaml</t>
        </is>
      </c>
    </row>
    <row r="44">
      <c r="A44" s="3" t="inlineStr">
        <is>
          <t>equip_qilinkui</t>
        </is>
      </c>
      <c r="B44" s="3" t="inlineStr">
        <is>
          <t>麒麟盔</t>
        </is>
      </c>
      <c r="C44" s="3" t="inlineStr">
        <is>
          <t>图纸合成（帮会图纸领取）</t>
        </is>
      </c>
      <c r="D44" s="3" t="inlineStr">
        <is>
          <t>消耗图纸麒麟盔图纸(blueprint_qilinkui)×1；锻造技9级；每次产出1件；材料：铜(tong)×46、锡(xi)×29、铁(tie)×22、玄铁精华(xuan_tie_essence)×2、紫檀木(zitanmu)×4、铁木(tiemu)×8、黑原石(heiyuanshi)×9、金刚煤(jingangmei)×6、凿子(zaozi)×6、高炉(gaolu)×2、火焰之石(fire_stone)×3；图纸来源：本周贡献大于0且有效帮会成员；purple图纸每周共享领取上限2</t>
        </is>
      </c>
      <c r="E44" s="3" t="inlineStr">
        <is>
          <t>data/forge_blueprints.yaml; data/guild_rules.yaml; guilds/services/blueprint_rewards.py</t>
        </is>
      </c>
    </row>
    <row r="45">
      <c r="A45" s="3" t="inlineStr">
        <is>
          <t>equip_xuanwukui</t>
        </is>
      </c>
      <c r="B45" s="3" t="inlineStr">
        <is>
          <t>玄武盔</t>
        </is>
      </c>
      <c r="C45" s="3" t="inlineStr">
        <is>
          <t>图纸合成（竞技场随机图纸兑换）</t>
        </is>
      </c>
      <c r="D45" s="3" t="inlineStr">
        <is>
          <t>消耗图纸玄武盔图纸(blueprint_xuanwukui)×1；锻造技9级；每次产出1件；材料：铜(tong)×48、锡(xi)×32、铁(tie)×24、玄铁精华(xuan_tie_essence)×2、铁木(tiemu)×9、黑原石(heiyuanshi)×11、金刚煤(jingangmei)×6、凿子(zaozi)×8、高炉(gaolu)×2、纯水之石(water_stone)×3；图纸来源：随机紫色装备图纸；1800竞技币；每日限1次；19张同品质图纸均匀随机</t>
        </is>
      </c>
      <c r="E45" s="3" t="inlineStr">
        <is>
          <t>data/forge_blueprints.yaml; data/arena_rewards.yaml</t>
        </is>
      </c>
    </row>
    <row r="46">
      <c r="A46" s="3" t="inlineStr">
        <is>
          <t>equip_bupao</t>
        </is>
      </c>
      <c r="B46" s="3" t="inlineStr">
        <is>
          <t>布袍</t>
        </is>
      </c>
      <c r="C46" s="3" t="inlineStr">
        <is>
          <t>商铺购买</t>
        </is>
      </c>
      <c r="D46" s="3" t="inlineStr">
        <is>
          <t>购买价375银两/件；库存不限量；每日刷新否</t>
        </is>
      </c>
      <c r="E46" s="3" t="inlineStr">
        <is>
          <t>data/shop_items.yaml</t>
        </is>
      </c>
    </row>
    <row r="47">
      <c r="A47" s="3" t="inlineStr">
        <is>
          <t>equip_bupao</t>
        </is>
      </c>
      <c r="B47" s="3" t="inlineStr">
        <is>
          <t>布袍</t>
        </is>
      </c>
      <c r="C47" s="3" t="inlineStr">
        <is>
          <t>宝箱随机装备</t>
        </is>
      </c>
      <c r="D47" s="3" t="inlineStr">
        <is>
          <t>持有帮会基础护院箱（guild_guard_box_basic）后开启；装备池概率100%；该装备概率18%；数量1；宝箱来源：帮会仓库兑换：帮会科技guard；解锁等级1；配置等级1,2,3,4；贡献兑换价[90]；每周个人兑换上限[4]；各科技等级每日产量1级×1,2级×2,3级×1,4级×1</t>
        </is>
      </c>
      <c r="E47" s="3" t="inlineStr">
        <is>
          <t>data/item_templates.yaml；data/warehouse_production.yaml</t>
        </is>
      </c>
    </row>
    <row r="48">
      <c r="A48" s="3" t="inlineStr">
        <is>
          <t>equip_bupao</t>
        </is>
      </c>
      <c r="B48" s="3" t="inlineStr">
        <is>
          <t>布袍</t>
        </is>
      </c>
      <c r="C48" s="3" t="inlineStr">
        <is>
          <t>铁匠铺直接锻造</t>
        </is>
      </c>
      <c r="D48" s="3" t="inlineStr">
        <is>
          <t>锻造技1级；基础时长120秒（实际受时间缩放和建筑速度影响）；每件材料：铜(tong)×5</t>
        </is>
      </c>
      <c r="E48" s="3" t="inlineStr">
        <is>
          <t>data/forge_equipment.yaml</t>
        </is>
      </c>
    </row>
    <row r="49">
      <c r="A49" s="3" t="inlineStr">
        <is>
          <t>equip_cubujia</t>
        </is>
      </c>
      <c r="B49" s="3" t="inlineStr">
        <is>
          <t>粗布甲</t>
        </is>
      </c>
      <c r="C49" s="3" t="inlineStr">
        <is>
          <t>宝箱随机装备</t>
        </is>
      </c>
      <c r="D49" s="3" t="inlineStr">
        <is>
          <t>持有打工宝箱（小）（work_chest_small）后开启；装备池概率10%；该装备概率0.526316%；数量1；宝箱来源：打工奖励：初级打工完成后领取1个宝箱</t>
        </is>
      </c>
      <c r="E49" s="3" t="inlineStr">
        <is>
          <t>data/item_templates.yaml；gameplay/services/work.py</t>
        </is>
      </c>
    </row>
    <row r="50">
      <c r="A50" s="3" t="inlineStr">
        <is>
          <t>equip_cubujia</t>
        </is>
      </c>
      <c r="B50" s="3" t="inlineStr">
        <is>
          <t>粗布甲</t>
        </is>
      </c>
      <c r="C50" s="3" t="inlineStr">
        <is>
          <t>宝箱随机装备</t>
        </is>
      </c>
      <c r="D50" s="3" t="inlineStr">
        <is>
          <t>持有打工宝箱（中）（work_chest_medium）后开启；装备池概率10%；该装备概率0.333333%；数量1；宝箱来源：打工奖励：中级打工完成后领取1个宝箱</t>
        </is>
      </c>
      <c r="E50" s="3" t="inlineStr">
        <is>
          <t>data/item_templates.yaml；gameplay/services/work.py</t>
        </is>
      </c>
    </row>
    <row r="51">
      <c r="A51" s="3" t="inlineStr">
        <is>
          <t>equip_cubujia</t>
        </is>
      </c>
      <c r="B51" s="3" t="inlineStr">
        <is>
          <t>粗布甲</t>
        </is>
      </c>
      <c r="C51" s="3" t="inlineStr">
        <is>
          <t>宝箱随机装备</t>
        </is>
      </c>
      <c r="D51" s="3" t="inlineStr">
        <is>
          <t>持有打工宝箱（大）（work_chest_large）后开启；装备池概率20%；该装备概率0.526316%；数量1；宝箱来源：打工奖励：高级打工完成后领取1个宝箱</t>
        </is>
      </c>
      <c r="E51" s="3" t="inlineStr">
        <is>
          <t>data/item_templates.yaml；gameplay/services/work.py</t>
        </is>
      </c>
    </row>
    <row r="52">
      <c r="A52" s="3" t="inlineStr">
        <is>
          <t>equip_shengpijia</t>
        </is>
      </c>
      <c r="B52" s="3" t="inlineStr">
        <is>
          <t>生皮甲</t>
        </is>
      </c>
      <c r="C52" s="3" t="inlineStr">
        <is>
          <t>商铺购买</t>
        </is>
      </c>
      <c r="D52" s="3" t="inlineStr">
        <is>
          <t>购买价1875银两/件；库存不限量；每日刷新否</t>
        </is>
      </c>
      <c r="E52" s="3" t="inlineStr">
        <is>
          <t>data/shop_items.yaml</t>
        </is>
      </c>
    </row>
    <row r="53">
      <c r="A53" s="3" t="inlineStr">
        <is>
          <t>equip_shengpijia</t>
        </is>
      </c>
      <c r="B53" s="3" t="inlineStr">
        <is>
          <t>生皮甲</t>
        </is>
      </c>
      <c r="C53" s="3" t="inlineStr">
        <is>
          <t>宝箱随机装备</t>
        </is>
      </c>
      <c r="D53" s="3" t="inlineStr">
        <is>
          <t>持有打工宝箱（中）（work_chest_medium）后开启；装备池概率10%；该装备概率0.333333%；数量1；宝箱来源：打工奖励：中级打工完成后领取1个宝箱</t>
        </is>
      </c>
      <c r="E53" s="3" t="inlineStr">
        <is>
          <t>data/item_templates.yaml；gameplay/services/work.py</t>
        </is>
      </c>
    </row>
    <row r="54">
      <c r="A54" s="3" t="inlineStr">
        <is>
          <t>equip_shengpijia</t>
        </is>
      </c>
      <c r="B54" s="3" t="inlineStr">
        <is>
          <t>生皮甲</t>
        </is>
      </c>
      <c r="C54" s="3" t="inlineStr">
        <is>
          <t>宝箱随机装备</t>
        </is>
      </c>
      <c r="D54" s="3" t="inlineStr">
        <is>
          <t>持有帮会进阶护院箱（guild_guard_box_advanced）后开启；装备池概率100%；该装备概率16%；数量1；宝箱来源：帮会仓库兑换：帮会科技guard；解锁等级3；配置等级3,4,5,6；贡献兑换价[180]；每周个人兑换上限[3]；各科技等级每日产量3级×1,4级×2,5级×1,6级×1</t>
        </is>
      </c>
      <c r="E54" s="3" t="inlineStr">
        <is>
          <t>data/item_templates.yaml；data/warehouse_production.yaml</t>
        </is>
      </c>
    </row>
    <row r="55">
      <c r="A55" s="3" t="inlineStr">
        <is>
          <t>equip_shengpijia</t>
        </is>
      </c>
      <c r="B55" s="3" t="inlineStr">
        <is>
          <t>生皮甲</t>
        </is>
      </c>
      <c r="C55" s="3" t="inlineStr">
        <is>
          <t>铁匠铺直接锻造</t>
        </is>
      </c>
      <c r="D55" s="3" t="inlineStr">
        <is>
          <t>锻造技3级；基础时长180秒（实际受时间缩放和建筑速度影响）；每件材料：铜(tong)×10、锡(xi)×5</t>
        </is>
      </c>
      <c r="E55" s="3" t="inlineStr">
        <is>
          <t>data/forge_equipment.yaml</t>
        </is>
      </c>
    </row>
    <row r="56">
      <c r="A56" s="3" t="inlineStr">
        <is>
          <t>equip_suoyi</t>
        </is>
      </c>
      <c r="B56" s="3" t="inlineStr">
        <is>
          <t>蓑衣</t>
        </is>
      </c>
      <c r="C56" s="3" t="inlineStr">
        <is>
          <t>宝箱随机装备</t>
        </is>
      </c>
      <c r="D56" s="3" t="inlineStr">
        <is>
          <t>持有打工宝箱（小）（work_chest_small）后开启；装备池概率10%；该装备概率0.526316%；数量1；宝箱来源：打工奖励：初级打工完成后领取1个宝箱</t>
        </is>
      </c>
      <c r="E56" s="3" t="inlineStr">
        <is>
          <t>data/item_templates.yaml；gameplay/services/work.py</t>
        </is>
      </c>
    </row>
    <row r="57">
      <c r="A57" s="3" t="inlineStr">
        <is>
          <t>equip_suoyi</t>
        </is>
      </c>
      <c r="B57" s="3" t="inlineStr">
        <is>
          <t>蓑衣</t>
        </is>
      </c>
      <c r="C57" s="3" t="inlineStr">
        <is>
          <t>宝箱随机装备</t>
        </is>
      </c>
      <c r="D57" s="3" t="inlineStr">
        <is>
          <t>持有打工宝箱（中）（work_chest_medium）后开启；装备池概率10%；该装备概率0.333333%；数量1；宝箱来源：打工奖励：中级打工完成后领取1个宝箱</t>
        </is>
      </c>
      <c r="E57" s="3" t="inlineStr">
        <is>
          <t>data/item_templates.yaml；gameplay/services/work.py</t>
        </is>
      </c>
    </row>
    <row r="58">
      <c r="A58" s="3" t="inlineStr">
        <is>
          <t>equip_suoyi</t>
        </is>
      </c>
      <c r="B58" s="3" t="inlineStr">
        <is>
          <t>蓑衣</t>
        </is>
      </c>
      <c r="C58" s="3" t="inlineStr">
        <is>
          <t>宝箱随机装备</t>
        </is>
      </c>
      <c r="D58" s="3" t="inlineStr">
        <is>
          <t>持有打工宝箱（大）（work_chest_large）后开启；装备池概率20%；该装备概率0.526316%；数量1；宝箱来源：打工奖励：高级打工完成后领取1个宝箱</t>
        </is>
      </c>
      <c r="E58" s="3" t="inlineStr">
        <is>
          <t>data/item_templates.yaml；gameplay/services/work.py</t>
        </is>
      </c>
    </row>
    <row r="59">
      <c r="A59" s="3" t="inlineStr">
        <is>
          <t>equip_housipao</t>
        </is>
      </c>
      <c r="B59" s="3" t="inlineStr">
        <is>
          <t>厚丝袍</t>
        </is>
      </c>
      <c r="C59" s="3" t="inlineStr">
        <is>
          <t>商铺购买</t>
        </is>
      </c>
      <c r="D59" s="3" t="inlineStr">
        <is>
          <t>购买价7500银两/件；库存不限量；每日刷新否</t>
        </is>
      </c>
      <c r="E59" s="3" t="inlineStr">
        <is>
          <t>data/shop_items.yaml</t>
        </is>
      </c>
    </row>
    <row r="60">
      <c r="A60" s="3" t="inlineStr">
        <is>
          <t>equip_housipao</t>
        </is>
      </c>
      <c r="B60" s="3" t="inlineStr">
        <is>
          <t>厚丝袍</t>
        </is>
      </c>
      <c r="C60" s="3" t="inlineStr">
        <is>
          <t>宝箱随机装备</t>
        </is>
      </c>
      <c r="D60" s="3" t="inlineStr">
        <is>
          <t>持有打工宝箱（小）（work_chest_small）后开启；装备池概率10%；该装备概率0.526316%；数量1；宝箱来源：打工奖励：初级打工完成后领取1个宝箱</t>
        </is>
      </c>
      <c r="E60" s="3" t="inlineStr">
        <is>
          <t>data/item_templates.yaml；gameplay/services/work.py</t>
        </is>
      </c>
    </row>
    <row r="61">
      <c r="A61" s="3" t="inlineStr">
        <is>
          <t>equip_housipao</t>
        </is>
      </c>
      <c r="B61" s="3" t="inlineStr">
        <is>
          <t>厚丝袍</t>
        </is>
      </c>
      <c r="C61" s="3" t="inlineStr">
        <is>
          <t>宝箱随机装备</t>
        </is>
      </c>
      <c r="D61" s="3" t="inlineStr">
        <is>
          <t>持有打工宝箱（中）（work_chest_medium）后开启；装备池概率10%；该装备概率0.333333%；数量1；宝箱来源：打工奖励：中级打工完成后领取1个宝箱</t>
        </is>
      </c>
      <c r="E61" s="3" t="inlineStr">
        <is>
          <t>data/item_templates.yaml；gameplay/services/work.py</t>
        </is>
      </c>
    </row>
    <row r="62">
      <c r="A62" s="3" t="inlineStr">
        <is>
          <t>equip_housipao</t>
        </is>
      </c>
      <c r="B62" s="3" t="inlineStr">
        <is>
          <t>厚丝袍</t>
        </is>
      </c>
      <c r="C62" s="3" t="inlineStr">
        <is>
          <t>宝箱随机装备</t>
        </is>
      </c>
      <c r="D62" s="3" t="inlineStr">
        <is>
          <t>持有帮会精锐护院箱（guild_guard_box_elite）后开启；装备池概率100%；该装备概率16%；数量1；宝箱来源：帮会仓库兑换：帮会科技guard；解锁等级5；配置等级5,6,7,8；贡献兑换价[260]；每周个人兑换上限[2]；各科技等级每日产量5级×1,6级×2,7级×1,8级×1</t>
        </is>
      </c>
      <c r="E62" s="3" t="inlineStr">
        <is>
          <t>data/item_templates.yaml；data/warehouse_production.yaml</t>
        </is>
      </c>
    </row>
    <row r="63">
      <c r="A63" s="3" t="inlineStr">
        <is>
          <t>equip_housipao</t>
        </is>
      </c>
      <c r="B63" s="3" t="inlineStr">
        <is>
          <t>厚丝袍</t>
        </is>
      </c>
      <c r="C63" s="3" t="inlineStr">
        <is>
          <t>宝箱随机装备</t>
        </is>
      </c>
      <c r="D63" s="3" t="inlineStr">
        <is>
          <t>持有帮会绿装箱（guild_gear_box_green）后开启；装备池概率100%；该装备概率14%；数量1；宝箱来源：帮会仓库兑换：帮会科技equipment；解锁等级1；配置等级1,2,3,4,5,6,7,8,9,10；贡献兑换价[70]；每周个人兑换上限[4]；各科技等级每日产量1级×1,2级×2,3级×2,4级×2,5级×2,6级×2,7级×2,8级×2,9级×2,10级×2</t>
        </is>
      </c>
      <c r="E63" s="3" t="inlineStr">
        <is>
          <t>data/item_templates.yaml；data/warehouse_production.yaml</t>
        </is>
      </c>
    </row>
    <row r="64">
      <c r="A64" s="3" t="inlineStr">
        <is>
          <t>equip_housipao</t>
        </is>
      </c>
      <c r="B64" s="3" t="inlineStr">
        <is>
          <t>厚丝袍</t>
        </is>
      </c>
      <c r="C64" s="3" t="inlineStr">
        <is>
          <t>铁匠铺直接锻造</t>
        </is>
      </c>
      <c r="D64" s="3" t="inlineStr">
        <is>
          <t>锻造技5级；基础时长240秒（实际受时间缩放和建筑速度影响）；每件材料：铁(tie)×10</t>
        </is>
      </c>
      <c r="E64" s="3" t="inlineStr">
        <is>
          <t>data/forge_equipment.yaml</t>
        </is>
      </c>
    </row>
    <row r="65">
      <c r="A65" s="3" t="inlineStr">
        <is>
          <t>equip_nichangyuyi</t>
        </is>
      </c>
      <c r="B65" s="3" t="inlineStr">
        <is>
          <t>霓裳羽衣</t>
        </is>
      </c>
      <c r="C65" s="3" t="inlineStr">
        <is>
          <t>宝箱独立随机物品组</t>
        </is>
      </c>
      <c r="D65" s="3" t="inlineStr">
        <is>
          <t>持有月饼（mid_autumn_mooncake）后开启；组概率7%；该物品概率1.166667%；数量1~1；宝箱来源：任务固定奖励：任务：广寒宫试炼（mid_autumn_moon_palace_trial）；难度intermediate；每日限3次；开放weekday=[2,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65" s="3" t="inlineStr">
        <is>
          <t>data/item_templates.yaml</t>
        </is>
      </c>
    </row>
    <row r="66">
      <c r="A66" s="3" t="inlineStr">
        <is>
          <t>equip_qingzhujia</t>
        </is>
      </c>
      <c r="B66" s="3" t="inlineStr">
        <is>
          <t>青竹甲</t>
        </is>
      </c>
      <c r="C66" s="3" t="inlineStr">
        <is>
          <t>宝箱随机装备</t>
        </is>
      </c>
      <c r="D66" s="3" t="inlineStr">
        <is>
          <t>持有打工宝箱（中）（work_chest_medium）后开启；装备池概率10%；该装备概率0.333333%；数量1；宝箱来源：打工奖励：中级打工完成后领取1个宝箱</t>
        </is>
      </c>
      <c r="E66" s="3" t="inlineStr">
        <is>
          <t>data/item_templates.yaml；gameplay/services/work.py</t>
        </is>
      </c>
    </row>
    <row r="67">
      <c r="A67" s="3" t="inlineStr">
        <is>
          <t>equip_qingzhujia</t>
        </is>
      </c>
      <c r="B67" s="3" t="inlineStr">
        <is>
          <t>青竹甲</t>
        </is>
      </c>
      <c r="C67" s="3" t="inlineStr">
        <is>
          <t>宝箱随机装备</t>
        </is>
      </c>
      <c r="D67" s="3" t="inlineStr">
        <is>
          <t>持有打工宝箱（大）（work_chest_large）后开启；装备池概率20%；该装备概率0.526316%；数量1；宝箱来源：打工奖励：高级打工完成后领取1个宝箱</t>
        </is>
      </c>
      <c r="E67" s="3" t="inlineStr">
        <is>
          <t>data/item_templates.yaml；gameplay/services/work.py</t>
        </is>
      </c>
    </row>
    <row r="68">
      <c r="A68" s="3" t="inlineStr">
        <is>
          <t>equip_shanwenjia</t>
        </is>
      </c>
      <c r="B68" s="3" t="inlineStr">
        <is>
          <t>山纹甲</t>
        </is>
      </c>
      <c r="C68" s="3" t="inlineStr">
        <is>
          <t>宝箱随机装备</t>
        </is>
      </c>
      <c r="D68" s="3" t="inlineStr">
        <is>
          <t>持有打工宝箱（中）（work_chest_medium）后开启；装备池概率10%；该装备概率0.333333%；数量1；宝箱来源：打工奖励：中级打工完成后领取1个宝箱</t>
        </is>
      </c>
      <c r="E68" s="3" t="inlineStr">
        <is>
          <t>data/item_templates.yaml；gameplay/services/work.py</t>
        </is>
      </c>
    </row>
    <row r="69">
      <c r="A69" s="3" t="inlineStr">
        <is>
          <t>equip_shanwenjia</t>
        </is>
      </c>
      <c r="B69" s="3" t="inlineStr">
        <is>
          <t>山纹甲</t>
        </is>
      </c>
      <c r="C69" s="3" t="inlineStr">
        <is>
          <t>宝箱随机装备</t>
        </is>
      </c>
      <c r="D69" s="3" t="inlineStr">
        <is>
          <t>持有打工宝箱（大）（work_chest_large）后开启；装备池概率20%；该装备概率0.526316%；数量1；宝箱来源：打工奖励：高级打工完成后领取1个宝箱</t>
        </is>
      </c>
      <c r="E69" s="3" t="inlineStr">
        <is>
          <t>data/item_templates.yaml；gameplay/services/work.py</t>
        </is>
      </c>
    </row>
    <row r="70">
      <c r="A70" s="3" t="inlineStr">
        <is>
          <t>equip_shapijia</t>
        </is>
      </c>
      <c r="B70" s="3" t="inlineStr">
        <is>
          <t>鲨皮甲</t>
        </is>
      </c>
      <c r="C70" s="3" t="inlineStr">
        <is>
          <t>商铺购买</t>
        </is>
      </c>
      <c r="D70" s="3" t="inlineStr">
        <is>
          <t>购买价15000银两/件；库存不限量；每日刷新否</t>
        </is>
      </c>
      <c r="E70" s="3" t="inlineStr">
        <is>
          <t>data/shop_items.yaml</t>
        </is>
      </c>
    </row>
    <row r="71">
      <c r="A71" s="3" t="inlineStr">
        <is>
          <t>equip_shapijia</t>
        </is>
      </c>
      <c r="B71" s="3" t="inlineStr">
        <is>
          <t>鲨皮甲</t>
        </is>
      </c>
      <c r="C71" s="3" t="inlineStr">
        <is>
          <t>宝箱随机装备</t>
        </is>
      </c>
      <c r="D71" s="3" t="inlineStr">
        <is>
          <t>持有打工宝箱（小）（work_chest_small）后开启；装备池概率10%；该装备概率0.526316%；数量1；宝箱来源：打工奖励：初级打工完成后领取1个宝箱</t>
        </is>
      </c>
      <c r="E71" s="3" t="inlineStr">
        <is>
          <t>data/item_templates.yaml；gameplay/services/work.py</t>
        </is>
      </c>
    </row>
    <row r="72">
      <c r="A72" s="3" t="inlineStr">
        <is>
          <t>equip_shapijia</t>
        </is>
      </c>
      <c r="B72" s="3" t="inlineStr">
        <is>
          <t>鲨皮甲</t>
        </is>
      </c>
      <c r="C72" s="3" t="inlineStr">
        <is>
          <t>宝箱随机装备</t>
        </is>
      </c>
      <c r="D72" s="3" t="inlineStr">
        <is>
          <t>持有打工宝箱（中）（work_chest_medium）后开启；装备池概率10%；该装备概率0.333333%；数量1；宝箱来源：打工奖励：中级打工完成后领取1个宝箱</t>
        </is>
      </c>
      <c r="E72" s="3" t="inlineStr">
        <is>
          <t>data/item_templates.yaml；gameplay/services/work.py</t>
        </is>
      </c>
    </row>
    <row r="73">
      <c r="A73" s="3" t="inlineStr">
        <is>
          <t>equip_shapijia</t>
        </is>
      </c>
      <c r="B73" s="3" t="inlineStr">
        <is>
          <t>鲨皮甲</t>
        </is>
      </c>
      <c r="C73" s="3" t="inlineStr">
        <is>
          <t>宝箱随机装备</t>
        </is>
      </c>
      <c r="D73" s="3" t="inlineStr">
        <is>
          <t>持有打工宝箱（大）（work_chest_large）后开启；装备池概率20%；该装备概率0.526316%；数量1；宝箱来源：打工奖励：高级打工完成后领取1个宝箱</t>
        </is>
      </c>
      <c r="E73" s="3" t="inlineStr">
        <is>
          <t>data/item_templates.yaml；gameplay/services/work.py</t>
        </is>
      </c>
    </row>
    <row r="74">
      <c r="A74" s="3" t="inlineStr">
        <is>
          <t>equip_shapijia</t>
        </is>
      </c>
      <c r="B74" s="3" t="inlineStr">
        <is>
          <t>鲨皮甲</t>
        </is>
      </c>
      <c r="C74" s="3" t="inlineStr">
        <is>
          <t>宝箱随机装备</t>
        </is>
      </c>
      <c r="D74" s="3" t="inlineStr">
        <is>
          <t>持有帮会精制护院箱（guild_guard_box_refined）后开启；装备池概率100%；该装备概率16%；数量1；宝箱来源：帮会仓库兑换：帮会科技guard；解锁等级7；配置等级7,8,9,10；贡献兑换价[320]；每周个人兑换上限[1]；各科技等级每日产量7级×1,8级×2,9级×1,10级×1</t>
        </is>
      </c>
      <c r="E74" s="3" t="inlineStr">
        <is>
          <t>data/item_templates.yaml；data/warehouse_production.yaml</t>
        </is>
      </c>
    </row>
    <row r="75">
      <c r="A75" s="3" t="inlineStr">
        <is>
          <t>equip_shapijia</t>
        </is>
      </c>
      <c r="B75" s="3" t="inlineStr">
        <is>
          <t>鲨皮甲</t>
        </is>
      </c>
      <c r="C75" s="3" t="inlineStr">
        <is>
          <t>宝箱随机装备</t>
        </is>
      </c>
      <c r="D75" s="3" t="inlineStr">
        <is>
          <t>持有帮会宗师护院匣（guild_guard_box_master）后开启；装备池概率100%；该装备概率18%；数量1；宝箱来源：帮会仓库兑换：帮会科技guard；解锁等级9；配置等级9,10；贡献兑换价[360]；每周个人兑换上限[1]；各科技等级每日产量9级×1,10级×2</t>
        </is>
      </c>
      <c r="E75" s="3" t="inlineStr">
        <is>
          <t>data/item_templates.yaml；data/warehouse_production.yaml</t>
        </is>
      </c>
    </row>
    <row r="76">
      <c r="A76" s="3" t="inlineStr">
        <is>
          <t>equip_shapijia</t>
        </is>
      </c>
      <c r="B76" s="3" t="inlineStr">
        <is>
          <t>鲨皮甲</t>
        </is>
      </c>
      <c r="C76" s="3" t="inlineStr">
        <is>
          <t>铁匠铺直接锻造</t>
        </is>
      </c>
      <c r="D76" s="3" t="inlineStr">
        <is>
          <t>锻造技7级；基础时长300秒（实际受时间缩放和建筑速度影响）；每件材料：铁(tie)×20</t>
        </is>
      </c>
      <c r="E76" s="3" t="inlineStr">
        <is>
          <t>data/forge_equipment.yaml</t>
        </is>
      </c>
    </row>
    <row r="77">
      <c r="A77" s="3" t="inlineStr">
        <is>
          <t>equip_suozijia</t>
        </is>
      </c>
      <c r="B77" s="3" t="inlineStr">
        <is>
          <t>锁子甲</t>
        </is>
      </c>
      <c r="C77" s="3" t="inlineStr">
        <is>
          <t>宝箱随机装备</t>
        </is>
      </c>
      <c r="D77" s="3" t="inlineStr">
        <is>
          <t>持有打工宝箱（中）（work_chest_medium）后开启；装备池概率10%；该装备概率0.333333%；数量1；宝箱来源：打工奖励：中级打工完成后领取1个宝箱</t>
        </is>
      </c>
      <c r="E77" s="3" t="inlineStr">
        <is>
          <t>data/item_templates.yaml；gameplay/services/work.py</t>
        </is>
      </c>
    </row>
    <row r="78">
      <c r="A78" s="3" t="inlineStr">
        <is>
          <t>equip_suozijia</t>
        </is>
      </c>
      <c r="B78" s="3" t="inlineStr">
        <is>
          <t>锁子甲</t>
        </is>
      </c>
      <c r="C78" s="3" t="inlineStr">
        <is>
          <t>宝箱随机装备</t>
        </is>
      </c>
      <c r="D78" s="3" t="inlineStr">
        <is>
          <t>持有打工宝箱（大）（work_chest_large）后开启；装备池概率20%；该装备概率0.526316%；数量1；宝箱来源：打工奖励：高级打工完成后领取1个宝箱</t>
        </is>
      </c>
      <c r="E78" s="3" t="inlineStr">
        <is>
          <t>data/item_templates.yaml；gameplay/services/work.py</t>
        </is>
      </c>
    </row>
    <row r="79">
      <c r="A79" s="3" t="inlineStr">
        <is>
          <t>equip_tiexianjia</t>
        </is>
      </c>
      <c r="B79" s="3" t="inlineStr">
        <is>
          <t>铁线甲</t>
        </is>
      </c>
      <c r="C79" s="3" t="inlineStr">
        <is>
          <t>宝箱随机装备</t>
        </is>
      </c>
      <c r="D79" s="3" t="inlineStr">
        <is>
          <t>持有打工宝箱（中）（work_chest_medium）后开启；装备池概率10%；该装备概率0.333333%；数量1；宝箱来源：打工奖励：中级打工完成后领取1个宝箱</t>
        </is>
      </c>
      <c r="E79" s="3" t="inlineStr">
        <is>
          <t>data/item_templates.yaml；gameplay/services/work.py</t>
        </is>
      </c>
    </row>
    <row r="80">
      <c r="A80" s="3" t="inlineStr">
        <is>
          <t>equip_tiexianjia</t>
        </is>
      </c>
      <c r="B80" s="3" t="inlineStr">
        <is>
          <t>铁线甲</t>
        </is>
      </c>
      <c r="C80" s="3" t="inlineStr">
        <is>
          <t>宝箱随机装备</t>
        </is>
      </c>
      <c r="D80" s="3" t="inlineStr">
        <is>
          <t>持有打工宝箱（大）（work_chest_large）后开启；装备池概率20%；该装备概率0.526316%；数量1；宝箱来源：打工奖励：高级打工完成后领取1个宝箱</t>
        </is>
      </c>
      <c r="E80" s="3" t="inlineStr">
        <is>
          <t>data/item_templates.yaml；gameplay/services/work.py</t>
        </is>
      </c>
    </row>
    <row r="81">
      <c r="A81" s="3" t="inlineStr">
        <is>
          <t>equip_xuantiejia</t>
        </is>
      </c>
      <c r="B81" s="3" t="inlineStr">
        <is>
          <t>玄铁甲</t>
        </is>
      </c>
      <c r="C81" s="3" t="inlineStr">
        <is>
          <t>宝箱随机装备</t>
        </is>
      </c>
      <c r="D81" s="3" t="inlineStr">
        <is>
          <t>持有打工宝箱（中）（work_chest_medium）后开启；装备池概率10%；该装备概率0.333333%；数量1；宝箱来源：打工奖励：中级打工完成后领取1个宝箱</t>
        </is>
      </c>
      <c r="E81" s="3" t="inlineStr">
        <is>
          <t>data/item_templates.yaml；gameplay/services/work.py</t>
        </is>
      </c>
    </row>
    <row r="82">
      <c r="A82" s="3" t="inlineStr">
        <is>
          <t>equip_xuantiejia</t>
        </is>
      </c>
      <c r="B82" s="3" t="inlineStr">
        <is>
          <t>玄铁甲</t>
        </is>
      </c>
      <c r="C82" s="3" t="inlineStr">
        <is>
          <t>宝箱随机装备</t>
        </is>
      </c>
      <c r="D82" s="3" t="inlineStr">
        <is>
          <t>持有打工宝箱（大）（work_chest_large）后开启；装备池概率20%；该装备概率0.526316%；数量1；宝箱来源：打工奖励：高级打工完成后领取1个宝箱</t>
        </is>
      </c>
      <c r="E82" s="3" t="inlineStr">
        <is>
          <t>data/item_templates.yaml；gameplay/services/work.py</t>
        </is>
      </c>
    </row>
    <row r="83">
      <c r="A83" s="3" t="inlineStr">
        <is>
          <t>equip_jiaodoushixiongjia</t>
        </is>
      </c>
      <c r="B83" s="3" t="inlineStr">
        <is>
          <t>角斗士胸甲</t>
        </is>
      </c>
      <c r="C83" s="3" t="inlineStr">
        <is>
          <t>竞技场随机兑换</t>
        </is>
      </c>
      <c r="D83" s="3" t="inlineStr">
        <is>
          <t>角斗士宝箱（gladiator_chest）；花费500竞技币；每日限2次；该物品概率20%；数量1</t>
        </is>
      </c>
      <c r="E83" s="3" t="inlineStr">
        <is>
          <t>data/arena_rewards.yaml</t>
        </is>
      </c>
    </row>
    <row r="84">
      <c r="A84" s="3" t="inlineStr">
        <is>
          <t>equip_jiaodoushixiongjia</t>
        </is>
      </c>
      <c r="B84" s="3" t="inlineStr">
        <is>
          <t>角斗士胸甲</t>
        </is>
      </c>
      <c r="C84" s="3" t="inlineStr">
        <is>
          <t>宝箱随机装备</t>
        </is>
      </c>
      <c r="D84" s="3" t="inlineStr">
        <is>
          <t>持有帮会蓝装箱（guild_gear_box_blue）后开启；装备池概率100%；该装备概率15%；数量1；宝箱来源：帮会仓库兑换：帮会科技equipment；解锁等级3；配置等级3,4,5,6,7,8,9,10；贡献兑换价[180]；每周个人兑换上限[3]；各科技等级每日产量3级×1,4级×2,5级×2,6级×2,7级×2,8级×2,9级×2,10级×2</t>
        </is>
      </c>
      <c r="E84" s="3" t="inlineStr">
        <is>
          <t>data/item_templates.yaml；data/warehouse_production.yaml</t>
        </is>
      </c>
    </row>
    <row r="85">
      <c r="A85" s="3" t="inlineStr">
        <is>
          <t>equip_qinglongjia</t>
        </is>
      </c>
      <c r="B85" s="3" t="inlineStr">
        <is>
          <t>青龙甲</t>
        </is>
      </c>
      <c r="C85" s="3" t="inlineStr">
        <is>
          <t>图纸合成（竞技场随机图纸兑换）</t>
        </is>
      </c>
      <c r="D85" s="3" t="inlineStr">
        <is>
          <t>消耗图纸青龙甲图纸(blueprint_qinglongjia)×1；锻造技5级；每次产出1件；材料：铜(tong)×36、锡(xi)×22、铁(tie)×17、木质精华(wood_essence)×3、铜质精华(copper_essence)×3、紫檀木(zitanmu)×4、铁木(tiemu)×6、黑原石(heiyuanshi)×6、金刚煤(jingangmei)×4、凿子(zaozi)×5、纯水之石(water_stone)×2、大地之石(earth_stone)×2；图纸来源：随机蓝色装备图纸；600竞技币；每日限1次；12张同品质图纸均匀随机</t>
        </is>
      </c>
      <c r="E85" s="3" t="inlineStr">
        <is>
          <t>data/forge_blueprints.yaml; data/arena_rewards.yaml</t>
        </is>
      </c>
    </row>
    <row r="86">
      <c r="A86" s="3" t="inlineStr">
        <is>
          <t>equip_qinglongjia</t>
        </is>
      </c>
      <c r="B86" s="3" t="inlineStr">
        <is>
          <t>青龙甲</t>
        </is>
      </c>
      <c r="C86" s="3" t="inlineStr">
        <is>
          <t>图纸合成（帮会图纸领取）</t>
        </is>
      </c>
      <c r="D86" s="3" t="inlineStr">
        <is>
          <t>消耗图纸青龙甲图纸(blueprint_qinglongjia)×1；锻造技5级；每次产出1件；材料：铜(tong)×36、锡(xi)×22、铁(tie)×17、木质精华(wood_essence)×3、铜质精华(copper_essence)×3、紫檀木(zitanmu)×4、铁木(tiemu)×6、黑原石(heiyuanshi)×6、金刚煤(jingangmei)×4、凿子(zaozi)×5、纯水之石(water_stone)×2、大地之石(earth_stone)×2；图纸来源：本周贡献大于0且有效帮会成员；blue图纸每周共享领取上限5</t>
        </is>
      </c>
      <c r="E86" s="3" t="inlineStr">
        <is>
          <t>data/forge_blueprints.yaml; data/guild_rules.yaml; guilds/services/blueprint_rewards.py</t>
        </is>
      </c>
    </row>
    <row r="87">
      <c r="A87" s="3" t="inlineStr">
        <is>
          <t>equip_xiaoweikaijia</t>
        </is>
      </c>
      <c r="B87" s="3" t="inlineStr">
        <is>
          <t>校尉铠甲</t>
        </is>
      </c>
      <c r="C87" s="3" t="inlineStr">
        <is>
          <t>宝箱随机装备</t>
        </is>
      </c>
      <c r="D87" s="3" t="inlineStr">
        <is>
          <t>持有打工宝箱（大）（work_chest_large）后开启；装备池概率20%；该装备概率0.526316%；数量1；宝箱来源：打工奖励：高级打工完成后领取1个宝箱</t>
        </is>
      </c>
      <c r="E87" s="3" t="inlineStr">
        <is>
          <t>data/item_templates.yaml；gameplay/services/work.py</t>
        </is>
      </c>
    </row>
    <row r="88">
      <c r="A88" s="3" t="inlineStr">
        <is>
          <t>equip_xiaoweikaijia</t>
        </is>
      </c>
      <c r="B88" s="3" t="inlineStr">
        <is>
          <t>校尉铠甲</t>
        </is>
      </c>
      <c r="C88" s="3" t="inlineStr">
        <is>
          <t>图纸合成（竞技场随机图纸兑换）</t>
        </is>
      </c>
      <c r="D88" s="3" t="inlineStr">
        <is>
          <t>消耗图纸校尉铠甲图纸(blueprint_xiaoweikaijia)×1；锻造技5级；每次产出1件；材料：铜(tong)×36、锡(xi)×22、铁(tie)×17、木质精华(wood_essence)×2、铜质精华(copper_essence)×3、铁木(tiemu)×6、黑原石(heiyuanshi)×9、金刚煤(jingangmei)×6、凿子(zaozi)×6、大地之石(earth_stone)×3；图纸来源：随机蓝色装备图纸；600竞技币；每日限1次；12张同品质图纸均匀随机</t>
        </is>
      </c>
      <c r="E88" s="3" t="inlineStr">
        <is>
          <t>data/forge_blueprints.yaml; data/arena_rewards.yaml</t>
        </is>
      </c>
    </row>
    <row r="89">
      <c r="A89" s="3" t="inlineStr">
        <is>
          <t>equip_xiaoweikaijia</t>
        </is>
      </c>
      <c r="B89" s="3" t="inlineStr">
        <is>
          <t>校尉铠甲</t>
        </is>
      </c>
      <c r="C89" s="3" t="inlineStr">
        <is>
          <t>图纸合成（帮会图纸领取）</t>
        </is>
      </c>
      <c r="D89" s="3" t="inlineStr">
        <is>
          <t>消耗图纸校尉铠甲图纸(blueprint_xiaoweikaijia)×1；锻造技5级；每次产出1件；材料：铜(tong)×36、锡(xi)×22、铁(tie)×17、木质精华(wood_essence)×2、铜质精华(copper_essence)×3、铁木(tiemu)×6、黑原石(heiyuanshi)×9、金刚煤(jingangmei)×6、凿子(zaozi)×6、大地之石(earth_stone)×3；图纸来源：本周贡献大于0且有效帮会成员；blue图纸每周共享领取上限5</t>
        </is>
      </c>
      <c r="E89" s="3" t="inlineStr">
        <is>
          <t>data/forge_blueprints.yaml; data/guild_rules.yaml; guilds/services/blueprint_rewards.py</t>
        </is>
      </c>
    </row>
    <row r="90">
      <c r="A90" s="3" t="inlineStr">
        <is>
          <t>equip_huxianpao</t>
        </is>
      </c>
      <c r="B90" s="3" t="inlineStr">
        <is>
          <t>狐仙袍</t>
        </is>
      </c>
      <c r="C90" s="3" t="inlineStr">
        <is>
          <t>宝箱随机装备</t>
        </is>
      </c>
      <c r="D90" s="3" t="inlineStr">
        <is>
          <t>持有帮会紫装箱（guild_gear_box_purple）后开启；装备池概率100%；该装备概率10.31746%；数量1；宝箱来源：帮会仓库兑换：帮会科技equipment；解锁等级5；配置等级5,6,7,8,9,10；贡献兑换价[500]；每周个人兑换上限[1]；各科技等级每日产量5级×1,6级×2,7级×2,8级×2,9级×2,10级×2</t>
        </is>
      </c>
      <c r="E90" s="3" t="inlineStr">
        <is>
          <t>data/item_templates.yaml；data/warehouse_production.yaml</t>
        </is>
      </c>
    </row>
    <row r="91">
      <c r="A91" s="3" t="inlineStr">
        <is>
          <t>equip_huxianpao</t>
        </is>
      </c>
      <c r="B91" s="3" t="inlineStr">
        <is>
          <t>狐仙袍</t>
        </is>
      </c>
      <c r="C91" s="3" t="inlineStr">
        <is>
          <t>图纸合成（竞技场随机图纸兑换）</t>
        </is>
      </c>
      <c r="D91" s="3" t="inlineStr">
        <is>
          <t>消耗图纸狐仙袍图纸(blueprint_huxianpao)×1；锻造技7级；每次产出1件；材料：铜(tong)×41、锡(xi)×27、铁(tie)×20、木质精华(wood_essence)×4、铜质精华(copper_essence)×3、玄铁精华(xuan_tie_essence)×2、紫檀木(zitanmu)×11、水曲木(shuiqumu)×12、铁木(tiemu)×4、金刚煤(jingangmei)×4、刨子(paozi)×8、凿子(zaozi)×3、高炉(gaolu)×2、纯水之石(water_stone)×3；图纸来源：随机紫色装备图纸；1800竞技币；每日限1次；19张同品质图纸均匀随机</t>
        </is>
      </c>
      <c r="E91" s="3" t="inlineStr">
        <is>
          <t>data/forge_blueprints.yaml; data/arena_rewards.yaml</t>
        </is>
      </c>
    </row>
    <row r="92">
      <c r="A92" s="3" t="inlineStr">
        <is>
          <t>equip_huxianpao</t>
        </is>
      </c>
      <c r="B92" s="3" t="inlineStr">
        <is>
          <t>狐仙袍</t>
        </is>
      </c>
      <c r="C92" s="3" t="inlineStr">
        <is>
          <t>图纸合成（帮会图纸领取）</t>
        </is>
      </c>
      <c r="D92" s="3" t="inlineStr">
        <is>
          <t>消耗图纸狐仙袍图纸(blueprint_huxianpao)×1；锻造技7级；每次产出1件；材料：铜(tong)×41、锡(xi)×27、铁(tie)×20、木质精华(wood_essence)×4、铜质精华(copper_essence)×3、玄铁精华(xuan_tie_essence)×2、紫檀木(zitanmu)×11、水曲木(shuiqumu)×12、铁木(tiemu)×4、金刚煤(jingangmei)×4、刨子(paozi)×8、凿子(zaozi)×3、高炉(gaolu)×2、纯水之石(water_stone)×3；图纸来源：本周贡献大于0且有效帮会成员；purple图纸每周共享领取上限2</t>
        </is>
      </c>
      <c r="E92" s="3" t="inlineStr">
        <is>
          <t>data/forge_blueprints.yaml; data/guild_rules.yaml; guilds/services/blueprint_rewards.py</t>
        </is>
      </c>
    </row>
    <row r="93">
      <c r="A93" s="3" t="inlineStr">
        <is>
          <t>equip_qilinjia</t>
        </is>
      </c>
      <c r="B93" s="3" t="inlineStr">
        <is>
          <t>麒麟甲</t>
        </is>
      </c>
      <c r="C93" s="3" t="inlineStr">
        <is>
          <t>宝箱随机装备</t>
        </is>
      </c>
      <c r="D93" s="3" t="inlineStr">
        <is>
          <t>持有帮会紫装箱（guild_gear_box_purple）后开启；装备池概率100%；该装备概率12.698413%；数量1；宝箱来源：帮会仓库兑换：帮会科技equipment；解锁等级5；配置等级5,6,7,8,9,10；贡献兑换价[500]；每周个人兑换上限[1]；各科技等级每日产量5级×1,6级×2,7级×2,8级×2,9级×2,10级×2</t>
        </is>
      </c>
      <c r="E93" s="3" t="inlineStr">
        <is>
          <t>data/item_templates.yaml；data/warehouse_production.yaml</t>
        </is>
      </c>
    </row>
    <row r="94">
      <c r="A94" s="3" t="inlineStr">
        <is>
          <t>equip_qilinjia</t>
        </is>
      </c>
      <c r="B94" s="3" t="inlineStr">
        <is>
          <t>麒麟甲</t>
        </is>
      </c>
      <c r="C94" s="3" t="inlineStr">
        <is>
          <t>宝箱随机装备</t>
        </is>
      </c>
      <c r="D94" s="3" t="inlineStr">
        <is>
          <t>持有帮会精铸紫装箱（guild_gear_box_refined_purple）后开启；装备池概率100%；该装备概率17.699115%；数量1；宝箱来源：帮会仓库兑换：帮会科技equipment；解锁等级7；配置等级7,8,9,10；贡献兑换价[650]；每周个人兑换上限[1]；各科技等级每日产量7级×1,8级×3,9级×3,10级×3</t>
        </is>
      </c>
      <c r="E94" s="3" t="inlineStr">
        <is>
          <t>data/item_templates.yaml；data/warehouse_production.yaml</t>
        </is>
      </c>
    </row>
    <row r="95">
      <c r="A95" s="3" t="inlineStr">
        <is>
          <t>equip_qilinjia</t>
        </is>
      </c>
      <c r="B95" s="3" t="inlineStr">
        <is>
          <t>麒麟甲</t>
        </is>
      </c>
      <c r="C95" s="3" t="inlineStr">
        <is>
          <t>宝箱随机装备</t>
        </is>
      </c>
      <c r="D95" s="3" t="inlineStr">
        <is>
          <t>持有帮会宗师秘匣（guild_gear_box_master）后开启；装备池概率100%；该装备概率18%；数量1；宝箱来源：帮会仓库兑换：帮会科技equipment；解锁等级9；配置等级9,10；贡献兑换价[800]；每周个人兑换上限[1]；各科技等级每日产量9级×1,10级×2</t>
        </is>
      </c>
      <c r="E95" s="3" t="inlineStr">
        <is>
          <t>data/item_templates.yaml；data/warehouse_production.yaml</t>
        </is>
      </c>
    </row>
    <row r="96">
      <c r="A96" s="3" t="inlineStr">
        <is>
          <t>equip_qilinjia</t>
        </is>
      </c>
      <c r="B96" s="3" t="inlineStr">
        <is>
          <t>麒麟甲</t>
        </is>
      </c>
      <c r="C96" s="3" t="inlineStr">
        <is>
          <t>图纸合成（竞技场随机图纸兑换）</t>
        </is>
      </c>
      <c r="D96" s="3" t="inlineStr">
        <is>
          <t>消耗图纸麒麟甲图纸(blueprint_qilinjia)×1；锻造技9级；每次产出1件；材料：铜(tong)×56、锡(xi)×36、铁(tie)×29、玄铁精华(xuan_tie_essence)×3、铁木(tiemu)×12、黑原石(heiyuanshi)×15、金刚煤(jingangmei)×10、刨子(paozi)×3、凿子(zaozi)×10、高炉(gaolu)×3、火焰之石(fire_stone)×3、大地之石(earth_stone)×3；图纸来源：随机紫色装备图纸；1800竞技币；每日限1次；19张同品质图纸均匀随机</t>
        </is>
      </c>
      <c r="E96" s="3" t="inlineStr">
        <is>
          <t>data/forge_blueprints.yaml; data/arena_rewards.yaml</t>
        </is>
      </c>
    </row>
    <row r="97">
      <c r="A97" s="3" t="inlineStr">
        <is>
          <t>equip_qilinjia</t>
        </is>
      </c>
      <c r="B97" s="3" t="inlineStr">
        <is>
          <t>麒麟甲</t>
        </is>
      </c>
      <c r="C97" s="3" t="inlineStr">
        <is>
          <t>图纸合成（帮会图纸领取）</t>
        </is>
      </c>
      <c r="D97" s="3" t="inlineStr">
        <is>
          <t>消耗图纸麒麟甲图纸(blueprint_qilinjia)×1；锻造技9级；每次产出1件；材料：铜(tong)×56、锡(xi)×36、铁(tie)×29、玄铁精华(xuan_tie_essence)×3、铁木(tiemu)×12、黑原石(heiyuanshi)×15、金刚煤(jingangmei)×10、刨子(paozi)×3、凿子(zaozi)×10、高炉(gaolu)×3、火焰之石(fire_stone)×3、大地之石(earth_stone)×3；图纸来源：本周贡献大于0且有效帮会成员；purple图纸每周共享领取上限2</t>
        </is>
      </c>
      <c r="E97" s="3" t="inlineStr">
        <is>
          <t>data/forge_blueprints.yaml; data/guild_rules.yaml; guilds/services/blueprint_rewards.py</t>
        </is>
      </c>
    </row>
    <row r="98">
      <c r="A98" s="3" t="inlineStr">
        <is>
          <t>equip_xuanwujia</t>
        </is>
      </c>
      <c r="B98" s="3" t="inlineStr">
        <is>
          <t>玄武甲</t>
        </is>
      </c>
      <c r="C98" s="3" t="inlineStr">
        <is>
          <t>图纸合成（竞技场随机图纸兑换）</t>
        </is>
      </c>
      <c r="D98" s="3" t="inlineStr">
        <is>
          <t>消耗图纸玄武甲图纸(blueprint_xuanwujia)×1；锻造技9级；每次产出1件；材料：铜(tong)×58、锡(xi)×39、铁(tie)×32、玄铁精华(xuan_tie_essence)×3、铁木(tiemu)×15、黑原石(heiyuanshi)×17、金刚煤(jingangmei)×11、刨子(paozi)×3、凿子(zaozi)×11、高炉(gaolu)×3、纯水之石(water_stone)×3、大地之石(earth_stone)×3；图纸来源：随机紫色装备图纸；1800竞技币；每日限1次；19张同品质图纸均匀随机</t>
        </is>
      </c>
      <c r="E98" s="3" t="inlineStr">
        <is>
          <t>data/forge_blueprints.yaml; data/arena_rewards.yaml</t>
        </is>
      </c>
    </row>
    <row r="99">
      <c r="A99" s="3" t="inlineStr">
        <is>
          <t>equip_ruanweijia</t>
        </is>
      </c>
      <c r="B99" s="3" t="inlineStr">
        <is>
          <t>软猬甲</t>
        </is>
      </c>
      <c r="C99" s="3" t="inlineStr">
        <is>
          <t>竞技场随机兑换</t>
        </is>
      </c>
      <c r="D99" s="3" t="inlineStr">
        <is>
          <t>武林宝箱（wulin_chest）；花费1000竞技币；每周限2次；该物品概率1%；数量1</t>
        </is>
      </c>
      <c r="E99" s="3" t="inlineStr">
        <is>
          <t>data/arena_rewards.yaml</t>
        </is>
      </c>
    </row>
    <row r="100">
      <c r="A100" s="3" t="inlineStr">
        <is>
          <t>equip_buxie</t>
        </is>
      </c>
      <c r="B100" s="3" t="inlineStr">
        <is>
          <t>布鞋</t>
        </is>
      </c>
      <c r="C100" s="3" t="inlineStr">
        <is>
          <t>商铺购买</t>
        </is>
      </c>
      <c r="D100" s="3" t="inlineStr">
        <is>
          <t>购买价375银两/件；库存不限量；每日刷新否</t>
        </is>
      </c>
      <c r="E100" s="3" t="inlineStr">
        <is>
          <t>data/shop_items.yaml</t>
        </is>
      </c>
    </row>
    <row r="101">
      <c r="A101" s="3" t="inlineStr">
        <is>
          <t>equip_buxie</t>
        </is>
      </c>
      <c r="B101" s="3" t="inlineStr">
        <is>
          <t>布鞋</t>
        </is>
      </c>
      <c r="C101" s="3" t="inlineStr">
        <is>
          <t>宝箱随机装备</t>
        </is>
      </c>
      <c r="D101" s="3" t="inlineStr">
        <is>
          <t>持有帮会基础护院箱（guild_guard_box_basic）后开启；装备池概率100%；该装备概率18%；数量1；宝箱来源：帮会仓库兑换：帮会科技guard；解锁等级1；配置等级1,2,3,4；贡献兑换价[90]；每周个人兑换上限[4]；各科技等级每日产量1级×1,2级×2,3级×1,4级×1</t>
        </is>
      </c>
      <c r="E101" s="3" t="inlineStr">
        <is>
          <t>data/item_templates.yaml；data/warehouse_production.yaml</t>
        </is>
      </c>
    </row>
    <row r="102">
      <c r="A102" s="3" t="inlineStr">
        <is>
          <t>equip_buxie</t>
        </is>
      </c>
      <c r="B102" s="3" t="inlineStr">
        <is>
          <t>布鞋</t>
        </is>
      </c>
      <c r="C102" s="3" t="inlineStr">
        <is>
          <t>铁匠铺直接锻造</t>
        </is>
      </c>
      <c r="D102" s="3" t="inlineStr">
        <is>
          <t>锻造技1级；基础时长120秒（实际受时间缩放和建筑速度影响）；每件材料：铜(tong)×5</t>
        </is>
      </c>
      <c r="E102" s="3" t="inlineStr">
        <is>
          <t>data/forge_equipment.yaml</t>
        </is>
      </c>
    </row>
    <row r="103">
      <c r="A103" s="3" t="inlineStr">
        <is>
          <t>equip_caoxie</t>
        </is>
      </c>
      <c r="B103" s="3" t="inlineStr">
        <is>
          <t>草鞋</t>
        </is>
      </c>
      <c r="C103" s="3" t="inlineStr">
        <is>
          <t>宝箱随机装备</t>
        </is>
      </c>
      <c r="D103" s="3" t="inlineStr">
        <is>
          <t>持有打工宝箱（小）（work_chest_small）后开启；装备池概率10%；该装备概率0.526316%；数量1；宝箱来源：打工奖励：初级打工完成后领取1个宝箱</t>
        </is>
      </c>
      <c r="E103" s="3" t="inlineStr">
        <is>
          <t>data/item_templates.yaml；gameplay/services/work.py</t>
        </is>
      </c>
    </row>
    <row r="104">
      <c r="A104" s="3" t="inlineStr">
        <is>
          <t>equip_caoxie</t>
        </is>
      </c>
      <c r="B104" s="3" t="inlineStr">
        <is>
          <t>草鞋</t>
        </is>
      </c>
      <c r="C104" s="3" t="inlineStr">
        <is>
          <t>宝箱随机装备</t>
        </is>
      </c>
      <c r="D104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04" s="3" t="inlineStr">
        <is>
          <t>data/item_templates.yaml；gameplay/services/work.py</t>
        </is>
      </c>
    </row>
    <row r="105">
      <c r="A105" s="3" t="inlineStr">
        <is>
          <t>equip_caoxie</t>
        </is>
      </c>
      <c r="B105" s="3" t="inlineStr">
        <is>
          <t>草鞋</t>
        </is>
      </c>
      <c r="C105" s="3" t="inlineStr">
        <is>
          <t>宝箱随机装备</t>
        </is>
      </c>
      <c r="D105" s="3" t="inlineStr">
        <is>
          <t>持有打工宝箱（大）（work_chest_large）后开启；装备池概率20%；该装备概率0.526316%；数量1；宝箱来源：打工奖励：高级打工完成后领取1个宝箱</t>
        </is>
      </c>
      <c r="E105" s="3" t="inlineStr">
        <is>
          <t>data/item_templates.yaml；gameplay/services/work.py</t>
        </is>
      </c>
    </row>
    <row r="106">
      <c r="A106" s="3" t="inlineStr">
        <is>
          <t>equip_mabuxue</t>
        </is>
      </c>
      <c r="B106" s="3" t="inlineStr">
        <is>
          <t>麻布靴</t>
        </is>
      </c>
      <c r="C106" s="3" t="inlineStr">
        <is>
          <t>宝箱随机装备</t>
        </is>
      </c>
      <c r="D106" s="3" t="inlineStr">
        <is>
          <t>持有打工宝箱（小）（work_chest_small）后开启；装备池概率10%；该装备概率0.526316%；数量1；宝箱来源：打工奖励：初级打工完成后领取1个宝箱</t>
        </is>
      </c>
      <c r="E106" s="3" t="inlineStr">
        <is>
          <t>data/item_templates.yaml；gameplay/services/work.py</t>
        </is>
      </c>
    </row>
    <row r="107">
      <c r="A107" s="3" t="inlineStr">
        <is>
          <t>equip_mabuxue</t>
        </is>
      </c>
      <c r="B107" s="3" t="inlineStr">
        <is>
          <t>麻布靴</t>
        </is>
      </c>
      <c r="C107" s="3" t="inlineStr">
        <is>
          <t>宝箱随机装备</t>
        </is>
      </c>
      <c r="D107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07" s="3" t="inlineStr">
        <is>
          <t>data/item_templates.yaml；gameplay/services/work.py</t>
        </is>
      </c>
    </row>
    <row r="108">
      <c r="A108" s="3" t="inlineStr">
        <is>
          <t>equip_mabuxue</t>
        </is>
      </c>
      <c r="B108" s="3" t="inlineStr">
        <is>
          <t>麻布靴</t>
        </is>
      </c>
      <c r="C108" s="3" t="inlineStr">
        <is>
          <t>宝箱随机装备</t>
        </is>
      </c>
      <c r="D108" s="3" t="inlineStr">
        <is>
          <t>持有打工宝箱（大）（work_chest_large）后开启；装备池概率20%；该装备概率0.526316%；数量1；宝箱来源：打工奖励：高级打工完成后领取1个宝箱</t>
        </is>
      </c>
      <c r="E108" s="3" t="inlineStr">
        <is>
          <t>data/item_templates.yaml；gameplay/services/work.py</t>
        </is>
      </c>
    </row>
    <row r="109">
      <c r="A109" s="3" t="inlineStr">
        <is>
          <t>equip_yangpixue</t>
        </is>
      </c>
      <c r="B109" s="3" t="inlineStr">
        <is>
          <t>羊皮靴</t>
        </is>
      </c>
      <c r="C109" s="3" t="inlineStr">
        <is>
          <t>商铺购买</t>
        </is>
      </c>
      <c r="D109" s="3" t="inlineStr">
        <is>
          <t>购买价1875银两/件；库存不限量；每日刷新否</t>
        </is>
      </c>
      <c r="E109" s="3" t="inlineStr">
        <is>
          <t>data/shop_items.yaml</t>
        </is>
      </c>
    </row>
    <row r="110">
      <c r="A110" s="3" t="inlineStr">
        <is>
          <t>equip_yangpixue</t>
        </is>
      </c>
      <c r="B110" s="3" t="inlineStr">
        <is>
          <t>羊皮靴</t>
        </is>
      </c>
      <c r="C110" s="3" t="inlineStr">
        <is>
          <t>宝箱随机装备</t>
        </is>
      </c>
      <c r="D110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10" s="3" t="inlineStr">
        <is>
          <t>data/item_templates.yaml；gameplay/services/work.py</t>
        </is>
      </c>
    </row>
    <row r="111">
      <c r="A111" s="3" t="inlineStr">
        <is>
          <t>equip_yangpixue</t>
        </is>
      </c>
      <c r="B111" s="3" t="inlineStr">
        <is>
          <t>羊皮靴</t>
        </is>
      </c>
      <c r="C111" s="3" t="inlineStr">
        <is>
          <t>宝箱随机装备</t>
        </is>
      </c>
      <c r="D111" s="3" t="inlineStr">
        <is>
          <t>持有帮会进阶护院箱（guild_guard_box_advanced）后开启；装备池概率100%；该装备概率16%；数量1；宝箱来源：帮会仓库兑换：帮会科技guard；解锁等级3；配置等级3,4,5,6；贡献兑换价[180]；每周个人兑换上限[3]；各科技等级每日产量3级×1,4级×2,5级×1,6级×1</t>
        </is>
      </c>
      <c r="E111" s="3" t="inlineStr">
        <is>
          <t>data/item_templates.yaml；data/warehouse_production.yaml</t>
        </is>
      </c>
    </row>
    <row r="112">
      <c r="A112" s="3" t="inlineStr">
        <is>
          <t>equip_yangpixue</t>
        </is>
      </c>
      <c r="B112" s="3" t="inlineStr">
        <is>
          <t>羊皮靴</t>
        </is>
      </c>
      <c r="C112" s="3" t="inlineStr">
        <is>
          <t>铁匠铺直接锻造</t>
        </is>
      </c>
      <c r="D112" s="3" t="inlineStr">
        <is>
          <t>锻造技3级；基础时长180秒（实际受时间缩放和建筑速度影响）；每件材料：铜(tong)×10、锡(xi)×5</t>
        </is>
      </c>
      <c r="E112" s="3" t="inlineStr">
        <is>
          <t>data/forge_equipment.yaml</t>
        </is>
      </c>
    </row>
    <row r="113">
      <c r="A113" s="3" t="inlineStr">
        <is>
          <t>equip_gangpianxue</t>
        </is>
      </c>
      <c r="B113" s="3" t="inlineStr">
        <is>
          <t>钢片靴</t>
        </is>
      </c>
      <c r="C113" s="3" t="inlineStr">
        <is>
          <t>商铺购买</t>
        </is>
      </c>
      <c r="D113" s="3" t="inlineStr">
        <is>
          <t>购买价7500银两/件；库存不限量；每日刷新否</t>
        </is>
      </c>
      <c r="E113" s="3" t="inlineStr">
        <is>
          <t>data/shop_items.yaml</t>
        </is>
      </c>
    </row>
    <row r="114">
      <c r="A114" s="3" t="inlineStr">
        <is>
          <t>equip_gangpianxue</t>
        </is>
      </c>
      <c r="B114" s="3" t="inlineStr">
        <is>
          <t>钢片靴</t>
        </is>
      </c>
      <c r="C114" s="3" t="inlineStr">
        <is>
          <t>宝箱随机装备</t>
        </is>
      </c>
      <c r="D114" s="3" t="inlineStr">
        <is>
          <t>持有打工宝箱（小）（work_chest_small）后开启；装备池概率10%；该装备概率0.526316%；数量1；宝箱来源：打工奖励：初级打工完成后领取1个宝箱</t>
        </is>
      </c>
      <c r="E114" s="3" t="inlineStr">
        <is>
          <t>data/item_templates.yaml；gameplay/services/work.py</t>
        </is>
      </c>
    </row>
    <row r="115">
      <c r="A115" s="3" t="inlineStr">
        <is>
          <t>equip_gangpianxue</t>
        </is>
      </c>
      <c r="B115" s="3" t="inlineStr">
        <is>
          <t>钢片靴</t>
        </is>
      </c>
      <c r="C115" s="3" t="inlineStr">
        <is>
          <t>宝箱随机装备</t>
        </is>
      </c>
      <c r="D115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15" s="3" t="inlineStr">
        <is>
          <t>data/item_templates.yaml；gameplay/services/work.py</t>
        </is>
      </c>
    </row>
    <row r="116">
      <c r="A116" s="3" t="inlineStr">
        <is>
          <t>equip_gangpianxue</t>
        </is>
      </c>
      <c r="B116" s="3" t="inlineStr">
        <is>
          <t>钢片靴</t>
        </is>
      </c>
      <c r="C116" s="3" t="inlineStr">
        <is>
          <t>宝箱随机装备</t>
        </is>
      </c>
      <c r="D116" s="3" t="inlineStr">
        <is>
          <t>持有帮会精锐护院箱（guild_guard_box_elite）后开启；装备池概率100%；该装备概率16%；数量1；宝箱来源：帮会仓库兑换：帮会科技guard；解锁等级5；配置等级5,6,7,8；贡献兑换价[260]；每周个人兑换上限[2]；各科技等级每日产量5级×1,6级×2,7级×1,8级×1</t>
        </is>
      </c>
      <c r="E116" s="3" t="inlineStr">
        <is>
          <t>data/item_templates.yaml；data/warehouse_production.yaml</t>
        </is>
      </c>
    </row>
    <row r="117">
      <c r="A117" s="3" t="inlineStr">
        <is>
          <t>equip_gangpianxue</t>
        </is>
      </c>
      <c r="B117" s="3" t="inlineStr">
        <is>
          <t>钢片靴</t>
        </is>
      </c>
      <c r="C117" s="3" t="inlineStr">
        <is>
          <t>宝箱随机装备</t>
        </is>
      </c>
      <c r="D117" s="3" t="inlineStr">
        <is>
          <t>持有帮会绿装箱（guild_gear_box_green）后开启；装备池概率100%；该装备概率14%；数量1；宝箱来源：帮会仓库兑换：帮会科技equipment；解锁等级1；配置等级1,2,3,4,5,6,7,8,9,10；贡献兑换价[70]；每周个人兑换上限[4]；各科技等级每日产量1级×1,2级×2,3级×2,4级×2,5级×2,6级×2,7级×2,8级×2,9级×2,10级×2</t>
        </is>
      </c>
      <c r="E117" s="3" t="inlineStr">
        <is>
          <t>data/item_templates.yaml；data/warehouse_production.yaml</t>
        </is>
      </c>
    </row>
    <row r="118">
      <c r="A118" s="3" t="inlineStr">
        <is>
          <t>equip_gangpianxue</t>
        </is>
      </c>
      <c r="B118" s="3" t="inlineStr">
        <is>
          <t>钢片靴</t>
        </is>
      </c>
      <c r="C118" s="3" t="inlineStr">
        <is>
          <t>铁匠铺直接锻造</t>
        </is>
      </c>
      <c r="D118" s="3" t="inlineStr">
        <is>
          <t>锻造技5级；基础时长240秒（实际受时间缩放和建筑速度影响）；每件材料：铁(tie)×10</t>
        </is>
      </c>
      <c r="E118" s="3" t="inlineStr">
        <is>
          <t>data/forge_equipment.yaml</t>
        </is>
      </c>
    </row>
    <row r="119">
      <c r="A119" s="3" t="inlineStr">
        <is>
          <t>equip_yanyuxue</t>
        </is>
      </c>
      <c r="B119" s="3" t="inlineStr">
        <is>
          <t>燕羽靴</t>
        </is>
      </c>
      <c r="C119" s="3" t="inlineStr">
        <is>
          <t>商铺购买</t>
        </is>
      </c>
      <c r="D119" s="3" t="inlineStr">
        <is>
          <t>购买价15000银两/件；库存不限量；每日刷新否</t>
        </is>
      </c>
      <c r="E119" s="3" t="inlineStr">
        <is>
          <t>data/shop_items.yaml</t>
        </is>
      </c>
    </row>
    <row r="120">
      <c r="A120" s="3" t="inlineStr">
        <is>
          <t>equip_yanyuxue</t>
        </is>
      </c>
      <c r="B120" s="3" t="inlineStr">
        <is>
          <t>燕羽靴</t>
        </is>
      </c>
      <c r="C120" s="3" t="inlineStr">
        <is>
          <t>宝箱随机装备</t>
        </is>
      </c>
      <c r="D120" s="3" t="inlineStr">
        <is>
          <t>持有打工宝箱（小）（work_chest_small）后开启；装备池概率10%；该装备概率0.526316%；数量1；宝箱来源：打工奖励：初级打工完成后领取1个宝箱</t>
        </is>
      </c>
      <c r="E120" s="3" t="inlineStr">
        <is>
          <t>data/item_templates.yaml；gameplay/services/work.py</t>
        </is>
      </c>
    </row>
    <row r="121">
      <c r="A121" s="3" t="inlineStr">
        <is>
          <t>equip_yanyuxue</t>
        </is>
      </c>
      <c r="B121" s="3" t="inlineStr">
        <is>
          <t>燕羽靴</t>
        </is>
      </c>
      <c r="C121" s="3" t="inlineStr">
        <is>
          <t>宝箱随机装备</t>
        </is>
      </c>
      <c r="D121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21" s="3" t="inlineStr">
        <is>
          <t>data/item_templates.yaml；gameplay/services/work.py</t>
        </is>
      </c>
    </row>
    <row r="122">
      <c r="A122" s="3" t="inlineStr">
        <is>
          <t>equip_yanyuxue</t>
        </is>
      </c>
      <c r="B122" s="3" t="inlineStr">
        <is>
          <t>燕羽靴</t>
        </is>
      </c>
      <c r="C122" s="3" t="inlineStr">
        <is>
          <t>宝箱随机装备</t>
        </is>
      </c>
      <c r="D122" s="3" t="inlineStr">
        <is>
          <t>持有打工宝箱（大）（work_chest_large）后开启；装备池概率20%；该装备概率0.526316%；数量1；宝箱来源：打工奖励：高级打工完成后领取1个宝箱</t>
        </is>
      </c>
      <c r="E122" s="3" t="inlineStr">
        <is>
          <t>data/item_templates.yaml；gameplay/services/work.py</t>
        </is>
      </c>
    </row>
    <row r="123">
      <c r="A123" s="3" t="inlineStr">
        <is>
          <t>equip_yanyuxue</t>
        </is>
      </c>
      <c r="B123" s="3" t="inlineStr">
        <is>
          <t>燕羽靴</t>
        </is>
      </c>
      <c r="C123" s="3" t="inlineStr">
        <is>
          <t>宝箱随机装备</t>
        </is>
      </c>
      <c r="D123" s="3" t="inlineStr">
        <is>
          <t>持有帮会精制护院箱（guild_guard_box_refined）后开启；装备池概率100%；该装备概率16%；数量1；宝箱来源：帮会仓库兑换：帮会科技guard；解锁等级7；配置等级7,8,9,10；贡献兑换价[320]；每周个人兑换上限[1]；各科技等级每日产量7级×1,8级×2,9级×1,10级×1</t>
        </is>
      </c>
      <c r="E123" s="3" t="inlineStr">
        <is>
          <t>data/item_templates.yaml；data/warehouse_production.yaml</t>
        </is>
      </c>
    </row>
    <row r="124">
      <c r="A124" s="3" t="inlineStr">
        <is>
          <t>equip_yanyuxue</t>
        </is>
      </c>
      <c r="B124" s="3" t="inlineStr">
        <is>
          <t>燕羽靴</t>
        </is>
      </c>
      <c r="C124" s="3" t="inlineStr">
        <is>
          <t>宝箱随机装备</t>
        </is>
      </c>
      <c r="D124" s="3" t="inlineStr">
        <is>
          <t>持有帮会宗师护院匣（guild_guard_box_master）后开启；装备池概率100%；该装备概率18%；数量1；宝箱来源：帮会仓库兑换：帮会科技guard；解锁等级9；配置等级9,10；贡献兑换价[360]；每周个人兑换上限[1]；各科技等级每日产量9级×1,10级×2</t>
        </is>
      </c>
      <c r="E124" s="3" t="inlineStr">
        <is>
          <t>data/item_templates.yaml；data/warehouse_production.yaml</t>
        </is>
      </c>
    </row>
    <row r="125">
      <c r="A125" s="3" t="inlineStr">
        <is>
          <t>equip_yanyuxue</t>
        </is>
      </c>
      <c r="B125" s="3" t="inlineStr">
        <is>
          <t>燕羽靴</t>
        </is>
      </c>
      <c r="C125" s="3" t="inlineStr">
        <is>
          <t>铁匠铺直接锻造</t>
        </is>
      </c>
      <c r="D125" s="3" t="inlineStr">
        <is>
          <t>锻造技7级；基础时长300秒（实际受时间缩放和建筑速度影响）；每件材料：铁(tie)×20</t>
        </is>
      </c>
      <c r="E125" s="3" t="inlineStr">
        <is>
          <t>data/forge_equipment.yaml</t>
        </is>
      </c>
    </row>
    <row r="126">
      <c r="A126" s="3" t="inlineStr">
        <is>
          <t>equip_zhuyelu</t>
        </is>
      </c>
      <c r="B126" s="3" t="inlineStr">
        <is>
          <t>竹叶履</t>
        </is>
      </c>
      <c r="C126" s="3" t="inlineStr">
        <is>
          <t>宝箱独立随机物品组</t>
        </is>
      </c>
      <c r="D126" s="3" t="inlineStr">
        <is>
          <t>持有月饼（mid_autumn_mooncake）后开启；组概率7%；该物品概率1.166667%；数量1~1；宝箱来源：任务固定奖励：任务：广寒宫试炼（mid_autumn_moon_palace_trial）；难度intermediate；每日限3次；开放weekday=[2,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126" s="3" t="inlineStr">
        <is>
          <t>data/item_templates.yaml</t>
        </is>
      </c>
    </row>
    <row r="127">
      <c r="A127" s="3" t="inlineStr">
        <is>
          <t>equip_jiaodoushizhixue</t>
        </is>
      </c>
      <c r="B127" s="3" t="inlineStr">
        <is>
          <t>角斗士之靴</t>
        </is>
      </c>
      <c r="C127" s="3" t="inlineStr">
        <is>
          <t>竞技场随机兑换</t>
        </is>
      </c>
      <c r="D127" s="3" t="inlineStr">
        <is>
          <t>角斗士宝箱（gladiator_chest）；花费500竞技币；每日限2次；该物品概率35%；数量1</t>
        </is>
      </c>
      <c r="E127" s="3" t="inlineStr">
        <is>
          <t>data/arena_rewards.yaml</t>
        </is>
      </c>
    </row>
    <row r="128">
      <c r="A128" s="3" t="inlineStr">
        <is>
          <t>equip_jiaodoushizhixue</t>
        </is>
      </c>
      <c r="B128" s="3" t="inlineStr">
        <is>
          <t>角斗士之靴</t>
        </is>
      </c>
      <c r="C128" s="3" t="inlineStr">
        <is>
          <t>宝箱随机装备</t>
        </is>
      </c>
      <c r="D128" s="3" t="inlineStr">
        <is>
          <t>持有帮会蓝装箱（guild_gear_box_blue）后开启；装备池概率100%；该装备概率15%；数量1；宝箱来源：帮会仓库兑换：帮会科技equipment；解锁等级3；配置等级3,4,5,6,7,8,9,10；贡献兑换价[180]；每周个人兑换上限[3]；各科技等级每日产量3级×1,4级×2,5级×2,6级×2,7级×2,8级×2,9级×2,10级×2</t>
        </is>
      </c>
      <c r="E128" s="3" t="inlineStr">
        <is>
          <t>data/item_templates.yaml；data/warehouse_production.yaml</t>
        </is>
      </c>
    </row>
    <row r="129">
      <c r="A129" s="3" t="inlineStr">
        <is>
          <t>equip_qinglongxue</t>
        </is>
      </c>
      <c r="B129" s="3" t="inlineStr">
        <is>
          <t>青龙靴</t>
        </is>
      </c>
      <c r="C129" s="3" t="inlineStr">
        <is>
          <t>图纸合成（竞技场随机图纸兑换）</t>
        </is>
      </c>
      <c r="D129" s="3" t="inlineStr">
        <is>
          <t>消耗图纸青龙靴图纸(blueprint_qinglongxue)×1；锻造技5级；每次产出1件；材料：铜(tong)×22、锡(xi)×12、铁(tie)×10、木质精华(wood_essence)×3、铜质精华(copper_essence)×2、紫檀木(zitanmu)×4、水曲木(shuiqumu)×9、刨子(paozi)×5、空气之石(air_stone)×2；图纸来源：随机蓝色装备图纸；600竞技币；每日限1次；12张同品质图纸均匀随机</t>
        </is>
      </c>
      <c r="E129" s="3" t="inlineStr">
        <is>
          <t>data/forge_blueprints.yaml; data/arena_rewards.yaml</t>
        </is>
      </c>
    </row>
    <row r="130">
      <c r="A130" s="3" t="inlineStr">
        <is>
          <t>equip_xiaoweichangxue</t>
        </is>
      </c>
      <c r="B130" s="3" t="inlineStr">
        <is>
          <t>校尉长靴</t>
        </is>
      </c>
      <c r="C130" s="3" t="inlineStr">
        <is>
          <t>宝箱随机装备</t>
        </is>
      </c>
      <c r="D130" s="3" t="inlineStr">
        <is>
          <t>持有打工宝箱（大）（work_chest_large）后开启；装备池概率20%；该装备概率0.526316%；数量1；宝箱来源：打工奖励：高级打工完成后领取1个宝箱</t>
        </is>
      </c>
      <c r="E130" s="3" t="inlineStr">
        <is>
          <t>data/item_templates.yaml；gameplay/services/work.py</t>
        </is>
      </c>
    </row>
    <row r="131">
      <c r="A131" s="3" t="inlineStr">
        <is>
          <t>equip_xiaoweichangxue</t>
        </is>
      </c>
      <c r="B131" s="3" t="inlineStr">
        <is>
          <t>校尉长靴</t>
        </is>
      </c>
      <c r="C131" s="3" t="inlineStr">
        <is>
          <t>图纸合成（竞技场随机图纸兑换）</t>
        </is>
      </c>
      <c r="D131" s="3" t="inlineStr">
        <is>
          <t>消耗图纸校尉长靴图纸(blueprint_xiaoweichangxue)×1；锻造技5级；每次产出1件；材料：铜(tong)×22、锡(xi)×12、铁(tie)×10、木质精华(wood_essence)×2、铜质精华(copper_essence)×2、水曲木(shuiqumu)×8、铁木(tiemu)×4、刨子(paozi)×5、空气之石(air_stone)×2；图纸来源：随机蓝色装备图纸；600竞技币；每日限1次；12张同品质图纸均匀随机</t>
        </is>
      </c>
      <c r="E131" s="3" t="inlineStr">
        <is>
          <t>data/forge_blueprints.yaml; data/arena_rewards.yaml</t>
        </is>
      </c>
    </row>
    <row r="132">
      <c r="A132" s="3" t="inlineStr">
        <is>
          <t>equip_huxianxie</t>
        </is>
      </c>
      <c r="B132" s="3" t="inlineStr">
        <is>
          <t>狐仙鞋</t>
        </is>
      </c>
      <c r="C132" s="3" t="inlineStr">
        <is>
          <t>宝箱随机装备</t>
        </is>
      </c>
      <c r="D132" s="3" t="inlineStr">
        <is>
          <t>持有帮会精铸紫装箱（guild_gear_box_refined_purple）后开启；装备池概率100%；该装备概率11.504425%；数量1；宝箱来源：帮会仓库兑换：帮会科技equipment；解锁等级7；配置等级7,8,9,10；贡献兑换价[650]；每周个人兑换上限[1]；各科技等级每日产量7级×1,8级×3,9级×3,10级×3</t>
        </is>
      </c>
      <c r="E132" s="3" t="inlineStr">
        <is>
          <t>data/item_templates.yaml；data/warehouse_production.yaml</t>
        </is>
      </c>
    </row>
    <row r="133">
      <c r="A133" s="3" t="inlineStr">
        <is>
          <t>equip_huxianxie</t>
        </is>
      </c>
      <c r="B133" s="3" t="inlineStr">
        <is>
          <t>狐仙鞋</t>
        </is>
      </c>
      <c r="C133" s="3" t="inlineStr">
        <is>
          <t>图纸合成（竞技场随机图纸兑换）</t>
        </is>
      </c>
      <c r="D133" s="3" t="inlineStr">
        <is>
          <t>消耗图纸狐仙鞋图纸(blueprint_huxianxie)×1；锻造技7级；每次产出1件；材料：铜(tong)×32、锡(xi)×20、铁(tie)×15、木质精华(wood_essence)×3、铜质精华(copper_essence)×3、玄铁精华(xuan_tie_essence)×2、紫檀木(zitanmu)×6、水曲木(shuiqumu)×12、铁木(tiemu)×3、金刚煤(jingangmei)×2、刨子(paozi)×8、凿子(zaozi)×2、高炉(gaolu)×1、空气之石(air_stone)×3；图纸来源：随机紫色装备图纸；1800竞技币；每日限1次；19张同品质图纸均匀随机</t>
        </is>
      </c>
      <c r="E133" s="3" t="inlineStr">
        <is>
          <t>data/forge_blueprints.yaml; data/arena_rewards.yaml</t>
        </is>
      </c>
    </row>
    <row r="134">
      <c r="A134" s="3" t="inlineStr">
        <is>
          <t>equip_huxianxie</t>
        </is>
      </c>
      <c r="B134" s="3" t="inlineStr">
        <is>
          <t>狐仙鞋</t>
        </is>
      </c>
      <c r="C134" s="3" t="inlineStr">
        <is>
          <t>图纸合成（帮会图纸领取）</t>
        </is>
      </c>
      <c r="D134" s="3" t="inlineStr">
        <is>
          <t>消耗图纸狐仙鞋图纸(blueprint_huxianxie)×1；锻造技7级；每次产出1件；材料：铜(tong)×32、锡(xi)×20、铁(tie)×15、木质精华(wood_essence)×3、铜质精华(copper_essence)×3、玄铁精华(xuan_tie_essence)×2、紫檀木(zitanmu)×6、水曲木(shuiqumu)×12、铁木(tiemu)×3、金刚煤(jingangmei)×2、刨子(paozi)×8、凿子(zaozi)×2、高炉(gaolu)×1、空气之石(air_stone)×3；图纸来源：本周贡献大于0且有效帮会成员；purple图纸每周共享领取上限2</t>
        </is>
      </c>
      <c r="E134" s="3" t="inlineStr">
        <is>
          <t>data/forge_blueprints.yaml; data/guild_rules.yaml; guilds/services/blueprint_rewards.py</t>
        </is>
      </c>
    </row>
    <row r="135">
      <c r="A135" s="3" t="inlineStr">
        <is>
          <t>equip_qilinxue</t>
        </is>
      </c>
      <c r="B135" s="3" t="inlineStr">
        <is>
          <t>麒麟靴</t>
        </is>
      </c>
      <c r="C135" s="3" t="inlineStr">
        <is>
          <t>宝箱随机装备</t>
        </is>
      </c>
      <c r="D135" s="3" t="inlineStr">
        <is>
          <t>持有帮会紫装箱（guild_gear_box_purple）后开启；装备池概率100%；该装备概率12.698413%；数量1；宝箱来源：帮会仓库兑换：帮会科技equipment；解锁等级5；配置等级5,6,7,8,9,10；贡献兑换价[500]；每周个人兑换上限[1]；各科技等级每日产量5级×1,6级×2,7级×2,8级×2,9级×2,10级×2</t>
        </is>
      </c>
      <c r="E135" s="3" t="inlineStr">
        <is>
          <t>data/item_templates.yaml；data/warehouse_production.yaml</t>
        </is>
      </c>
    </row>
    <row r="136">
      <c r="A136" s="3" t="inlineStr">
        <is>
          <t>equip_qilinxue</t>
        </is>
      </c>
      <c r="B136" s="3" t="inlineStr">
        <is>
          <t>麒麟靴</t>
        </is>
      </c>
      <c r="C136" s="3" t="inlineStr">
        <is>
          <t>宝箱随机装备</t>
        </is>
      </c>
      <c r="D136" s="3" t="inlineStr">
        <is>
          <t>持有帮会精铸紫装箱（guild_gear_box_refined_purple）后开启；装备池概率100%；该装备概率17.699115%；数量1；宝箱来源：帮会仓库兑换：帮会科技equipment；解锁等级7；配置等级7,8,9,10；贡献兑换价[650]；每周个人兑换上限[1]；各科技等级每日产量7级×1,8级×3,9级×3,10级×3</t>
        </is>
      </c>
      <c r="E136" s="3" t="inlineStr">
        <is>
          <t>data/item_templates.yaml；data/warehouse_production.yaml</t>
        </is>
      </c>
    </row>
    <row r="137">
      <c r="A137" s="3" t="inlineStr">
        <is>
          <t>equip_qilinxue</t>
        </is>
      </c>
      <c r="B137" s="3" t="inlineStr">
        <is>
          <t>麒麟靴</t>
        </is>
      </c>
      <c r="C137" s="3" t="inlineStr">
        <is>
          <t>宝箱随机装备</t>
        </is>
      </c>
      <c r="D137" s="3" t="inlineStr">
        <is>
          <t>持有帮会宗师秘匣（guild_gear_box_master）后开启；装备池概率100%；该装备概率16%；数量1；宝箱来源：帮会仓库兑换：帮会科技equipment；解锁等级9；配置等级9,10；贡献兑换价[800]；每周个人兑换上限[1]；各科技等级每日产量9级×1,10级×2</t>
        </is>
      </c>
      <c r="E137" s="3" t="inlineStr">
        <is>
          <t>data/item_templates.yaml；data/warehouse_production.yaml</t>
        </is>
      </c>
    </row>
    <row r="138">
      <c r="A138" s="3" t="inlineStr">
        <is>
          <t>equip_qilinxue</t>
        </is>
      </c>
      <c r="B138" s="3" t="inlineStr">
        <is>
          <t>麒麟靴</t>
        </is>
      </c>
      <c r="C138" s="3" t="inlineStr">
        <is>
          <t>图纸合成（竞技场随机图纸兑换）</t>
        </is>
      </c>
      <c r="D138" s="3" t="inlineStr">
        <is>
          <t>消耗图纸麒麟靴图纸(blueprint_qilinxue)×1；锻造技9级；每次产出1件；材料：铜(tong)×36、锡(xi)×22、铁(tie)×17、玄铁精华(xuan_tie_essence)×2、水曲木(shuiqumu)×10、铁木(tiemu)×6、金刚煤(jingangmei)×4、刨子(paozi)×6、凿子(zaozi)×3、高炉(gaolu)×1、火焰之石(fire_stone)×2、空气之石(air_stone)×2；图纸来源：随机紫色装备图纸；1800竞技币；每日限1次；19张同品质图纸均匀随机</t>
        </is>
      </c>
      <c r="E138" s="3" t="inlineStr">
        <is>
          <t>data/forge_blueprints.yaml; data/arena_rewards.yaml</t>
        </is>
      </c>
    </row>
    <row r="139">
      <c r="A139" s="3" t="inlineStr">
        <is>
          <t>equip_xuanwuxue</t>
        </is>
      </c>
      <c r="B139" s="3" t="inlineStr">
        <is>
          <t>玄武靴</t>
        </is>
      </c>
      <c r="C139" s="3" t="inlineStr">
        <is>
          <t>图纸合成（竞技场随机图纸兑换）</t>
        </is>
      </c>
      <c r="D139" s="3" t="inlineStr">
        <is>
          <t>消耗图纸玄武靴图纸(blueprint_xuanwuxue)×1；锻造技9级；每次产出1件；材料：铜(tong)×39、锡(xi)×24、铁(tie)×20、玄铁精华(xuan_tie_essence)×2、水曲木(shuiqumu)×8、铁木(tiemu)×9、黑原石(heiyuanshi)×5、金刚煤(jingangmei)×4、刨子(paozi)×5、凿子(zaozi)×4、高炉(gaolu)×1、大地之石(earth_stone)×3；图纸来源：随机紫色装备图纸；1800竞技币；每日限1次；19张同品质图纸均匀随机</t>
        </is>
      </c>
      <c r="E139" s="3" t="inlineStr">
        <is>
          <t>data/forge_blueprints.yaml; data/arena_rewards.yaml</t>
        </is>
      </c>
    </row>
    <row r="140">
      <c r="A140" s="3" t="inlineStr">
        <is>
          <t>equip_dakandao</t>
        </is>
      </c>
      <c r="B140" s="3" t="inlineStr">
        <is>
          <t>大砍刀</t>
        </is>
      </c>
      <c r="C140" s="3" t="inlineStr">
        <is>
          <t>商铺购买</t>
        </is>
      </c>
      <c r="D140" s="3" t="inlineStr">
        <is>
          <t>购买价1875银两/件；库存不限量；每日刷新否</t>
        </is>
      </c>
      <c r="E140" s="3" t="inlineStr">
        <is>
          <t>data/shop_items.yaml</t>
        </is>
      </c>
    </row>
    <row r="141">
      <c r="A141" s="3" t="inlineStr">
        <is>
          <t>equip_dakandao</t>
        </is>
      </c>
      <c r="B141" s="3" t="inlineStr">
        <is>
          <t>大砍刀</t>
        </is>
      </c>
      <c r="C141" s="3" t="inlineStr">
        <is>
          <t>宝箱随机装备</t>
        </is>
      </c>
      <c r="D141" s="3" t="inlineStr">
        <is>
          <t>持有帮会进阶护院箱（guild_guard_box_advanced）后开启；装备池概率100%；该装备概率10%；数量1；宝箱来源：帮会仓库兑换：帮会科技guard；解锁等级3；配置等级3,4,5,6；贡献兑换价[180]；每周个人兑换上限[3]；各科技等级每日产量3级×1,4级×2,5级×1,6级×1</t>
        </is>
      </c>
      <c r="E141" s="3" t="inlineStr">
        <is>
          <t>data/item_templates.yaml；data/warehouse_production.yaml</t>
        </is>
      </c>
    </row>
    <row r="142">
      <c r="A142" s="3" t="inlineStr">
        <is>
          <t>equip_dakandao</t>
        </is>
      </c>
      <c r="B142" s="3" t="inlineStr">
        <is>
          <t>大砍刀</t>
        </is>
      </c>
      <c r="C142" s="3" t="inlineStr">
        <is>
          <t>铁匠铺直接锻造</t>
        </is>
      </c>
      <c r="D142" s="3" t="inlineStr">
        <is>
          <t>锻造技3级；基础时长180秒（实际受时间缩放和建筑速度影响）；每件材料：铜(tong)×10、锡(xi)×5</t>
        </is>
      </c>
      <c r="E142" s="3" t="inlineStr">
        <is>
          <t>data/forge_equipment.yaml</t>
        </is>
      </c>
    </row>
    <row r="143">
      <c r="A143" s="3" t="inlineStr">
        <is>
          <t>equip_duandao</t>
        </is>
      </c>
      <c r="B143" s="3" t="inlineStr">
        <is>
          <t>短刀</t>
        </is>
      </c>
      <c r="C143" s="3" t="inlineStr">
        <is>
          <t>商铺购买</t>
        </is>
      </c>
      <c r="D143" s="3" t="inlineStr">
        <is>
          <t>购买价375银两/件；库存不限量；每日刷新否</t>
        </is>
      </c>
      <c r="E143" s="3" t="inlineStr">
        <is>
          <t>data/shop_items.yaml</t>
        </is>
      </c>
    </row>
    <row r="144">
      <c r="A144" s="3" t="inlineStr">
        <is>
          <t>equip_duandao</t>
        </is>
      </c>
      <c r="B144" s="3" t="inlineStr">
        <is>
          <t>短刀</t>
        </is>
      </c>
      <c r="C144" s="3" t="inlineStr">
        <is>
          <t>宝箱随机装备</t>
        </is>
      </c>
      <c r="D144" s="3" t="inlineStr">
        <is>
          <t>持有帮会基础护院箱（guild_guard_box_basic）后开启；装备池概率100%；该装备概率13%；数量1；宝箱来源：帮会仓库兑换：帮会科技guard；解锁等级1；配置等级1,2,3,4；贡献兑换价[90]；每周个人兑换上限[4]；各科技等级每日产量1级×1,2级×2,3级×1,4级×1</t>
        </is>
      </c>
      <c r="E144" s="3" t="inlineStr">
        <is>
          <t>data/item_templates.yaml；data/warehouse_production.yaml</t>
        </is>
      </c>
    </row>
    <row r="145">
      <c r="A145" s="3" t="inlineStr">
        <is>
          <t>equip_duandao</t>
        </is>
      </c>
      <c r="B145" s="3" t="inlineStr">
        <is>
          <t>短刀</t>
        </is>
      </c>
      <c r="C145" s="3" t="inlineStr">
        <is>
          <t>铁匠铺直接锻造</t>
        </is>
      </c>
      <c r="D145" s="3" t="inlineStr">
        <is>
          <t>锻造技1级；基础时长120秒（实际受时间缩放和建筑速度影响）；每件材料：铜(tong)×5</t>
        </is>
      </c>
      <c r="E145" s="3" t="inlineStr">
        <is>
          <t>data/forge_equipment.yaml</t>
        </is>
      </c>
    </row>
    <row r="146">
      <c r="A146" s="3" t="inlineStr">
        <is>
          <t>equip_changjian</t>
        </is>
      </c>
      <c r="B146" s="3" t="inlineStr">
        <is>
          <t>长剑</t>
        </is>
      </c>
      <c r="C146" s="3" t="inlineStr">
        <is>
          <t>商铺购买</t>
        </is>
      </c>
      <c r="D146" s="3" t="inlineStr">
        <is>
          <t>购买价1875银两/件；库存不限量；每日刷新否</t>
        </is>
      </c>
      <c r="E146" s="3" t="inlineStr">
        <is>
          <t>data/shop_items.yaml</t>
        </is>
      </c>
    </row>
    <row r="147">
      <c r="A147" s="3" t="inlineStr">
        <is>
          <t>equip_changjian</t>
        </is>
      </c>
      <c r="B147" s="3" t="inlineStr">
        <is>
          <t>长剑</t>
        </is>
      </c>
      <c r="C147" s="3" t="inlineStr">
        <is>
          <t>宝箱随机装备</t>
        </is>
      </c>
      <c r="D147" s="3" t="inlineStr">
        <is>
          <t>持有帮会进阶护院箱（guild_guard_box_advanced）后开启；装备池概率100%；该装备概率10%；数量1；宝箱来源：帮会仓库兑换：帮会科技guard；解锁等级3；配置等级3,4,5,6；贡献兑换价[180]；每周个人兑换上限[3]；各科技等级每日产量3级×1,4级×2,5级×1,6级×1</t>
        </is>
      </c>
      <c r="E147" s="3" t="inlineStr">
        <is>
          <t>data/item_templates.yaml；data/warehouse_production.yaml</t>
        </is>
      </c>
    </row>
    <row r="148">
      <c r="A148" s="3" t="inlineStr">
        <is>
          <t>equip_changjian</t>
        </is>
      </c>
      <c r="B148" s="3" t="inlineStr">
        <is>
          <t>长剑</t>
        </is>
      </c>
      <c r="C148" s="3" t="inlineStr">
        <is>
          <t>铁匠铺直接锻造</t>
        </is>
      </c>
      <c r="D148" s="3" t="inlineStr">
        <is>
          <t>锻造技3级；基础时长180秒（实际受时间缩放和建筑速度影响）；每件材料：铜(tong)×10、锡(xi)×5</t>
        </is>
      </c>
      <c r="E148" s="3" t="inlineStr">
        <is>
          <t>data/forge_equipment.yaml</t>
        </is>
      </c>
    </row>
    <row r="149">
      <c r="A149" s="3" t="inlineStr">
        <is>
          <t>equip_duanjian</t>
        </is>
      </c>
      <c r="B149" s="3" t="inlineStr">
        <is>
          <t>短剑</t>
        </is>
      </c>
      <c r="C149" s="3" t="inlineStr">
        <is>
          <t>商铺购买</t>
        </is>
      </c>
      <c r="D149" s="3" t="inlineStr">
        <is>
          <t>购买价375银两/件；库存不限量；每日刷新否</t>
        </is>
      </c>
      <c r="E149" s="3" t="inlineStr">
        <is>
          <t>data/shop_items.yaml</t>
        </is>
      </c>
    </row>
    <row r="150">
      <c r="A150" s="3" t="inlineStr">
        <is>
          <t>equip_duanjian</t>
        </is>
      </c>
      <c r="B150" s="3" t="inlineStr">
        <is>
          <t>短剑</t>
        </is>
      </c>
      <c r="C150" s="3" t="inlineStr">
        <is>
          <t>宝箱随机装备</t>
        </is>
      </c>
      <c r="D150" s="3" t="inlineStr">
        <is>
          <t>持有帮会基础护院箱（guild_guard_box_basic）后开启；装备池概率100%；该装备概率12%；数量1；宝箱来源：帮会仓库兑换：帮会科技guard；解锁等级1；配置等级1,2,3,4；贡献兑换价[90]；每周个人兑换上限[4]；各科技等级每日产量1级×1,2级×2,3级×1,4级×1</t>
        </is>
      </c>
      <c r="E150" s="3" t="inlineStr">
        <is>
          <t>data/item_templates.yaml；data/warehouse_production.yaml</t>
        </is>
      </c>
    </row>
    <row r="151">
      <c r="A151" s="3" t="inlineStr">
        <is>
          <t>equip_duanjian</t>
        </is>
      </c>
      <c r="B151" s="3" t="inlineStr">
        <is>
          <t>短剑</t>
        </is>
      </c>
      <c r="C151" s="3" t="inlineStr">
        <is>
          <t>铁匠铺直接锻造</t>
        </is>
      </c>
      <c r="D151" s="3" t="inlineStr">
        <is>
          <t>锻造技1级；基础时长120秒（实际受时间缩放和建筑速度影响）；每件材料：铜(tong)×5</t>
        </is>
      </c>
      <c r="E151" s="3" t="inlineStr">
        <is>
          <t>data/forge_equipment.yaml</t>
        </is>
      </c>
    </row>
    <row r="152">
      <c r="A152" s="3" t="inlineStr">
        <is>
          <t>equip_changgong</t>
        </is>
      </c>
      <c r="B152" s="3" t="inlineStr">
        <is>
          <t>长弓</t>
        </is>
      </c>
      <c r="C152" s="3" t="inlineStr">
        <is>
          <t>商铺购买</t>
        </is>
      </c>
      <c r="D152" s="3" t="inlineStr">
        <is>
          <t>购买价375银两/件；库存不限量；每日刷新否</t>
        </is>
      </c>
      <c r="E152" s="3" t="inlineStr">
        <is>
          <t>data/shop_items.yaml</t>
        </is>
      </c>
    </row>
    <row r="153">
      <c r="A153" s="3" t="inlineStr">
        <is>
          <t>equip_changgong</t>
        </is>
      </c>
      <c r="B153" s="3" t="inlineStr">
        <is>
          <t>长弓</t>
        </is>
      </c>
      <c r="C153" s="3" t="inlineStr">
        <is>
          <t>宝箱随机装备</t>
        </is>
      </c>
      <c r="D153" s="3" t="inlineStr">
        <is>
          <t>持有帮会基础护院箱（guild_guard_box_basic）后开启；装备池概率100%；该装备概率6%；数量1；宝箱来源：帮会仓库兑换：帮会科技guard；解锁等级1；配置等级1,2,3,4；贡献兑换价[90]；每周个人兑换上限[4]；各科技等级每日产量1级×1,2级×2,3级×1,4级×1</t>
        </is>
      </c>
      <c r="E153" s="3" t="inlineStr">
        <is>
          <t>data/item_templates.yaml；data/warehouse_production.yaml</t>
        </is>
      </c>
    </row>
    <row r="154">
      <c r="A154" s="3" t="inlineStr">
        <is>
          <t>equip_changgong</t>
        </is>
      </c>
      <c r="B154" s="3" t="inlineStr">
        <is>
          <t>长弓</t>
        </is>
      </c>
      <c r="C154" s="3" t="inlineStr">
        <is>
          <t>铁匠铺直接锻造</t>
        </is>
      </c>
      <c r="D154" s="3" t="inlineStr">
        <is>
          <t>锻造技1级；基础时长120秒（实际受时间缩放和建筑速度影响）；每件材料：铜(tong)×5</t>
        </is>
      </c>
      <c r="E154" s="3" t="inlineStr">
        <is>
          <t>data/forge_equipment.yaml</t>
        </is>
      </c>
    </row>
    <row r="155">
      <c r="A155" s="3" t="inlineStr">
        <is>
          <t>equip_fanqugong</t>
        </is>
      </c>
      <c r="B155" s="3" t="inlineStr">
        <is>
          <t>反曲弓</t>
        </is>
      </c>
      <c r="C155" s="3" t="inlineStr">
        <is>
          <t>商铺购买</t>
        </is>
      </c>
      <c r="D155" s="3" t="inlineStr">
        <is>
          <t>购买价1875银两/件；库存不限量；每日刷新否</t>
        </is>
      </c>
      <c r="E155" s="3" t="inlineStr">
        <is>
          <t>data/shop_items.yaml</t>
        </is>
      </c>
    </row>
    <row r="156">
      <c r="A156" s="3" t="inlineStr">
        <is>
          <t>equip_fanqugong</t>
        </is>
      </c>
      <c r="B156" s="3" t="inlineStr">
        <is>
          <t>反曲弓</t>
        </is>
      </c>
      <c r="C156" s="3" t="inlineStr">
        <is>
          <t>宝箱随机装备</t>
        </is>
      </c>
      <c r="D156" s="3" t="inlineStr">
        <is>
          <t>持有帮会进阶护院箱（guild_guard_box_advanced）后开启；装备池概率100%；该装备概率10%；数量1；宝箱来源：帮会仓库兑换：帮会科技guard；解锁等级3；配置等级3,4,5,6；贡献兑换价[180]；每周个人兑换上限[3]；各科技等级每日产量3级×1,4级×2,5级×1,6级×1</t>
        </is>
      </c>
      <c r="E156" s="3" t="inlineStr">
        <is>
          <t>data/item_templates.yaml；data/warehouse_production.yaml</t>
        </is>
      </c>
    </row>
    <row r="157">
      <c r="A157" s="3" t="inlineStr">
        <is>
          <t>equip_fanqugong</t>
        </is>
      </c>
      <c r="B157" s="3" t="inlineStr">
        <is>
          <t>反曲弓</t>
        </is>
      </c>
      <c r="C157" s="3" t="inlineStr">
        <is>
          <t>铁匠铺直接锻造</t>
        </is>
      </c>
      <c r="D157" s="3" t="inlineStr">
        <is>
          <t>锻造技3级；基础时长180秒（实际受时间缩放和建筑速度影响）；每件材料：铜(tong)×10、锡(xi)×5</t>
        </is>
      </c>
      <c r="E157" s="3" t="inlineStr">
        <is>
          <t>data/forge_equipment.yaml</t>
        </is>
      </c>
    </row>
    <row r="158">
      <c r="A158" s="3" t="inlineStr">
        <is>
          <t>equip_baoweiqiang</t>
        </is>
      </c>
      <c r="B158" s="3" t="inlineStr">
        <is>
          <t>豹尾枪</t>
        </is>
      </c>
      <c r="C158" s="3" t="inlineStr">
        <is>
          <t>商铺购买</t>
        </is>
      </c>
      <c r="D158" s="3" t="inlineStr">
        <is>
          <t>购买价1875银两/件；库存不限量；每日刷新否</t>
        </is>
      </c>
      <c r="E158" s="3" t="inlineStr">
        <is>
          <t>data/shop_items.yaml</t>
        </is>
      </c>
    </row>
    <row r="159">
      <c r="A159" s="3" t="inlineStr">
        <is>
          <t>equip_baoweiqiang</t>
        </is>
      </c>
      <c r="B159" s="3" t="inlineStr">
        <is>
          <t>豹尾枪</t>
        </is>
      </c>
      <c r="C159" s="3" t="inlineStr">
        <is>
          <t>宝箱随机装备</t>
        </is>
      </c>
      <c r="D159" s="3" t="inlineStr">
        <is>
          <t>持有帮会进阶护院箱（guild_guard_box_advanced）后开启；装备池概率100%；该装备概率10%；数量1；宝箱来源：帮会仓库兑换：帮会科技guard；解锁等级3；配置等级3,4,5,6；贡献兑换价[180]；每周个人兑换上限[3]；各科技等级每日产量3级×1,4级×2,5级×1,6级×1</t>
        </is>
      </c>
      <c r="E159" s="3" t="inlineStr">
        <is>
          <t>data/item_templates.yaml；data/warehouse_production.yaml</t>
        </is>
      </c>
    </row>
    <row r="160">
      <c r="A160" s="3" t="inlineStr">
        <is>
          <t>equip_baoweiqiang</t>
        </is>
      </c>
      <c r="B160" s="3" t="inlineStr">
        <is>
          <t>豹尾枪</t>
        </is>
      </c>
      <c r="C160" s="3" t="inlineStr">
        <is>
          <t>铁匠铺直接锻造</t>
        </is>
      </c>
      <c r="D160" s="3" t="inlineStr">
        <is>
          <t>锻造技3级；基础时长180秒（实际受时间缩放和建筑速度影响）；每件材料：铜(tong)×10、锡(xi)×5</t>
        </is>
      </c>
      <c r="E160" s="3" t="inlineStr">
        <is>
          <t>data/forge_equipment.yaml</t>
        </is>
      </c>
    </row>
    <row r="161">
      <c r="A161" s="3" t="inlineStr">
        <is>
          <t>equip_changqiang</t>
        </is>
      </c>
      <c r="B161" s="3" t="inlineStr">
        <is>
          <t>长枪</t>
        </is>
      </c>
      <c r="C161" s="3" t="inlineStr">
        <is>
          <t>商铺购买</t>
        </is>
      </c>
      <c r="D161" s="3" t="inlineStr">
        <is>
          <t>购买价375银两/件；库存不限量；每日刷新否</t>
        </is>
      </c>
      <c r="E161" s="3" t="inlineStr">
        <is>
          <t>data/shop_items.yaml</t>
        </is>
      </c>
    </row>
    <row r="162">
      <c r="A162" s="3" t="inlineStr">
        <is>
          <t>equip_changqiang</t>
        </is>
      </c>
      <c r="B162" s="3" t="inlineStr">
        <is>
          <t>长枪</t>
        </is>
      </c>
      <c r="C162" s="3" t="inlineStr">
        <is>
          <t>宝箱随机装备</t>
        </is>
      </c>
      <c r="D162" s="3" t="inlineStr">
        <is>
          <t>持有帮会基础护院箱（guild_guard_box_basic）后开启；装备池概率100%；该装备概率13%；数量1；宝箱来源：帮会仓库兑换：帮会科技guard；解锁等级1；配置等级1,2,3,4；贡献兑换价[90]；每周个人兑换上限[4]；各科技等级每日产量1级×1,2级×2,3级×1,4级×1</t>
        </is>
      </c>
      <c r="E162" s="3" t="inlineStr">
        <is>
          <t>data/item_templates.yaml；data/warehouse_production.yaml</t>
        </is>
      </c>
    </row>
    <row r="163">
      <c r="A163" s="3" t="inlineStr">
        <is>
          <t>equip_changqiang</t>
        </is>
      </c>
      <c r="B163" s="3" t="inlineStr">
        <is>
          <t>长枪</t>
        </is>
      </c>
      <c r="C163" s="3" t="inlineStr">
        <is>
          <t>铁匠铺直接锻造</t>
        </is>
      </c>
      <c r="D163" s="3" t="inlineStr">
        <is>
          <t>锻造技1级；基础时长120秒（实际受时间缩放和建筑速度影响）；每件材料：铜(tong)×5</t>
        </is>
      </c>
      <c r="E163" s="3" t="inlineStr">
        <is>
          <t>data/forge_equipment.yaml</t>
        </is>
      </c>
    </row>
    <row r="164">
      <c r="A164" s="3" t="inlineStr">
        <is>
          <t>equip_tiejian</t>
        </is>
      </c>
      <c r="B164" s="3" t="inlineStr">
        <is>
          <t>铁剑</t>
        </is>
      </c>
      <c r="C164" s="3" t="inlineStr">
        <is>
          <t>宝箱随机装备</t>
        </is>
      </c>
      <c r="D164" s="3" t="inlineStr">
        <is>
          <t>持有打工宝箱（小）（work_chest_small）后开启；装备池概率10%；该装备概率0.526316%；数量1；宝箱来源：打工奖励：初级打工完成后领取1个宝箱</t>
        </is>
      </c>
      <c r="E164" s="3" t="inlineStr">
        <is>
          <t>data/item_templates.yaml；gameplay/services/work.py</t>
        </is>
      </c>
    </row>
    <row r="165">
      <c r="A165" s="3" t="inlineStr">
        <is>
          <t>equip_tiejian</t>
        </is>
      </c>
      <c r="B165" s="3" t="inlineStr">
        <is>
          <t>铁剑</t>
        </is>
      </c>
      <c r="C165" s="3" t="inlineStr">
        <is>
          <t>宝箱随机装备</t>
        </is>
      </c>
      <c r="D165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65" s="3" t="inlineStr">
        <is>
          <t>data/item_templates.yaml；gameplay/services/work.py</t>
        </is>
      </c>
    </row>
    <row r="166">
      <c r="A166" s="3" t="inlineStr">
        <is>
          <t>equip_tiejian</t>
        </is>
      </c>
      <c r="B166" s="3" t="inlineStr">
        <is>
          <t>铁剑</t>
        </is>
      </c>
      <c r="C166" s="3" t="inlineStr">
        <is>
          <t>宝箱随机装备</t>
        </is>
      </c>
      <c r="D166" s="3" t="inlineStr">
        <is>
          <t>持有打工宝箱（大）（work_chest_large）后开启；装备池概率20%；该装备概率0.526316%；数量1；宝箱来源：打工奖励：高级打工完成后领取1个宝箱</t>
        </is>
      </c>
      <c r="E166" s="3" t="inlineStr">
        <is>
          <t>data/item_templates.yaml；gameplay/services/work.py</t>
        </is>
      </c>
    </row>
    <row r="167">
      <c r="A167" s="3" t="inlineStr">
        <is>
          <t>equip_changbian</t>
        </is>
      </c>
      <c r="B167" s="3" t="inlineStr">
        <is>
          <t>长鞭</t>
        </is>
      </c>
      <c r="C167" s="3" t="inlineStr">
        <is>
          <t>铁匠铺直接锻造</t>
        </is>
      </c>
      <c r="D167" s="3" t="inlineStr">
        <is>
          <t>锻造技1级；基础时长120秒（实际受时间缩放和建筑速度影响）；每件材料：铜(tong)×5</t>
        </is>
      </c>
      <c r="E167" s="3" t="inlineStr">
        <is>
          <t>data/forge_equipment.yaml</t>
        </is>
      </c>
    </row>
    <row r="168">
      <c r="A168" s="3" t="inlineStr">
        <is>
          <t>equip_niupibian</t>
        </is>
      </c>
      <c r="B168" s="3" t="inlineStr">
        <is>
          <t>牛皮鞭</t>
        </is>
      </c>
      <c r="C168" s="3" t="inlineStr">
        <is>
          <t>商铺购买</t>
        </is>
      </c>
      <c r="D168" s="3" t="inlineStr">
        <is>
          <t>购买价1875银两/件；库存不限量；每日刷新否</t>
        </is>
      </c>
      <c r="E168" s="3" t="inlineStr">
        <is>
          <t>data/shop_items.yaml</t>
        </is>
      </c>
    </row>
    <row r="169">
      <c r="A169" s="3" t="inlineStr">
        <is>
          <t>equip_niupibian</t>
        </is>
      </c>
      <c r="B169" s="3" t="inlineStr">
        <is>
          <t>牛皮鞭</t>
        </is>
      </c>
      <c r="C169" s="3" t="inlineStr">
        <is>
          <t>宝箱随机装备</t>
        </is>
      </c>
      <c r="D169" s="3" t="inlineStr">
        <is>
          <t>持有帮会基础护院箱（guild_guard_box_basic）后开启；装备池概率100%；该装备概率6%；数量1；宝箱来源：帮会仓库兑换：帮会科技guard；解锁等级1；配置等级1,2,3,4；贡献兑换价[90]；每周个人兑换上限[4]；各科技等级每日产量1级×1,2级×2,3级×1,4级×1</t>
        </is>
      </c>
      <c r="E169" s="3" t="inlineStr">
        <is>
          <t>data/item_templates.yaml；data/warehouse_production.yaml</t>
        </is>
      </c>
    </row>
    <row r="170">
      <c r="A170" s="3" t="inlineStr">
        <is>
          <t>equip_niupibian</t>
        </is>
      </c>
      <c r="B170" s="3" t="inlineStr">
        <is>
          <t>牛皮鞭</t>
        </is>
      </c>
      <c r="C170" s="3" t="inlineStr">
        <is>
          <t>铁匠铺直接锻造</t>
        </is>
      </c>
      <c r="D170" s="3" t="inlineStr">
        <is>
          <t>锻造技3级；基础时长180秒（实际受时间缩放和建筑速度影响）；每件材料：铜(tong)×10、锡(xi)×5</t>
        </is>
      </c>
      <c r="E170" s="3" t="inlineStr">
        <is>
          <t>data/forge_equipment.yaml</t>
        </is>
      </c>
    </row>
    <row r="171">
      <c r="A171" s="3" t="inlineStr">
        <is>
          <t>equip_jingtiedao</t>
        </is>
      </c>
      <c r="B171" s="3" t="inlineStr">
        <is>
          <t>精铁刀</t>
        </is>
      </c>
      <c r="C171" s="3" t="inlineStr">
        <is>
          <t>商铺购买</t>
        </is>
      </c>
      <c r="D171" s="3" t="inlineStr">
        <is>
          <t>购买价15000银两/件；库存不限量；每日刷新否</t>
        </is>
      </c>
      <c r="E171" s="3" t="inlineStr">
        <is>
          <t>data/shop_items.yaml</t>
        </is>
      </c>
    </row>
    <row r="172">
      <c r="A172" s="3" t="inlineStr">
        <is>
          <t>equip_jingtiedao</t>
        </is>
      </c>
      <c r="B172" s="3" t="inlineStr">
        <is>
          <t>精铁刀</t>
        </is>
      </c>
      <c r="C172" s="3" t="inlineStr">
        <is>
          <t>宝箱随机装备</t>
        </is>
      </c>
      <c r="D172" s="3" t="inlineStr">
        <is>
          <t>持有打工宝箱（小）（work_chest_small）后开启；装备池概率10%；该装备概率0.526316%；数量1；宝箱来源：打工奖励：初级打工完成后领取1个宝箱</t>
        </is>
      </c>
      <c r="E172" s="3" t="inlineStr">
        <is>
          <t>data/item_templates.yaml；gameplay/services/work.py</t>
        </is>
      </c>
    </row>
    <row r="173">
      <c r="A173" s="3" t="inlineStr">
        <is>
          <t>equip_jingtiedao</t>
        </is>
      </c>
      <c r="B173" s="3" t="inlineStr">
        <is>
          <t>精铁刀</t>
        </is>
      </c>
      <c r="C173" s="3" t="inlineStr">
        <is>
          <t>宝箱随机装备</t>
        </is>
      </c>
      <c r="D173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73" s="3" t="inlineStr">
        <is>
          <t>data/item_templates.yaml；gameplay/services/work.py</t>
        </is>
      </c>
    </row>
    <row r="174">
      <c r="A174" s="3" t="inlineStr">
        <is>
          <t>equip_jingtiedao</t>
        </is>
      </c>
      <c r="B174" s="3" t="inlineStr">
        <is>
          <t>精铁刀</t>
        </is>
      </c>
      <c r="C174" s="3" t="inlineStr">
        <is>
          <t>宝箱随机装备</t>
        </is>
      </c>
      <c r="D174" s="3" t="inlineStr">
        <is>
          <t>持有打工宝箱（大）（work_chest_large）后开启；装备池概率20%；该装备概率0.526316%；数量1；宝箱来源：打工奖励：高级打工完成后领取1个宝箱</t>
        </is>
      </c>
      <c r="E174" s="3" t="inlineStr">
        <is>
          <t>data/item_templates.yaml；gameplay/services/work.py</t>
        </is>
      </c>
    </row>
    <row r="175">
      <c r="A175" s="3" t="inlineStr">
        <is>
          <t>equip_jingtiedao</t>
        </is>
      </c>
      <c r="B175" s="3" t="inlineStr">
        <is>
          <t>精铁刀</t>
        </is>
      </c>
      <c r="C175" s="3" t="inlineStr">
        <is>
          <t>宝箱随机装备</t>
        </is>
      </c>
      <c r="D175" s="3" t="inlineStr">
        <is>
          <t>持有帮会精制护院箱（guild_guard_box_refined）后开启；装备池概率100%；该装备概率11%；数量1；宝箱来源：帮会仓库兑换：帮会科技guard；解锁等级7；配置等级7,8,9,10；贡献兑换价[320]；每周个人兑换上限[1]；各科技等级每日产量7级×1,8级×2,9级×1,10级×1</t>
        </is>
      </c>
      <c r="E175" s="3" t="inlineStr">
        <is>
          <t>data/item_templates.yaml；data/warehouse_production.yaml</t>
        </is>
      </c>
    </row>
    <row r="176">
      <c r="A176" s="3" t="inlineStr">
        <is>
          <t>equip_jingtiedao</t>
        </is>
      </c>
      <c r="B176" s="3" t="inlineStr">
        <is>
          <t>精铁刀</t>
        </is>
      </c>
      <c r="C176" s="3" t="inlineStr">
        <is>
          <t>宝箱随机装备</t>
        </is>
      </c>
      <c r="D176" s="3" t="inlineStr">
        <is>
          <t>持有帮会宗师护院匣（guild_guard_box_master）后开启；装备池概率100%；该装备概率12%；数量1；宝箱来源：帮会仓库兑换：帮会科技guard；解锁等级9；配置等级9,10；贡献兑换价[360]；每周个人兑换上限[1]；各科技等级每日产量9级×1,10级×2</t>
        </is>
      </c>
      <c r="E176" s="3" t="inlineStr">
        <is>
          <t>data/item_templates.yaml；data/warehouse_production.yaml</t>
        </is>
      </c>
    </row>
    <row r="177">
      <c r="A177" s="3" t="inlineStr">
        <is>
          <t>equip_jingtiedao</t>
        </is>
      </c>
      <c r="B177" s="3" t="inlineStr">
        <is>
          <t>精铁刀</t>
        </is>
      </c>
      <c r="C177" s="3" t="inlineStr">
        <is>
          <t>铁匠铺直接锻造</t>
        </is>
      </c>
      <c r="D177" s="3" t="inlineStr">
        <is>
          <t>锻造技7级；基础时长300秒（实际受时间缩放和建筑速度影响）；每件材料：铁(tie)×20</t>
        </is>
      </c>
      <c r="E177" s="3" t="inlineStr">
        <is>
          <t>data/forge_equipment.yaml</t>
        </is>
      </c>
    </row>
    <row r="178">
      <c r="A178" s="3" t="inlineStr">
        <is>
          <t>equip_tongchangdao</t>
        </is>
      </c>
      <c r="B178" s="3" t="inlineStr">
        <is>
          <t>铜长刀</t>
        </is>
      </c>
      <c r="C178" s="3" t="inlineStr">
        <is>
          <t>商铺购买</t>
        </is>
      </c>
      <c r="D178" s="3" t="inlineStr">
        <is>
          <t>购买价7500银两/件；库存不限量；每日刷新否</t>
        </is>
      </c>
      <c r="E178" s="3" t="inlineStr">
        <is>
          <t>data/shop_items.yaml</t>
        </is>
      </c>
    </row>
    <row r="179">
      <c r="A179" s="3" t="inlineStr">
        <is>
          <t>equip_tongchangdao</t>
        </is>
      </c>
      <c r="B179" s="3" t="inlineStr">
        <is>
          <t>铜长刀</t>
        </is>
      </c>
      <c r="C179" s="3" t="inlineStr">
        <is>
          <t>宝箱随机装备</t>
        </is>
      </c>
      <c r="D179" s="3" t="inlineStr">
        <is>
          <t>持有打工宝箱（小）（work_chest_small）后开启；装备池概率10%；该装备概率0.526316%；数量1；宝箱来源：打工奖励：初级打工完成后领取1个宝箱</t>
        </is>
      </c>
      <c r="E179" s="3" t="inlineStr">
        <is>
          <t>data/item_templates.yaml；gameplay/services/work.py</t>
        </is>
      </c>
    </row>
    <row r="180">
      <c r="A180" s="3" t="inlineStr">
        <is>
          <t>equip_tongchangdao</t>
        </is>
      </c>
      <c r="B180" s="3" t="inlineStr">
        <is>
          <t>铜长刀</t>
        </is>
      </c>
      <c r="C180" s="3" t="inlineStr">
        <is>
          <t>宝箱随机装备</t>
        </is>
      </c>
      <c r="D180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80" s="3" t="inlineStr">
        <is>
          <t>data/item_templates.yaml；gameplay/services/work.py</t>
        </is>
      </c>
    </row>
    <row r="181">
      <c r="A181" s="3" t="inlineStr">
        <is>
          <t>equip_tongchangdao</t>
        </is>
      </c>
      <c r="B181" s="3" t="inlineStr">
        <is>
          <t>铜长刀</t>
        </is>
      </c>
      <c r="C181" s="3" t="inlineStr">
        <is>
          <t>宝箱随机装备</t>
        </is>
      </c>
      <c r="D181" s="3" t="inlineStr">
        <is>
          <t>持有打工宝箱（大）（work_chest_large）后开启；装备池概率20%；该装备概率0.526316%；数量1；宝箱来源：打工奖励：高级打工完成后领取1个宝箱</t>
        </is>
      </c>
      <c r="E181" s="3" t="inlineStr">
        <is>
          <t>data/item_templates.yaml；gameplay/services/work.py</t>
        </is>
      </c>
    </row>
    <row r="182">
      <c r="A182" s="3" t="inlineStr">
        <is>
          <t>equip_tongchangdao</t>
        </is>
      </c>
      <c r="B182" s="3" t="inlineStr">
        <is>
          <t>铜长刀</t>
        </is>
      </c>
      <c r="C182" s="3" t="inlineStr">
        <is>
          <t>宝箱随机装备</t>
        </is>
      </c>
      <c r="D182" s="3" t="inlineStr">
        <is>
          <t>持有帮会精锐护院箱（guild_guard_box_elite）后开启；装备池概率100%；该装备概率11%；数量1；宝箱来源：帮会仓库兑换：帮会科技guard；解锁等级5；配置等级5,6,7,8；贡献兑换价[260]；每周个人兑换上限[2]；各科技等级每日产量5级×1,6级×2,7级×1,8级×1</t>
        </is>
      </c>
      <c r="E182" s="3" t="inlineStr">
        <is>
          <t>data/item_templates.yaml；data/warehouse_production.yaml</t>
        </is>
      </c>
    </row>
    <row r="183">
      <c r="A183" s="3" t="inlineStr">
        <is>
          <t>equip_tongchangdao</t>
        </is>
      </c>
      <c r="B183" s="3" t="inlineStr">
        <is>
          <t>铜长刀</t>
        </is>
      </c>
      <c r="C183" s="3" t="inlineStr">
        <is>
          <t>宝箱随机装备</t>
        </is>
      </c>
      <c r="D183" s="3" t="inlineStr">
        <is>
          <t>持有帮会绿装箱（guild_gear_box_green）后开启；装备池概率100%；该装备概率12%；数量1；宝箱来源：帮会仓库兑换：帮会科技equipment；解锁等级1；配置等级1,2,3,4,5,6,7,8,9,10；贡献兑换价[70]；每周个人兑换上限[4]；各科技等级每日产量1级×1,2级×2,3级×2,4级×2,5级×2,6级×2,7级×2,8级×2,9级×2,10级×2</t>
        </is>
      </c>
      <c r="E183" s="3" t="inlineStr">
        <is>
          <t>data/item_templates.yaml；data/warehouse_production.yaml</t>
        </is>
      </c>
    </row>
    <row r="184">
      <c r="A184" s="3" t="inlineStr">
        <is>
          <t>equip_tongchangdao</t>
        </is>
      </c>
      <c r="B184" s="3" t="inlineStr">
        <is>
          <t>铜长刀</t>
        </is>
      </c>
      <c r="C184" s="3" t="inlineStr">
        <is>
          <t>铁匠铺直接锻造</t>
        </is>
      </c>
      <c r="D184" s="3" t="inlineStr">
        <is>
          <t>锻造技5级；基础时长240秒（实际受时间缩放和建筑速度影响）；每件材料：铁(tie)×10</t>
        </is>
      </c>
      <c r="E184" s="3" t="inlineStr">
        <is>
          <t>data/forge_equipment.yaml</t>
        </is>
      </c>
    </row>
    <row r="185">
      <c r="A185" s="3" t="inlineStr">
        <is>
          <t>equip_duanmajian</t>
        </is>
      </c>
      <c r="B185" s="3" t="inlineStr">
        <is>
          <t>断马剑</t>
        </is>
      </c>
      <c r="C185" s="3" t="inlineStr">
        <is>
          <t>商铺购买</t>
        </is>
      </c>
      <c r="D185" s="3" t="inlineStr">
        <is>
          <t>购买价15000银两/件；库存不限量；每日刷新否</t>
        </is>
      </c>
      <c r="E185" s="3" t="inlineStr">
        <is>
          <t>data/shop_items.yaml</t>
        </is>
      </c>
    </row>
    <row r="186">
      <c r="A186" s="3" t="inlineStr">
        <is>
          <t>equip_duanmajian</t>
        </is>
      </c>
      <c r="B186" s="3" t="inlineStr">
        <is>
          <t>断马剑</t>
        </is>
      </c>
      <c r="C186" s="3" t="inlineStr">
        <is>
          <t>宝箱随机装备</t>
        </is>
      </c>
      <c r="D186" s="3" t="inlineStr">
        <is>
          <t>持有打工宝箱（小）（work_chest_small）后开启；装备池概率10%；该装备概率0.526316%；数量1；宝箱来源：打工奖励：初级打工完成后领取1个宝箱</t>
        </is>
      </c>
      <c r="E186" s="3" t="inlineStr">
        <is>
          <t>data/item_templates.yaml；gameplay/services/work.py</t>
        </is>
      </c>
    </row>
    <row r="187">
      <c r="A187" s="3" t="inlineStr">
        <is>
          <t>equip_duanmajian</t>
        </is>
      </c>
      <c r="B187" s="3" t="inlineStr">
        <is>
          <t>断马剑</t>
        </is>
      </c>
      <c r="C187" s="3" t="inlineStr">
        <is>
          <t>宝箱随机装备</t>
        </is>
      </c>
      <c r="D187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87" s="3" t="inlineStr">
        <is>
          <t>data/item_templates.yaml；gameplay/services/work.py</t>
        </is>
      </c>
    </row>
    <row r="188">
      <c r="A188" s="3" t="inlineStr">
        <is>
          <t>equip_duanmajian</t>
        </is>
      </c>
      <c r="B188" s="3" t="inlineStr">
        <is>
          <t>断马剑</t>
        </is>
      </c>
      <c r="C188" s="3" t="inlineStr">
        <is>
          <t>宝箱随机装备</t>
        </is>
      </c>
      <c r="D188" s="3" t="inlineStr">
        <is>
          <t>持有打工宝箱（大）（work_chest_large）后开启；装备池概率20%；该装备概率0.526316%；数量1；宝箱来源：打工奖励：高级打工完成后领取1个宝箱</t>
        </is>
      </c>
      <c r="E188" s="3" t="inlineStr">
        <is>
          <t>data/item_templates.yaml；gameplay/services/work.py</t>
        </is>
      </c>
    </row>
    <row r="189">
      <c r="A189" s="3" t="inlineStr">
        <is>
          <t>equip_duanmajian</t>
        </is>
      </c>
      <c r="B189" s="3" t="inlineStr">
        <is>
          <t>断马剑</t>
        </is>
      </c>
      <c r="C189" s="3" t="inlineStr">
        <is>
          <t>宝箱随机装备</t>
        </is>
      </c>
      <c r="D189" s="3" t="inlineStr">
        <is>
          <t>持有帮会精制护院箱（guild_guard_box_refined）后开启；装备池概率100%；该装备概率10%；数量1；宝箱来源：帮会仓库兑换：帮会科技guard；解锁等级7；配置等级7,8,9,10；贡献兑换价[320]；每周个人兑换上限[1]；各科技等级每日产量7级×1,8级×2,9级×1,10级×1</t>
        </is>
      </c>
      <c r="E189" s="3" t="inlineStr">
        <is>
          <t>data/item_templates.yaml；data/warehouse_production.yaml</t>
        </is>
      </c>
    </row>
    <row r="190">
      <c r="A190" s="3" t="inlineStr">
        <is>
          <t>equip_duanmajian</t>
        </is>
      </c>
      <c r="B190" s="3" t="inlineStr">
        <is>
          <t>断马剑</t>
        </is>
      </c>
      <c r="C190" s="3" t="inlineStr">
        <is>
          <t>铁匠铺直接锻造</t>
        </is>
      </c>
      <c r="D190" s="3" t="inlineStr">
        <is>
          <t>锻造技7级；基础时长300秒（实际受时间缩放和建筑速度影响）；每件材料：铁(tie)×20</t>
        </is>
      </c>
      <c r="E190" s="3" t="inlineStr">
        <is>
          <t>data/forge_equipment.yaml</t>
        </is>
      </c>
    </row>
    <row r="191">
      <c r="A191" s="3" t="inlineStr">
        <is>
          <t>equip_qingmangjian</t>
        </is>
      </c>
      <c r="B191" s="3" t="inlineStr">
        <is>
          <t>青芒剑</t>
        </is>
      </c>
      <c r="C191" s="3" t="inlineStr">
        <is>
          <t>商铺购买</t>
        </is>
      </c>
      <c r="D191" s="3" t="inlineStr">
        <is>
          <t>购买价7500银两/件；库存不限量；每日刷新否</t>
        </is>
      </c>
      <c r="E191" s="3" t="inlineStr">
        <is>
          <t>data/shop_items.yaml</t>
        </is>
      </c>
    </row>
    <row r="192">
      <c r="A192" s="3" t="inlineStr">
        <is>
          <t>equip_qingmangjian</t>
        </is>
      </c>
      <c r="B192" s="3" t="inlineStr">
        <is>
          <t>青芒剑</t>
        </is>
      </c>
      <c r="C192" s="3" t="inlineStr">
        <is>
          <t>宝箱随机装备</t>
        </is>
      </c>
      <c r="D192" s="3" t="inlineStr">
        <is>
          <t>持有打工宝箱（小）（work_chest_small）后开启；装备池概率10%；该装备概率0.526316%；数量1；宝箱来源：打工奖励：初级打工完成后领取1个宝箱</t>
        </is>
      </c>
      <c r="E192" s="3" t="inlineStr">
        <is>
          <t>data/item_templates.yaml；gameplay/services/work.py</t>
        </is>
      </c>
    </row>
    <row r="193">
      <c r="A193" s="3" t="inlineStr">
        <is>
          <t>equip_qingmangjian</t>
        </is>
      </c>
      <c r="B193" s="3" t="inlineStr">
        <is>
          <t>青芒剑</t>
        </is>
      </c>
      <c r="C193" s="3" t="inlineStr">
        <is>
          <t>宝箱随机装备</t>
        </is>
      </c>
      <c r="D193" s="3" t="inlineStr">
        <is>
          <t>持有打工宝箱（中）（work_chest_medium）后开启；装备池概率10%；该装备概率0.333333%；数量1；宝箱来源：打工奖励：中级打工完成后领取1个宝箱</t>
        </is>
      </c>
      <c r="E193" s="3" t="inlineStr">
        <is>
          <t>data/item_templates.yaml；gameplay/services/work.py</t>
        </is>
      </c>
    </row>
    <row r="194">
      <c r="A194" s="3" t="inlineStr">
        <is>
          <t>equip_qingmangjian</t>
        </is>
      </c>
      <c r="B194" s="3" t="inlineStr">
        <is>
          <t>青芒剑</t>
        </is>
      </c>
      <c r="C194" s="3" t="inlineStr">
        <is>
          <t>宝箱随机装备</t>
        </is>
      </c>
      <c r="D194" s="3" t="inlineStr">
        <is>
          <t>持有打工宝箱（大）（work_chest_large）后开启；装备池概率20%；该装备概率0.526316%；数量1；宝箱来源：打工奖励：高级打工完成后领取1个宝箱</t>
        </is>
      </c>
      <c r="E194" s="3" t="inlineStr">
        <is>
          <t>data/item_templates.yaml；gameplay/services/work.py</t>
        </is>
      </c>
    </row>
    <row r="195">
      <c r="A195" s="3" t="inlineStr">
        <is>
          <t>equip_qingmangjian</t>
        </is>
      </c>
      <c r="B195" s="3" t="inlineStr">
        <is>
          <t>青芒剑</t>
        </is>
      </c>
      <c r="C195" s="3" t="inlineStr">
        <is>
          <t>宝箱随机装备</t>
        </is>
      </c>
      <c r="D195" s="3" t="inlineStr">
        <is>
          <t>持有帮会精锐护院箱（guild_guard_box_elite）后开启；装备池概率100%；该装备概率10%；数量1；宝箱来源：帮会仓库兑换：帮会科技guard；解锁等级5；配置等级5,6,7,8；贡献兑换价[260]；每周个人兑换上限[2]；各科技等级每日产量5级×1,6级×2,7级×1,8级×1</t>
        </is>
      </c>
      <c r="E195" s="3" t="inlineStr">
        <is>
          <t>data/item_templates.yaml；data/warehouse_production.yaml</t>
        </is>
      </c>
    </row>
    <row r="196">
      <c r="A196" s="3" t="inlineStr">
        <is>
          <t>equip_qingmangjian</t>
        </is>
      </c>
      <c r="B196" s="3" t="inlineStr">
        <is>
          <t>青芒剑</t>
        </is>
      </c>
      <c r="C196" s="3" t="inlineStr">
        <is>
          <t>宝箱随机装备</t>
        </is>
      </c>
      <c r="D196" s="3" t="inlineStr">
        <is>
          <t>持有帮会绿装箱（guild_gear_box_green）后开启；装备池概率100%；该装备概率12%；数量1；宝箱来源：帮会仓库兑换：帮会科技equipment；解锁等级1；配置等级1,2,3,4,5,6,7,8,9,10；贡献兑换价[70]；每周个人兑换上限[4]；各科技等级每日产量1级×1,2级×2,3级×2,4级×2,5级×2,6级×2,7级×2,8级×2,9级×2,10级×2</t>
        </is>
      </c>
      <c r="E196" s="3" t="inlineStr">
        <is>
          <t>data/item_templates.yaml；data/warehouse_production.yaml</t>
        </is>
      </c>
    </row>
    <row r="197">
      <c r="A197" s="3" t="inlineStr">
        <is>
          <t>equip_qingmangjian</t>
        </is>
      </c>
      <c r="B197" s="3" t="inlineStr">
        <is>
          <t>青芒剑</t>
        </is>
      </c>
      <c r="C197" s="3" t="inlineStr">
        <is>
          <t>铁匠铺直接锻造</t>
        </is>
      </c>
      <c r="D197" s="3" t="inlineStr">
        <is>
          <t>锻造技5级；基础时长240秒（实际受时间缩放和建筑速度影响）；每件材料：铁(tie)×10</t>
        </is>
      </c>
      <c r="E197" s="3" t="inlineStr">
        <is>
          <t>data/forge_equipment.yaml</t>
        </is>
      </c>
    </row>
    <row r="198">
      <c r="A198" s="3" t="inlineStr">
        <is>
          <t>equip_shenbigong</t>
        </is>
      </c>
      <c r="B198" s="3" t="inlineStr">
        <is>
          <t>神臂弓</t>
        </is>
      </c>
      <c r="C198" s="3" t="inlineStr">
        <is>
          <t>商铺购买</t>
        </is>
      </c>
      <c r="D198" s="3" t="inlineStr">
        <is>
          <t>购买价15000银两/件；库存不限量；每日刷新否</t>
        </is>
      </c>
      <c r="E198" s="3" t="inlineStr">
        <is>
          <t>data/shop_items.yaml</t>
        </is>
      </c>
    </row>
    <row r="199">
      <c r="A199" s="3" t="inlineStr">
        <is>
          <t>equip_shenbigong</t>
        </is>
      </c>
      <c r="B199" s="3" t="inlineStr">
        <is>
          <t>神臂弓</t>
        </is>
      </c>
      <c r="C199" s="3" t="inlineStr">
        <is>
          <t>宝箱随机装备</t>
        </is>
      </c>
      <c r="D199" s="3" t="inlineStr">
        <is>
          <t>持有打工宝箱（大）（work_chest_large）后开启；装备池概率20%；该装备概率0.526316%；数量1；宝箱来源：打工奖励：高级打工完成后领取1个宝箱</t>
        </is>
      </c>
      <c r="E199" s="3" t="inlineStr">
        <is>
          <t>data/item_templates.yaml；gameplay/services/work.py</t>
        </is>
      </c>
    </row>
    <row r="200">
      <c r="A200" s="3" t="inlineStr">
        <is>
          <t>equip_shenbigong</t>
        </is>
      </c>
      <c r="B200" s="3" t="inlineStr">
        <is>
          <t>神臂弓</t>
        </is>
      </c>
      <c r="C200" s="3" t="inlineStr">
        <is>
          <t>宝箱随机装备</t>
        </is>
      </c>
      <c r="D200" s="3" t="inlineStr">
        <is>
          <t>持有帮会精制护院箱（guild_guard_box_refined）后开启；装备池概率100%；该装备概率10%；数量1；宝箱来源：帮会仓库兑换：帮会科技guard；解锁等级7；配置等级7,8,9,10；贡献兑换价[320]；每周个人兑换上限[1]；各科技等级每日产量7级×1,8级×2,9级×1,10级×1</t>
        </is>
      </c>
      <c r="E200" s="3" t="inlineStr">
        <is>
          <t>data/item_templates.yaml；data/warehouse_production.yaml</t>
        </is>
      </c>
    </row>
    <row r="201">
      <c r="A201" s="3" t="inlineStr">
        <is>
          <t>equip_shenbigong</t>
        </is>
      </c>
      <c r="B201" s="3" t="inlineStr">
        <is>
          <t>神臂弓</t>
        </is>
      </c>
      <c r="C201" s="3" t="inlineStr">
        <is>
          <t>铁匠铺直接锻造</t>
        </is>
      </c>
      <c r="D201" s="3" t="inlineStr">
        <is>
          <t>锻造技7级；基础时长300秒（实际受时间缩放和建筑速度影响）；每件材料：铁(tie)×20</t>
        </is>
      </c>
      <c r="E201" s="3" t="inlineStr">
        <is>
          <t>data/forge_equipment.yaml</t>
        </is>
      </c>
    </row>
    <row r="202">
      <c r="A202" s="3" t="inlineStr">
        <is>
          <t>equip_tietaigong</t>
        </is>
      </c>
      <c r="B202" s="3" t="inlineStr">
        <is>
          <t>铁胎弓</t>
        </is>
      </c>
      <c r="C202" s="3" t="inlineStr">
        <is>
          <t>商铺购买</t>
        </is>
      </c>
      <c r="D202" s="3" t="inlineStr">
        <is>
          <t>购买价7500银两/件；库存不限量；每日刷新否</t>
        </is>
      </c>
      <c r="E202" s="3" t="inlineStr">
        <is>
          <t>data/shop_items.yaml</t>
        </is>
      </c>
    </row>
    <row r="203">
      <c r="A203" s="3" t="inlineStr">
        <is>
          <t>equip_tietaigong</t>
        </is>
      </c>
      <c r="B203" s="3" t="inlineStr">
        <is>
          <t>铁胎弓</t>
        </is>
      </c>
      <c r="C203" s="3" t="inlineStr">
        <is>
          <t>宝箱随机装备</t>
        </is>
      </c>
      <c r="D203" s="3" t="inlineStr">
        <is>
          <t>持有帮会精锐护院箱（guild_guard_box_elite）后开启；装备池概率100%；该装备概率10%；数量1；宝箱来源：帮会仓库兑换：帮会科技guard；解锁等级5；配置等级5,6,7,8；贡献兑换价[260]；每周个人兑换上限[2]；各科技等级每日产量5级×1,6级×2,7级×1,8级×1</t>
        </is>
      </c>
      <c r="E203" s="3" t="inlineStr">
        <is>
          <t>data/item_templates.yaml；data/warehouse_production.yaml</t>
        </is>
      </c>
    </row>
    <row r="204">
      <c r="A204" s="3" t="inlineStr">
        <is>
          <t>equip_tietaigong</t>
        </is>
      </c>
      <c r="B204" s="3" t="inlineStr">
        <is>
          <t>铁胎弓</t>
        </is>
      </c>
      <c r="C204" s="3" t="inlineStr">
        <is>
          <t>宝箱随机装备</t>
        </is>
      </c>
      <c r="D204" s="3" t="inlineStr">
        <is>
          <t>持有帮会绿装箱（guild_gear_box_green）后开启；装备池概率100%；该装备概率11%；数量1；宝箱来源：帮会仓库兑换：帮会科技equipment；解锁等级1；配置等级1,2,3,4,5,6,7,8,9,10；贡献兑换价[70]；每周个人兑换上限[4]；各科技等级每日产量1级×1,2级×2,3级×2,4级×2,5级×2,6级×2,7级×2,8级×2,9级×2,10级×2</t>
        </is>
      </c>
      <c r="E204" s="3" t="inlineStr">
        <is>
          <t>data/item_templates.yaml；data/warehouse_production.yaml</t>
        </is>
      </c>
    </row>
    <row r="205">
      <c r="A205" s="3" t="inlineStr">
        <is>
          <t>equip_tietaigong</t>
        </is>
      </c>
      <c r="B205" s="3" t="inlineStr">
        <is>
          <t>铁胎弓</t>
        </is>
      </c>
      <c r="C205" s="3" t="inlineStr">
        <is>
          <t>铁匠铺直接锻造</t>
        </is>
      </c>
      <c r="D205" s="3" t="inlineStr">
        <is>
          <t>锻造技5级；基础时长240秒（实际受时间缩放和建筑速度影响）；每件材料：铁(tie)×10</t>
        </is>
      </c>
      <c r="E205" s="3" t="inlineStr">
        <is>
          <t>data/forge_equipment.yaml</t>
        </is>
      </c>
    </row>
    <row r="206">
      <c r="A206" s="3" t="inlineStr">
        <is>
          <t>equip_hutoumao</t>
        </is>
      </c>
      <c r="B206" s="3" t="inlineStr">
        <is>
          <t>虎头矛</t>
        </is>
      </c>
      <c r="C206" s="3" t="inlineStr">
        <is>
          <t>商铺购买</t>
        </is>
      </c>
      <c r="D206" s="3" t="inlineStr">
        <is>
          <t>购买价7500银两/件；库存不限量；每日刷新否</t>
        </is>
      </c>
      <c r="E206" s="3" t="inlineStr">
        <is>
          <t>data/shop_items.yaml</t>
        </is>
      </c>
    </row>
    <row r="207">
      <c r="A207" s="3" t="inlineStr">
        <is>
          <t>equip_hutoumao</t>
        </is>
      </c>
      <c r="B207" s="3" t="inlineStr">
        <is>
          <t>虎头矛</t>
        </is>
      </c>
      <c r="C207" s="3" t="inlineStr">
        <is>
          <t>宝箱随机装备</t>
        </is>
      </c>
      <c r="D207" s="3" t="inlineStr">
        <is>
          <t>持有打工宝箱（小）（work_chest_small）后开启；装备池概率10%；该装备概率0.526316%；数量1；宝箱来源：打工奖励：初级打工完成后领取1个宝箱</t>
        </is>
      </c>
      <c r="E207" s="3" t="inlineStr">
        <is>
          <t>data/item_templates.yaml；gameplay/services/work.py</t>
        </is>
      </c>
    </row>
    <row r="208">
      <c r="A208" s="3" t="inlineStr">
        <is>
          <t>equip_hutoumao</t>
        </is>
      </c>
      <c r="B208" s="3" t="inlineStr">
        <is>
          <t>虎头矛</t>
        </is>
      </c>
      <c r="C208" s="3" t="inlineStr">
        <is>
          <t>宝箱随机装备</t>
        </is>
      </c>
      <c r="D208" s="3" t="inlineStr">
        <is>
          <t>持有帮会精锐护院箱（guild_guard_box_elite）后开启；装备池概率100%；该装备概率11%；数量1；宝箱来源：帮会仓库兑换：帮会科技guard；解锁等级5；配置等级5,6,7,8；贡献兑换价[260]；每周个人兑换上限[2]；各科技等级每日产量5级×1,6级×2,7级×1,8级×1</t>
        </is>
      </c>
      <c r="E208" s="3" t="inlineStr">
        <is>
          <t>data/item_templates.yaml；data/warehouse_production.yaml</t>
        </is>
      </c>
    </row>
    <row r="209">
      <c r="A209" s="3" t="inlineStr">
        <is>
          <t>equip_hutoumao</t>
        </is>
      </c>
      <c r="B209" s="3" t="inlineStr">
        <is>
          <t>虎头矛</t>
        </is>
      </c>
      <c r="C209" s="3" t="inlineStr">
        <is>
          <t>宝箱随机装备</t>
        </is>
      </c>
      <c r="D209" s="3" t="inlineStr">
        <is>
          <t>持有帮会绿装箱（guild_gear_box_green）后开启；装备池概率100%；该装备概率12%；数量1；宝箱来源：帮会仓库兑换：帮会科技equipment；解锁等级1；配置等级1,2,3,4,5,6,7,8,9,10；贡献兑换价[70]；每周个人兑换上限[4]；各科技等级每日产量1级×1,2级×2,3级×2,4级×2,5级×2,6级×2,7级×2,8级×2,9级×2,10级×2</t>
        </is>
      </c>
      <c r="E209" s="3" t="inlineStr">
        <is>
          <t>data/item_templates.yaml；data/warehouse_production.yaml</t>
        </is>
      </c>
    </row>
    <row r="210">
      <c r="A210" s="3" t="inlineStr">
        <is>
          <t>equip_hutoumao</t>
        </is>
      </c>
      <c r="B210" s="3" t="inlineStr">
        <is>
          <t>虎头矛</t>
        </is>
      </c>
      <c r="C210" s="3" t="inlineStr">
        <is>
          <t>铁匠铺直接锻造</t>
        </is>
      </c>
      <c r="D210" s="3" t="inlineStr">
        <is>
          <t>锻造技5级；基础时长240秒（实际受时间缩放和建筑速度影响）；每件材料：铁(tie)×10</t>
        </is>
      </c>
      <c r="E210" s="3" t="inlineStr">
        <is>
          <t>data/forge_equipment.yaml</t>
        </is>
      </c>
    </row>
    <row r="211">
      <c r="A211" s="3" t="inlineStr">
        <is>
          <t>equip_pansheqiang</t>
        </is>
      </c>
      <c r="B211" s="3" t="inlineStr">
        <is>
          <t>盘蛇枪</t>
        </is>
      </c>
      <c r="C211" s="3" t="inlineStr">
        <is>
          <t>商铺购买</t>
        </is>
      </c>
      <c r="D211" s="3" t="inlineStr">
        <is>
          <t>购买价15000银两/件；库存不限量；每日刷新否</t>
        </is>
      </c>
      <c r="E211" s="3" t="inlineStr">
        <is>
          <t>data/shop_items.yaml</t>
        </is>
      </c>
    </row>
    <row r="212">
      <c r="A212" s="3" t="inlineStr">
        <is>
          <t>equip_pansheqiang</t>
        </is>
      </c>
      <c r="B212" s="3" t="inlineStr">
        <is>
          <t>盘蛇枪</t>
        </is>
      </c>
      <c r="C212" s="3" t="inlineStr">
        <is>
          <t>宝箱随机装备</t>
        </is>
      </c>
      <c r="D212" s="3" t="inlineStr">
        <is>
          <t>持有打工宝箱（大）（work_chest_large）后开启；装备池概率20%；该装备概率0.526316%；数量1；宝箱来源：打工奖励：高级打工完成后领取1个宝箱</t>
        </is>
      </c>
      <c r="E212" s="3" t="inlineStr">
        <is>
          <t>data/item_templates.yaml；gameplay/services/work.py</t>
        </is>
      </c>
    </row>
    <row r="213">
      <c r="A213" s="3" t="inlineStr">
        <is>
          <t>equip_pansheqiang</t>
        </is>
      </c>
      <c r="B213" s="3" t="inlineStr">
        <is>
          <t>盘蛇枪</t>
        </is>
      </c>
      <c r="C213" s="3" t="inlineStr">
        <is>
          <t>宝箱随机装备</t>
        </is>
      </c>
      <c r="D213" s="3" t="inlineStr">
        <is>
          <t>持有帮会精制护院箱（guild_guard_box_refined）后开启；装备池概率100%；该装备概率11%；数量1；宝箱来源：帮会仓库兑换：帮会科技guard；解锁等级7；配置等级7,8,9,10；贡献兑换价[320]；每周个人兑换上限[1]；各科技等级每日产量7级×1,8级×2,9级×1,10级×1</t>
        </is>
      </c>
      <c r="E213" s="3" t="inlineStr">
        <is>
          <t>data/item_templates.yaml；data/warehouse_production.yaml</t>
        </is>
      </c>
    </row>
    <row r="214">
      <c r="A214" s="3" t="inlineStr">
        <is>
          <t>equip_pansheqiang</t>
        </is>
      </c>
      <c r="B214" s="3" t="inlineStr">
        <is>
          <t>盘蛇枪</t>
        </is>
      </c>
      <c r="C214" s="3" t="inlineStr">
        <is>
          <t>宝箱随机装备</t>
        </is>
      </c>
      <c r="D214" s="3" t="inlineStr">
        <is>
          <t>持有帮会宗师护院匣（guild_guard_box_master）后开启；装备池概率100%；该装备概率12%；数量1；宝箱来源：帮会仓库兑换：帮会科技guard；解锁等级9；配置等级9,10；贡献兑换价[360]；每周个人兑换上限[1]；各科技等级每日产量9级×1,10级×2</t>
        </is>
      </c>
      <c r="E214" s="3" t="inlineStr">
        <is>
          <t>data/item_templates.yaml；data/warehouse_production.yaml</t>
        </is>
      </c>
    </row>
    <row r="215">
      <c r="A215" s="3" t="inlineStr">
        <is>
          <t>equip_pansheqiang</t>
        </is>
      </c>
      <c r="B215" s="3" t="inlineStr">
        <is>
          <t>盘蛇枪</t>
        </is>
      </c>
      <c r="C215" s="3" t="inlineStr">
        <is>
          <t>铁匠铺直接锻造</t>
        </is>
      </c>
      <c r="D215" s="3" t="inlineStr">
        <is>
          <t>锻造技7级；基础时长300秒（实际受时间缩放和建筑速度影响）；每件材料：铁(tie)×20</t>
        </is>
      </c>
      <c r="E215" s="3" t="inlineStr">
        <is>
          <t>data/forge_equipment.yaml</t>
        </is>
      </c>
    </row>
    <row r="216">
      <c r="A216" s="3" t="inlineStr">
        <is>
          <t>equip_jicibian</t>
        </is>
      </c>
      <c r="B216" s="3" t="inlineStr">
        <is>
          <t>棘刺鞭</t>
        </is>
      </c>
      <c r="C216" s="3" t="inlineStr">
        <is>
          <t>商铺购买</t>
        </is>
      </c>
      <c r="D216" s="3" t="inlineStr">
        <is>
          <t>购买价7500银两/件；库存不限量；每日刷新否</t>
        </is>
      </c>
      <c r="E216" s="3" t="inlineStr">
        <is>
          <t>data/shop_items.yaml</t>
        </is>
      </c>
    </row>
    <row r="217">
      <c r="A217" s="3" t="inlineStr">
        <is>
          <t>equip_jicibian</t>
        </is>
      </c>
      <c r="B217" s="3" t="inlineStr">
        <is>
          <t>棘刺鞭</t>
        </is>
      </c>
      <c r="C217" s="3" t="inlineStr">
        <is>
          <t>铁匠铺直接锻造</t>
        </is>
      </c>
      <c r="D217" s="3" t="inlineStr">
        <is>
          <t>锻造技5级；基础时长240秒（实际受时间缩放和建筑速度影响）；每件材料：铁(tie)×10</t>
        </is>
      </c>
      <c r="E217" s="3" t="inlineStr">
        <is>
          <t>data/forge_equipment.yaml</t>
        </is>
      </c>
    </row>
    <row r="218">
      <c r="A218" s="3" t="inlineStr">
        <is>
          <t>equip_jiulonggangbian</t>
        </is>
      </c>
      <c r="B218" s="3" t="inlineStr">
        <is>
          <t>九龙钢鞭</t>
        </is>
      </c>
      <c r="C218" s="3" t="inlineStr">
        <is>
          <t>商铺购买</t>
        </is>
      </c>
      <c r="D218" s="3" t="inlineStr">
        <is>
          <t>购买价15000银两/件；库存不限量；每日刷新否</t>
        </is>
      </c>
      <c r="E218" s="3" t="inlineStr">
        <is>
          <t>data/shop_items.yaml</t>
        </is>
      </c>
    </row>
    <row r="219">
      <c r="A219" s="3" t="inlineStr">
        <is>
          <t>equip_jiulonggangbian</t>
        </is>
      </c>
      <c r="B219" s="3" t="inlineStr">
        <is>
          <t>九龙钢鞭</t>
        </is>
      </c>
      <c r="C219" s="3" t="inlineStr">
        <is>
          <t>铁匠铺直接锻造</t>
        </is>
      </c>
      <c r="D219" s="3" t="inlineStr">
        <is>
          <t>锻造技7级；基础时长300秒（实际受时间缩放和建筑速度影响）；每件材料：铁(tie)×20</t>
        </is>
      </c>
      <c r="E219" s="3" t="inlineStr">
        <is>
          <t>data/forge_equipment.yaml</t>
        </is>
      </c>
    </row>
    <row r="220">
      <c r="A220" s="3" t="inlineStr">
        <is>
          <t>equip_mingshejiebian</t>
        </is>
      </c>
      <c r="B220" s="3" t="inlineStr">
        <is>
          <t>冥蛇节鞭</t>
        </is>
      </c>
      <c r="C220" s="3" t="inlineStr">
        <is>
          <t>商铺购买</t>
        </is>
      </c>
      <c r="D220" s="3" t="inlineStr">
        <is>
          <t>购买价22500银两/件；库存不限量；每日刷新否</t>
        </is>
      </c>
      <c r="E220" s="3" t="inlineStr">
        <is>
          <t>data/shop_items.yaml</t>
        </is>
      </c>
    </row>
    <row r="221">
      <c r="A221" s="3" t="inlineStr">
        <is>
          <t>equip_mingshejiebian</t>
        </is>
      </c>
      <c r="B221" s="3" t="inlineStr">
        <is>
          <t>冥蛇节鞭</t>
        </is>
      </c>
      <c r="C221" s="3" t="inlineStr">
        <is>
          <t>宝箱随机装备</t>
        </is>
      </c>
      <c r="D221" s="3" t="inlineStr">
        <is>
          <t>持有帮会宗师护院匣（guild_guard_box_master）后开启；装备池概率100%；该装备概率10%；数量1；宝箱来源：帮会仓库兑换：帮会科技guard；解锁等级9；配置等级9,10；贡献兑换价[360]；每周个人兑换上限[1]；各科技等级每日产量9级×1,10级×2</t>
        </is>
      </c>
      <c r="E221" s="3" t="inlineStr">
        <is>
          <t>data/item_templates.yaml；data/warehouse_production.yaml</t>
        </is>
      </c>
    </row>
    <row r="222">
      <c r="A222" s="3" t="inlineStr">
        <is>
          <t>equip_mingshejiebian</t>
        </is>
      </c>
      <c r="B222" s="3" t="inlineStr">
        <is>
          <t>冥蛇节鞭</t>
        </is>
      </c>
      <c r="C222" s="3" t="inlineStr">
        <is>
          <t>铁匠铺直接锻造</t>
        </is>
      </c>
      <c r="D222" s="3" t="inlineStr">
        <is>
          <t>锻造技9级；基础时长360秒（实际受时间缩放和建筑速度影响）；每件材料：铁(tie)×30</t>
        </is>
      </c>
      <c r="E222" s="3" t="inlineStr">
        <is>
          <t>data/forge_equipment.yaml</t>
        </is>
      </c>
    </row>
    <row r="223">
      <c r="A223" s="3" t="inlineStr">
        <is>
          <t>equip_chuanyungong</t>
        </is>
      </c>
      <c r="B223" s="3" t="inlineStr">
        <is>
          <t>穿云弓</t>
        </is>
      </c>
      <c r="C223" s="3" t="inlineStr">
        <is>
          <t>宝箱随机装备</t>
        </is>
      </c>
      <c r="D223" s="3" t="inlineStr">
        <is>
          <t>持有帮会蓝装箱（guild_gear_box_blue）后开启；装备池概率100%；该装备概率11%；数量1；宝箱来源：帮会仓库兑换：帮会科技equipment；解锁等级3；配置等级3,4,5,6,7,8,9,10；贡献兑换价[180]；每周个人兑换上限[3]；各科技等级每日产量3级×1,4级×2,5级×2,6级×2,7级×2,8级×2,9级×2,10级×2</t>
        </is>
      </c>
      <c r="E223" s="3" t="inlineStr">
        <is>
          <t>data/item_templates.yaml；data/warehouse_production.yaml</t>
        </is>
      </c>
    </row>
    <row r="224">
      <c r="A224" s="3" t="inlineStr">
        <is>
          <t>equip_hanyuejian</t>
        </is>
      </c>
      <c r="B224" s="3" t="inlineStr">
        <is>
          <t>寒月剑</t>
        </is>
      </c>
      <c r="C224" s="3" t="inlineStr">
        <is>
          <t>宝箱独立随机物品组</t>
        </is>
      </c>
      <c r="D224" s="3" t="inlineStr">
        <is>
          <t>持有月饼（mid_autumn_mooncake）后开启；组概率3%；该物品概率0.5%；数量1~1；宝箱来源：任务固定奖励：任务：广寒宫试炼（mid_autumn_moon_palace_trial）；难度intermediate；每日限3次；开放weekday=[2,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224" s="3" t="inlineStr">
        <is>
          <t>data/item_templates.yaml</t>
        </is>
      </c>
    </row>
    <row r="225">
      <c r="A225" s="3" t="inlineStr">
        <is>
          <t>equip_jiaodoushizhichui</t>
        </is>
      </c>
      <c r="B225" s="3" t="inlineStr">
        <is>
          <t>角斗士之锤</t>
        </is>
      </c>
      <c r="C225" s="3" t="inlineStr">
        <is>
          <t>竞技场随机兑换</t>
        </is>
      </c>
      <c r="D225" s="3" t="inlineStr">
        <is>
          <t>角斗士宝箱（gladiator_chest）；花费500竞技币；每日限2次；该物品概率15%；数量1</t>
        </is>
      </c>
      <c r="E225" s="3" t="inlineStr">
        <is>
          <t>data/arena_rewards.yaml</t>
        </is>
      </c>
    </row>
    <row r="226">
      <c r="A226" s="3" t="inlineStr">
        <is>
          <t>equip_pozhenqiang</t>
        </is>
      </c>
      <c r="B226" s="3" t="inlineStr">
        <is>
          <t>破阵枪</t>
        </is>
      </c>
      <c r="C226" s="3" t="inlineStr">
        <is>
          <t>宝箱随机装备</t>
        </is>
      </c>
      <c r="D226" s="3" t="inlineStr">
        <is>
          <t>持有帮会蓝装箱（guild_gear_box_blue）后开启；装备池概率100%；该装备概率11%；数量1；宝箱来源：帮会仓库兑换：帮会科技equipment；解锁等级3；配置等级3,4,5,6,7,8,9,10；贡献兑换价[180]；每周个人兑换上限[3]；各科技等级每日产量3级×1,4级×2,5级×2,6级×2,7级×2,8级×2,9级×2,10级×2</t>
        </is>
      </c>
      <c r="E226" s="3" t="inlineStr">
        <is>
          <t>data/item_templates.yaml；data/warehouse_production.yaml</t>
        </is>
      </c>
    </row>
    <row r="227">
      <c r="A227" s="3" t="inlineStr">
        <is>
          <t>equip_qinglongdao</t>
        </is>
      </c>
      <c r="B227" s="3" t="inlineStr">
        <is>
          <t>青龙刀</t>
        </is>
      </c>
      <c r="C227" s="3" t="inlineStr">
        <is>
          <t>宝箱随机装备</t>
        </is>
      </c>
      <c r="D227" s="3" t="inlineStr">
        <is>
          <t>持有帮会蓝装箱（guild_gear_box_blue）后开启；装备池概率100%；该装备概率11%；数量1；宝箱来源：帮会仓库兑换：帮会科技equipment；解锁等级3；配置等级3,4,5,6,7,8,9,10；贡献兑换价[180]；每周个人兑换上限[3]；各科技等级每日产量3级×1,4级×2,5级×2,6级×2,7级×2,8级×2,9级×2,10级×2</t>
        </is>
      </c>
      <c r="E227" s="3" t="inlineStr">
        <is>
          <t>data/item_templates.yaml；data/warehouse_production.yaml</t>
        </is>
      </c>
    </row>
    <row r="228">
      <c r="A228" s="3" t="inlineStr">
        <is>
          <t>equip_qinglongdao</t>
        </is>
      </c>
      <c r="B228" s="3" t="inlineStr">
        <is>
          <t>青龙刀</t>
        </is>
      </c>
      <c r="C228" s="3" t="inlineStr">
        <is>
          <t>图纸合成（竞技场随机图纸兑换）</t>
        </is>
      </c>
      <c r="D228" s="3" t="inlineStr">
        <is>
          <t>消耗图纸青龙刀图纸(blueprint_qinglongdao)×1；锻造技5级；每次产出1件；材料：铜(tong)×32、锡(xi)×20、铁(tie)×15、木质精华(wood_essence)×3、铜质精华(copper_essence)×3、紫檀木(zitanmu)×4、铁木(tiemu)×5、黑原石(heiyuanshi)×6、金刚煤(jingangmei)×5、凿子(zaozi)×4、空气之石(air_stone)×2、纯水之石(water_stone)×2；图纸来源：随机蓝色装备图纸；600竞技币；每日限1次；12张同品质图纸均匀随机</t>
        </is>
      </c>
      <c r="E228" s="3" t="inlineStr">
        <is>
          <t>data/forge_blueprints.yaml; data/arena_rewards.yaml</t>
        </is>
      </c>
    </row>
    <row r="229">
      <c r="A229" s="3" t="inlineStr">
        <is>
          <t>equip_xiaoweichangjian</t>
        </is>
      </c>
      <c r="B229" s="3" t="inlineStr">
        <is>
          <t>校尉长剑</t>
        </is>
      </c>
      <c r="C229" s="3" t="inlineStr">
        <is>
          <t>宝箱随机装备</t>
        </is>
      </c>
      <c r="D229" s="3" t="inlineStr">
        <is>
          <t>持有打工宝箱（中）（work_chest_medium）后开启；装备池概率10%；该装备概率0.333333%；数量1；宝箱来源：打工奖励：中级打工完成后领取1个宝箱</t>
        </is>
      </c>
      <c r="E229" s="3" t="inlineStr">
        <is>
          <t>data/item_templates.yaml；gameplay/services/work.py</t>
        </is>
      </c>
    </row>
    <row r="230">
      <c r="A230" s="3" t="inlineStr">
        <is>
          <t>equip_xiaoweichangjian</t>
        </is>
      </c>
      <c r="B230" s="3" t="inlineStr">
        <is>
          <t>校尉长剑</t>
        </is>
      </c>
      <c r="C230" s="3" t="inlineStr">
        <is>
          <t>宝箱随机装备</t>
        </is>
      </c>
      <c r="D230" s="3" t="inlineStr">
        <is>
          <t>持有打工宝箱（大）（work_chest_large）后开启；装备池概率20%；该装备概率0.526316%；数量1；宝箱来源：打工奖励：高级打工完成后领取1个宝箱</t>
        </is>
      </c>
      <c r="E230" s="3" t="inlineStr">
        <is>
          <t>data/item_templates.yaml；gameplay/services/work.py</t>
        </is>
      </c>
    </row>
    <row r="231">
      <c r="A231" s="3" t="inlineStr">
        <is>
          <t>equip_xiaoweichangjian</t>
        </is>
      </c>
      <c r="B231" s="3" t="inlineStr">
        <is>
          <t>校尉长剑</t>
        </is>
      </c>
      <c r="C231" s="3" t="inlineStr">
        <is>
          <t>宝箱随机装备</t>
        </is>
      </c>
      <c r="D231" s="3" t="inlineStr">
        <is>
          <t>持有帮会蓝装箱（guild_gear_box_blue）后开启；装备池概率100%；该装备概率12%；数量1；宝箱来源：帮会仓库兑换：帮会科技equipment；解锁等级3；配置等级3,4,5,6,7,8,9,10；贡献兑换价[180]；每周个人兑换上限[3]；各科技等级每日产量3级×1,4级×2,5级×2,6级×2,7级×2,8级×2,9级×2,10级×2</t>
        </is>
      </c>
      <c r="E231" s="3" t="inlineStr">
        <is>
          <t>data/item_templates.yaml；data/warehouse_production.yaml</t>
        </is>
      </c>
    </row>
    <row r="232">
      <c r="A232" s="3" t="inlineStr">
        <is>
          <t>equip_xiaoweichangjian</t>
        </is>
      </c>
      <c r="B232" s="3" t="inlineStr">
        <is>
          <t>校尉长剑</t>
        </is>
      </c>
      <c r="C232" s="3" t="inlineStr">
        <is>
          <t>图纸合成（竞技场随机图纸兑换）</t>
        </is>
      </c>
      <c r="D232" s="3" t="inlineStr">
        <is>
          <t>消耗图纸校尉长剑图纸(blueprint_xiaoweichangjian)×1；锻造技5级；每次产出1件；材料：铜(tong)×32、锡(xi)×20、铁(tie)×15、木质精华(wood_essence)×2、铜质精华(copper_essence)×3、铁木(tiemu)×5、黑原石(heiyuanshi)×8、金刚煤(jingangmei)×5、凿子(zaozi)×5、火焰之石(fire_stone)×2；图纸来源：随机蓝色装备图纸；600竞技币；每日限1次；12张同品质图纸均匀随机</t>
        </is>
      </c>
      <c r="E232" s="3" t="inlineStr">
        <is>
          <t>data/forge_blueprints.yaml; data/arena_rewards.yaml</t>
        </is>
      </c>
    </row>
    <row r="233">
      <c r="A233" s="3" t="inlineStr">
        <is>
          <t>equip_xingluoshan</t>
        </is>
      </c>
      <c r="B233" s="3" t="inlineStr">
        <is>
          <t>星罗扇</t>
        </is>
      </c>
      <c r="C233" s="3" t="inlineStr">
        <is>
          <t>宝箱独立随机物品组</t>
        </is>
      </c>
      <c r="D233" s="3" t="inlineStr">
        <is>
          <t>持有月饼（mid_autumn_mooncake）后开启；组概率3%；该物品概率0.5%；数量1~1；宝箱来源：任务固定奖励：任务：广寒宫试炼（mid_autumn_moon_palace_trial）；难度intermediate；每日限3次；开放weekday=[2,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233" s="3" t="inlineStr">
        <is>
          <t>data/item_templates.yaml</t>
        </is>
      </c>
    </row>
    <row r="234">
      <c r="A234" s="3" t="inlineStr">
        <is>
          <t>equip_xuanbinggong</t>
        </is>
      </c>
      <c r="B234" s="3" t="inlineStr">
        <is>
          <t>玄冰弓</t>
        </is>
      </c>
      <c r="C234" s="3" t="inlineStr">
        <is>
          <t>宝箱独立随机物品组</t>
        </is>
      </c>
      <c r="D234" s="3" t="inlineStr">
        <is>
          <t>持有月饼（mid_autumn_mooncake）后开启；组概率3%；该物品概率0.5%；数量1~1；宝箱来源：任务固定奖励：任务：广寒宫试炼（mid_autumn_moon_palace_trial）；难度intermediate；每日限3次；开放weekday=[2,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234" s="3" t="inlineStr">
        <is>
          <t>data/item_templates.yaml</t>
        </is>
      </c>
    </row>
    <row r="235">
      <c r="A235" s="3" t="inlineStr">
        <is>
          <t>equip_bawangqiang</t>
        </is>
      </c>
      <c r="B235" s="3" t="inlineStr">
        <is>
          <t>霸王枪</t>
        </is>
      </c>
      <c r="C235" s="3" t="inlineStr">
        <is>
          <t>宝箱随机装备</t>
        </is>
      </c>
      <c r="D235" s="3" t="inlineStr">
        <is>
          <t>持有帮会紫装箱（guild_gear_box_purple）后开启；装备池概率100%；该装备概率10.31746%；数量1；宝箱来源：帮会仓库兑换：帮会科技equipment；解锁等级5；配置等级5,6,7,8,9,10；贡献兑换价[500]；每周个人兑换上限[1]；各科技等级每日产量5级×1,6级×2,7级×2,8级×2,9级×2,10级×2</t>
        </is>
      </c>
      <c r="E235" s="3" t="inlineStr">
        <is>
          <t>data/item_templates.yaml；data/warehouse_production.yaml</t>
        </is>
      </c>
    </row>
    <row r="236">
      <c r="A236" s="3" t="inlineStr">
        <is>
          <t>equip_bawangqiang</t>
        </is>
      </c>
      <c r="B236" s="3" t="inlineStr">
        <is>
          <t>霸王枪</t>
        </is>
      </c>
      <c r="C236" s="3" t="inlineStr">
        <is>
          <t>宝箱随机装备</t>
        </is>
      </c>
      <c r="D236" s="3" t="inlineStr">
        <is>
          <t>持有帮会精铸紫装箱（guild_gear_box_refined_purple）后开启；装备池概率100%；该装备概率11.504425%；数量1；宝箱来源：帮会仓库兑换：帮会科技equipment；解锁等级7；配置等级7,8,9,10；贡献兑换价[650]；每周个人兑换上限[1]；各科技等级每日产量7级×1,8级×3,9级×3,10级×3</t>
        </is>
      </c>
      <c r="E236" s="3" t="inlineStr">
        <is>
          <t>data/item_templates.yaml；data/warehouse_production.yaml</t>
        </is>
      </c>
    </row>
    <row r="237">
      <c r="A237" s="3" t="inlineStr">
        <is>
          <t>equip_bawangqiang</t>
        </is>
      </c>
      <c r="B237" s="3" t="inlineStr">
        <is>
          <t>霸王枪</t>
        </is>
      </c>
      <c r="C237" s="3" t="inlineStr">
        <is>
          <t>宝箱随机装备</t>
        </is>
      </c>
      <c r="D237" s="3" t="inlineStr">
        <is>
          <t>持有帮会宗师秘匣（guild_gear_box_master）后开启；装备池概率100%；该装备概率14%；数量1；宝箱来源：帮会仓库兑换：帮会科技equipment；解锁等级9；配置等级9,10；贡献兑换价[800]；每周个人兑换上限[1]；各科技等级每日产量9级×1,10级×2</t>
        </is>
      </c>
      <c r="E237" s="3" t="inlineStr">
        <is>
          <t>data/item_templates.yaml；data/warehouse_production.yaml</t>
        </is>
      </c>
    </row>
    <row r="238">
      <c r="A238" s="3" t="inlineStr">
        <is>
          <t>equip_biyudao</t>
        </is>
      </c>
      <c r="B238" s="3" t="inlineStr">
        <is>
          <t>碧玉刀</t>
        </is>
      </c>
      <c r="C238" s="3" t="inlineStr">
        <is>
          <t>竞技场随机兑换</t>
        </is>
      </c>
      <c r="D238" s="3" t="inlineStr">
        <is>
          <t>武林宝箱（wulin_chest）；花费1000竞技币；每周限2次；该物品概率4%；数量1</t>
        </is>
      </c>
      <c r="E238" s="3" t="inlineStr">
        <is>
          <t>data/arena_rewards.yaml</t>
        </is>
      </c>
    </row>
    <row r="239">
      <c r="A239" s="3" t="inlineStr">
        <is>
          <t>equip_duomingfeidao</t>
        </is>
      </c>
      <c r="B239" s="3" t="inlineStr">
        <is>
          <t>夺命飞刀</t>
        </is>
      </c>
      <c r="C239" s="3" t="inlineStr">
        <is>
          <t>竞技场随机兑换</t>
        </is>
      </c>
      <c r="D239" s="3" t="inlineStr">
        <is>
          <t>武林宝箱（wulin_chest）；花费1000竞技币；每周限2次；该物品概率4%；数量1</t>
        </is>
      </c>
      <c r="E239" s="3" t="inlineStr">
        <is>
          <t>data/arena_rewards.yaml</t>
        </is>
      </c>
    </row>
    <row r="240">
      <c r="A240" s="3" t="inlineStr">
        <is>
          <t>equip_duoqinghuan</t>
        </is>
      </c>
      <c r="B240" s="3" t="inlineStr">
        <is>
          <t>多情环</t>
        </is>
      </c>
      <c r="C240" s="3" t="inlineStr">
        <is>
          <t>竞技场随机兑换</t>
        </is>
      </c>
      <c r="D240" s="3" t="inlineStr">
        <is>
          <t>武林宝箱（wulin_chest）；花费1000竞技币；每周限2次；该物品概率4%；数量1</t>
        </is>
      </c>
      <c r="E240" s="3" t="inlineStr">
        <is>
          <t>data/arena_rewards.yaml</t>
        </is>
      </c>
    </row>
    <row r="241">
      <c r="A241" s="3" t="inlineStr">
        <is>
          <t>equip_fenglingshan</t>
        </is>
      </c>
      <c r="B241" s="3" t="inlineStr">
        <is>
          <t>凤翎扇</t>
        </is>
      </c>
      <c r="C241" s="3" t="inlineStr">
        <is>
          <t>图纸合成（竞技场随机图纸兑换）</t>
        </is>
      </c>
      <c r="D241" s="3" t="inlineStr">
        <is>
          <t>消耗图纸凤翎扇图纸(blueprint_fenglingshan)×1；锻造技7级；每次产出1件；材料：铜(tong)×41、锡(xi)×24、铁(tie)×20、木质精华(wood_essence)×3、铜质精华(copper_essence)×4、紫檀木(zitanmu)×11、水曲木(shuiqumu)×10、铁木(tiemu)×3、金刚煤(jingangmei)×3、刨子(paozi)×9、凿子(zaozi)×3、高炉(gaolu)×1、空气之石(air_stone)×3、纯水之石(water_stone)×2；图纸来源：随机紫色装备图纸；1800竞技币；每日限1次；19张同品质图纸均匀随机</t>
        </is>
      </c>
      <c r="E241" s="3" t="inlineStr">
        <is>
          <t>data/forge_blueprints.yaml; data/arena_rewards.yaml</t>
        </is>
      </c>
    </row>
    <row r="242">
      <c r="A242" s="3" t="inlineStr">
        <is>
          <t>equip_huxianjian</t>
        </is>
      </c>
      <c r="B242" s="3" t="inlineStr">
        <is>
          <t>狐仙剑</t>
        </is>
      </c>
      <c r="C242" s="3" t="inlineStr">
        <is>
          <t>宝箱随机装备</t>
        </is>
      </c>
      <c r="D242" s="3" t="inlineStr">
        <is>
          <t>持有帮会紫装箱（guild_gear_box_purple）后开启；装备池概率100%；该装备概率10.31746%；数量1；宝箱来源：帮会仓库兑换：帮会科技equipment；解锁等级5；配置等级5,6,7,8,9,10；贡献兑换价[500]；每周个人兑换上限[1]；各科技等级每日产量5级×1,6级×2,7级×2,8级×2,9级×2,10级×2</t>
        </is>
      </c>
      <c r="E242" s="3" t="inlineStr">
        <is>
          <t>data/item_templates.yaml；data/warehouse_production.yaml</t>
        </is>
      </c>
    </row>
    <row r="243">
      <c r="A243" s="3" t="inlineStr">
        <is>
          <t>equip_huxianjian</t>
        </is>
      </c>
      <c r="B243" s="3" t="inlineStr">
        <is>
          <t>狐仙剑</t>
        </is>
      </c>
      <c r="C243" s="3" t="inlineStr">
        <is>
          <t>图纸合成（竞技场随机图纸兑换）</t>
        </is>
      </c>
      <c r="D243" s="3" t="inlineStr">
        <is>
          <t>消耗图纸狐仙剑图纸(blueprint_huxianjian)×1；锻造技7级；每次产出1件；材料：铜(tong)×39、锡(xi)×24、铁(tie)×20、木质精华(wood_essence)×3、铜质精华(copper_essence)×3、玄铁精华(xuan_tie_essence)×2、紫檀木(zitanmu)×6、铁木(tiemu)×6、黑原石(heiyuanshi)×10、金刚煤(jingangmei)×8、刨子(paozi)×3、凿子(zaozi)×6、高炉(gaolu)×2、空气之石(air_stone)×2、纯水之石(water_stone)×3；图纸来源：随机紫色装备图纸；1800竞技币；每日限1次；19张同品质图纸均匀随机</t>
        </is>
      </c>
      <c r="E243" s="3" t="inlineStr">
        <is>
          <t>data/forge_blueprints.yaml; data/arena_rewards.yaml</t>
        </is>
      </c>
    </row>
    <row r="244">
      <c r="A244" s="3" t="inlineStr">
        <is>
          <t>equip_jinshejian</t>
        </is>
      </c>
      <c r="B244" s="3" t="inlineStr">
        <is>
          <t>金蛇剑</t>
        </is>
      </c>
      <c r="C244" s="3" t="inlineStr">
        <is>
          <t>竞技场随机兑换</t>
        </is>
      </c>
      <c r="D244" s="3" t="inlineStr">
        <is>
          <t>武林宝箱（wulin_chest）；花费1000竞技币；每周限2次；该物品概率4%；数量1</t>
        </is>
      </c>
      <c r="E244" s="3" t="inlineStr">
        <is>
          <t>data/arena_rewards.yaml</t>
        </is>
      </c>
    </row>
    <row r="245">
      <c r="A245" s="3" t="inlineStr">
        <is>
          <t>equip_libiegou</t>
        </is>
      </c>
      <c r="B245" s="3" t="inlineStr">
        <is>
          <t>离别钩</t>
        </is>
      </c>
      <c r="C245" s="3" t="inlineStr">
        <is>
          <t>竞技场随机兑换</t>
        </is>
      </c>
      <c r="D245" s="3" t="inlineStr">
        <is>
          <t>武林宝箱（wulin_chest）；花费1000竞技币；每周限2次；该物品概率4%；数量1</t>
        </is>
      </c>
      <c r="E245" s="3" t="inlineStr">
        <is>
          <t>data/arena_rewards.yaml</t>
        </is>
      </c>
    </row>
    <row r="246">
      <c r="A246" s="3" t="inlineStr">
        <is>
          <t>equip_qilindao</t>
        </is>
      </c>
      <c r="B246" s="3" t="inlineStr">
        <is>
          <t>麒麟刀</t>
        </is>
      </c>
      <c r="C246" s="3" t="inlineStr">
        <is>
          <t>宝箱随机装备</t>
        </is>
      </c>
      <c r="D246" s="3" t="inlineStr">
        <is>
          <t>持有帮会紫装箱（guild_gear_box_purple）后开启；装备池概率100%；该装备概率10.31746%；数量1；宝箱来源：帮会仓库兑换：帮会科技equipment；解锁等级5；配置等级5,6,7,8,9,10；贡献兑换价[500]；每周个人兑换上限[1]；各科技等级每日产量5级×1,6级×2,7级×2,8级×2,9级×2,10级×2</t>
        </is>
      </c>
      <c r="E246" s="3" t="inlineStr">
        <is>
          <t>data/item_templates.yaml；data/warehouse_production.yaml</t>
        </is>
      </c>
    </row>
    <row r="247">
      <c r="A247" s="3" t="inlineStr">
        <is>
          <t>equip_qilindao</t>
        </is>
      </c>
      <c r="B247" s="3" t="inlineStr">
        <is>
          <t>麒麟刀</t>
        </is>
      </c>
      <c r="C247" s="3" t="inlineStr">
        <is>
          <t>宝箱随机装备</t>
        </is>
      </c>
      <c r="D247" s="3" t="inlineStr">
        <is>
          <t>持有帮会精铸紫装箱（guild_gear_box_refined_purple）后开启；装备池概率100%；该装备概率11.504425%；数量1；宝箱来源：帮会仓库兑换：帮会科技equipment；解锁等级7；配置等级7,8,9,10；贡献兑换价[650]；每周个人兑换上限[1]；各科技等级每日产量7级×1,8级×3,9级×3,10级×3</t>
        </is>
      </c>
      <c r="E247" s="3" t="inlineStr">
        <is>
          <t>data/item_templates.yaml；data/warehouse_production.yaml</t>
        </is>
      </c>
    </row>
    <row r="248">
      <c r="A248" s="3" t="inlineStr">
        <is>
          <t>equip_qilindao</t>
        </is>
      </c>
      <c r="B248" s="3" t="inlineStr">
        <is>
          <t>麒麟刀</t>
        </is>
      </c>
      <c r="C248" s="3" t="inlineStr">
        <is>
          <t>宝箱随机装备</t>
        </is>
      </c>
      <c r="D248" s="3" t="inlineStr">
        <is>
          <t>持有帮会宗师秘匣（guild_gear_box_master）后开启；装备池概率100%；该装备概率12%；数量1；宝箱来源：帮会仓库兑换：帮会科技equipment；解锁等级9；配置等级9,10；贡献兑换价[800]；每周个人兑换上限[1]；各科技等级每日产量9级×1,10级×2</t>
        </is>
      </c>
      <c r="E248" s="3" t="inlineStr">
        <is>
          <t>data/item_templates.yaml；data/warehouse_production.yaml</t>
        </is>
      </c>
    </row>
    <row r="249">
      <c r="A249" s="3" t="inlineStr">
        <is>
          <t>equip_qilindao</t>
        </is>
      </c>
      <c r="B249" s="3" t="inlineStr">
        <is>
          <t>麒麟刀</t>
        </is>
      </c>
      <c r="C249" s="3" t="inlineStr">
        <is>
          <t>图纸合成（竞技场随机图纸兑换）</t>
        </is>
      </c>
      <c r="D249" s="3" t="inlineStr">
        <is>
          <t>消耗图纸麒麟刀图纸(blueprint_qilindao)×1；锻造技9级；每次产出1件；材料：铜(tong)×51、锡(xi)×32、铁(tie)×24、玄铁精华(xuan_tie_essence)×3、铁木(tiemu)×10、黑原石(heiyuanshi)×12、金刚煤(jingangmei)×9、刨子(paozi)×3、凿子(zaozi)×8、高炉(gaolu)×2、火焰之石(fire_stone)×4；图纸来源：随机紫色装备图纸；1800竞技币；每日限1次；19张同品质图纸均匀随机</t>
        </is>
      </c>
      <c r="E249" s="3" t="inlineStr">
        <is>
          <t>data/forge_blueprints.yaml; data/arena_rewards.yaml</t>
        </is>
      </c>
    </row>
    <row r="250">
      <c r="A250" s="3" t="inlineStr">
        <is>
          <t>equip_qixingjian</t>
        </is>
      </c>
      <c r="B250" s="3" t="inlineStr">
        <is>
          <t>七星剑</t>
        </is>
      </c>
      <c r="C250" s="3" t="inlineStr">
        <is>
          <t>宝箱随机装备</t>
        </is>
      </c>
      <c r="D250" s="3" t="inlineStr">
        <is>
          <t>持有帮会紫装箱（guild_gear_box_purple）后开启；装备池概率100%；该装备概率10.31746%；数量1；宝箱来源：帮会仓库兑换：帮会科技equipment；解锁等级5；配置等级5,6,7,8,9,10；贡献兑换价[500]；每周个人兑换上限[1]；各科技等级每日产量5级×1,6级×2,7级×2,8级×2,9级×2,10级×2</t>
        </is>
      </c>
      <c r="E250" s="3" t="inlineStr">
        <is>
          <t>data/item_templates.yaml；data/warehouse_production.yaml</t>
        </is>
      </c>
    </row>
    <row r="251">
      <c r="A251" s="3" t="inlineStr">
        <is>
          <t>equip_qixingjian</t>
        </is>
      </c>
      <c r="B251" s="3" t="inlineStr">
        <is>
          <t>七星剑</t>
        </is>
      </c>
      <c r="C251" s="3" t="inlineStr">
        <is>
          <t>宝箱随机装备</t>
        </is>
      </c>
      <c r="D251" s="3" t="inlineStr">
        <is>
          <t>持有帮会精铸紫装箱（guild_gear_box_refined_purple）后开启；装备池概率100%；该装备概率12.389381%；数量1；宝箱来源：帮会仓库兑换：帮会科技equipment；解锁等级7；配置等级7,8,9,10；贡献兑换价[650]；每周个人兑换上限[1]；各科技等级每日产量7级×1,8级×3,9级×3,10级×3</t>
        </is>
      </c>
      <c r="E251" s="3" t="inlineStr">
        <is>
          <t>data/item_templates.yaml；data/warehouse_production.yaml</t>
        </is>
      </c>
    </row>
    <row r="252">
      <c r="A252" s="3" t="inlineStr">
        <is>
          <t>equip_qixingjian</t>
        </is>
      </c>
      <c r="B252" s="3" t="inlineStr">
        <is>
          <t>七星剑</t>
        </is>
      </c>
      <c r="C252" s="3" t="inlineStr">
        <is>
          <t>宝箱随机装备</t>
        </is>
      </c>
      <c r="D252" s="3" t="inlineStr">
        <is>
          <t>持有帮会宗师秘匣（guild_gear_box_master）后开启；装备池概率100%；该装备概率14%；数量1；宝箱来源：帮会仓库兑换：帮会科技equipment；解锁等级9；配置等级9,10；贡献兑换价[800]；每周个人兑换上限[1]；各科技等级每日产量9级×1,10级×2</t>
        </is>
      </c>
      <c r="E252" s="3" t="inlineStr">
        <is>
          <t>data/item_templates.yaml；data/warehouse_production.yaml</t>
        </is>
      </c>
    </row>
    <row r="253">
      <c r="A253" s="3" t="inlineStr">
        <is>
          <t>equip_tulongdao</t>
        </is>
      </c>
      <c r="B253" s="3" t="inlineStr">
        <is>
          <t>屠龙刀</t>
        </is>
      </c>
      <c r="C253" s="3" t="inlineStr">
        <is>
          <t>竞技场随机兑换</t>
        </is>
      </c>
      <c r="D253" s="3" t="inlineStr">
        <is>
          <t>武林宝箱（wulin_chest）；花费1000竞技币；每周限2次；该物品概率4%；数量1</t>
        </is>
      </c>
      <c r="E253" s="3" t="inlineStr">
        <is>
          <t>data/arena_rewards.yaml</t>
        </is>
      </c>
    </row>
    <row r="254">
      <c r="A254" s="3" t="inlineStr">
        <is>
          <t>equip_xiuhuazhen</t>
        </is>
      </c>
      <c r="B254" s="3" t="inlineStr">
        <is>
          <t>绣花针</t>
        </is>
      </c>
      <c r="C254" s="3" t="inlineStr">
        <is>
          <t>竞技场随机兑换</t>
        </is>
      </c>
      <c r="D254" s="3" t="inlineStr">
        <is>
          <t>武林宝箱（wulin_chest）；花费1000竞技币；每周限2次；该物品概率4%；数量1</t>
        </is>
      </c>
      <c r="E254" s="3" t="inlineStr">
        <is>
          <t>data/arena_rewards.yaml</t>
        </is>
      </c>
    </row>
    <row r="255">
      <c r="A255" s="3" t="inlineStr">
        <is>
          <t>equip_xuanwuchui</t>
        </is>
      </c>
      <c r="B255" s="3" t="inlineStr">
        <is>
          <t>玄武锤</t>
        </is>
      </c>
      <c r="C255" s="3" t="inlineStr">
        <is>
          <t>图纸合成（竞技场随机图纸兑换）</t>
        </is>
      </c>
      <c r="D255" s="3" t="inlineStr">
        <is>
          <t>消耗图纸玄武锤图纸(blueprint_xuanwuchui)×1；锻造技9级；每次产出1件；材料：铜(tong)×53、锡(xi)×34、铁(tie)×27、玄铁精华(xuan_tie_essence)×3、铁木(tiemu)×12、黑原石(heiyuanshi)×15、金刚煤(jingangmei)×11、刨子(paozi)×3、凿子(zaozi)×10、高炉(gaolu)×3、纯水之石(water_stone)×2、大地之石(earth_stone)×3、火焰之石(fire_stone)×2；图纸来源：随机紫色装备图纸；1800竞技币；每日限1次；19张同品质图纸均匀随机</t>
        </is>
      </c>
      <c r="E255" s="3" t="inlineStr">
        <is>
          <t>data/forge_blueprints.yaml; data/arena_rewards.yaml</t>
        </is>
      </c>
    </row>
    <row r="256">
      <c r="A256" s="3" t="inlineStr">
        <is>
          <t>equip_xuedao</t>
        </is>
      </c>
      <c r="B256" s="3" t="inlineStr">
        <is>
          <t>血刀</t>
        </is>
      </c>
      <c r="C256" s="3" t="inlineStr">
        <is>
          <t>竞技场随机兑换</t>
        </is>
      </c>
      <c r="D256" s="3" t="inlineStr">
        <is>
          <t>武林宝箱（wulin_chest）；花费1000竞技币；每周限2次；该物品概率4%；数量1</t>
        </is>
      </c>
      <c r="E256" s="3" t="inlineStr">
        <is>
          <t>data/arena_rewards.yaml</t>
        </is>
      </c>
    </row>
    <row r="257">
      <c r="A257" s="3" t="inlineStr">
        <is>
          <t>equip_yuanyangdao</t>
        </is>
      </c>
      <c r="B257" s="3" t="inlineStr">
        <is>
          <t>鸳鸯刀</t>
        </is>
      </c>
      <c r="C257" s="3" t="inlineStr">
        <is>
          <t>竞技场随机兑换</t>
        </is>
      </c>
      <c r="D257" s="3" t="inlineStr">
        <is>
          <t>武林宝箱（wulin_chest）；花费1000竞技币；每周限2次；该物品概率4%；数量1</t>
        </is>
      </c>
      <c r="E257" s="3" t="inlineStr">
        <is>
          <t>data/arena_rewards.yaml</t>
        </is>
      </c>
    </row>
    <row r="258">
      <c r="A258" s="3" t="inlineStr">
        <is>
          <t>equip_ziweiruanjian</t>
        </is>
      </c>
      <c r="B258" s="3" t="inlineStr">
        <is>
          <t>紫薇软剑</t>
        </is>
      </c>
      <c r="C258" s="3" t="inlineStr">
        <is>
          <t>竞技场随机兑换</t>
        </is>
      </c>
      <c r="D258" s="3" t="inlineStr">
        <is>
          <t>武林宝箱（wulin_chest）；花费1000竞技币；每周限2次；该物品概率4%；数量1</t>
        </is>
      </c>
      <c r="E258" s="3" t="inlineStr">
        <is>
          <t>data/arena_rewards.yaml</t>
        </is>
      </c>
    </row>
    <row r="259">
      <c r="A259" s="3" t="inlineStr">
        <is>
          <t>equip_dagoubang</t>
        </is>
      </c>
      <c r="B259" s="3" t="inlineStr">
        <is>
          <t>打狗棒</t>
        </is>
      </c>
      <c r="C259" s="3" t="inlineStr">
        <is>
          <t>竞技场随机兑换</t>
        </is>
      </c>
      <c r="D259" s="3" t="inlineStr">
        <is>
          <t>武林宝箱（wulin_chest）；花费1000竞技币；每周限2次；该物品概率1%；数量1</t>
        </is>
      </c>
      <c r="E259" s="3" t="inlineStr">
        <is>
          <t>data/arena_rewards.yaml</t>
        </is>
      </c>
    </row>
    <row r="260">
      <c r="A260" s="3" t="inlineStr">
        <is>
          <t>equip_kongquelin</t>
        </is>
      </c>
      <c r="B260" s="3" t="inlineStr">
        <is>
          <t>孔雀翎</t>
        </is>
      </c>
      <c r="C260" s="3" t="inlineStr">
        <is>
          <t>竞技场随机兑换</t>
        </is>
      </c>
      <c r="D260" s="3" t="inlineStr">
        <is>
          <t>武林宝箱（wulin_chest）；花费1000竞技币；每周限2次；该物品概率1%；数量1</t>
        </is>
      </c>
      <c r="E260" s="3" t="inlineStr">
        <is>
          <t>data/arena_rewards.yaml</t>
        </is>
      </c>
    </row>
    <row r="261">
      <c r="A261" s="3" t="inlineStr">
        <is>
          <t>equip_tianyamingyuedao</t>
        </is>
      </c>
      <c r="B261" s="3" t="inlineStr">
        <is>
          <t>天涯明月刀</t>
        </is>
      </c>
      <c r="C261" s="3" t="inlineStr">
        <is>
          <t>竞技场随机兑换</t>
        </is>
      </c>
      <c r="D261" s="3" t="inlineStr">
        <is>
          <t>武林宝箱（wulin_chest）；花费1000竞技币；每周限2次；该物品概率1%；数量1</t>
        </is>
      </c>
      <c r="E261" s="3" t="inlineStr">
        <is>
          <t>data/arena_rewards.yaml</t>
        </is>
      </c>
    </row>
    <row r="262">
      <c r="A262" s="3" t="inlineStr">
        <is>
          <t>equip_xuantiechongjian</t>
        </is>
      </c>
      <c r="B262" s="3" t="inlineStr">
        <is>
          <t>玄铁重剑</t>
        </is>
      </c>
      <c r="C262" s="3" t="inlineStr">
        <is>
          <t>竞技场随机兑换</t>
        </is>
      </c>
      <c r="D262" s="3" t="inlineStr">
        <is>
          <t>武林宝箱（wulin_chest）；花费1000竞技币；每周限2次；该物品概率1%；数量1</t>
        </is>
      </c>
      <c r="E262" s="3" t="inlineStr">
        <is>
          <t>data/arena_rewards.yaml</t>
        </is>
      </c>
    </row>
    <row r="263">
      <c r="A263" s="3" t="inlineStr">
        <is>
          <t>equip_yitianjian</t>
        </is>
      </c>
      <c r="B263" s="3" t="inlineStr">
        <is>
          <t>倚天剑</t>
        </is>
      </c>
      <c r="C263" s="3" t="inlineStr">
        <is>
          <t>竞技场随机兑换</t>
        </is>
      </c>
      <c r="D263" s="3" t="inlineStr">
        <is>
          <t>武林宝箱（wulin_chest）；花费1000竞技币；每周限2次；该物品概率1%；数量1</t>
        </is>
      </c>
      <c r="E263" s="3" t="inlineStr">
        <is>
          <t>data/arena_rewards.yaml</t>
        </is>
      </c>
    </row>
    <row r="264">
      <c r="A264" s="3" t="inlineStr">
        <is>
          <t>equip_yuanyuewandao</t>
        </is>
      </c>
      <c r="B264" s="3" t="inlineStr">
        <is>
          <t>圆月弯刀</t>
        </is>
      </c>
      <c r="C264" s="3" t="inlineStr">
        <is>
          <t>竞技场随机兑换</t>
        </is>
      </c>
      <c r="D264" s="3" t="inlineStr">
        <is>
          <t>武林宝箱（wulin_chest）；花费1000竞技币；每周限2次；该物品概率1%；数量1</t>
        </is>
      </c>
      <c r="E264" s="3" t="inlineStr">
        <is>
          <t>data/arena_rewards.yaml</t>
        </is>
      </c>
    </row>
    <row r="265">
      <c r="A265" s="3" t="inlineStr">
        <is>
          <t>equip_huangbiaoma</t>
        </is>
      </c>
      <c r="B265" s="3" t="inlineStr">
        <is>
          <t>黄膘马</t>
        </is>
      </c>
      <c r="C265" s="3" t="inlineStr">
        <is>
          <t>商铺购买</t>
        </is>
      </c>
      <c r="D265" s="3" t="inlineStr">
        <is>
          <t>购买价1463银两/件；库存不限量；每日刷新否</t>
        </is>
      </c>
      <c r="E265" s="3" t="inlineStr">
        <is>
          <t>data/shop_items.yaml</t>
        </is>
      </c>
    </row>
    <row r="266">
      <c r="A266" s="3" t="inlineStr">
        <is>
          <t>equip_huangbiaoma</t>
        </is>
      </c>
      <c r="B266" s="3" t="inlineStr">
        <is>
          <t>黄膘马</t>
        </is>
      </c>
      <c r="C266" s="3" t="inlineStr">
        <is>
          <t>宝箱随机装备</t>
        </is>
      </c>
      <c r="D266" s="3" t="inlineStr">
        <is>
          <t>持有帮会精锐护院箱（guild_guard_box_elite）后开启；装备池概率100%；该装备概率12%；数量1；宝箱来源：帮会仓库兑换：帮会科技guard；解锁等级5；配置等级5,6,7,8；贡献兑换价[260]；每周个人兑换上限[2]；各科技等级每日产量5级×1,6级×2,7级×1,8级×1</t>
        </is>
      </c>
      <c r="E266" s="3" t="inlineStr">
        <is>
          <t>data/item_templates.yaml；data/warehouse_production.yaml</t>
        </is>
      </c>
    </row>
    <row r="267">
      <c r="A267" s="3" t="inlineStr">
        <is>
          <t>equip_huangbiaoma</t>
        </is>
      </c>
      <c r="B267" s="3" t="inlineStr">
        <is>
          <t>黄膘马</t>
        </is>
      </c>
      <c r="C267" s="3" t="inlineStr">
        <is>
          <t>马房生产</t>
        </is>
      </c>
      <c r="D267" s="3" t="inlineStr">
        <is>
          <t>骑术3级；粮食800/匹；基础时长180秒（实际受时间缩放和建筑速度影响）</t>
        </is>
      </c>
      <c r="E267" s="3" t="inlineStr">
        <is>
          <t>data/stable_production.yaml</t>
        </is>
      </c>
    </row>
    <row r="268">
      <c r="A268" s="3" t="inlineStr">
        <is>
          <t>equip_qingcongma</t>
        </is>
      </c>
      <c r="B268" s="3" t="inlineStr">
        <is>
          <t>青骢马</t>
        </is>
      </c>
      <c r="C268" s="3" t="inlineStr">
        <is>
          <t>宝箱随机装备</t>
        </is>
      </c>
      <c r="D268" s="3" t="inlineStr">
        <is>
          <t>持有打工宝箱（小）（work_chest_small）后开启；装备池概率10%；该装备概率0.526316%；数量1；宝箱来源：打工奖励：初级打工完成后领取1个宝箱</t>
        </is>
      </c>
      <c r="E268" s="3" t="inlineStr">
        <is>
          <t>data/item_templates.yaml；gameplay/services/work.py</t>
        </is>
      </c>
    </row>
    <row r="269">
      <c r="A269" s="3" t="inlineStr">
        <is>
          <t>equip_qingcongma</t>
        </is>
      </c>
      <c r="B269" s="3" t="inlineStr">
        <is>
          <t>青骢马</t>
        </is>
      </c>
      <c r="C269" s="3" t="inlineStr">
        <is>
          <t>宝箱随机装备</t>
        </is>
      </c>
      <c r="D269" s="3" t="inlineStr">
        <is>
          <t>持有打工宝箱（中）（work_chest_medium）后开启；装备池概率10%；该装备概率0.333333%；数量1；宝箱来源：打工奖励：中级打工完成后领取1个宝箱</t>
        </is>
      </c>
      <c r="E269" s="3" t="inlineStr">
        <is>
          <t>data/item_templates.yaml；gameplay/services/work.py</t>
        </is>
      </c>
    </row>
    <row r="270">
      <c r="A270" s="3" t="inlineStr">
        <is>
          <t>equip_qingcongma</t>
        </is>
      </c>
      <c r="B270" s="3" t="inlineStr">
        <is>
          <t>青骢马</t>
        </is>
      </c>
      <c r="C270" s="3" t="inlineStr">
        <is>
          <t>宝箱随机装备</t>
        </is>
      </c>
      <c r="D270" s="3" t="inlineStr">
        <is>
          <t>持有打工宝箱（大）（work_chest_large）后开启；装备池概率20%；该装备概率0.526316%；数量1；宝箱来源：打工奖励：高级打工完成后领取1个宝箱</t>
        </is>
      </c>
      <c r="E270" s="3" t="inlineStr">
        <is>
          <t>data/item_templates.yaml；gameplay/services/work.py</t>
        </is>
      </c>
    </row>
    <row r="271">
      <c r="A271" s="3" t="inlineStr">
        <is>
          <t>equip_xiaomaolv</t>
        </is>
      </c>
      <c r="B271" s="3" t="inlineStr">
        <is>
          <t>小毛驴</t>
        </is>
      </c>
      <c r="C271" s="3" t="inlineStr">
        <is>
          <t>宝箱随机装备</t>
        </is>
      </c>
      <c r="D271" s="3" t="inlineStr">
        <is>
          <t>持有打工宝箱（小）（work_chest_small）后开启；装备池概率10%；该装备概率0.526316%；数量1；宝箱来源：打工奖励：初级打工完成后领取1个宝箱</t>
        </is>
      </c>
      <c r="E271" s="3" t="inlineStr">
        <is>
          <t>data/item_templates.yaml；gameplay/services/work.py</t>
        </is>
      </c>
    </row>
    <row r="272">
      <c r="A272" s="3" t="inlineStr">
        <is>
          <t>equip_xiaomaolv</t>
        </is>
      </c>
      <c r="B272" s="3" t="inlineStr">
        <is>
          <t>小毛驴</t>
        </is>
      </c>
      <c r="C272" s="3" t="inlineStr">
        <is>
          <t>宝箱随机装备</t>
        </is>
      </c>
      <c r="D272" s="3" t="inlineStr">
        <is>
          <t>持有打工宝箱（中）（work_chest_medium）后开启；装备池概率10%；该装备概率0.333333%；数量1；宝箱来源：打工奖励：中级打工完成后领取1个宝箱</t>
        </is>
      </c>
      <c r="E272" s="3" t="inlineStr">
        <is>
          <t>data/item_templates.yaml；gameplay/services/work.py</t>
        </is>
      </c>
    </row>
    <row r="273">
      <c r="A273" s="3" t="inlineStr">
        <is>
          <t>equip_xiaomaolv</t>
        </is>
      </c>
      <c r="B273" s="3" t="inlineStr">
        <is>
          <t>小毛驴</t>
        </is>
      </c>
      <c r="C273" s="3" t="inlineStr">
        <is>
          <t>宝箱随机装备</t>
        </is>
      </c>
      <c r="D273" s="3" t="inlineStr">
        <is>
          <t>持有打工宝箱（大）（work_chest_large）后开启；装备池概率20%；该装备概率0.526316%；数量1；宝箱来源：打工奖励：高级打工完成后领取1个宝箱</t>
        </is>
      </c>
      <c r="E273" s="3" t="inlineStr">
        <is>
          <t>data/item_templates.yaml；gameplay/services/work.py</t>
        </is>
      </c>
    </row>
    <row r="274">
      <c r="A274" s="3" t="inlineStr">
        <is>
          <t>equip_zaohongma</t>
        </is>
      </c>
      <c r="B274" s="3" t="inlineStr">
        <is>
          <t>枣红马</t>
        </is>
      </c>
      <c r="C274" s="3" t="inlineStr">
        <is>
          <t>商铺购买</t>
        </is>
      </c>
      <c r="D274" s="3" t="inlineStr">
        <is>
          <t>购买价930银两/件；库存不限量；每日刷新否</t>
        </is>
      </c>
      <c r="E274" s="3" t="inlineStr">
        <is>
          <t>data/shop_items.yaml</t>
        </is>
      </c>
    </row>
    <row r="275">
      <c r="A275" s="3" t="inlineStr">
        <is>
          <t>equip_zaohongma</t>
        </is>
      </c>
      <c r="B275" s="3" t="inlineStr">
        <is>
          <t>枣红马</t>
        </is>
      </c>
      <c r="C275" s="3" t="inlineStr">
        <is>
          <t>宝箱随机装备</t>
        </is>
      </c>
      <c r="D275" s="3" t="inlineStr">
        <is>
          <t>持有帮会基础护院箱（guild_guard_box_basic）后开启；装备池概率100%；该装备概率14%；数量1；宝箱来源：帮会仓库兑换：帮会科技guard；解锁等级1；配置等级1,2,3,4；贡献兑换价[90]；每周个人兑换上限[4]；各科技等级每日产量1级×1,2级×2,3级×1,4级×1</t>
        </is>
      </c>
      <c r="E275" s="3" t="inlineStr">
        <is>
          <t>data/item_templates.yaml；data/warehouse_production.yaml</t>
        </is>
      </c>
    </row>
    <row r="276">
      <c r="A276" s="3" t="inlineStr">
        <is>
          <t>equip_zaohongma</t>
        </is>
      </c>
      <c r="B276" s="3" t="inlineStr">
        <is>
          <t>枣红马</t>
        </is>
      </c>
      <c r="C276" s="3" t="inlineStr">
        <is>
          <t>宝箱随机装备</t>
        </is>
      </c>
      <c r="D276" s="3" t="inlineStr">
        <is>
          <t>持有帮会进阶护院箱（guild_guard_box_advanced）后开启；装备池概率100%；该装备概率12%；数量1；宝箱来源：帮会仓库兑换：帮会科技guard；解锁等级3；配置等级3,4,5,6；贡献兑换价[180]；每周个人兑换上限[3]；各科技等级每日产量3级×1,4级×2,5级×1,6级×1</t>
        </is>
      </c>
      <c r="E276" s="3" t="inlineStr">
        <is>
          <t>data/item_templates.yaml；data/warehouse_production.yaml</t>
        </is>
      </c>
    </row>
    <row r="277">
      <c r="A277" s="3" t="inlineStr">
        <is>
          <t>equip_zaohongma</t>
        </is>
      </c>
      <c r="B277" s="3" t="inlineStr">
        <is>
          <t>枣红马</t>
        </is>
      </c>
      <c r="C277" s="3" t="inlineStr">
        <is>
          <t>马房生产</t>
        </is>
      </c>
      <c r="D277" s="3" t="inlineStr">
        <is>
          <t>骑术1级；粮食500/匹；基础时长120秒（实际受时间缩放和建筑速度影响）</t>
        </is>
      </c>
      <c r="E277" s="3" t="inlineStr">
        <is>
          <t>data/stable_production.yaml</t>
        </is>
      </c>
    </row>
    <row r="278">
      <c r="A278" s="3" t="inlineStr">
        <is>
          <t>equip_dawanma</t>
        </is>
      </c>
      <c r="B278" s="3" t="inlineStr">
        <is>
          <t>大宛马</t>
        </is>
      </c>
      <c r="C278" s="3" t="inlineStr">
        <is>
          <t>商铺购买</t>
        </is>
      </c>
      <c r="D278" s="3" t="inlineStr">
        <is>
          <t>购买价2250银两/件；库存不限量；每日刷新否</t>
        </is>
      </c>
      <c r="E278" s="3" t="inlineStr">
        <is>
          <t>data/shop_items.yaml</t>
        </is>
      </c>
    </row>
    <row r="279">
      <c r="A279" s="3" t="inlineStr">
        <is>
          <t>equip_dawanma</t>
        </is>
      </c>
      <c r="B279" s="3" t="inlineStr">
        <is>
          <t>大宛马</t>
        </is>
      </c>
      <c r="C279" s="3" t="inlineStr">
        <is>
          <t>宝箱随机装备</t>
        </is>
      </c>
      <c r="D279" s="3" t="inlineStr">
        <is>
          <t>持有打工宝箱（大）（work_chest_large）后开启；装备池概率20%；该装备概率0.526316%；数量1；宝箱来源：打工奖励：高级打工完成后领取1个宝箱</t>
        </is>
      </c>
      <c r="E279" s="3" t="inlineStr">
        <is>
          <t>data/item_templates.yaml；gameplay/services/work.py</t>
        </is>
      </c>
    </row>
    <row r="280">
      <c r="A280" s="3" t="inlineStr">
        <is>
          <t>equip_dawanma</t>
        </is>
      </c>
      <c r="B280" s="3" t="inlineStr">
        <is>
          <t>大宛马</t>
        </is>
      </c>
      <c r="C280" s="3" t="inlineStr">
        <is>
          <t>宝箱随机装备</t>
        </is>
      </c>
      <c r="D280" s="3" t="inlineStr">
        <is>
          <t>持有帮会精制护院箱（guild_guard_box_refined）后开启；装备池概率100%；该装备概率12%；数量1；宝箱来源：帮会仓库兑换：帮会科技guard；解锁等级7；配置等级7,8,9,10；贡献兑换价[320]；每周个人兑换上限[1]；各科技等级每日产量7级×1,8级×2,9级×1,10级×1</t>
        </is>
      </c>
      <c r="E280" s="3" t="inlineStr">
        <is>
          <t>data/item_templates.yaml；data/warehouse_production.yaml</t>
        </is>
      </c>
    </row>
    <row r="281">
      <c r="A281" s="3" t="inlineStr">
        <is>
          <t>equip_dawanma</t>
        </is>
      </c>
      <c r="B281" s="3" t="inlineStr">
        <is>
          <t>大宛马</t>
        </is>
      </c>
      <c r="C281" s="3" t="inlineStr">
        <is>
          <t>宝箱随机装备</t>
        </is>
      </c>
      <c r="D281" s="3" t="inlineStr">
        <is>
          <t>持有帮会宗师护院匣（guild_guard_box_master）后开启；装备池概率100%；该装备概率14%；数量1；宝箱来源：帮会仓库兑换：帮会科技guard；解锁等级9；配置等级9,10；贡献兑换价[360]；每周个人兑换上限[1]；各科技等级每日产量9级×1,10级×2</t>
        </is>
      </c>
      <c r="E281" s="3" t="inlineStr">
        <is>
          <t>data/item_templates.yaml；data/warehouse_production.yaml</t>
        </is>
      </c>
    </row>
    <row r="282">
      <c r="A282" s="3" t="inlineStr">
        <is>
          <t>equip_dawanma</t>
        </is>
      </c>
      <c r="B282" s="3" t="inlineStr">
        <is>
          <t>大宛马</t>
        </is>
      </c>
      <c r="C282" s="3" t="inlineStr">
        <is>
          <t>马房生产</t>
        </is>
      </c>
      <c r="D282" s="3" t="inlineStr">
        <is>
          <t>骑术5级；粮食1200/匹；基础时长240秒（实际受时间缩放和建筑速度影响）</t>
        </is>
      </c>
      <c r="E282" s="3" t="inlineStr">
        <is>
          <t>data/stable_production.yaml</t>
        </is>
      </c>
    </row>
    <row r="283">
      <c r="A283" s="3" t="inlineStr">
        <is>
          <t>equip_fudai</t>
        </is>
      </c>
      <c r="B283" s="3" t="inlineStr">
        <is>
          <t>福袋</t>
        </is>
      </c>
      <c r="C283" s="3" t="inlineStr">
        <is>
          <t>宝箱独立随机物品组</t>
        </is>
      </c>
      <c r="D283" s="3" t="inlineStr">
        <is>
          <t>持有月饼（mid_autumn_mooncake）后开启；组概率7%；该物品概率1.166667%；数量1~1；宝箱来源：任务固定奖励：任务：广寒宫试炼（mid_autumn_moon_palace_trial）；难度intermediate；每日限3次；开放weekday=[2,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283" s="3" t="inlineStr">
        <is>
          <t>data/item_templates.yaml</t>
        </is>
      </c>
    </row>
    <row r="284">
      <c r="A284" s="3" t="inlineStr">
        <is>
          <t>equip_fudai</t>
        </is>
      </c>
      <c r="B284" s="3" t="inlineStr">
        <is>
          <t>福袋</t>
        </is>
      </c>
      <c r="C284" s="3" t="inlineStr">
        <is>
          <t>宝箱随机装备</t>
        </is>
      </c>
      <c r="D284" s="3" t="inlineStr">
        <is>
          <t>持有打工宝箱（大）（work_chest_large）后开启；装备池概率20%；该装备概率0.526316%；数量1；宝箱来源：打工奖励：高级打工完成后领取1个宝箱</t>
        </is>
      </c>
      <c r="E284" s="3" t="inlineStr">
        <is>
          <t>data/item_templates.yaml；gameplay/services/work.py</t>
        </is>
      </c>
    </row>
    <row r="285">
      <c r="A285" s="3" t="inlineStr">
        <is>
          <t>equip_hushenfu</t>
        </is>
      </c>
      <c r="B285" s="3" t="inlineStr">
        <is>
          <t>护身符</t>
        </is>
      </c>
      <c r="C285" s="3" t="inlineStr">
        <is>
          <t>宝箱随机装备</t>
        </is>
      </c>
      <c r="D285" s="3" t="inlineStr">
        <is>
          <t>持有打工宝箱（大）（work_chest_large）后开启；装备池概率20%；该装备概率0.526316%；数量1；宝箱来源：打工奖励：高级打工完成后领取1个宝箱</t>
        </is>
      </c>
      <c r="E285" s="3" t="inlineStr">
        <is>
          <t>data/item_templates.yaml；gameplay/services/work.py</t>
        </is>
      </c>
    </row>
    <row r="286">
      <c r="A286" s="3" t="inlineStr">
        <is>
          <t>equip_luopan</t>
        </is>
      </c>
      <c r="B286" s="3" t="inlineStr">
        <is>
          <t>罗盘</t>
        </is>
      </c>
      <c r="C286" s="3" t="inlineStr">
        <is>
          <t>宝箱随机装备</t>
        </is>
      </c>
      <c r="D286" s="3" t="inlineStr">
        <is>
          <t>持有打工宝箱（大）（work_chest_large）后开启；装备池概率20%；该装备概率0.526316%；数量1；宝箱来源：打工奖励：高级打工完成后领取1个宝箱</t>
        </is>
      </c>
      <c r="E286" s="3" t="inlineStr">
        <is>
          <t>data/item_templates.yaml；gameplay/services/work.py</t>
        </is>
      </c>
    </row>
    <row r="287">
      <c r="A287" s="3" t="inlineStr">
        <is>
          <t>equip_taomujian</t>
        </is>
      </c>
      <c r="B287" s="3" t="inlineStr">
        <is>
          <t>桃木剑</t>
        </is>
      </c>
      <c r="C287" s="3" t="inlineStr">
        <is>
          <t>宝箱独立随机物品组</t>
        </is>
      </c>
      <c r="D287" s="3" t="inlineStr">
        <is>
          <t>持有月饼（mid_autumn_mooncake）后开启；组概率7%；该物品概率1.166667%；数量1~1；宝箱来源：任务固定奖励：任务：广寒宫试炼（mid_autumn_moon_palace_trial）；难度intermediate；每日限3次；开放weekday=[2,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287" s="3" t="inlineStr">
        <is>
          <t>data/item_templates.yaml</t>
        </is>
      </c>
    </row>
    <row r="288">
      <c r="A288" s="3" t="inlineStr">
        <is>
          <t>equip_tiehufu</t>
        </is>
      </c>
      <c r="B288" s="3" t="inlineStr">
        <is>
          <t>铁护符</t>
        </is>
      </c>
      <c r="C288" s="3" t="inlineStr">
        <is>
          <t>宝箱随机装备</t>
        </is>
      </c>
      <c r="D288" s="3" t="inlineStr">
        <is>
          <t>持有打工宝箱（大）（work_chest_large）后开启；装备池概率20%；该装备概率0.526316%；数量1；宝箱来源：打工奖励：高级打工完成后领取1个宝箱</t>
        </is>
      </c>
      <c r="E288" s="3" t="inlineStr">
        <is>
          <t>data/item_templates.yaml；gameplay/services/work.py</t>
        </is>
      </c>
    </row>
    <row r="289">
      <c r="A289" s="3" t="inlineStr">
        <is>
          <t>equip_tongjing</t>
        </is>
      </c>
      <c r="B289" s="3" t="inlineStr">
        <is>
          <t>铜镜</t>
        </is>
      </c>
      <c r="C289" s="3" t="inlineStr">
        <is>
          <t>宝箱独立随机物品组</t>
        </is>
      </c>
      <c r="D289" s="3" t="inlineStr">
        <is>
          <t>持有月饼（mid_autumn_mooncake）后开启；组概率7%；该物品概率1.166667%；数量1~1；宝箱来源：任务固定奖励：任务：广寒宫试炼（mid_autumn_moon_palace_trial）；难度intermediate；每日限3次；开放weekday=[2,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289" s="3" t="inlineStr">
        <is>
          <t>data/item_templates.yaml</t>
        </is>
      </c>
    </row>
    <row r="290">
      <c r="A290" s="3" t="inlineStr">
        <is>
          <t>equip_tongling</t>
        </is>
      </c>
      <c r="B290" s="3" t="inlineStr">
        <is>
          <t>铜铃</t>
        </is>
      </c>
      <c r="C290" s="3" t="inlineStr">
        <is>
          <t>宝箱随机装备</t>
        </is>
      </c>
      <c r="D290" s="3" t="inlineStr">
        <is>
          <t>持有帮会绿装箱（guild_gear_box_green）后开启；装备池概率100%；该装备概率11%；数量1；宝箱来源：帮会仓库兑换：帮会科技equipment；解锁等级1；配置等级1,2,3,4,5,6,7,8,9,10；贡献兑换价[70]；每周个人兑换上限[4]；各科技等级每日产量1级×1,2级×2,3级×2,4级×2,5级×2,6级×2,7级×2,8级×2,9级×2,10级×2</t>
        </is>
      </c>
      <c r="E290" s="3" t="inlineStr">
        <is>
          <t>data/item_templates.yaml；data/warehouse_production.yaml</t>
        </is>
      </c>
    </row>
    <row r="291">
      <c r="A291" s="3" t="inlineStr">
        <is>
          <t>equip_yiqiyaopai</t>
        </is>
      </c>
      <c r="B291" s="3" t="inlineStr">
        <is>
          <t>义气腰牌</t>
        </is>
      </c>
      <c r="C291" s="3" t="inlineStr">
        <is>
          <t>宝箱随机装备</t>
        </is>
      </c>
      <c r="D291" s="3" t="inlineStr">
        <is>
          <t>持有打工宝箱（大）（work_chest_large）后开启；装备池概率20%；该装备概率0.526316%；数量1；宝箱来源：打工奖励：高级打工完成后领取1个宝箱</t>
        </is>
      </c>
      <c r="E291" s="3" t="inlineStr">
        <is>
          <t>data/item_templates.yaml；gameplay/services/work.py</t>
        </is>
      </c>
    </row>
    <row r="292">
      <c r="A292" s="3" t="inlineStr">
        <is>
          <t>equip_yupei</t>
        </is>
      </c>
      <c r="B292" s="3" t="inlineStr">
        <is>
          <t>玉佩</t>
        </is>
      </c>
      <c r="C292" s="3" t="inlineStr">
        <is>
          <t>宝箱独立随机物品组</t>
        </is>
      </c>
      <c r="D292" s="3" t="inlineStr">
        <is>
          <t>持有月饼（mid_autumn_mooncake）后开启；组概率7%；该物品概率1.166667%；数量1~1；宝箱来源：任务固定奖励：任务：广寒宫试炼（mid_autumn_moon_palace_trial）；难度intermediate；每日限3次；开放weekday=[2,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292" s="3" t="inlineStr">
        <is>
          <t>data/item_templates.yaml</t>
        </is>
      </c>
    </row>
    <row r="293">
      <c r="A293" s="3" t="inlineStr">
        <is>
          <t>equip_yupei</t>
        </is>
      </c>
      <c r="B293" s="3" t="inlineStr">
        <is>
          <t>玉佩</t>
        </is>
      </c>
      <c r="C293" s="3" t="inlineStr">
        <is>
          <t>宝箱随机装备</t>
        </is>
      </c>
      <c r="D293" s="3" t="inlineStr">
        <is>
          <t>持有打工宝箱（大）（work_chest_large）后开启；装备池概率20%；该装备概率0.526316%；数量1；宝箱来源：打工奖励：高级打工完成后领取1个宝箱</t>
        </is>
      </c>
      <c r="E293" s="3" t="inlineStr">
        <is>
          <t>data/item_templates.yaml；gameplay/services/work.py</t>
        </is>
      </c>
    </row>
    <row r="294">
      <c r="A294" s="3" t="inlineStr">
        <is>
          <t>equip_guanxingdeng</t>
        </is>
      </c>
      <c r="B294" s="3" t="inlineStr">
        <is>
          <t>观星灯</t>
        </is>
      </c>
      <c r="C294" s="3" t="inlineStr">
        <is>
          <t>宝箱独立随机物品组</t>
        </is>
      </c>
      <c r="D294" s="3" t="inlineStr">
        <is>
          <t>持有月饼（mid_autumn_mooncake）后开启；组概率3%；该物品概率0.5%；数量1~1；宝箱来源：任务固定奖励：任务：广寒宫试炼（mid_autumn_moon_palace_trial）；难度intermediate；每日限3次；开放weekday=[2,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294" s="3" t="inlineStr">
        <is>
          <t>data/item_templates.yaml</t>
        </is>
      </c>
    </row>
    <row r="295">
      <c r="A295" s="3" t="inlineStr">
        <is>
          <t>equip_liuyunpei</t>
        </is>
      </c>
      <c r="B295" s="3" t="inlineStr">
        <is>
          <t>流云佩</t>
        </is>
      </c>
      <c r="C295" s="3" t="inlineStr">
        <is>
          <t>宝箱独立随机物品组</t>
        </is>
      </c>
      <c r="D295" s="3" t="inlineStr">
        <is>
          <t>持有月饼（mid_autumn_mooncake）后开启；组概率3%；该物品概率0.5%；数量1~1；宝箱来源：任务固定奖励：任务：广寒宫试炼（mid_autumn_moon_palace_trial）；难度intermediate；每日限3次；开放weekday=[2,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295" s="3" t="inlineStr">
        <is>
          <t>data/item_templates.yaml</t>
        </is>
      </c>
    </row>
    <row r="296">
      <c r="A296" s="3" t="inlineStr">
        <is>
          <t>equip_longwenyupei</t>
        </is>
      </c>
      <c r="B296" s="3" t="inlineStr">
        <is>
          <t>龙纹玉佩</t>
        </is>
      </c>
      <c r="C296" s="3" t="inlineStr">
        <is>
          <t>宝箱随机装备</t>
        </is>
      </c>
      <c r="D296" s="3" t="inlineStr">
        <is>
          <t>持有帮会蓝装箱（guild_gear_box_blue）后开启；装备池概率100%；该装备概率10%；数量1；宝箱来源：帮会仓库兑换：帮会科技equipment；解锁等级3；配置等级3,4,5,6,7,8,9,10；贡献兑换价[180]；每周个人兑换上限[3]；各科技等级每日产量3级×1,4级×2,5级×2,6级×2,7级×2,8级×2,9级×2,10级×2</t>
        </is>
      </c>
      <c r="E296" s="3" t="inlineStr">
        <is>
          <t>data/item_templates.yaml；data/warehouse_production.yaml</t>
        </is>
      </c>
    </row>
    <row r="297">
      <c r="A297" s="3" t="inlineStr">
        <is>
          <t>equip_xingshashouchuan</t>
        </is>
      </c>
      <c r="B297" s="3" t="inlineStr">
        <is>
          <t>星砂手串</t>
        </is>
      </c>
      <c r="C297" s="3" t="inlineStr">
        <is>
          <t>宝箱独立随机物品组</t>
        </is>
      </c>
      <c r="D297" s="3" t="inlineStr">
        <is>
          <t>持有月饼（mid_autumn_mooncake）后开启；组概率3%；该物品概率0.5%；数量1~1；宝箱来源：任务固定奖励：任务：广寒宫试炼（mid_autumn_moon_palace_trial）；难度intermediate；每日限3次；开放weekday=[2, 4, 6, 7]；概率100%；数量1 / 任务随机池掉落：任务：广寒宫试炼（mid_autumn_moon_palace_trial）；难度intermediate；每日限3次；开放weekday=[2, 4, 6, 7]；池mid_autumn_mooncake_bonus_1命中概率55%，池内权重1/1，该物品单次概率55%，数量1 / 任务随机池掉落：任务：广寒宫试炼（mid_autumn_moon_palace_trial）；难度intermediate；每日限3次；开放weekday=[2, 4, 6, 7]；池mid_autumn_mooncake_bonus_2命中概率25%，池内权重1/1，该物品单次概率25%，数量2 / 任务随机池掉落：任务：广寒宫试炼（mid_autumn_moon_palace_trial）；难度intermediate；每日限3次；开放weekday=[2, 4, 6, 7]；池mid_autumn_mooncake_bonus_4命中概率8%，池内权重1/1，该物品单次概率8%，数量4 / 任务随机池掉落：任务：广寒宫试炼（mid_autumn_moon_palace_trial）；难度intermediate；每日限3次；开放weekday=[2, 4, 6, 7]；池mid_autumn_mooncake_bonus_10命中概率1.5%，池内权重1/1，该物品单次概率1.5%，数量10</t>
        </is>
      </c>
      <c r="E297" s="3" t="inlineStr">
        <is>
          <t>data/item_templates.yaml</t>
        </is>
      </c>
    </row>
    <row r="298">
      <c r="A298" s="3" t="inlineStr">
        <is>
          <t>equip_fenghuangyu</t>
        </is>
      </c>
      <c r="B298" s="3" t="inlineStr">
        <is>
          <t>凤凰羽</t>
        </is>
      </c>
      <c r="C298" s="3" t="inlineStr">
        <is>
          <t>图纸合成（竞技场随机图纸兑换）</t>
        </is>
      </c>
      <c r="D298" s="3" t="inlineStr">
        <is>
          <t>消耗图纸凤凰羽图纸(blueprint_fenghuangyu)×1；锻造技7级；每次产出1件；材料：铜(tong)×29、锡(xi)×17、铁(tie)×12、木质精华(wood_essence)×4、铜质精华(copper_essence)×4、紫檀木(zitanmu)×10、水曲木(shuiqumu)×11、金刚煤(jingangmei)×2、刨子(paozi)×8、凿子(zaozi)×2、高炉(gaolu)×1、空气之石(air_stone)×3、纯水之石(water_stone)×2；图纸来源：随机紫色装备图纸；1800竞技币；每日限1次；19张同品质图纸均匀随机</t>
        </is>
      </c>
      <c r="E298" s="3" t="inlineStr">
        <is>
          <t>data/forge_blueprints.yaml; data/arena_rewards.yaml</t>
        </is>
      </c>
    </row>
    <row r="299">
      <c r="A299" s="3" t="inlineStr">
        <is>
          <t>equip_qilinzui</t>
        </is>
      </c>
      <c r="B299" s="3" t="inlineStr">
        <is>
          <t>麒麟坠</t>
        </is>
      </c>
      <c r="C299" s="3" t="inlineStr">
        <is>
          <t>宝箱随机装备</t>
        </is>
      </c>
      <c r="D299" s="3" t="inlineStr">
        <is>
          <t>持有帮会紫装箱（guild_gear_box_purple）后开启；装备池概率100%；该装备概率10.31746%；数量1；宝箱来源：帮会仓库兑换：帮会科技equipment；解锁等级5；配置等级5,6,7,8,9,10；贡献兑换价[500]；每周个人兑换上限[1]；各科技等级每日产量5级×1,6级×2,7级×2,8级×2,9级×2,10级×2</t>
        </is>
      </c>
      <c r="E299" s="3" t="inlineStr">
        <is>
          <t>data/item_templates.yaml；data/warehouse_production.yaml</t>
        </is>
      </c>
    </row>
    <row r="300">
      <c r="A300" s="3" t="inlineStr">
        <is>
          <t>equip_qilinzui</t>
        </is>
      </c>
      <c r="B300" s="3" t="inlineStr">
        <is>
          <t>麒麟坠</t>
        </is>
      </c>
      <c r="C300" s="3" t="inlineStr">
        <is>
          <t>宝箱随机装备</t>
        </is>
      </c>
      <c r="D300" s="3" t="inlineStr">
        <is>
          <t>持有帮会宗师秘匣（guild_gear_box_master）后开启；装备池概率100%；该装备概率10%；数量1；宝箱来源：帮会仓库兑换：帮会科技equipment；解锁等级9；配置等级9,10；贡献兑换价[800]；每周个人兑换上限[1]；各科技等级每日产量9级×1,10级×2</t>
        </is>
      </c>
      <c r="E300" s="3" t="inlineStr">
        <is>
          <t>data/item_templates.yaml；data/warehouse_production.yaml</t>
        </is>
      </c>
    </row>
    <row r="301">
      <c r="A301" s="3" t="inlineStr">
        <is>
          <t>equip_shenghuoling</t>
        </is>
      </c>
      <c r="B301" s="3" t="inlineStr">
        <is>
          <t>圣火令</t>
        </is>
      </c>
      <c r="C301" s="3" t="inlineStr">
        <is>
          <t>竞技场随机兑换</t>
        </is>
      </c>
      <c r="D301" s="3" t="inlineStr">
        <is>
          <t>武林宝箱（wulin_chest）；花费1000竞技币；每周限2次；该物品概率4%；数量1</t>
        </is>
      </c>
      <c r="E301" s="3" t="inlineStr">
        <is>
          <t>data/arena_rewards.yaml</t>
        </is>
      </c>
    </row>
    <row r="302">
      <c r="A302" s="3" t="inlineStr">
        <is>
          <t>equip_shangshanfaeling</t>
        </is>
      </c>
      <c r="B302" s="3" t="inlineStr">
        <is>
          <t>赏善罚恶令</t>
        </is>
      </c>
      <c r="C302" s="3" t="inlineStr">
        <is>
          <t>竞技场随机兑换</t>
        </is>
      </c>
      <c r="D302" s="3" t="inlineStr">
        <is>
          <t>武林宝箱（wulin_chest）；花费1000竞技币；每周限2次；该物品概率1%；数量1</t>
        </is>
      </c>
      <c r="E302" s="3" t="inlineStr">
        <is>
          <t>data/arena_rewards.yaml</t>
        </is>
      </c>
    </row>
    <row r="303">
      <c r="A303" s="3" t="inlineStr">
        <is>
          <t>equip_tongchanjiguan</t>
        </is>
      </c>
      <c r="B303" s="3" t="inlineStr">
        <is>
          <t>铜蝉机关</t>
        </is>
      </c>
      <c r="C303" s="3" t="inlineStr">
        <is>
          <t>图纸合成（乱舞器械图纸随机兑换）</t>
        </is>
      </c>
      <c r="D303" s="3" t="inlineStr">
        <is>
          <t>消耗图纸铜蝉机关图纸(blueprint_tongchanjiguan)×1；锻造技6级；每次产出1件；材料：铜(tong)×36、锡(xi)×24、铁(tie)×20、木质精华(wood_essence)×2、铜质精华(copper_essence)×3、紫檀木(zitanmu)×3、水曲木(shuiqumu)×5、黑原石(heiyuanshi)×3、金刚煤(jingangmei)×2、刨子(paozi)×3、凿子(zaozi)×4、纯水之石(water_stone)×2；图纸来源：10 春秋币；14张器械图纸均匀随机；图纸及产物模板需已初始化</t>
        </is>
      </c>
      <c r="E303" s="3" t="inlineStr">
        <is>
          <t>data/forge_blueprints.yaml; data/luanwu_shop.yaml; gameplay/services/luanwu_shop.py</t>
        </is>
      </c>
    </row>
    <row r="304">
      <c r="A304" s="3" t="inlineStr">
        <is>
          <t>equip_xiaoxingjiguanshu</t>
        </is>
      </c>
      <c r="B304" s="3" t="inlineStr">
        <is>
          <t>小型机关鼠</t>
        </is>
      </c>
      <c r="C304" s="3" t="inlineStr">
        <is>
          <t>图纸合成（乱舞器械图纸随机兑换）</t>
        </is>
      </c>
      <c r="D304" s="3" t="inlineStr">
        <is>
          <t>消耗图纸小型机关鼠图纸(blueprint_xiaoxingjiguanshu)×1；锻造技6级；每次产出1件；材料：铜(tong)×34、锡(xi)×22、铁(tie)×17、木质精华(wood_essence)×3、铜质精华(copper_essence)×2、水曲木(shuiqumu)×8、铁木(tiemu)×3、金刚煤(jingangmei)×2、刨子(paozi)×4、凿子(zaozi)×3、空气之石(air_stone)×2；图纸来源：10 春秋币；14张器械图纸均匀随机；图纸及产物模板需已初始化</t>
        </is>
      </c>
      <c r="E304" s="3" t="inlineStr">
        <is>
          <t>data/forge_blueprints.yaml; data/luanwu_shop.yaml; gameplay/services/luanwu_shop.py</t>
        </is>
      </c>
    </row>
    <row r="305">
      <c r="A305" s="3" t="inlineStr">
        <is>
          <t>equip_qingtongzhijiaodoushi</t>
        </is>
      </c>
      <c r="B305" s="3" t="inlineStr">
        <is>
          <t>青铜之角斗士</t>
        </is>
      </c>
      <c r="C305" s="3" t="inlineStr">
        <is>
          <t>竞技场固定兑换</t>
        </is>
      </c>
      <c r="D305" s="3" t="inlineStr">
        <is>
          <t>青铜之角斗士（arena_bronze_gladiator_device）；花费800竞技币；每周限2次；数量1</t>
        </is>
      </c>
      <c r="E305" s="3" t="inlineStr">
        <is>
          <t>data/arena_rewards.yaml</t>
        </is>
      </c>
    </row>
    <row r="306">
      <c r="A306" s="3" t="inlineStr">
        <is>
          <t>equip_jiguanchuniao</t>
        </is>
      </c>
      <c r="B306" s="3" t="inlineStr">
        <is>
          <t>机关雏鸟</t>
        </is>
      </c>
      <c r="C306" s="3" t="inlineStr">
        <is>
          <t>图纸合成（竞技场随机图纸兑换）</t>
        </is>
      </c>
      <c r="D306" s="3" t="inlineStr">
        <is>
          <t>消耗图纸机关雏鸟图纸(blueprint_jiguanchuniao)×1；锻造技8级；每次产出1件；材料：铜(tong)×51、锡(xi)×34、铁(tie)×24、木质精华(wood_essence)×3、铜质精华(copper_essence)×3、玄铁精华(xuan_tie_essence)×2、紫檀木(zitanmu)×4、水曲木(shuiqumu)×8、铁木(tiemu)×3、黑原石(heiyuanshi)×4、金刚煤(jingangmei)×3、刨子(paozi)×5、凿子(zaozi)×3、空气之石(air_stone)×2、纯水之石(water_stone)×2；图纸来源：随机蓝色装备图纸；600竞技币；每日限1次；12张同品质图纸均匀随机</t>
        </is>
      </c>
      <c r="E306" s="3" t="inlineStr">
        <is>
          <t>data/forge_blueprints.yaml; data/arena_rewards.yaml</t>
        </is>
      </c>
    </row>
    <row r="307">
      <c r="A307" s="3" t="inlineStr">
        <is>
          <t>equip_jiguanchuniao</t>
        </is>
      </c>
      <c r="B307" s="3" t="inlineStr">
        <is>
          <t>机关雏鸟</t>
        </is>
      </c>
      <c r="C307" s="3" t="inlineStr">
        <is>
          <t>图纸合成（乱舞器械图纸随机兑换）</t>
        </is>
      </c>
      <c r="D307" s="3" t="inlineStr">
        <is>
          <t>消耗图纸机关雏鸟图纸(blueprint_jiguanchuniao)×1；锻造技8级；每次产出1件；材料：铜(tong)×51、锡(xi)×34、铁(tie)×24、木质精华(wood_essence)×3、铜质精华(copper_essence)×3、玄铁精华(xuan_tie_essence)×2、紫檀木(zitanmu)×4、水曲木(shuiqumu)×8、铁木(tiemu)×3、黑原石(heiyuanshi)×4、金刚煤(jingangmei)×3、刨子(paozi)×5、凿子(zaozi)×3、空气之石(air_stone)×2、纯水之石(water_stone)×2；图纸来源：10 春秋币；14张器械图纸均匀随机；图纸及产物模板需已初始化</t>
        </is>
      </c>
      <c r="E307" s="3" t="inlineStr">
        <is>
          <t>data/forge_blueprints.yaml; data/luanwu_shop.yaml; gameplay/services/luanwu_shop.py</t>
        </is>
      </c>
    </row>
    <row r="308">
      <c r="A308" s="3" t="inlineStr">
        <is>
          <t>equip_jixiemao</t>
        </is>
      </c>
      <c r="B308" s="3" t="inlineStr">
        <is>
          <t>机械猫</t>
        </is>
      </c>
      <c r="C308" s="3" t="inlineStr">
        <is>
          <t>图纸合成（竞技场随机图纸兑换）</t>
        </is>
      </c>
      <c r="D308" s="3" t="inlineStr">
        <is>
          <t>消耗图纸机械猫图纸(blueprint_jixiemao)×1；锻造技8级；每次产出1件；材料：铜(tong)×48、锡(xi)×32、铁(tie)×24、木质精华(wood_essence)×3、铜质精华(copper_essence)×3、玄铁精华(xuan_tie_essence)×2、紫檀木(zitanmu)×4、铁木(tiemu)×6、黑原石(heiyuanshi)×6、金刚煤(jingangmei)×4、刨子(paozi)×4、凿子(zaozi)×4、空气之石(air_stone)×2；图纸来源：随机蓝色装备图纸；600竞技币；每日限1次；12张同品质图纸均匀随机</t>
        </is>
      </c>
      <c r="E308" s="3" t="inlineStr">
        <is>
          <t>data/forge_blueprints.yaml; data/arena_rewards.yaml</t>
        </is>
      </c>
    </row>
    <row r="309">
      <c r="A309" s="3" t="inlineStr">
        <is>
          <t>equip_jixiemao</t>
        </is>
      </c>
      <c r="B309" s="3" t="inlineStr">
        <is>
          <t>机械猫</t>
        </is>
      </c>
      <c r="C309" s="3" t="inlineStr">
        <is>
          <t>图纸合成（乱舞器械图纸随机兑换）</t>
        </is>
      </c>
      <c r="D309" s="3" t="inlineStr">
        <is>
          <t>消耗图纸机械猫图纸(blueprint_jixiemao)×1；锻造技8级；每次产出1件；材料：铜(tong)×48、锡(xi)×32、铁(tie)×24、木质精华(wood_essence)×3、铜质精华(copper_essence)×3、玄铁精华(xuan_tie_essence)×2、紫檀木(zitanmu)×4、铁木(tiemu)×6、黑原石(heiyuanshi)×6、金刚煤(jingangmei)×4、刨子(paozi)×4、凿子(zaozi)×4、空气之石(air_stone)×2；图纸来源：10 春秋币；14张器械图纸均匀随机；图纸及产物模板需已初始化</t>
        </is>
      </c>
      <c r="E309" s="3" t="inlineStr">
        <is>
          <t>data/forge_blueprints.yaml; data/luanwu_shop.yaml; gameplay/services/luanwu_shop.py</t>
        </is>
      </c>
    </row>
    <row r="310">
      <c r="A310" s="3" t="inlineStr">
        <is>
          <t>equip_kuileimuren</t>
        </is>
      </c>
      <c r="B310" s="3" t="inlineStr">
        <is>
          <t>傀儡木人</t>
        </is>
      </c>
      <c r="C310" s="3" t="inlineStr">
        <is>
          <t>图纸合成（竞技场随机图纸兑换）</t>
        </is>
      </c>
      <c r="D310" s="3" t="inlineStr">
        <is>
          <t>消耗图纸傀儡木人图纸(blueprint_kuileimuren)×1；锻造技8级；每次产出1件；材料：铜(tong)×53、锡(xi)×36、铁(tie)×29、木质精华(wood_essence)×3、铜质精华(copper_essence)×4、玄铁精华(xuan_tie_essence)×2、水曲木(shuiqumu)×6、铁木(tiemu)×10、黑原石(heiyuanshi)×3、金刚煤(jingangmei)×4、刨子(paozi)×6、凿子(zaozi)×4、大地之石(earth_stone)×3；图纸来源：随机蓝色装备图纸；600竞技币；每日限1次；12张同品质图纸均匀随机</t>
        </is>
      </c>
      <c r="E310" s="3" t="inlineStr">
        <is>
          <t>data/forge_blueprints.yaml; data/arena_rewards.yaml</t>
        </is>
      </c>
    </row>
    <row r="311">
      <c r="A311" s="3" t="inlineStr">
        <is>
          <t>equip_kuileimuren</t>
        </is>
      </c>
      <c r="B311" s="3" t="inlineStr">
        <is>
          <t>傀儡木人</t>
        </is>
      </c>
      <c r="C311" s="3" t="inlineStr">
        <is>
          <t>图纸合成（乱舞器械图纸随机兑换）</t>
        </is>
      </c>
      <c r="D311" s="3" t="inlineStr">
        <is>
          <t>消耗图纸傀儡木人图纸(blueprint_kuileimuren)×1；锻造技8级；每次产出1件；材料：铜(tong)×53、锡(xi)×36、铁(tie)×29、木质精华(wood_essence)×3、铜质精华(copper_essence)×4、玄铁精华(xuan_tie_essence)×2、水曲木(shuiqumu)×6、铁木(tiemu)×10、黑原石(heiyuanshi)×3、金刚煤(jingangmei)×4、刨子(paozi)×6、凿子(zaozi)×4、大地之石(earth_stone)×3；图纸来源：10 春秋币；14张器械图纸均匀随机；图纸及产物模板需已初始化</t>
        </is>
      </c>
      <c r="E311" s="3" t="inlineStr">
        <is>
          <t>data/forge_blueprints.yaml; data/luanwu_shop.yaml; gameplay/services/luanwu_shop.py</t>
        </is>
      </c>
    </row>
    <row r="312">
      <c r="A312" s="3" t="inlineStr">
        <is>
          <t>equip_qingji</t>
        </is>
      </c>
      <c r="B312" s="3" t="inlineStr">
        <is>
          <t>庆忌</t>
        </is>
      </c>
      <c r="C312" s="3" t="inlineStr">
        <is>
          <t>图纸合成（竞技场随机图纸兑换）</t>
        </is>
      </c>
      <c r="D312" s="3" t="inlineStr">
        <is>
          <t>消耗图纸庆忌图纸(blueprint_qingji)×1；锻造技8级；每次产出1件；材料：铜(tong)×46、锡(xi)×29、铁(tie)×22、木质精华(wood_essence)×3、铜质精华(copper_essence)×3、玄铁精华(xuan_tie_essence)×2、紫檀木(zitanmu)×6、铁木(tiemu)×3、黑原石(heiyuanshi)×6、金刚煤(jingangmei)×4、刨子(paozi)×3、凿子(zaozi)×5、空气之石(air_stone)×2；图纸来源：随机蓝色装备图纸；600竞技币；每日限1次；12张同品质图纸均匀随机</t>
        </is>
      </c>
      <c r="E312" s="3" t="inlineStr">
        <is>
          <t>data/forge_blueprints.yaml; data/arena_rewards.yaml</t>
        </is>
      </c>
    </row>
    <row r="313">
      <c r="A313" s="3" t="inlineStr">
        <is>
          <t>equip_qingji</t>
        </is>
      </c>
      <c r="B313" s="3" t="inlineStr">
        <is>
          <t>庆忌</t>
        </is>
      </c>
      <c r="C313" s="3" t="inlineStr">
        <is>
          <t>图纸合成（乱舞器械图纸随机兑换）</t>
        </is>
      </c>
      <c r="D313" s="3" t="inlineStr">
        <is>
          <t>消耗图纸庆忌图纸(blueprint_qingji)×1；锻造技8级；每次产出1件；材料：铜(tong)×46、锡(xi)×29、铁(tie)×22、木质精华(wood_essence)×3、铜质精华(copper_essence)×3、玄铁精华(xuan_tie_essence)×2、紫檀木(zitanmu)×6、铁木(tiemu)×3、黑原石(heiyuanshi)×6、金刚煤(jingangmei)×4、刨子(paozi)×3、凿子(zaozi)×5、空气之石(air_stone)×2；图纸来源：10 春秋币；14张器械图纸均匀随机；图纸及产物模板需已初始化</t>
        </is>
      </c>
      <c r="E313" s="3" t="inlineStr">
        <is>
          <t>data/forge_blueprints.yaml; data/luanwu_shop.yaml; gameplay/services/luanwu_shop.py</t>
        </is>
      </c>
    </row>
    <row r="314">
      <c r="A314" s="3" t="inlineStr">
        <is>
          <t>equip_baiyinzhijiaodoushi</t>
        </is>
      </c>
      <c r="B314" s="3" t="inlineStr">
        <is>
          <t>白银之角斗士</t>
        </is>
      </c>
      <c r="C314" s="3" t="inlineStr">
        <is>
          <t>竞技场固定兑换</t>
        </is>
      </c>
      <c r="D314" s="3" t="inlineStr">
        <is>
          <t>白银之角斗士（arena_silver_gladiator_device）；花费1200竞技币；每周限1次；数量1</t>
        </is>
      </c>
      <c r="E314" s="3" t="inlineStr">
        <is>
          <t>data/arena_rewards.yaml</t>
        </is>
      </c>
    </row>
    <row r="315">
      <c r="A315" s="3" t="inlineStr">
        <is>
          <t>equip_jiguanxiong</t>
        </is>
      </c>
      <c r="B315" s="3" t="inlineStr">
        <is>
          <t>机关熊</t>
        </is>
      </c>
      <c r="C315" s="3" t="inlineStr">
        <is>
          <t>图纸合成（竞技场随机图纸兑换）</t>
        </is>
      </c>
      <c r="D315" s="3" t="inlineStr">
        <is>
          <t>消耗图纸机关熊图纸(blueprint_jiguanxiong)×1；锻造技10级；每次产出1件；材料：铜(tong)×68、锡(xi)×46、铁(tie)×36、木质精华(wood_essence)×3、铜质精华(copper_essence)×4、玄铁精华(xuan_tie_essence)×3、紫檀木(zitanmu)×4、铁木(tiemu)×15、黑原石(heiyuanshi)×12、金刚煤(jingangmei)×10、刨子(paozi)×8、凿子(zaozi)×9、高炉(gaolu)×3、大地之石(earth_stone)×3、火焰之石(fire_stone)×2；图纸来源：随机紫色装备图纸；1800竞技币；每日限1次；19张同品质图纸均匀随机</t>
        </is>
      </c>
      <c r="E315" s="3" t="inlineStr">
        <is>
          <t>data/forge_blueprints.yaml; data/arena_rewards.yaml</t>
        </is>
      </c>
    </row>
    <row r="316">
      <c r="A316" s="3" t="inlineStr">
        <is>
          <t>equip_jiguanxiong</t>
        </is>
      </c>
      <c r="B316" s="3" t="inlineStr">
        <is>
          <t>机关熊</t>
        </is>
      </c>
      <c r="C316" s="3" t="inlineStr">
        <is>
          <t>图纸合成（乱舞器械图纸随机兑换）</t>
        </is>
      </c>
      <c r="D316" s="3" t="inlineStr">
        <is>
          <t>消耗图纸机关熊图纸(blueprint_jiguanxiong)×1；锻造技10级；每次产出1件；材料：铜(tong)×68、锡(xi)×46、铁(tie)×36、木质精华(wood_essence)×3、铜质精华(copper_essence)×4、玄铁精华(xuan_tie_essence)×3、紫檀木(zitanmu)×4、铁木(tiemu)×15、黑原石(heiyuanshi)×12、金刚煤(jingangmei)×10、刨子(paozi)×8、凿子(zaozi)×9、高炉(gaolu)×3、大地之石(earth_stone)×3、火焰之石(fire_stone)×2；图纸来源：10 春秋币；14张器械图纸均匀随机；图纸及产物模板需已初始化</t>
        </is>
      </c>
      <c r="E316" s="3" t="inlineStr">
        <is>
          <t>data/forge_blueprints.yaml; data/luanwu_shop.yaml; gameplay/services/luanwu_shop.py</t>
        </is>
      </c>
    </row>
    <row r="317">
      <c r="A317" s="3" t="inlineStr">
        <is>
          <t>equip_kuileiren</t>
        </is>
      </c>
      <c r="B317" s="3" t="inlineStr">
        <is>
          <t>傀儡人</t>
        </is>
      </c>
      <c r="C317" s="3" t="inlineStr">
        <is>
          <t>图纸合成（竞技场随机图纸兑换）</t>
        </is>
      </c>
      <c r="D317" s="3" t="inlineStr">
        <is>
          <t>消耗图纸傀儡人图纸(blueprint_kuileiren)×1；锻造技10级；每次产出1件；材料：铜(tong)×70、锡(xi)×46、铁(tie)×36、木质精华(wood_essence)×3、铜质精华(copper_essence)×4、玄铁精华(xuan_tie_essence)×3、紫檀木(zitanmu)×6、水曲木(shuiqumu)×5、铁木(tiemu)×16、黑原石(heiyuanshi)×12、金刚煤(jingangmei)×9、刨子(paozi)×9、凿子(zaozi)×11、高炉(gaolu)×3、大地之石(earth_stone)×3、空气之石(air_stone)×2；图纸来源：随机紫色装备图纸；1800竞技币；每日限1次；19张同品质图纸均匀随机</t>
        </is>
      </c>
      <c r="E317" s="3" t="inlineStr">
        <is>
          <t>data/forge_blueprints.yaml; data/arena_rewards.yaml</t>
        </is>
      </c>
    </row>
    <row r="318">
      <c r="A318" s="3" t="inlineStr">
        <is>
          <t>equip_kuileiren</t>
        </is>
      </c>
      <c r="B318" s="3" t="inlineStr">
        <is>
          <t>傀儡人</t>
        </is>
      </c>
      <c r="C318" s="3" t="inlineStr">
        <is>
          <t>图纸合成（乱舞器械图纸随机兑换）</t>
        </is>
      </c>
      <c r="D318" s="3" t="inlineStr">
        <is>
          <t>消耗图纸傀儡人图纸(blueprint_kuileiren)×1；锻造技10级；每次产出1件；材料：铜(tong)×70、锡(xi)×46、铁(tie)×36、木质精华(wood_essence)×3、铜质精华(copper_essence)×4、玄铁精华(xuan_tie_essence)×3、紫檀木(zitanmu)×6、水曲木(shuiqumu)×5、铁木(tiemu)×16、黑原石(heiyuanshi)×12、金刚煤(jingangmei)×9、刨子(paozi)×9、凿子(zaozi)×11、高炉(gaolu)×3、大地之石(earth_stone)×3、空气之石(air_stone)×2；图纸来源：10 春秋币；14张器械图纸均匀随机；图纸及产物模板需已初始化</t>
        </is>
      </c>
      <c r="E318" s="3" t="inlineStr">
        <is>
          <t>data/forge_blueprints.yaml; data/luanwu_shop.yaml; gameplay/services/luanwu_shop.py</t>
        </is>
      </c>
    </row>
    <row r="319">
      <c r="A319" s="3" t="inlineStr">
        <is>
          <t>equip_muniuliuma</t>
        </is>
      </c>
      <c r="B319" s="3" t="inlineStr">
        <is>
          <t>木牛流马</t>
        </is>
      </c>
      <c r="C319" s="3" t="inlineStr">
        <is>
          <t>图纸合成（竞技场随机图纸兑换）</t>
        </is>
      </c>
      <c r="D319" s="3" t="inlineStr">
        <is>
          <t>消耗图纸木牛流马图纸(blueprint_muniuliuma)×1；锻造技10级；每次产出1件；材料：铜(tong)×65、锡(xi)×44、铁(tie)×34、木质精华(wood_essence)×4、铜质精华(copper_essence)×4、玄铁精华(xuan_tie_essence)×3、紫檀木(zitanmu)×8、水曲木(shuiqumu)×12、铁木(tiemu)×17、黑原石(heiyuanshi)×5、金刚煤(jingangmei)×8、刨子(paozi)×11、凿子(zaozi)×8、高炉(gaolu)×3、大地之石(earth_stone)×3、纯水之石(water_stone)×2；图纸来源：随机紫色装备图纸；1800竞技币；每日限1次；19张同品质图纸均匀随机</t>
        </is>
      </c>
      <c r="E319" s="3" t="inlineStr">
        <is>
          <t>data/forge_blueprints.yaml; data/arena_rewards.yaml</t>
        </is>
      </c>
    </row>
    <row r="320">
      <c r="A320" s="3" t="inlineStr">
        <is>
          <t>equip_muniuliuma</t>
        </is>
      </c>
      <c r="B320" s="3" t="inlineStr">
        <is>
          <t>木牛流马</t>
        </is>
      </c>
      <c r="C320" s="3" t="inlineStr">
        <is>
          <t>图纸合成（乱舞器械图纸随机兑换）</t>
        </is>
      </c>
      <c r="D320" s="3" t="inlineStr">
        <is>
          <t>消耗图纸木牛流马图纸(blueprint_muniuliuma)×1；锻造技10级；每次产出1件；材料：铜(tong)×65、锡(xi)×44、铁(tie)×34、木质精华(wood_essence)×4、铜质精华(copper_essence)×4、玄铁精华(xuan_tie_essence)×3、紫檀木(zitanmu)×8、水曲木(shuiqumu)×12、铁木(tiemu)×17、黑原石(heiyuanshi)×5、金刚煤(jingangmei)×8、刨子(paozi)×11、凿子(zaozi)×8、高炉(gaolu)×3、大地之石(earth_stone)×3、纯水之石(water_stone)×2；图纸来源：10 春秋币；14张器械图纸均匀随机；图纸及产物模板需已初始化</t>
        </is>
      </c>
      <c r="E320" s="3" t="inlineStr">
        <is>
          <t>data/forge_blueprints.yaml; data/luanwu_shop.yaml; gameplay/services/luanwu_shop.py</t>
        </is>
      </c>
    </row>
    <row r="321">
      <c r="A321" s="3" t="inlineStr">
        <is>
          <t>equip_taotieding</t>
        </is>
      </c>
      <c r="B321" s="3" t="inlineStr">
        <is>
          <t>饕餮鼎</t>
        </is>
      </c>
      <c r="C321" s="3" t="inlineStr">
        <is>
          <t>图纸合成（竞技场随机图纸兑换）</t>
        </is>
      </c>
      <c r="D321" s="3" t="inlineStr">
        <is>
          <t>消耗图纸饕餮鼎图纸(blueprint_taotieding)×1；锻造技10级；每次产出1件；材料：铜(tong)×72、锡(xi)×48、铁(tie)×39、木质精华(wood_essence)×3、铜质精华(copper_essence)×4、玄铁精华(xuan_tie_essence)×3、铁木(tiemu)×12、黑原石(heiyuanshi)×18、金刚煤(jingangmei)×15、刨子(paozi)×3、凿子(zaozi)×12、高炉(gaolu)×4、纯水之石(water_stone)×2、大地之石(earth_stone)×3、火焰之石(fire_stone)×3；图纸来源：随机紫色装备图纸；1800竞技币；每日限1次；19张同品质图纸均匀随机</t>
        </is>
      </c>
      <c r="E321" s="3" t="inlineStr">
        <is>
          <t>data/forge_blueprints.yaml; data/arena_rewards.yaml</t>
        </is>
      </c>
    </row>
    <row r="322">
      <c r="A322" s="3" t="inlineStr">
        <is>
          <t>equip_taotieding</t>
        </is>
      </c>
      <c r="B322" s="3" t="inlineStr">
        <is>
          <t>饕餮鼎</t>
        </is>
      </c>
      <c r="C322" s="3" t="inlineStr">
        <is>
          <t>图纸合成（乱舞器械图纸随机兑换）</t>
        </is>
      </c>
      <c r="D322" s="3" t="inlineStr">
        <is>
          <t>消耗图纸饕餮鼎图纸(blueprint_taotieding)×1；锻造技10级；每次产出1件；材料：铜(tong)×72、锡(xi)×48、铁(tie)×39、木质精华(wood_essence)×3、铜质精华(copper_essence)×4、玄铁精华(xuan_tie_essence)×3、铁木(tiemu)×12、黑原石(heiyuanshi)×18、金刚煤(jingangmei)×15、刨子(paozi)×3、凿子(zaozi)×12、高炉(gaolu)×4、纯水之石(water_stone)×2、大地之石(earth_stone)×3、火焰之石(fire_stone)×3；图纸来源：10 春秋币；14张器械图纸均匀随机；图纸及产物模板需已初始化</t>
        </is>
      </c>
      <c r="E322" s="3" t="inlineStr">
        <is>
          <t>data/forge_blueprints.yaml; data/luanwu_shop.yaml; gameplay/services/luanwu_shop.py</t>
        </is>
      </c>
    </row>
    <row r="323">
      <c r="A323" s="3" t="inlineStr">
        <is>
          <t>equip_xuanwujigui</t>
        </is>
      </c>
      <c r="B323" s="3" t="inlineStr">
        <is>
          <t>玄武机龟</t>
        </is>
      </c>
      <c r="C323" s="3" t="inlineStr">
        <is>
          <t>图纸合成（竞技场随机图纸兑换）</t>
        </is>
      </c>
      <c r="D323" s="3" t="inlineStr">
        <is>
          <t>消耗图纸玄武机龟图纸(blueprint_xuanwujigui)×1；锻造技10级；每次产出1件；材料：铜(tong)×75、锡(xi)×51、铁(tie)×41、木质精华(wood_essence)×3、铜质精华(copper_essence)×4、玄铁精华(xuan_tie_essence)×3、紫檀木(zitanmu)×3、铁木(tiemu)×14、黑原石(heiyuanshi)×17、金刚煤(jingangmei)×11、刨子(paozi)×5、凿子(zaozi)×11、高炉(gaolu)×4、纯水之石(water_stone)×3、大地之石(earth_stone)×3；图纸来源：随机紫色装备图纸；1800竞技币；每日限1次；19张同品质图纸均匀随机</t>
        </is>
      </c>
      <c r="E323" s="3" t="inlineStr">
        <is>
          <t>data/forge_blueprints.yaml; data/arena_rewards.yaml</t>
        </is>
      </c>
    </row>
    <row r="324">
      <c r="A324" s="3" t="inlineStr">
        <is>
          <t>equip_xuanwujigui</t>
        </is>
      </c>
      <c r="B324" s="3" t="inlineStr">
        <is>
          <t>玄武机龟</t>
        </is>
      </c>
      <c r="C324" s="3" t="inlineStr">
        <is>
          <t>图纸合成（乱舞器械图纸随机兑换）</t>
        </is>
      </c>
      <c r="D324" s="3" t="inlineStr">
        <is>
          <t>消耗图纸玄武机龟图纸(blueprint_xuanwujigui)×1；锻造技10级；每次产出1件；材料：铜(tong)×75、锡(xi)×51、铁(tie)×41、木质精华(wood_essence)×3、铜质精华(copper_essence)×4、玄铁精华(xuan_tie_essence)×3、紫檀木(zitanmu)×3、铁木(tiemu)×14、黑原石(heiyuanshi)×17、金刚煤(jingangmei)×11、刨子(paozi)×5、凿子(zaozi)×11、高炉(gaolu)×4、纯水之石(water_stone)×3、大地之石(earth_stone)×3；图纸来源：10 春秋币；14张器械图纸均匀随机；图纸及产物模板需已初始化</t>
        </is>
      </c>
      <c r="E324" s="3" t="inlineStr">
        <is>
          <t>data/forge_blueprints.yaml; data/luanwu_shop.yaml; gameplay/services/luanwu_shop.py</t>
        </is>
      </c>
    </row>
    <row r="325">
      <c r="A325" s="3" t="inlineStr">
        <is>
          <t>equip_huangjinzhijiaodoushi</t>
        </is>
      </c>
      <c r="B325" s="3" t="inlineStr">
        <is>
          <t>黄金之角斗士</t>
        </is>
      </c>
      <c r="C325" s="3" t="inlineStr">
        <is>
          <t>竞技场固定兑换</t>
        </is>
      </c>
      <c r="D325" s="3" t="inlineStr">
        <is>
          <t>黄金之角斗士（arena_gold_gladiator_device）；花费2000竞技币；每周限1次；数量1</t>
        </is>
      </c>
      <c r="E325" s="3" t="inlineStr">
        <is>
          <t>data/arena_rewards.yaml</t>
        </is>
      </c>
    </row>
    <row r="326">
      <c r="A326" s="3" t="inlineStr">
        <is>
          <t>equip_chixiaojifeng</t>
        </is>
      </c>
      <c r="B326" s="3" t="inlineStr">
        <is>
          <t>赤霄机凤</t>
        </is>
      </c>
      <c r="C326" s="3" t="inlineStr">
        <is>
          <t>图纸合成（帮会图纸领取）</t>
        </is>
      </c>
      <c r="D326" s="3" t="inlineStr">
        <is>
          <t>消耗图纸赤霄机凤图纸(blueprint_chixiaojifeng)×1；锻造技10级；每次产出1件；材料：铜(tong)×106、锡(xi)×70、铁(tie)×56、玄铁精华(xuan_tie_essence)×4、紫檀木(zitanmu)×15、水曲木(shuiqumu)×10、铁木(tiemu)×20、黑原石(heiyuanshi)×22、金刚煤(jingangmei)×22、刨子(paozi)×9、凿子(zaozi)×15、高炉(gaolu)×8、火焰之石(fire_stone)×5、空气之石(air_stone)×3；图纸来源：本周贡献大于0且有效帮会成员；orange图纸每周共享领取上限1</t>
        </is>
      </c>
      <c r="E326" s="3" t="inlineStr">
        <is>
          <t>data/forge_blueprints.yaml; data/guild_rules.yaml; guilds/services/blueprint_rewards.py</t>
        </is>
      </c>
    </row>
    <row r="327">
      <c r="A327" s="3" t="inlineStr">
        <is>
          <t>equip_chixiaojifeng</t>
        </is>
      </c>
      <c r="B327" s="3" t="inlineStr">
        <is>
          <t>赤霄机凤</t>
        </is>
      </c>
      <c r="C327" s="3" t="inlineStr">
        <is>
          <t>图纸合成（协作竞技场图纸掉落）</t>
        </is>
      </c>
      <c r="D327" s="3" t="inlineStr">
        <is>
          <t>消耗图纸赤霄机凤图纸(blueprint_chixiaojifeng)×1；锻造技10级；每次产出1件；材料：铜(tong)×106、锡(xi)×70、铁(tie)×56、玄铁精华(xuan_tie_essence)×4、紫檀木(zitanmu)×15、水曲木(shuiqumu)×10、铁木(tiemu)×20、黑原石(heiyuanshi)×22、金刚煤(jingangmei)×22、刨子(paozi)×9、凿子(zaozi)×15、高炉(gaolu)×8、火焰之石(fire_stone)×5、空气之石(air_stone)×3；图纸来源：总掉落概率4%；该图纸概率1.333333%；要求通关且达到最低贡献（当前500bps=5%）</t>
        </is>
      </c>
      <c r="E327" s="3" t="inlineStr">
        <is>
          <t>data/forge_blueprints.yaml; data/arena_coop_rules.yaml</t>
        </is>
      </c>
    </row>
    <row r="328">
      <c r="A328" s="3" t="inlineStr">
        <is>
          <t>equip_chixiaojifeng</t>
        </is>
      </c>
      <c r="B328" s="3" t="inlineStr">
        <is>
          <t>赤霄机凤</t>
        </is>
      </c>
      <c r="C328" s="3" t="inlineStr">
        <is>
          <t>图纸合成（乱舞器械图纸随机兑换）</t>
        </is>
      </c>
      <c r="D328" s="3" t="inlineStr">
        <is>
          <t>消耗图纸赤霄机凤图纸(blueprint_chixiaojifeng)×1；锻造技10级；每次产出1件；材料：铜(tong)×106、锡(xi)×70、铁(tie)×56、玄铁精华(xuan_tie_essence)×4、紫檀木(zitanmu)×15、水曲木(shuiqumu)×10、铁木(tiemu)×20、黑原石(heiyuanshi)×22、金刚煤(jingangmei)×22、刨子(paozi)×9、凿子(zaozi)×15、高炉(gaolu)×8、火焰之石(fire_stone)×5、空气之石(air_stone)×3；图纸来源：10 春秋币；14张器械图纸均匀随机；图纸及产物模板需已初始化</t>
        </is>
      </c>
      <c r="E328" s="3" t="inlineStr">
        <is>
          <t>data/forge_blueprints.yaml; data/luanwu_shop.yaml; gameplay/services/luanwu_shop.py</t>
        </is>
      </c>
    </row>
    <row r="329">
      <c r="A329" s="3" t="inlineStr">
        <is>
          <t>equip_feiyuan</t>
        </is>
      </c>
      <c r="B329" s="3" t="inlineStr">
        <is>
          <t>飞鸢</t>
        </is>
      </c>
      <c r="C329" s="3" t="inlineStr">
        <is>
          <t>图纸合成（帮会图纸领取）</t>
        </is>
      </c>
      <c r="D329" s="3" t="inlineStr">
        <is>
          <t>消耗图纸飞鸢图纸(blueprint_feiyuan)×1；锻造技10级；每次产出1件；材料：铜(tong)×101、锡(xi)×68、铁(tie)×53、玄铁精华(xuan_tie_essence)×4、紫檀木(zitanmu)×17、水曲木(shuiqumu)×22、铁木(tiemu)×15、黑原石(heiyuanshi)×12、金刚煤(jingangmei)×12、刨子(paozi)×15、凿子(zaozi)×9、高炉(gaolu)×7、空气之石(air_stone)×4、火焰之石(fire_stone)×3；图纸来源：本周贡献大于0且有效帮会成员；orange图纸每周共享领取上限1</t>
        </is>
      </c>
      <c r="E329" s="3" t="inlineStr">
        <is>
          <t>data/forge_blueprints.yaml; data/guild_rules.yaml; guilds/services/blueprint_rewards.py</t>
        </is>
      </c>
    </row>
    <row r="330">
      <c r="A330" s="3" t="inlineStr">
        <is>
          <t>equip_feiyuan</t>
        </is>
      </c>
      <c r="B330" s="3" t="inlineStr">
        <is>
          <t>飞鸢</t>
        </is>
      </c>
      <c r="C330" s="3" t="inlineStr">
        <is>
          <t>图纸合成（协作竞技场图纸掉落）</t>
        </is>
      </c>
      <c r="D330" s="3" t="inlineStr">
        <is>
          <t>消耗图纸飞鸢图纸(blueprint_feiyuan)×1；锻造技10级；每次产出1件；材料：铜(tong)×101、锡(xi)×68、铁(tie)×53、玄铁精华(xuan_tie_essence)×4、紫檀木(zitanmu)×17、水曲木(shuiqumu)×22、铁木(tiemu)×15、黑原石(heiyuanshi)×12、金刚煤(jingangmei)×12、刨子(paozi)×15、凿子(zaozi)×9、高炉(gaolu)×7、空气之石(air_stone)×4、火焰之石(fire_stone)×3；图纸来源：总掉落概率4%；该图纸概率1.333333%；要求通关且达到最低贡献（当前500bps=5%）</t>
        </is>
      </c>
      <c r="E330" s="3" t="inlineStr">
        <is>
          <t>data/forge_blueprints.yaml; data/arena_coop_rules.yaml</t>
        </is>
      </c>
    </row>
    <row r="331">
      <c r="A331" s="3" t="inlineStr">
        <is>
          <t>equip_feiyuan</t>
        </is>
      </c>
      <c r="B331" s="3" t="inlineStr">
        <is>
          <t>飞鸢</t>
        </is>
      </c>
      <c r="C331" s="3" t="inlineStr">
        <is>
          <t>图纸合成（乱舞器械图纸随机兑换）</t>
        </is>
      </c>
      <c r="D331" s="3" t="inlineStr">
        <is>
          <t>消耗图纸飞鸢图纸(blueprint_feiyuan)×1；锻造技10级；每次产出1件；材料：铜(tong)×101、锡(xi)×68、铁(tie)×53、玄铁精华(xuan_tie_essence)×4、紫檀木(zitanmu)×17、水曲木(shuiqumu)×22、铁木(tiemu)×15、黑原石(heiyuanshi)×12、金刚煤(jingangmei)×12、刨子(paozi)×15、凿子(zaozi)×9、高炉(gaolu)×7、空气之石(air_stone)×4、火焰之石(fire_stone)×3；图纸来源：10 春秋币；14张器械图纸均匀随机；图纸及产物模板需已初始化</t>
        </is>
      </c>
      <c r="E331" s="3" t="inlineStr">
        <is>
          <t>data/forge_blueprints.yaml; data/luanwu_shop.yaml; gameplay/services/luanwu_shop.py</t>
        </is>
      </c>
    </row>
    <row r="332">
      <c r="A332" s="3" t="inlineStr">
        <is>
          <t>equip_mojiajiguanren</t>
        </is>
      </c>
      <c r="B332" s="3" t="inlineStr">
        <is>
          <t>墨家机关人</t>
        </is>
      </c>
      <c r="C332" s="3" t="inlineStr">
        <is>
          <t>图纸合成（帮会图纸领取）</t>
        </is>
      </c>
      <c r="D332" s="3" t="inlineStr">
        <is>
          <t>消耗图纸墨家机关人图纸(blueprint_mojiajiguanren)×1；锻造技10级；每次产出1件；材料：铜(tong)×116、锡(xi)×77、铁(tie)×63、玄铁精华(xuan_tie_essence)×5、紫檀木(zitanmu)×15、水曲木(shuiqumu)×10、铁木(tiemu)×27、黑原石(heiyuanshi)×29、金刚煤(jingangmei)×27、刨子(paozi)×12、凿子(zaozi)×20、高炉(gaolu)×10、大地之石(earth_stone)×3、火焰之石(fire_stone)×3、纯水之石(water_stone)×3；图纸来源：本周贡献大于0且有效帮会成员；orange图纸每周共享领取上限1</t>
        </is>
      </c>
      <c r="E332" s="3" t="inlineStr">
        <is>
          <t>data/forge_blueprints.yaml; data/guild_rules.yaml; guilds/services/blueprint_rewards.py</t>
        </is>
      </c>
    </row>
    <row r="333">
      <c r="A333" s="3" t="inlineStr">
        <is>
          <t>equip_mojiajiguanren</t>
        </is>
      </c>
      <c r="B333" s="3" t="inlineStr">
        <is>
          <t>墨家机关人</t>
        </is>
      </c>
      <c r="C333" s="3" t="inlineStr">
        <is>
          <t>图纸合成（协作竞技场图纸掉落）</t>
        </is>
      </c>
      <c r="D333" s="3" t="inlineStr">
        <is>
          <t>消耗图纸墨家机关人图纸(blueprint_mojiajiguanren)×1；锻造技10级；每次产出1件；材料：铜(tong)×116、锡(xi)×77、铁(tie)×63、玄铁精华(xuan_tie_essence)×5、紫檀木(zitanmu)×15、水曲木(shuiqumu)×10、铁木(tiemu)×27、黑原石(heiyuanshi)×29、金刚煤(jingangmei)×27、刨子(paozi)×12、凿子(zaozi)×20、高炉(gaolu)×10、大地之石(earth_stone)×3、火焰之石(fire_stone)×3、纯水之石(water_stone)×3；图纸来源：总掉落概率4%；该图纸概率1.333333%；要求通关且达到最低贡献（当前500bps=5%）</t>
        </is>
      </c>
      <c r="E333" s="3" t="inlineStr">
        <is>
          <t>data/forge_blueprints.yaml; data/arena_coop_rules.yaml</t>
        </is>
      </c>
    </row>
    <row r="334">
      <c r="A334" s="3" t="inlineStr">
        <is>
          <t>equip_mojiajiguanren</t>
        </is>
      </c>
      <c r="B334" s="3" t="inlineStr">
        <is>
          <t>墨家机关人</t>
        </is>
      </c>
      <c r="C334" s="3" t="inlineStr">
        <is>
          <t>图纸合成（乱舞器械图纸随机兑换）</t>
        </is>
      </c>
      <c r="D334" s="3" t="inlineStr">
        <is>
          <t>消耗图纸墨家机关人图纸(blueprint_mojiajiguanren)×1；锻造技10级；每次产出1件；材料：铜(tong)×116、锡(xi)×77、铁(tie)×63、玄铁精华(xuan_tie_essence)×5、紫檀木(zitanmu)×15、水曲木(shuiqumu)×10、铁木(tiemu)×27、黑原石(heiyuanshi)×29、金刚煤(jingangmei)×27、刨子(paozi)×12、凿子(zaozi)×20、高炉(gaolu)×10、大地之石(earth_stone)×3、火焰之石(fire_stone)×3、纯水之石(water_stone)×3；图纸来源：10 春秋币；14张器械图纸均匀随机；图纸及产物模板需已初始化</t>
        </is>
      </c>
      <c r="E334" s="3" t="inlineStr">
        <is>
          <t>data/forge_blueprints.yaml; data/luanwu_shop.yaml; gameplay/services/luanwu_shop.py</t>
        </is>
      </c>
    </row>
    <row r="335">
      <c r="A335" s="3" t="inlineStr">
        <is>
          <t>equip_action_mask</t>
        </is>
      </c>
      <c r="B335" s="3" t="inlineStr">
        <is>
          <t>动感超人面具</t>
        </is>
      </c>
      <c r="C335" s="3" t="inlineStr">
        <is>
          <t>任务宝箱装备</t>
        </is>
      </c>
      <c r="D335" s="3" t="inlineStr">
        <is>
          <t>任务：春日部大作战（kasukabe_daisakusen）；胜利得春日部大作战宝箱×1，在仓库开启；组概率39.000000%，权重10000/39000，单项概率10.000000%，数量1—1</t>
        </is>
      </c>
      <c r="E335" s="3" t="inlineStr">
        <is>
          <t>data/item_templates.yaml:mission_chest_v3_kasukabe_daisakusen.effect_payload</t>
        </is>
      </c>
    </row>
    <row r="336">
      <c r="A336" s="3" t="inlineStr">
        <is>
          <t>equip_shiro_leash</t>
        </is>
      </c>
      <c r="B336" s="3" t="inlineStr">
        <is>
          <t>小白的散步绳</t>
        </is>
      </c>
      <c r="C336" s="3" t="inlineStr">
        <is>
          <t>任务宝箱装备</t>
        </is>
      </c>
      <c r="D336" s="3" t="inlineStr">
        <is>
          <t>任务：春日部大作战（kasukabe_daisakusen）；胜利得春日部大作战宝箱×1，在仓库开启；组概率39.000000%，权重10000/39000，单项概率10.000000%，数量1—1</t>
        </is>
      </c>
      <c r="E336" s="3" t="inlineStr">
        <is>
          <t>data/item_templates.yaml:mission_chest_v3_kasukabe_daisakusen.effect_payload</t>
        </is>
      </c>
    </row>
    <row r="337">
      <c r="A337" s="3" t="inlineStr">
        <is>
          <t>equip_kasukabe_satchel</t>
        </is>
      </c>
      <c r="B337" s="3" t="inlineStr">
        <is>
          <t>春日部小书包</t>
        </is>
      </c>
      <c r="C337" s="3" t="inlineStr">
        <is>
          <t>任务宝箱装备</t>
        </is>
      </c>
      <c r="D337" s="3" t="inlineStr">
        <is>
          <t>任务：春日部大作战（kasukabe_daisakusen）；胜利得春日部大作战宝箱×1，在仓库开启；组概率39.000000%，权重8000/39000，单项概率8.000000%，数量1—1</t>
        </is>
      </c>
      <c r="E337" s="3" t="inlineStr">
        <is>
          <t>data/item_templates.yaml:mission_chest_v3_kasukabe_daisakusen.effect_payload</t>
        </is>
      </c>
    </row>
    <row r="338">
      <c r="A338" s="3" t="inlineStr">
        <is>
          <t>equip_action_beam_glove</t>
        </is>
      </c>
      <c r="B338" s="3" t="inlineStr">
        <is>
          <t>动感光波手套</t>
        </is>
      </c>
      <c r="C338" s="3" t="inlineStr">
        <is>
          <t>任务宝箱装备</t>
        </is>
      </c>
      <c r="D338" s="3" t="inlineStr">
        <is>
          <t>任务：春日部大作战（kasukabe_daisakusen）；胜利得春日部大作战宝箱×1，在仓库开启；组概率39.000000%，权重6000/39000，单项概率6.000000%，数量1—1</t>
        </is>
      </c>
      <c r="E338" s="3" t="inlineStr">
        <is>
          <t>data/item_templates.yaml:mission_chest_v3_kasukabe_daisakusen.effect_payload</t>
        </is>
      </c>
    </row>
    <row r="339">
      <c r="A339" s="3" t="inlineStr">
        <is>
          <t>equip_nohara_pan</t>
        </is>
      </c>
      <c r="B339" s="3" t="inlineStr">
        <is>
          <t>野原家的平底锅</t>
        </is>
      </c>
      <c r="C339" s="3" t="inlineStr">
        <is>
          <t>任务宝箱装备</t>
        </is>
      </c>
      <c r="D339" s="3" t="inlineStr">
        <is>
          <t>任务：春日部大作战（kasukabe_daisakusen）；胜利得春日部大作战宝箱×1，在仓库开启；组概率39.000000%，权重5000/39000，单项概率5.000000%，数量1—1</t>
        </is>
      </c>
      <c r="E339" s="3" t="inlineStr">
        <is>
          <t>data/item_templates.yaml:mission_chest_v3_kasukabe_daisakusen.effect_payload</t>
        </is>
      </c>
    </row>
    <row r="340">
      <c r="A340" s="3" t="inlineStr">
        <is>
          <t>equip_shushengzhesan</t>
        </is>
      </c>
      <c r="B340" s="3" t="inlineStr">
        <is>
          <t>书生折扇</t>
        </is>
      </c>
      <c r="C340" s="3" t="inlineStr">
        <is>
          <t>任务宝箱装备</t>
        </is>
      </c>
      <c r="D340" s="3" t="inlineStr">
        <is>
          <t>任务：华山论贱（huashan_lunjian）；胜利得华山论贱宝箱×1，在仓库开启；组概率60.000000%，权重1/2，单项概率30.000000%，数量1—1</t>
        </is>
      </c>
      <c r="E340" s="3" t="inlineStr">
        <is>
          <t>data/item_templates.yaml:mission_chest_v3_huashan_lunjian.effect_payload</t>
        </is>
      </c>
    </row>
    <row r="341">
      <c r="A341" s="3" t="inlineStr">
        <is>
          <t>equip_yanlingmao</t>
        </is>
      </c>
      <c r="B341" s="3" t="inlineStr">
        <is>
          <t>雁翎帽</t>
        </is>
      </c>
      <c r="C341" s="3" t="inlineStr">
        <is>
          <t>任务宝箱装备</t>
        </is>
      </c>
      <c r="D341" s="3" t="inlineStr">
        <is>
          <t>任务：华山论贱（huashan_lunjian）；胜利得华山论贱宝箱×1，在仓库开启；组概率60.000000%，权重1/2，单项概率30.000000%，数量1—1</t>
        </is>
      </c>
      <c r="E341" s="3" t="inlineStr">
        <is>
          <t>data/item_templates.yaml:mission_chest_v3_huashan_lunjian.effect_payload</t>
        </is>
      </c>
    </row>
    <row r="342">
      <c r="A342" s="3" t="inlineStr">
        <is>
          <t>equip_pojunhufu</t>
        </is>
      </c>
      <c r="B342" s="3" t="inlineStr">
        <is>
          <t>破军虎符</t>
        </is>
      </c>
      <c r="C342" s="3" t="inlineStr">
        <is>
          <t>任务宝箱装备</t>
        </is>
      </c>
      <c r="D342" s="3" t="inlineStr">
        <is>
          <t>任务：瓦岗寨的逆袭（wagangzhai_nixi）；胜利得瓦岗寨的逆袭宝箱×1，在仓库开启；组概率11.000000%，权重6/11，单项概率6.000000%，数量1—1</t>
        </is>
      </c>
      <c r="E342" s="3" t="inlineStr">
        <is>
          <t>data/item_templates.yaml:mission_chest_v3_wagangzhai_nixi.effect_payload</t>
        </is>
      </c>
    </row>
    <row r="343">
      <c r="A343" s="3" t="inlineStr">
        <is>
          <t>equip_xuanjiazhanju</t>
        </is>
      </c>
      <c r="B343" s="3" t="inlineStr">
        <is>
          <t>玄甲战驹</t>
        </is>
      </c>
      <c r="C343" s="3" t="inlineStr">
        <is>
          <t>任务宝箱装备</t>
        </is>
      </c>
      <c r="D343" s="3" t="inlineStr">
        <is>
          <t>任务：瓦岗寨的逆袭（wagangzhai_nixi）；胜利得瓦岗寨的逆袭宝箱×1，在仓库开启；组概率11.000000%，权重5/11，单项概率5.000000%，数量1—1</t>
        </is>
      </c>
      <c r="E343" s="3" t="inlineStr">
        <is>
          <t>data/item_templates.yaml:mission_chest_v3_wagangzhai_nixi.effect_payload</t>
        </is>
      </c>
    </row>
    <row r="344">
      <c r="A344" s="3" t="inlineStr">
        <is>
          <t>equip_feiyunzui</t>
        </is>
      </c>
      <c r="B344" s="3" t="inlineStr">
        <is>
          <t>飞云锥</t>
        </is>
      </c>
      <c r="C344" s="3" t="inlineStr">
        <is>
          <t>任务宝箱装备</t>
        </is>
      </c>
      <c r="D344" s="3" t="inlineStr">
        <is>
          <t>任务：瓦岗寨的逆袭（wagangzhai_nixi）；胜利得瓦岗寨的逆袭宝箱×1，在仓库开启；组概率34.000000%，权重10000/34000，单项概率10.000000%，数量1—1</t>
        </is>
      </c>
      <c r="E344" s="3" t="inlineStr">
        <is>
          <t>data/item_templates.yaml:mission_chest_v3_wagangzhai_nixi.effect_payload</t>
        </is>
      </c>
    </row>
    <row r="345">
      <c r="A345" s="3" t="inlineStr">
        <is>
          <t>equip_xuantiekui</t>
        </is>
      </c>
      <c r="B345" s="3" t="inlineStr">
        <is>
          <t>玄铁盔</t>
        </is>
      </c>
      <c r="C345" s="3" t="inlineStr">
        <is>
          <t>任务宝箱装备</t>
        </is>
      </c>
      <c r="D345" s="3" t="inlineStr">
        <is>
          <t>任务：瓦岗寨的逆袭（wagangzhai_nixi）；胜利得瓦岗寨的逆袭宝箱×1，在仓库开启；组概率34.000000%，权重7000/34000，单项概率7.000000%，数量1—1</t>
        </is>
      </c>
      <c r="E345" s="3" t="inlineStr">
        <is>
          <t>data/item_templates.yaml:mission_chest_v3_wagangzhai_nixi.effect_payload</t>
        </is>
      </c>
    </row>
    <row r="346">
      <c r="A346" s="3" t="inlineStr">
        <is>
          <t>equip_hantiekui</t>
        </is>
      </c>
      <c r="B346" s="3" t="inlineStr">
        <is>
          <t>寒铁盔</t>
        </is>
      </c>
      <c r="C346" s="3" t="inlineStr">
        <is>
          <t>任务宝箱装备</t>
        </is>
      </c>
      <c r="D346" s="3" t="inlineStr">
        <is>
          <t>任务：瓦岗寨的逆袭（wagangzhai_nixi）；胜利得瓦岗寨的逆袭宝箱×1，在仓库开启；组概率34.000000%，权重6000/34000，单项概率6.000000%，数量1—1</t>
        </is>
      </c>
      <c r="E346" s="3" t="inlineStr">
        <is>
          <t>data/item_templates.yaml:mission_chest_v3_wagangzhai_nixi.effect_payload</t>
        </is>
      </c>
    </row>
    <row r="347">
      <c r="A347" s="3" t="inlineStr">
        <is>
          <t>equip_wujinjia</t>
        </is>
      </c>
      <c r="B347" s="3" t="inlineStr">
        <is>
          <t>乌金甲</t>
        </is>
      </c>
      <c r="C347" s="3" t="inlineStr">
        <is>
          <t>任务宝箱装备</t>
        </is>
      </c>
      <c r="D347" s="3" t="inlineStr">
        <is>
          <t>任务：瓦岗寨的逆袭（wagangzhai_nixi）；胜利得瓦岗寨的逆袭宝箱×1，在仓库开启；组概率34.000000%，权重6000/34000，单项概率6.000000%，数量1—1</t>
        </is>
      </c>
      <c r="E347" s="3" t="inlineStr">
        <is>
          <t>data/item_templates.yaml:mission_chest_v3_wagangzhai_nixi.effect_payload</t>
        </is>
      </c>
    </row>
    <row r="348">
      <c r="A348" s="3" t="inlineStr">
        <is>
          <t>equip_linwenzhanjia</t>
        </is>
      </c>
      <c r="B348" s="3" t="inlineStr">
        <is>
          <t>鳞纹战甲</t>
        </is>
      </c>
      <c r="C348" s="3" t="inlineStr">
        <is>
          <t>任务宝箱装备</t>
        </is>
      </c>
      <c r="D348" s="3" t="inlineStr">
        <is>
          <t>任务：瓦岗寨的逆袭（wagangzhai_nixi）；胜利得瓦岗寨的逆袭宝箱×1，在仓库开启；组概率34.000000%，权重5000/34000，单项概率5.000000%，数量1—1</t>
        </is>
      </c>
      <c r="E348" s="3" t="inlineStr">
        <is>
          <t>data/item_templates.yaml:mission_chest_v3_wagangzhai_nixi.effect_payload</t>
        </is>
      </c>
    </row>
    <row r="349">
      <c r="A349" s="3" t="inlineStr">
        <is>
          <t>equip_hupixue</t>
        </is>
      </c>
      <c r="B349" s="3" t="inlineStr">
        <is>
          <t>虎皮靴</t>
        </is>
      </c>
      <c r="C349" s="3" t="inlineStr">
        <is>
          <t>任务宝箱装备</t>
        </is>
      </c>
      <c r="D349" s="3" t="inlineStr">
        <is>
          <t>任务：景阳冈（jingyanggang）；胜利得景阳冈宝箱×1，在仓库开启；组概率50.000000%，权重1/2，单项概率25.000000%，数量1—1</t>
        </is>
      </c>
      <c r="E349" s="3" t="inlineStr">
        <is>
          <t>data/item_templates.yaml:mission_chest_v3_jingyanggang.effect_payload</t>
        </is>
      </c>
    </row>
    <row r="350">
      <c r="A350" s="3" t="inlineStr">
        <is>
          <t>equip_huwenkui</t>
        </is>
      </c>
      <c r="B350" s="3" t="inlineStr">
        <is>
          <t>虎纹盔</t>
        </is>
      </c>
      <c r="C350" s="3" t="inlineStr">
        <is>
          <t>任务宝箱装备</t>
        </is>
      </c>
      <c r="D350" s="3" t="inlineStr">
        <is>
          <t>任务：景阳冈（jingyanggang）；胜利得景阳冈宝箱×1，在仓库开启；组概率50.000000%，权重1/2，单项概率25.000000%，数量1—1</t>
        </is>
      </c>
      <c r="E350" s="3" t="inlineStr">
        <is>
          <t>data/item_templates.yaml:mission_chest_v3_jingyanggang.effect_payload</t>
        </is>
      </c>
    </row>
    <row r="351">
      <c r="A351" s="3" t="inlineStr">
        <is>
          <t>equip_baoutoukui</t>
        </is>
      </c>
      <c r="B351" s="3" t="inlineStr">
        <is>
          <t>豹头盔</t>
        </is>
      </c>
      <c r="C351" s="3" t="inlineStr">
        <is>
          <t>任务宝箱装备</t>
        </is>
      </c>
      <c r="D351" s="3" t="inlineStr">
        <is>
          <t>任务：乌龙山（wulongshan）；胜利得乌龙山宝箱×1，在仓库开启；组概率70.000000%，权重1/4，单项概率17.500000%，数量1—1</t>
        </is>
      </c>
      <c r="E351" s="3" t="inlineStr">
        <is>
          <t>data/item_templates.yaml:mission_chest_v3_wulongshan.effect_payload</t>
        </is>
      </c>
    </row>
    <row r="352">
      <c r="A352" s="3" t="inlineStr">
        <is>
          <t>equip_tiegugun</t>
        </is>
      </c>
      <c r="B352" s="3" t="inlineStr">
        <is>
          <t>铁骨棍</t>
        </is>
      </c>
      <c r="C352" s="3" t="inlineStr">
        <is>
          <t>任务宝箱装备</t>
        </is>
      </c>
      <c r="D352" s="3" t="inlineStr">
        <is>
          <t>任务：乌龙山（wulongshan）；胜利得乌龙山宝箱×1，在仓库开启；组概率70.000000%，权重1/4，单项概率17.500000%，数量1—1</t>
        </is>
      </c>
      <c r="E352" s="3" t="inlineStr">
        <is>
          <t>data/item_templates.yaml:mission_chest_v3_wulongshan.effect_payload</t>
        </is>
      </c>
    </row>
    <row r="353">
      <c r="A353" s="3" t="inlineStr">
        <is>
          <t>equip_youxiaxue</t>
        </is>
      </c>
      <c r="B353" s="3" t="inlineStr">
        <is>
          <t>游侠靴</t>
        </is>
      </c>
      <c r="C353" s="3" t="inlineStr">
        <is>
          <t>任务宝箱装备</t>
        </is>
      </c>
      <c r="D353" s="3" t="inlineStr">
        <is>
          <t>任务：乌龙山（wulongshan）；胜利得乌龙山宝箱×1，在仓库开启；组概率70.000000%，权重1/4，单项概率17.500000%，数量1—1</t>
        </is>
      </c>
      <c r="E353" s="3" t="inlineStr">
        <is>
          <t>data/item_templates.yaml:mission_chest_v3_wulongshan.effect_payload</t>
        </is>
      </c>
    </row>
    <row r="354">
      <c r="A354" s="3" t="inlineStr">
        <is>
          <t>equip_mengguma</t>
        </is>
      </c>
      <c r="B354" s="3" t="inlineStr">
        <is>
          <t>蒙古马</t>
        </is>
      </c>
      <c r="C354" s="3" t="inlineStr">
        <is>
          <t>任务宝箱装备</t>
        </is>
      </c>
      <c r="D354" s="3" t="inlineStr">
        <is>
          <t>任务：乌龙山（wulongshan）；胜利得乌龙山宝箱×1，在仓库开启；组概率70.000000%，权重1/4，单项概率17.500000%，数量1—1</t>
        </is>
      </c>
      <c r="E354" s="3" t="inlineStr">
        <is>
          <t>data/item_templates.yaml:mission_chest_v3_wulongshan.effect_payload</t>
        </is>
      </c>
    </row>
    <row r="355">
      <c r="A355" s="3" t="inlineStr">
        <is>
          <t>equip_suozijia</t>
        </is>
      </c>
      <c r="B355" s="3" t="inlineStr">
        <is>
          <t>锁子甲</t>
        </is>
      </c>
      <c r="C355" s="3" t="inlineStr">
        <is>
          <t>任务宝箱装备</t>
        </is>
      </c>
      <c r="D355" s="3" t="inlineStr">
        <is>
          <t>任务：瓦岗寨（wagangzhai）；胜利得瓦岗寨宝箱×1，在仓库开启；组概率75.000000%，权重1/9，单项概率8.333333%，数量1—1</t>
        </is>
      </c>
      <c r="E355" s="3" t="inlineStr">
        <is>
          <t>data/item_templates.yaml:mission_chest_v3_wagangzhai.effect_payload</t>
        </is>
      </c>
    </row>
    <row r="356">
      <c r="A356" s="3" t="inlineStr">
        <is>
          <t>equip_shanwenjia</t>
        </is>
      </c>
      <c r="B356" s="3" t="inlineStr">
        <is>
          <t>山纹甲</t>
        </is>
      </c>
      <c r="C356" s="3" t="inlineStr">
        <is>
          <t>任务宝箱装备</t>
        </is>
      </c>
      <c r="D356" s="3" t="inlineStr">
        <is>
          <t>任务：瓦岗寨（wagangzhai）；胜利得瓦岗寨宝箱×1，在仓库开启；组概率75.000000%，权重1/9，单项概率8.333333%，数量1—1</t>
        </is>
      </c>
      <c r="E356" s="3" t="inlineStr">
        <is>
          <t>data/item_templates.yaml:mission_chest_v3_wagangzhai.effect_payload</t>
        </is>
      </c>
    </row>
    <row r="357">
      <c r="A357" s="3" t="inlineStr">
        <is>
          <t>equip_tiexianjia</t>
        </is>
      </c>
      <c r="B357" s="3" t="inlineStr">
        <is>
          <t>铁线甲</t>
        </is>
      </c>
      <c r="C357" s="3" t="inlineStr">
        <is>
          <t>任务宝箱装备</t>
        </is>
      </c>
      <c r="D357" s="3" t="inlineStr">
        <is>
          <t>任务：瓦岗寨（wagangzhai）；胜利得瓦岗寨宝箱×1，在仓库开启；组概率75.000000%，权重1/9，单项概率8.333333%，数量1—1</t>
        </is>
      </c>
      <c r="E357" s="3" t="inlineStr">
        <is>
          <t>data/item_templates.yaml:mission_chest_v3_wagangzhai.effect_payload</t>
        </is>
      </c>
    </row>
    <row r="358">
      <c r="A358" s="3" t="inlineStr">
        <is>
          <t>equip_pofengji</t>
        </is>
      </c>
      <c r="B358" s="3" t="inlineStr">
        <is>
          <t>破风戟</t>
        </is>
      </c>
      <c r="C358" s="3" t="inlineStr">
        <is>
          <t>任务宝箱装备</t>
        </is>
      </c>
      <c r="D358" s="3" t="inlineStr">
        <is>
          <t>任务：瓦岗寨（wagangzhai）；胜利得瓦岗寨宝箱×1，在仓库开启；组概率75.000000%，权重1/9，单项概率8.333333%，数量1—1</t>
        </is>
      </c>
      <c r="E358" s="3" t="inlineStr">
        <is>
          <t>data/item_templates.yaml:mission_chest_v3_wagangzhai.effect_payload</t>
        </is>
      </c>
    </row>
    <row r="359">
      <c r="A359" s="3" t="inlineStr">
        <is>
          <t>equip_tongshanchui</t>
        </is>
      </c>
      <c r="B359" s="3" t="inlineStr">
        <is>
          <t>铜山锤</t>
        </is>
      </c>
      <c r="C359" s="3" t="inlineStr">
        <is>
          <t>任务宝箱装备</t>
        </is>
      </c>
      <c r="D359" s="3" t="inlineStr">
        <is>
          <t>任务：瓦岗寨（wagangzhai）；胜利得瓦岗寨宝箱×1，在仓库开启；组概率75.000000%，权重1/9，单项概率8.333333%，数量1—1</t>
        </is>
      </c>
      <c r="E359" s="3" t="inlineStr">
        <is>
          <t>data/item_templates.yaml:mission_chest_v3_wagangzhai.effect_payload</t>
        </is>
      </c>
    </row>
    <row r="360">
      <c r="A360" s="3" t="inlineStr">
        <is>
          <t>equip_tiehufu</t>
        </is>
      </c>
      <c r="B360" s="3" t="inlineStr">
        <is>
          <t>铁护符</t>
        </is>
      </c>
      <c r="C360" s="3" t="inlineStr">
        <is>
          <t>任务宝箱装备</t>
        </is>
      </c>
      <c r="D360" s="3" t="inlineStr">
        <is>
          <t>任务：瓦岗寨（wagangzhai）；胜利得瓦岗寨宝箱×1，在仓库开启；组概率75.000000%，权重1/9，单项概率8.333333%，数量1—1</t>
        </is>
      </c>
      <c r="E360" s="3" t="inlineStr">
        <is>
          <t>data/item_templates.yaml:mission_chest_v3_wagangzhai.effect_payload</t>
        </is>
      </c>
    </row>
    <row r="361">
      <c r="A361" s="3" t="inlineStr">
        <is>
          <t>equip_yiqiyaopai</t>
        </is>
      </c>
      <c r="B361" s="3" t="inlineStr">
        <is>
          <t>义气腰牌</t>
        </is>
      </c>
      <c r="C361" s="3" t="inlineStr">
        <is>
          <t>任务宝箱装备</t>
        </is>
      </c>
      <c r="D361" s="3" t="inlineStr">
        <is>
          <t>任务：瓦岗寨（wagangzhai）；胜利得瓦岗寨宝箱×1，在仓库开启；组概率75.000000%，权重1/9，单项概率8.333333%，数量1—1</t>
        </is>
      </c>
      <c r="E361" s="3" t="inlineStr">
        <is>
          <t>data/item_templates.yaml:mission_chest_v3_wagangzhai.effect_payload</t>
        </is>
      </c>
    </row>
    <row r="362">
      <c r="A362" s="3" t="inlineStr">
        <is>
          <t>equip_xiliangma</t>
        </is>
      </c>
      <c r="B362" s="3" t="inlineStr">
        <is>
          <t>西凉马</t>
        </is>
      </c>
      <c r="C362" s="3" t="inlineStr">
        <is>
          <t>任务宝箱装备</t>
        </is>
      </c>
      <c r="D362" s="3" t="inlineStr">
        <is>
          <t>任务：瓦岗寨（wagangzhai）；胜利得瓦岗寨宝箱×1，在仓库开启；组概率75.000000%，权重1/9，单项概率8.333333%，数量1—1</t>
        </is>
      </c>
      <c r="E362" s="3" t="inlineStr">
        <is>
          <t>data/item_templates.yaml:mission_chest_v3_wagangzhai.effect_payload</t>
        </is>
      </c>
    </row>
    <row r="363">
      <c r="A363" s="3" t="inlineStr">
        <is>
          <t>equip_chibiao</t>
        </is>
      </c>
      <c r="B363" s="3" t="inlineStr">
        <is>
          <t>赤骠</t>
        </is>
      </c>
      <c r="C363" s="3" t="inlineStr">
        <is>
          <t>任务宝箱装备</t>
        </is>
      </c>
      <c r="D363" s="3" t="inlineStr">
        <is>
          <t>任务：瓦岗寨（wagangzhai）；胜利得瓦岗寨宝箱×1，在仓库开启；组概率75.000000%，权重1/9，单项概率8.333333%，数量1—1</t>
        </is>
      </c>
      <c r="E363" s="3" t="inlineStr">
        <is>
          <t>data/item_templates.yaml:mission_chest_v3_wagangzhai.effect_payload</t>
        </is>
      </c>
    </row>
    <row r="364">
      <c r="A364" s="3" t="inlineStr">
        <is>
          <t>equip_yupei</t>
        </is>
      </c>
      <c r="B364" s="3" t="inlineStr">
        <is>
          <t>玉佩</t>
        </is>
      </c>
      <c r="C364" s="3" t="inlineStr">
        <is>
          <t>任务宝箱装备</t>
        </is>
      </c>
      <c r="D364" s="3" t="inlineStr">
        <is>
          <t>任务：富贵山庄（fugui_shanzhuang）；胜利得富贵山庄宝箱×1，在仓库开启；组概率80.000000%，权重1/4，单项概率20.000000%，数量1—1</t>
        </is>
      </c>
      <c r="E364" s="3" t="inlineStr">
        <is>
          <t>data/item_templates.yaml:mission_chest_v3_fugui_shanzhuang.effect_payload</t>
        </is>
      </c>
    </row>
    <row r="365">
      <c r="A365" s="3" t="inlineStr">
        <is>
          <t>equip_fudai</t>
        </is>
      </c>
      <c r="B365" s="3" t="inlineStr">
        <is>
          <t>福袋</t>
        </is>
      </c>
      <c r="C365" s="3" t="inlineStr">
        <is>
          <t>任务宝箱装备</t>
        </is>
      </c>
      <c r="D365" s="3" t="inlineStr">
        <is>
          <t>任务：富贵山庄（fugui_shanzhuang）；胜利得富贵山庄宝箱×1，在仓库开启；组概率80.000000%，权重1/4，单项概率20.000000%，数量1—1</t>
        </is>
      </c>
      <c r="E365" s="3" t="inlineStr">
        <is>
          <t>data/item_templates.yaml:mission_chest_v3_fugui_shanzhuang.effect_payload</t>
        </is>
      </c>
    </row>
    <row r="366">
      <c r="A366" s="3" t="inlineStr">
        <is>
          <t>equip_zhujian</t>
        </is>
      </c>
      <c r="B366" s="3" t="inlineStr">
        <is>
          <t>竹简</t>
        </is>
      </c>
      <c r="C366" s="3" t="inlineStr">
        <is>
          <t>任务宝箱装备</t>
        </is>
      </c>
      <c r="D366" s="3" t="inlineStr">
        <is>
          <t>任务：富贵山庄（fugui_shanzhuang）；胜利得富贵山庄宝箱×1，在仓库开启；组概率80.000000%，权重1/4，单项概率20.000000%，数量1—1</t>
        </is>
      </c>
      <c r="E366" s="3" t="inlineStr">
        <is>
          <t>data/item_templates.yaml:mission_chest_v3_fugui_shanzhuang.effect_payload</t>
        </is>
      </c>
    </row>
    <row r="367">
      <c r="A367" s="3" t="inlineStr">
        <is>
          <t>equip_moyuyan</t>
        </is>
      </c>
      <c r="B367" s="3" t="inlineStr">
        <is>
          <t>墨玉砚</t>
        </is>
      </c>
      <c r="C367" s="3" t="inlineStr">
        <is>
          <t>任务宝箱装备</t>
        </is>
      </c>
      <c r="D367" s="3" t="inlineStr">
        <is>
          <t>任务：富贵山庄（fugui_shanzhuang）；胜利得富贵山庄宝箱×1，在仓库开启；组概率80.000000%，权重1/4，单项概率20.000000%，数量1—1</t>
        </is>
      </c>
      <c r="E367" s="3" t="inlineStr">
        <is>
          <t>data/item_templates.yaml:mission_chest_v3_fugui_shanzhuang.effect_payload</t>
        </is>
      </c>
    </row>
    <row r="368">
      <c r="A368" s="3" t="inlineStr">
        <is>
          <t>equip_hushenfu</t>
        </is>
      </c>
      <c r="B368" s="3" t="inlineStr">
        <is>
          <t>护身符</t>
        </is>
      </c>
      <c r="C368" s="3" t="inlineStr">
        <is>
          <t>任务宝箱装备</t>
        </is>
      </c>
      <c r="D368" s="3" t="inlineStr">
        <is>
          <t>任务：十字坡黑店（shizipo_heidian）；胜利得十字坡黑店宝箱×1，在仓库开启；组概率100.000000%，权重10000/100000，单项概率10.000000%，数量1—1</t>
        </is>
      </c>
      <c r="E368" s="3" t="inlineStr">
        <is>
          <t>data/item_templates.yaml:mission_chest_v3_shizipo_heidian.effect_payload</t>
        </is>
      </c>
    </row>
    <row r="369">
      <c r="A369" s="3" t="inlineStr">
        <is>
          <t>equip_tongjing</t>
        </is>
      </c>
      <c r="B369" s="3" t="inlineStr">
        <is>
          <t>铜镜</t>
        </is>
      </c>
      <c r="C369" s="3" t="inlineStr">
        <is>
          <t>任务宝箱装备</t>
        </is>
      </c>
      <c r="D369" s="3" t="inlineStr">
        <is>
          <t>任务：十字坡黑店（shizipo_heidian）；胜利得十字坡黑店宝箱×1，在仓库开启；组概率100.000000%，权重10000/100000，单项概率10.000000%，数量1—1</t>
        </is>
      </c>
      <c r="E369" s="3" t="inlineStr">
        <is>
          <t>data/item_templates.yaml:mission_chest_v3_shizipo_heidian.effect_payload</t>
        </is>
      </c>
    </row>
    <row r="370">
      <c r="A370" s="3" t="inlineStr">
        <is>
          <t>equip_fudai</t>
        </is>
      </c>
      <c r="B370" s="3" t="inlineStr">
        <is>
          <t>福袋</t>
        </is>
      </c>
      <c r="C370" s="3" t="inlineStr">
        <is>
          <t>任务宝箱装备</t>
        </is>
      </c>
      <c r="D370" s="3" t="inlineStr">
        <is>
          <t>任务：十字坡黑店（shizipo_heidian）；胜利得十字坡黑店宝箱×1，在仓库开启；组概率100.000000%，权重10000/100000，单项概率10.000000%，数量1—1</t>
        </is>
      </c>
      <c r="E370" s="3" t="inlineStr">
        <is>
          <t>data/item_templates.yaml:mission_chest_v3_shizipo_heidian.effect_payload</t>
        </is>
      </c>
    </row>
    <row r="371">
      <c r="A371" s="3" t="inlineStr">
        <is>
          <t>equip_duanhunbian</t>
        </is>
      </c>
      <c r="B371" s="3" t="inlineStr">
        <is>
          <t>断魂鞭</t>
        </is>
      </c>
      <c r="C371" s="3" t="inlineStr">
        <is>
          <t>任务宝箱装备</t>
        </is>
      </c>
      <c r="D371" s="3" t="inlineStr">
        <is>
          <t>任务：十字坡黑店（shizipo_heidian）；胜利得十字坡黑店宝箱×1，在仓库开启；组概率100.000000%，权重20000/100000，单项概率20.000000%，数量1—1</t>
        </is>
      </c>
      <c r="E371" s="3" t="inlineStr">
        <is>
          <t>data/item_templates.yaml:mission_chest_v3_shizipo_heidian.effect_payload</t>
        </is>
      </c>
    </row>
    <row r="372">
      <c r="A372" s="3" t="inlineStr">
        <is>
          <t>equip_hanyuejian</t>
        </is>
      </c>
      <c r="B372" s="3" t="inlineStr">
        <is>
          <t>寒月剑</t>
        </is>
      </c>
      <c r="C372" s="3" t="inlineStr">
        <is>
          <t>任务宝箱装备</t>
        </is>
      </c>
      <c r="D372" s="3" t="inlineStr">
        <is>
          <t>任务：十字坡黑店（shizipo_heidian）；胜利得十字坡黑店宝箱×1，在仓库开启；组概率100.000000%，权重10000/100000，单项概率10.000000%，数量1—1</t>
        </is>
      </c>
      <c r="E372" s="3" t="inlineStr">
        <is>
          <t>data/item_templates.yaml:mission_chest_v3_shizipo_heidian.effect_payload</t>
        </is>
      </c>
    </row>
    <row r="373">
      <c r="A373" s="3" t="inlineStr">
        <is>
          <t>equip_lieyandao</t>
        </is>
      </c>
      <c r="B373" s="3" t="inlineStr">
        <is>
          <t>烈焰刀</t>
        </is>
      </c>
      <c r="C373" s="3" t="inlineStr">
        <is>
          <t>任务宝箱装备</t>
        </is>
      </c>
      <c r="D373" s="3" t="inlineStr">
        <is>
          <t>任务：十字坡黑店（shizipo_heidian）；胜利得十字坡黑店宝箱×1，在仓库开启；组概率100.000000%，权重10000/100000，单项概率10.000000%，数量1—1</t>
        </is>
      </c>
      <c r="E373" s="3" t="inlineStr">
        <is>
          <t>data/item_templates.yaml:mission_chest_v3_shizipo_heidian.effect_payload</t>
        </is>
      </c>
    </row>
    <row r="374">
      <c r="A374" s="3" t="inlineStr">
        <is>
          <t>equip_zhenyuechui</t>
        </is>
      </c>
      <c r="B374" s="3" t="inlineStr">
        <is>
          <t>镇岳锤</t>
        </is>
      </c>
      <c r="C374" s="3" t="inlineStr">
        <is>
          <t>任务宝箱装备</t>
        </is>
      </c>
      <c r="D374" s="3" t="inlineStr">
        <is>
          <t>任务：十字坡黑店（shizipo_heidian）；胜利得十字坡黑店宝箱×1，在仓库开启；组概率100.000000%，权重10000/100000，单项概率10.000000%，数量1—1</t>
        </is>
      </c>
      <c r="E374" s="3" t="inlineStr">
        <is>
          <t>data/item_templates.yaml:mission_chest_v3_shizipo_heidian.effect_payload</t>
        </is>
      </c>
    </row>
    <row r="375">
      <c r="A375" s="3" t="inlineStr">
        <is>
          <t>equip_huyaxianglian</t>
        </is>
      </c>
      <c r="B375" s="3" t="inlineStr">
        <is>
          <t>虎牙项链</t>
        </is>
      </c>
      <c r="C375" s="3" t="inlineStr">
        <is>
          <t>任务宝箱装备</t>
        </is>
      </c>
      <c r="D375" s="3" t="inlineStr">
        <is>
          <t>任务：十字坡黑店（shizipo_heidian）；胜利得十字坡黑店宝箱×1，在仓库开启；组概率100.000000%，权重10000/100000，单项概率10.000000%，数量1—1</t>
        </is>
      </c>
      <c r="E375" s="3" t="inlineStr">
        <is>
          <t>data/item_templates.yaml:mission_chest_v3_shizipo_heidian.effect_payload</t>
        </is>
      </c>
    </row>
    <row r="376">
      <c r="A376" s="3" t="inlineStr">
        <is>
          <t>equip_xueyuzhuo</t>
        </is>
      </c>
      <c r="B376" s="3" t="inlineStr">
        <is>
          <t>血玉镯</t>
        </is>
      </c>
      <c r="C376" s="3" t="inlineStr">
        <is>
          <t>任务宝箱装备</t>
        </is>
      </c>
      <c r="D376" s="3" t="inlineStr">
        <is>
          <t>任务：十字坡黑店（shizipo_heidian）；胜利得十字坡黑店宝箱×1，在仓库开启；组概率100.000000%，权重10000/100000，单项概率10.000000%，数量1—1</t>
        </is>
      </c>
      <c r="E376" s="3" t="inlineStr">
        <is>
          <t>data/item_templates.yaml:mission_chest_v3_shizipo_heidian.effect_payload</t>
        </is>
      </c>
    </row>
    <row r="377">
      <c r="A377" s="3" t="inlineStr">
        <is>
          <t>equip_xiaoweitoukui</t>
        </is>
      </c>
      <c r="B377" s="3" t="inlineStr">
        <is>
          <t>校尉头盔</t>
        </is>
      </c>
      <c r="C377" s="3" t="inlineStr">
        <is>
          <t>图纸合成（任务宝箱）</t>
        </is>
      </c>
      <c r="D377" s="3" t="inlineStr">
        <is>
          <t>任务：山海关（shanhaiguan）；胜利得山海关宝箱×1，在仓库开启；组概率35.000000%，权重1/4，单项概率8.750000%，数量1—1；获得校尉头盔图纸，锻造5级，合成产出1件；材料：铜×27、锡×17、铁×12、木质精华×2、铜质精华×2、铁木×4、黑原石×5、金刚煤×4、凿子×4、大地之石×2</t>
        </is>
      </c>
      <c r="E377" s="3" t="inlineStr">
        <is>
          <t>data/item_templates.yaml:mission_chest_v3_shanhaiguan.effect_payload；data/forge_blueprints.yaml</t>
        </is>
      </c>
    </row>
    <row r="378">
      <c r="A378" s="3" t="inlineStr">
        <is>
          <t>equip_xiaoweikaijia</t>
        </is>
      </c>
      <c r="B378" s="3" t="inlineStr">
        <is>
          <t>校尉铠甲</t>
        </is>
      </c>
      <c r="C378" s="3" t="inlineStr">
        <is>
          <t>图纸合成（任务宝箱）</t>
        </is>
      </c>
      <c r="D378" s="3" t="inlineStr">
        <is>
          <t>任务：山海关（shanhaiguan）；胜利得山海关宝箱×1，在仓库开启；组概率35.000000%，权重1/4，单项概率8.750000%，数量1—1；获得校尉铠甲图纸，锻造5级，合成产出1件；材料：铜×36、锡×22、铁×17、木质精华×2、铜质精华×3、铁木×6、黑原石×9、金刚煤×6、凿子×6、大地之石×3</t>
        </is>
      </c>
      <c r="E378" s="3" t="inlineStr">
        <is>
          <t>data/item_templates.yaml:mission_chest_v3_shanhaiguan.effect_payload；data/forge_blueprints.yaml</t>
        </is>
      </c>
    </row>
    <row r="379">
      <c r="A379" s="3" t="inlineStr">
        <is>
          <t>equip_xiaoweichangxue</t>
        </is>
      </c>
      <c r="B379" s="3" t="inlineStr">
        <is>
          <t>校尉长靴</t>
        </is>
      </c>
      <c r="C379" s="3" t="inlineStr">
        <is>
          <t>图纸合成（任务宝箱）</t>
        </is>
      </c>
      <c r="D379" s="3" t="inlineStr">
        <is>
          <t>任务：山海关（shanhaiguan）；胜利得山海关宝箱×1，在仓库开启；组概率35.000000%，权重1/4，单项概率8.750000%，数量1—1；获得校尉长靴图纸，锻造5级，合成产出1件；材料：铜×22、锡×12、铁×10、木质精华×2、铜质精华×2、水曲木×8、铁木×4、刨子×5、空气之石×2</t>
        </is>
      </c>
      <c r="E379" s="3" t="inlineStr">
        <is>
          <t>data/item_templates.yaml:mission_chest_v3_shanhaiguan.effect_payload；data/forge_blueprints.yaml</t>
        </is>
      </c>
    </row>
    <row r="380">
      <c r="A380" s="3" t="inlineStr">
        <is>
          <t>equip_xiaoweichangjian</t>
        </is>
      </c>
      <c r="B380" s="3" t="inlineStr">
        <is>
          <t>校尉长剑</t>
        </is>
      </c>
      <c r="C380" s="3" t="inlineStr">
        <is>
          <t>图纸合成（任务宝箱）</t>
        </is>
      </c>
      <c r="D380" s="3" t="inlineStr">
        <is>
          <t>任务：山海关（shanhaiguan）；胜利得山海关宝箱×1，在仓库开启；组概率35.000000%，权重1/4，单项概率8.750000%，数量1—1；获得校尉长剑图纸，锻造5级，合成产出1件；材料：铜×32、锡×20、铁×15、木质精华×2、铜质精华×3、铁木×5、黑原石×8、金刚煤×5、凿子×5、火焰之石×2</t>
        </is>
      </c>
      <c r="E380" s="3" t="inlineStr">
        <is>
          <t>data/item_templates.yaml:mission_chest_v3_shanhaiguan.effect_payload；data/forge_blueprints.yaml</t>
        </is>
      </c>
    </row>
    <row r="381">
      <c r="A381" s="3" t="inlineStr">
        <is>
          <t>equip_zhaoyeyushizi</t>
        </is>
      </c>
      <c r="B381" s="3" t="inlineStr">
        <is>
          <t>照夜玉狮子</t>
        </is>
      </c>
      <c r="C381" s="3" t="inlineStr">
        <is>
          <t>任务宝箱装备</t>
        </is>
      </c>
      <c r="D381" s="3" t="inlineStr">
        <is>
          <t>任务：山海关（shanhaiguan）；胜利得山海关宝箱×1，在仓库开启；组概率35.000000%，权重15/35，单项概率15.000000%，数量1—1</t>
        </is>
      </c>
      <c r="E381" s="3" t="inlineStr">
        <is>
          <t>data/item_templates.yaml:mission_chest_v3_shanhaiguan.effect_payload</t>
        </is>
      </c>
    </row>
    <row r="382">
      <c r="A382" s="3" t="inlineStr">
        <is>
          <t>equip_zhuidian</t>
        </is>
      </c>
      <c r="B382" s="3" t="inlineStr">
        <is>
          <t>追电</t>
        </is>
      </c>
      <c r="C382" s="3" t="inlineStr">
        <is>
          <t>任务宝箱装备</t>
        </is>
      </c>
      <c r="D382" s="3" t="inlineStr">
        <is>
          <t>任务：山海关（shanhaiguan）；胜利得山海关宝箱×1，在仓库开启；组概率35.000000%，权重10/35，单项概率10.000000%，数量1—1</t>
        </is>
      </c>
      <c r="E382" s="3" t="inlineStr">
        <is>
          <t>data/item_templates.yaml:mission_chest_v3_shanhaiguan.effect_payload</t>
        </is>
      </c>
    </row>
    <row r="383">
      <c r="A383" s="3" t="inlineStr">
        <is>
          <t>equip_bailongju</t>
        </is>
      </c>
      <c r="B383" s="3" t="inlineStr">
        <is>
          <t>白龙驹</t>
        </is>
      </c>
      <c r="C383" s="3" t="inlineStr">
        <is>
          <t>任务宝箱装备</t>
        </is>
      </c>
      <c r="D383" s="3" t="inlineStr">
        <is>
          <t>任务：山海关（shanhaiguan）；胜利得山海关宝箱×1，在仓库开启；组概率35.000000%，权重8/35，单项概率8.000000%，数量1—1</t>
        </is>
      </c>
      <c r="E383" s="3" t="inlineStr">
        <is>
          <t>data/item_templates.yaml:mission_chest_v3_shanhaiguan.effect_payload</t>
        </is>
      </c>
    </row>
    <row r="384">
      <c r="A384" s="3" t="inlineStr">
        <is>
          <t>equip_dilu</t>
        </is>
      </c>
      <c r="B384" s="3" t="inlineStr">
        <is>
          <t>的卢</t>
        </is>
      </c>
      <c r="C384" s="3" t="inlineStr">
        <is>
          <t>任务宝箱装备</t>
        </is>
      </c>
      <c r="D384" s="3" t="inlineStr">
        <is>
          <t>任务：山海关（shanhaiguan）；胜利得山海关宝箱×1，在仓库开启；组概率35.000000%，权重2/35，单项概率2.000000%，数量1—1</t>
        </is>
      </c>
      <c r="E384" s="3" t="inlineStr">
        <is>
          <t>data/item_templates.yaml:mission_chest_v3_shanhaiguan.effect_payload</t>
        </is>
      </c>
    </row>
    <row r="385">
      <c r="A385" s="3" t="inlineStr">
        <is>
          <t>equip_luopan</t>
        </is>
      </c>
      <c r="B385" s="3" t="inlineStr">
        <is>
          <t>罗盘</t>
        </is>
      </c>
      <c r="C385" s="3" t="inlineStr">
        <is>
          <t>任务宝箱装备</t>
        </is>
      </c>
      <c r="D385" s="3" t="inlineStr">
        <is>
          <t>任务：山海关（shanhaiguan）；胜利得山海关宝箱×1，在仓库开启；组概率40.000000%，权重10000/40000，单项概率10.000000%，数量1—1</t>
        </is>
      </c>
      <c r="E385" s="3" t="inlineStr">
        <is>
          <t>data/item_templates.yaml:mission_chest_v3_shanhaiguan.effect_payload</t>
        </is>
      </c>
    </row>
    <row r="386">
      <c r="A386" s="3" t="inlineStr">
        <is>
          <t>equip_tiehufu</t>
        </is>
      </c>
      <c r="B386" s="3" t="inlineStr">
        <is>
          <t>铁护符</t>
        </is>
      </c>
      <c r="C386" s="3" t="inlineStr">
        <is>
          <t>任务宝箱装备</t>
        </is>
      </c>
      <c r="D386" s="3" t="inlineStr">
        <is>
          <t>任务：山海关（shanhaiguan）；胜利得山海关宝箱×1，在仓库开启；组概率40.000000%，权重10000/40000，单项概率10.000000%，数量1—1</t>
        </is>
      </c>
      <c r="E386" s="3" t="inlineStr">
        <is>
          <t>data/item_templates.yaml:mission_chest_v3_shanhaiguan.effect_payload</t>
        </is>
      </c>
    </row>
    <row r="387">
      <c r="A387" s="3" t="inlineStr">
        <is>
          <t>equip_feiyukui</t>
        </is>
      </c>
      <c r="B387" s="3" t="inlineStr">
        <is>
          <t>飞羽盔</t>
        </is>
      </c>
      <c r="C387" s="3" t="inlineStr">
        <is>
          <t>任务宝箱装备</t>
        </is>
      </c>
      <c r="D387" s="3" t="inlineStr">
        <is>
          <t>任务：山海关（shanhaiguan）；胜利得山海关宝箱×1，在仓库开启；组概率40.000000%，权重10000/40000，单项概率10.000000%，数量1—1</t>
        </is>
      </c>
      <c r="E387" s="3" t="inlineStr">
        <is>
          <t>data/item_templates.yaml:mission_chest_v3_shanhaiguan.effect_payload</t>
        </is>
      </c>
    </row>
    <row r="388">
      <c r="A388" s="3" t="inlineStr">
        <is>
          <t>equip_langyakui</t>
        </is>
      </c>
      <c r="B388" s="3" t="inlineStr">
        <is>
          <t>狼牙盔</t>
        </is>
      </c>
      <c r="C388" s="3" t="inlineStr">
        <is>
          <t>任务宝箱装备</t>
        </is>
      </c>
      <c r="D388" s="3" t="inlineStr">
        <is>
          <t>任务：山海关（shanhaiguan）；胜利得山海关宝箱×1，在仓库开启；组概率40.000000%，权重10000/40000，单项概率10.000000%，数量1—1</t>
        </is>
      </c>
      <c r="E388" s="3" t="inlineStr">
        <is>
          <t>data/item_templates.yaml:mission_chest_v3_shanhaiguan.effect_payload</t>
        </is>
      </c>
    </row>
    <row r="389">
      <c r="A389" s="3" t="inlineStr">
        <is>
          <t>equip_tanmunianzhu</t>
        </is>
      </c>
      <c r="B389" s="3" t="inlineStr">
        <is>
          <t>檀木念珠</t>
        </is>
      </c>
      <c r="C389" s="3" t="inlineStr">
        <is>
          <t>任务宝箱装备</t>
        </is>
      </c>
      <c r="D389" s="3" t="inlineStr">
        <is>
          <t>任务：十人道场（shiren_daochang）；胜利得十人道场宝箱×1，在仓库开启；组概率60.000000%，权重10000/60000，单项概率10.000000%，数量1—1</t>
        </is>
      </c>
      <c r="E389" s="3" t="inlineStr">
        <is>
          <t>data/item_templates.yaml:mission_chest_v3_shiren_daochang.effect_payload</t>
        </is>
      </c>
    </row>
    <row r="390">
      <c r="A390" s="3" t="inlineStr">
        <is>
          <t>equip_taomujian</t>
        </is>
      </c>
      <c r="B390" s="3" t="inlineStr">
        <is>
          <t>桃木剑</t>
        </is>
      </c>
      <c r="C390" s="3" t="inlineStr">
        <is>
          <t>任务宝箱装备</t>
        </is>
      </c>
      <c r="D390" s="3" t="inlineStr">
        <is>
          <t>任务：十人道场（shiren_daochang）；胜利得十人道场宝箱×1，在仓库开启；组概率60.000000%，权重10000/60000，单项概率10.000000%，数量1—1</t>
        </is>
      </c>
      <c r="E390" s="3" t="inlineStr">
        <is>
          <t>data/item_templates.yaml:mission_chest_v3_shiren_daochang.effect_payload</t>
        </is>
      </c>
    </row>
    <row r="391">
      <c r="A391" s="3" t="inlineStr">
        <is>
          <t>equip_yunwenkui</t>
        </is>
      </c>
      <c r="B391" s="3" t="inlineStr">
        <is>
          <t>云纹盔</t>
        </is>
      </c>
      <c r="C391" s="3" t="inlineStr">
        <is>
          <t>任务宝箱装备</t>
        </is>
      </c>
      <c r="D391" s="3" t="inlineStr">
        <is>
          <t>任务：十人道场（shiren_daochang）；胜利得十人道场宝箱×1，在仓库开启；组概率60.000000%，权重10000/60000，单项概率10.000000%，数量1—1</t>
        </is>
      </c>
      <c r="E391" s="3" t="inlineStr">
        <is>
          <t>data/item_templates.yaml:mission_chest_v3_shiren_daochang.effect_payload</t>
        </is>
      </c>
    </row>
    <row r="392">
      <c r="A392" s="3" t="inlineStr">
        <is>
          <t>equip_yunwenfayi</t>
        </is>
      </c>
      <c r="B392" s="3" t="inlineStr">
        <is>
          <t>云纹法衣</t>
        </is>
      </c>
      <c r="C392" s="3" t="inlineStr">
        <is>
          <t>任务宝箱装备</t>
        </is>
      </c>
      <c r="D392" s="3" t="inlineStr">
        <is>
          <t>任务：十人道场（shiren_daochang）；胜利得十人道场宝箱×1，在仓库开启；组概率60.000000%，权重10000/60000，单项概率10.000000%，数量1—1</t>
        </is>
      </c>
      <c r="E392" s="3" t="inlineStr">
        <is>
          <t>data/item_templates.yaml:mission_chest_v3_shiren_daochang.effect_payload</t>
        </is>
      </c>
    </row>
    <row r="393">
      <c r="A393" s="3" t="inlineStr">
        <is>
          <t>equip_xingluoshan</t>
        </is>
      </c>
      <c r="B393" s="3" t="inlineStr">
        <is>
          <t>星罗扇</t>
        </is>
      </c>
      <c r="C393" s="3" t="inlineStr">
        <is>
          <t>任务宝箱装备</t>
        </is>
      </c>
      <c r="D393" s="3" t="inlineStr">
        <is>
          <t>任务：十人道场（shiren_daochang）；胜利得十人道场宝箱×1，在仓库开启；组概率60.000000%，权重10000/60000，单项概率10.000000%，数量1—1</t>
        </is>
      </c>
      <c r="E393" s="3" t="inlineStr">
        <is>
          <t>data/item_templates.yaml:mission_chest_v3_shiren_daochang.effect_payload</t>
        </is>
      </c>
    </row>
    <row r="394">
      <c r="A394" s="3" t="inlineStr">
        <is>
          <t>equip_linghuzhui</t>
        </is>
      </c>
      <c r="B394" s="3" t="inlineStr">
        <is>
          <t>灵狐坠</t>
        </is>
      </c>
      <c r="C394" s="3" t="inlineStr">
        <is>
          <t>任务宝箱装备</t>
        </is>
      </c>
      <c r="D394" s="3" t="inlineStr">
        <is>
          <t>任务：十人道场（shiren_daochang）；胜利得十人道场宝箱×1，在仓库开启；组概率60.000000%，权重10000/60000，单项概率10.000000%，数量1—1</t>
        </is>
      </c>
      <c r="E394" s="3" t="inlineStr">
        <is>
          <t>data/item_templates.yaml:mission_chest_v3_shiren_daochang.effect_payload</t>
        </is>
      </c>
    </row>
    <row r="395">
      <c r="A395" s="3" t="inlineStr">
        <is>
          <t>equip_xiaoxingjiguanshu</t>
        </is>
      </c>
      <c r="B395" s="3" t="inlineStr">
        <is>
          <t>小型机关鼠</t>
        </is>
      </c>
      <c r="C395" s="3" t="inlineStr">
        <is>
          <t>图纸合成（任务宝箱）</t>
        </is>
      </c>
      <c r="D395" s="3" t="inlineStr">
        <is>
          <t>任务：机关兽初现（jiguanshou_chuxian）；胜利得机关兽初现宝箱×1，在仓库开启；组概率80.000000%，权重3/10，单项概率24.000000%，数量1—1；获得小型机关鼠图纸，锻造6级，合成产出1件；材料：铜×34、锡×22、铁×17、木质精华×3、铜质精华×2、水曲木×8、铁木×3、金刚煤×2、刨子×4、凿子×3、空气之石×2</t>
        </is>
      </c>
      <c r="E395" s="3" t="inlineStr">
        <is>
          <t>data/item_templates.yaml:mission_chest_v3_jiguanshou_chuxian.effect_payload；data/forge_blueprints.yaml</t>
        </is>
      </c>
    </row>
    <row r="396">
      <c r="A396" s="3" t="inlineStr">
        <is>
          <t>equip_tongchanjiguan</t>
        </is>
      </c>
      <c r="B396" s="3" t="inlineStr">
        <is>
          <t>铜蝉机关</t>
        </is>
      </c>
      <c r="C396" s="3" t="inlineStr">
        <is>
          <t>图纸合成（任务宝箱）</t>
        </is>
      </c>
      <c r="D396" s="3" t="inlineStr">
        <is>
          <t>任务：机关兽初现（jiguanshou_chuxian）；胜利得机关兽初现宝箱×1，在仓库开启；组概率80.000000%，权重3/10，单项概率24.000000%，数量1—1；获得铜蝉机关图纸，锻造6级，合成产出1件；材料：铜×36、锡×24、铁×20、木质精华×2、铜质精华×3、紫檀木×3、水曲木×5、黑原石×3、金刚煤×2、刨子×3、凿子×4、纯水之石×2</t>
        </is>
      </c>
      <c r="E396" s="3" t="inlineStr">
        <is>
          <t>data/item_templates.yaml:mission_chest_v3_jiguanshou_chuxian.effect_payload；data/forge_blueprints.yaml</t>
        </is>
      </c>
    </row>
    <row r="397">
      <c r="A397" s="3" t="inlineStr">
        <is>
          <t>equip_jixiemao</t>
        </is>
      </c>
      <c r="B397" s="3" t="inlineStr">
        <is>
          <t>机械猫</t>
        </is>
      </c>
      <c r="C397" s="3" t="inlineStr">
        <is>
          <t>图纸合成（任务宝箱）</t>
        </is>
      </c>
      <c r="D397" s="3" t="inlineStr">
        <is>
          <t>任务：机关兽初现（jiguanshou_chuxian）；胜利得机关兽初现宝箱×1，在仓库开启；组概率80.000000%，权重1/10，单项概率8.000000%，数量1—1；获得机械猫图纸，锻造8级，合成产出1件；材料：铜×48、锡×32、铁×24、木质精华×3、铜质精华×3、玄铁精华×2、紫檀木×4、铁木×6、黑原石×6、金刚煤×4、刨子×4、凿子×4、空气之石×2</t>
        </is>
      </c>
      <c r="E397" s="3" t="inlineStr">
        <is>
          <t>data/item_templates.yaml:mission_chest_v3_jiguanshou_chuxian.effect_payload；data/forge_blueprints.yaml</t>
        </is>
      </c>
    </row>
    <row r="398">
      <c r="A398" s="3" t="inlineStr">
        <is>
          <t>equip_qingtongsuanchou</t>
        </is>
      </c>
      <c r="B398" s="3" t="inlineStr">
        <is>
          <t>青铜算筹</t>
        </is>
      </c>
      <c r="C398" s="3" t="inlineStr">
        <is>
          <t>任务宝箱装备</t>
        </is>
      </c>
      <c r="D398" s="3" t="inlineStr">
        <is>
          <t>任务：机关兽初现（jiguanshou_chuxian）；胜利得机关兽初现宝箱×1，在仓库开启；组概率80.000000%，权重3/10，单项概率24.000000%，数量1—1</t>
        </is>
      </c>
      <c r="E398" s="3" t="inlineStr">
        <is>
          <t>data/item_templates.yaml:mission_chest_v3_jiguanshou_chuxian.effect_payload</t>
        </is>
      </c>
    </row>
    <row r="399">
      <c r="A399" s="3" t="inlineStr">
        <is>
          <t>equip_jiguanxiong</t>
        </is>
      </c>
      <c r="B399" s="3" t="inlineStr">
        <is>
          <t>机关熊</t>
        </is>
      </c>
      <c r="C399" s="3" t="inlineStr">
        <is>
          <t>图纸合成（任务宝箱）</t>
        </is>
      </c>
      <c r="D399" s="3" t="inlineStr">
        <is>
          <t>任务：比武招亲（biwu_zhaoqin）；胜利得比武招亲宝箱×1，在仓库开启；组概率5.000000%，权重1/1，单项概率5.000000%，数量1—1；获得机关熊图纸，锻造10级，合成产出1件；材料：铜×68、锡×46、铁×36、木质精华×3、铜质精华×4、玄铁精华×3、紫檀木×4、铁木×15、黑原石×12、金刚煤×10、刨子×8、凿子×9、高炉×3、大地之石×3、火焰之石×2</t>
        </is>
      </c>
      <c r="E399" s="3" t="inlineStr">
        <is>
          <t>data/item_templates.yaml:mission_chest_v3_biwu_zhaoqin.effect_payload；data/forge_blueprints.yaml</t>
        </is>
      </c>
    </row>
    <row r="400">
      <c r="A400" s="3" t="inlineStr">
        <is>
          <t>equip_xuantiejia</t>
        </is>
      </c>
      <c r="B400" s="3" t="inlineStr">
        <is>
          <t>玄铁甲</t>
        </is>
      </c>
      <c r="C400" s="3" t="inlineStr">
        <is>
          <t>任务宝箱装备</t>
        </is>
      </c>
      <c r="D400" s="3" t="inlineStr">
        <is>
          <t>任务：比武招亲（biwu_zhaoqin）；胜利得比武招亲宝箱×1，在仓库开启；组概率80.000000%，权重1/4，单项概率20.000000%，数量1—1</t>
        </is>
      </c>
      <c r="E400" s="3" t="inlineStr">
        <is>
          <t>data/item_templates.yaml:mission_chest_v3_biwu_zhaoqin.effect_payload</t>
        </is>
      </c>
    </row>
    <row r="401">
      <c r="A401" s="3" t="inlineStr">
        <is>
          <t>equip_qingtongsuanchou</t>
        </is>
      </c>
      <c r="B401" s="3" t="inlineStr">
        <is>
          <t>青铜算筹</t>
        </is>
      </c>
      <c r="C401" s="3" t="inlineStr">
        <is>
          <t>任务宝箱装备</t>
        </is>
      </c>
      <c r="D401" s="3" t="inlineStr">
        <is>
          <t>任务：比武招亲（biwu_zhaoqin）；胜利得比武招亲宝箱×1，在仓库开启；组概率80.000000%，权重1/4，单项概率20.000000%，数量1—1</t>
        </is>
      </c>
      <c r="E401" s="3" t="inlineStr">
        <is>
          <t>data/item_templates.yaml:mission_chest_v3_biwu_zhaoqin.effect_payload</t>
        </is>
      </c>
    </row>
    <row r="402">
      <c r="A402" s="3" t="inlineStr">
        <is>
          <t>equip_tongjing</t>
        </is>
      </c>
      <c r="B402" s="3" t="inlineStr">
        <is>
          <t>铜镜</t>
        </is>
      </c>
      <c r="C402" s="3" t="inlineStr">
        <is>
          <t>任务宝箱装备</t>
        </is>
      </c>
      <c r="D402" s="3" t="inlineStr">
        <is>
          <t>任务：比武招亲（biwu_zhaoqin）；胜利得比武招亲宝箱×1，在仓库开启；组概率80.000000%，权重1/4，单项概率20.000000%，数量1—1</t>
        </is>
      </c>
      <c r="E402" s="3" t="inlineStr">
        <is>
          <t>data/item_templates.yaml:mission_chest_v3_biwu_zhaoqin.effect_payload</t>
        </is>
      </c>
    </row>
    <row r="403">
      <c r="A403" s="3" t="inlineStr">
        <is>
          <t>equip_qingzongma</t>
        </is>
      </c>
      <c r="B403" s="3" t="inlineStr">
        <is>
          <t>青鬃马</t>
        </is>
      </c>
      <c r="C403" s="3" t="inlineStr">
        <is>
          <t>任务宝箱装备</t>
        </is>
      </c>
      <c r="D403" s="3" t="inlineStr">
        <is>
          <t>任务：比武招亲（biwu_zhaoqin）；胜利得比武招亲宝箱×1，在仓库开启；组概率80.000000%，权重1/4，单项概率20.000000%，数量1—1</t>
        </is>
      </c>
      <c r="E403" s="3" t="inlineStr">
        <is>
          <t>data/item_templates.yaml:mission_chest_v3_biwu_zhaoqin.effect_payload</t>
        </is>
      </c>
    </row>
    <row r="404">
      <c r="A404" s="3" t="inlineStr">
        <is>
          <t>equip_junzijian</t>
        </is>
      </c>
      <c r="B404" s="3" t="inlineStr">
        <is>
          <t>君子剑</t>
        </is>
      </c>
      <c r="C404" s="3" t="inlineStr">
        <is>
          <t>任务宝箱装备</t>
        </is>
      </c>
      <c r="D404" s="3" t="inlineStr">
        <is>
          <t>任务：天蓬元帅的地窖（第一层）（tianpeng_dijiao_1）；胜利得天蓬地窖一层宝箱×1，在仓库开启；组概率47.000000%，权重10000/47000，单项概率10.000000%，数量1—1</t>
        </is>
      </c>
      <c r="E404" s="3" t="inlineStr">
        <is>
          <t>data/item_templates.yaml:mission_chest_v3_tianpeng_dijiao_1.effect_payload</t>
        </is>
      </c>
    </row>
    <row r="405">
      <c r="A405" s="3" t="inlineStr">
        <is>
          <t>equip_yupei</t>
        </is>
      </c>
      <c r="B405" s="3" t="inlineStr">
        <is>
          <t>玉佩</t>
        </is>
      </c>
      <c r="C405" s="3" t="inlineStr">
        <is>
          <t>任务宝箱装备</t>
        </is>
      </c>
      <c r="D405" s="3" t="inlineStr">
        <is>
          <t>任务：天蓬元帅的地窖（第一层）（tianpeng_dijiao_1）；胜利得天蓬地窖一层宝箱×1，在仓库开启；组概率47.000000%，权重6000/47000，单项概率6.000000%，数量1—1</t>
        </is>
      </c>
      <c r="E405" s="3" t="inlineStr">
        <is>
          <t>data/item_templates.yaml:mission_chest_v3_tianpeng_dijiao_1.effect_payload</t>
        </is>
      </c>
    </row>
    <row r="406">
      <c r="A406" s="3" t="inlineStr">
        <is>
          <t>equip_fudai</t>
        </is>
      </c>
      <c r="B406" s="3" t="inlineStr">
        <is>
          <t>福袋</t>
        </is>
      </c>
      <c r="C406" s="3" t="inlineStr">
        <is>
          <t>任务宝箱装备</t>
        </is>
      </c>
      <c r="D406" s="3" t="inlineStr">
        <is>
          <t>任务：天蓬元帅的地窖（第一层）（tianpeng_dijiao_1）；胜利得天蓬地窖一层宝箱×1，在仓库开启；组概率47.000000%，权重6000/47000，单项概率6.000000%，数量1—1</t>
        </is>
      </c>
      <c r="E406" s="3" t="inlineStr">
        <is>
          <t>data/item_templates.yaml:mission_chest_v3_tianpeng_dijiao_1.effect_payload</t>
        </is>
      </c>
    </row>
    <row r="407">
      <c r="A407" s="3" t="inlineStr">
        <is>
          <t>equip_xuanjiazhanbao</t>
        </is>
      </c>
      <c r="B407" s="3" t="inlineStr">
        <is>
          <t>玄甲战袍</t>
        </is>
      </c>
      <c r="C407" s="3" t="inlineStr">
        <is>
          <t>任务宝箱装备</t>
        </is>
      </c>
      <c r="D407" s="3" t="inlineStr">
        <is>
          <t>任务：天蓬元帅的地窖（第一层）（tianpeng_dijiao_1）；胜利得天蓬地窖一层宝箱×1，在仓库开启；组概率47.000000%，权重5000/47000，单项概率5.000000%，数量1—1</t>
        </is>
      </c>
      <c r="E407" s="3" t="inlineStr">
        <is>
          <t>data/item_templates.yaml:mission_chest_v3_tianpeng_dijiao_1.effect_payload</t>
        </is>
      </c>
    </row>
    <row r="408">
      <c r="A408" s="3" t="inlineStr">
        <is>
          <t>equip_xuanbinggong</t>
        </is>
      </c>
      <c r="B408" s="3" t="inlineStr">
        <is>
          <t>玄冰弓</t>
        </is>
      </c>
      <c r="C408" s="3" t="inlineStr">
        <is>
          <t>任务宝箱装备</t>
        </is>
      </c>
      <c r="D408" s="3" t="inlineStr">
        <is>
          <t>任务：天蓬元帅的地窖（第一层）（tianpeng_dijiao_1）；胜利得天蓬地窖一层宝箱×1，在仓库开启；组概率47.000000%，权重6000/47000，单项概率6.000000%，数量1—1</t>
        </is>
      </c>
      <c r="E408" s="3" t="inlineStr">
        <is>
          <t>data/item_templates.yaml:mission_chest_v3_tianpeng_dijiao_1.effect_payload</t>
        </is>
      </c>
    </row>
    <row r="409">
      <c r="A409" s="3" t="inlineStr">
        <is>
          <t>equip_fengyuzan</t>
        </is>
      </c>
      <c r="B409" s="3" t="inlineStr">
        <is>
          <t>凤羽簪</t>
        </is>
      </c>
      <c r="C409" s="3" t="inlineStr">
        <is>
          <t>任务宝箱装备</t>
        </is>
      </c>
      <c r="D409" s="3" t="inlineStr">
        <is>
          <t>任务：天蓬元帅的地窖（第一层）（tianpeng_dijiao_1）；胜利得天蓬地窖一层宝箱×1，在仓库开启；组概率47.000000%，权重7000/47000，单项概率7.000000%，数量1—1</t>
        </is>
      </c>
      <c r="E409" s="3" t="inlineStr">
        <is>
          <t>data/item_templates.yaml:mission_chest_v3_tianpeng_dijiao_1.effect_payload</t>
        </is>
      </c>
    </row>
    <row r="410">
      <c r="A410" s="3" t="inlineStr">
        <is>
          <t>equip_xingshashouchuan</t>
        </is>
      </c>
      <c r="B410" s="3" t="inlineStr">
        <is>
          <t>星砂手串</t>
        </is>
      </c>
      <c r="C410" s="3" t="inlineStr">
        <is>
          <t>任务宝箱装备</t>
        </is>
      </c>
      <c r="D410" s="3" t="inlineStr">
        <is>
          <t>任务：天蓬元帅的地窖（第一层）（tianpeng_dijiao_1）；胜利得天蓬地窖一层宝箱×1，在仓库开启；组概率47.000000%，权重7000/47000，单项概率7.000000%，数量1—1</t>
        </is>
      </c>
      <c r="E410" s="3" t="inlineStr">
        <is>
          <t>data/item_templates.yaml:mission_chest_v3_tianpeng_dijiao_1.effect_payload</t>
        </is>
      </c>
    </row>
    <row r="411">
      <c r="A411" s="3" t="inlineStr">
        <is>
          <t>equip_huxianjian</t>
        </is>
      </c>
      <c r="B411" s="3" t="inlineStr">
        <is>
          <t>狐仙剑</t>
        </is>
      </c>
      <c r="C411" s="3" t="inlineStr">
        <is>
          <t>图纸合成（任务宝箱）</t>
        </is>
      </c>
      <c r="D411" s="3" t="inlineStr">
        <is>
          <t>任务：天蓬元帅的地窖（第二层）（tianpeng_dijiao_2）；胜利得天蓬地窖二层宝箱×1，在仓库开启；组概率5.000000%，权重1/1，单项概率5.000000%，数量1—1；获得狐仙剑图纸，锻造7级，合成产出1件；材料：铜×39、锡×24、铁×20、木质精华×3、铜质精华×3、玄铁精华×2、紫檀木×6、铁木×6、黑原石×10、金刚煤×8、刨子×3、凿子×6、高炉×2、空气之石×2、纯水之石×3</t>
        </is>
      </c>
      <c r="E411" s="3" t="inlineStr">
        <is>
          <t>data/item_templates.yaml:mission_chest_v3_tianpeng_dijiao_2.effect_payload；data/forge_blueprints.yaml</t>
        </is>
      </c>
    </row>
    <row r="412">
      <c r="A412" s="3" t="inlineStr">
        <is>
          <t>equip_huxianpao</t>
        </is>
      </c>
      <c r="B412" s="3" t="inlineStr">
        <is>
          <t>狐仙袍</t>
        </is>
      </c>
      <c r="C412" s="3" t="inlineStr">
        <is>
          <t>图纸合成（任务宝箱）</t>
        </is>
      </c>
      <c r="D412" s="3" t="inlineStr">
        <is>
          <t>任务：天蓬元帅的地窖（第二层）（tianpeng_dijiao_2）；胜利得天蓬地窖二层宝箱×1，在仓库开启；组概率10.000000%，权重1/1，单项概率10.000000%，数量1—1；获得狐仙袍图纸，锻造7级，合成产出1件；材料：铜×41、锡×27、铁×20、木质精华×4、铜质精华×3、玄铁精华×2、紫檀木×11、水曲木×12、铁木×4、金刚煤×4、刨子×8、凿子×3、高炉×2、纯水之石×3</t>
        </is>
      </c>
      <c r="E412" s="3" t="inlineStr">
        <is>
          <t>data/item_templates.yaml:mission_chest_v3_tianpeng_dijiao_2.effect_payload；data/forge_blueprints.yaml</t>
        </is>
      </c>
    </row>
    <row r="413">
      <c r="A413" s="3" t="inlineStr">
        <is>
          <t>equip_huxianxie</t>
        </is>
      </c>
      <c r="B413" s="3" t="inlineStr">
        <is>
          <t>狐仙鞋</t>
        </is>
      </c>
      <c r="C413" s="3" t="inlineStr">
        <is>
          <t>图纸合成（任务宝箱）</t>
        </is>
      </c>
      <c r="D413" s="3" t="inlineStr">
        <is>
          <t>任务：天蓬元帅的地窖（第二层）（tianpeng_dijiao_2）；胜利得天蓬地窖二层宝箱×1，在仓库开启；组概率10.000000%，权重1/1，单项概率10.000000%，数量1—1；获得狐仙鞋图纸，锻造7级，合成产出1件；材料：铜×32、锡×20、铁×15、木质精华×3、铜质精华×3、玄铁精华×2、紫檀木×6、水曲木×12、铁木×3、金刚煤×2、刨子×8、凿子×2、高炉×1、空气之石×3</t>
        </is>
      </c>
      <c r="E413" s="3" t="inlineStr">
        <is>
          <t>data/item_templates.yaml:mission_chest_v3_tianpeng_dijiao_2.effect_payload；data/forge_blueprints.yaml</t>
        </is>
      </c>
    </row>
    <row r="414">
      <c r="A414" s="3" t="inlineStr">
        <is>
          <t>equip_zhaoyaojing</t>
        </is>
      </c>
      <c r="B414" s="3" t="inlineStr">
        <is>
          <t>照妖镜</t>
        </is>
      </c>
      <c r="C414" s="3" t="inlineStr">
        <is>
          <t>任务宝箱装备</t>
        </is>
      </c>
      <c r="D414" s="3" t="inlineStr">
        <is>
          <t>任务：天蓬元帅的地窖（第二层）（tianpeng_dijiao_2）；胜利得天蓬地窖二层宝箱×1，在仓库开启；组概率55.000000%，权重15000/55000，单项概率15.000000%，数量1—1</t>
        </is>
      </c>
      <c r="E414" s="3" t="inlineStr">
        <is>
          <t>data/item_templates.yaml:mission_chest_v3_tianpeng_dijiao_2.effect_payload</t>
        </is>
      </c>
    </row>
    <row r="415">
      <c r="A415" s="3" t="inlineStr">
        <is>
          <t>equip_qiankunquan</t>
        </is>
      </c>
      <c r="B415" s="3" t="inlineStr">
        <is>
          <t>乾坤圈</t>
        </is>
      </c>
      <c r="C415" s="3" t="inlineStr">
        <is>
          <t>任务宝箱装备</t>
        </is>
      </c>
      <c r="D415" s="3" t="inlineStr">
        <is>
          <t>任务：天蓬元帅的地窖（第二层）（tianpeng_dijiao_2）；胜利得天蓬地窖二层宝箱×1，在仓库开启；组概率55.000000%，权重10000/55000，单项概率10.000000%，数量1—1</t>
        </is>
      </c>
      <c r="E415" s="3" t="inlineStr">
        <is>
          <t>data/item_templates.yaml:mission_chest_v3_tianpeng_dijiao_2.effect_payload</t>
        </is>
      </c>
    </row>
    <row r="416">
      <c r="A416" s="3" t="inlineStr">
        <is>
          <t>equip_tianjiluopan</t>
        </is>
      </c>
      <c r="B416" s="3" t="inlineStr">
        <is>
          <t>天机罗盘</t>
        </is>
      </c>
      <c r="C416" s="3" t="inlineStr">
        <is>
          <t>任务宝箱装备</t>
        </is>
      </c>
      <c r="D416" s="3" t="inlineStr">
        <is>
          <t>任务：天蓬元帅的地窖（第二层）（tianpeng_dijiao_2）；胜利得天蓬地窖二层宝箱×1，在仓库开启；组概率55.000000%，权重10000/55000，单项概率10.000000%，数量1—1</t>
        </is>
      </c>
      <c r="E416" s="3" t="inlineStr">
        <is>
          <t>data/item_templates.yaml:mission_chest_v3_tianpeng_dijiao_2.effect_payload</t>
        </is>
      </c>
    </row>
    <row r="417">
      <c r="A417" s="3" t="inlineStr">
        <is>
          <t>equip_lingwenyubi</t>
        </is>
      </c>
      <c r="B417" s="3" t="inlineStr">
        <is>
          <t>灵纹玉笔</t>
        </is>
      </c>
      <c r="C417" s="3" t="inlineStr">
        <is>
          <t>任务宝箱装备</t>
        </is>
      </c>
      <c r="D417" s="3" t="inlineStr">
        <is>
          <t>任务：天蓬元帅的地窖（第二层）（tianpeng_dijiao_2）；胜利得天蓬地窖二层宝箱×1，在仓库开启；组概率55.000000%，权重10000/55000，单项概率10.000000%，数量1—1</t>
        </is>
      </c>
      <c r="E417" s="3" t="inlineStr">
        <is>
          <t>data/item_templates.yaml:mission_chest_v3_tianpeng_dijiao_2.effect_payload</t>
        </is>
      </c>
    </row>
    <row r="418">
      <c r="A418" s="3" t="inlineStr">
        <is>
          <t>equip_guanxingdeng</t>
        </is>
      </c>
      <c r="B418" s="3" t="inlineStr">
        <is>
          <t>观星灯</t>
        </is>
      </c>
      <c r="C418" s="3" t="inlineStr">
        <is>
          <t>任务宝箱装备</t>
        </is>
      </c>
      <c r="D418" s="3" t="inlineStr">
        <is>
          <t>任务：天蓬元帅的地窖（第二层）（tianpeng_dijiao_2）；胜利得天蓬地窖二层宝箱×1，在仓库开启；组概率55.000000%，权重10000/55000，单项概率10.000000%，数量1—1</t>
        </is>
      </c>
      <c r="E418" s="3" t="inlineStr">
        <is>
          <t>data/item_templates.yaml:mission_chest_v3_tianpeng_dijiao_2.effect_payload</t>
        </is>
      </c>
    </row>
    <row r="419">
      <c r="A419" s="3" t="inlineStr">
        <is>
          <t>equip_feiyunzui</t>
        </is>
      </c>
      <c r="B419" s="3" t="inlineStr">
        <is>
          <t>飞云锥</t>
        </is>
      </c>
      <c r="C419" s="3" t="inlineStr">
        <is>
          <t>任务宝箱装备</t>
        </is>
      </c>
      <c r="D419" s="3" t="inlineStr">
        <is>
          <t>任务：机关雏鸟（jiguan_chuniao）；胜利得机关雏鸟宝箱×1，在仓库开启；组概率15.000000%，权重10000/15000，单项概率10.000000%，数量1—1</t>
        </is>
      </c>
      <c r="E419" s="3" t="inlineStr">
        <is>
          <t>data/item_templates.yaml:mission_chest_v3_jiguan_chuniao.effect_payload</t>
        </is>
      </c>
    </row>
    <row r="420">
      <c r="A420" s="3" t="inlineStr">
        <is>
          <t>equip_luopan</t>
        </is>
      </c>
      <c r="B420" s="3" t="inlineStr">
        <is>
          <t>罗盘</t>
        </is>
      </c>
      <c r="C420" s="3" t="inlineStr">
        <is>
          <t>任务宝箱装备</t>
        </is>
      </c>
      <c r="D420" s="3" t="inlineStr">
        <is>
          <t>任务：机关雏鸟（jiguan_chuniao）；胜利得机关雏鸟宝箱×1，在仓库开启；组概率15.000000%，权重5000/15000，单项概率5.000000%，数量1—1</t>
        </is>
      </c>
      <c r="E420" s="3" t="inlineStr">
        <is>
          <t>data/item_templates.yaml:mission_chest_v3_jiguan_chuniao.effect_payload</t>
        </is>
      </c>
    </row>
    <row r="421">
      <c r="A421" s="3" t="inlineStr">
        <is>
          <t>equip_jiguanchuniao</t>
        </is>
      </c>
      <c r="B421" s="3" t="inlineStr">
        <is>
          <t>机关雏鸟</t>
        </is>
      </c>
      <c r="C421" s="3" t="inlineStr">
        <is>
          <t>图纸合成（任务宝箱）</t>
        </is>
      </c>
      <c r="D421" s="3" t="inlineStr">
        <is>
          <t>任务：机关雏鸟（jiguan_chuniao）；胜利得机关雏鸟宝箱×1，在仓库开启；组概率40.000000%，权重1/1，单项概率40.000000%，数量1—1；获得机关雏鸟图纸，锻造8级，合成产出1件；材料：铜×51、锡×34、铁×24、木质精华×3、铜质精华×3、玄铁精华×2、紫檀木×4、水曲木×8、铁木×3、黑原石×4、金刚煤×3、刨子×5、凿子×3、空气之石×2、纯水之石×2</t>
        </is>
      </c>
      <c r="E421" s="3" t="inlineStr">
        <is>
          <t>data/item_templates.yaml:mission_chest_v3_jiguan_chuniao.effect_payload；data/forge_blueprints.yaml</t>
        </is>
      </c>
    </row>
    <row r="422">
      <c r="A422" s="3" t="inlineStr">
        <is>
          <t>equip_jixiemao</t>
        </is>
      </c>
      <c r="B422" s="3" t="inlineStr">
        <is>
          <t>机械猫</t>
        </is>
      </c>
      <c r="C422" s="3" t="inlineStr">
        <is>
          <t>图纸合成（任务宝箱）</t>
        </is>
      </c>
      <c r="D422" s="3" t="inlineStr">
        <is>
          <t>任务：机关雏鸟（jiguan_chuniao）；胜利得机关雏鸟宝箱×1，在仓库开启；组概率20.000000%，权重1/3，单项概率6.666667%，数量1—1；获得机械猫图纸，锻造8级，合成产出1件；材料：铜×48、锡×32、铁×24、木质精华×3、铜质精华×3、玄铁精华×2、紫檀木×4、铁木×6、黑原石×6、金刚煤×4、刨子×4、凿子×4、空气之石×2</t>
        </is>
      </c>
      <c r="E422" s="3" t="inlineStr">
        <is>
          <t>data/item_templates.yaml:mission_chest_v3_jiguan_chuniao.effect_payload；data/forge_blueprints.yaml</t>
        </is>
      </c>
    </row>
    <row r="423">
      <c r="A423" s="3" t="inlineStr">
        <is>
          <t>equip_kuileimuren</t>
        </is>
      </c>
      <c r="B423" s="3" t="inlineStr">
        <is>
          <t>傀儡木人</t>
        </is>
      </c>
      <c r="C423" s="3" t="inlineStr">
        <is>
          <t>图纸合成（任务宝箱）</t>
        </is>
      </c>
      <c r="D423" s="3" t="inlineStr">
        <is>
          <t>任务：机关雏鸟（jiguan_chuniao）；胜利得机关雏鸟宝箱×1，在仓库开启；组概率20.000000%，权重1/3，单项概率6.666667%，数量1—1；获得傀儡木人图纸，锻造8级，合成产出1件；材料：铜×53、锡×36、铁×29、木质精华×3、铜质精华×4、玄铁精华×2、水曲木×6、铁木×10、黑原石×3、金刚煤×4、刨子×6、凿子×4、大地之石×3</t>
        </is>
      </c>
      <c r="E423" s="3" t="inlineStr">
        <is>
          <t>data/item_templates.yaml:mission_chest_v3_jiguan_chuniao.effect_payload；data/forge_blueprints.yaml</t>
        </is>
      </c>
    </row>
    <row r="424">
      <c r="A424" s="3" t="inlineStr">
        <is>
          <t>equip_qingji</t>
        </is>
      </c>
      <c r="B424" s="3" t="inlineStr">
        <is>
          <t>庆忌</t>
        </is>
      </c>
      <c r="C424" s="3" t="inlineStr">
        <is>
          <t>图纸合成（任务宝箱）</t>
        </is>
      </c>
      <c r="D424" s="3" t="inlineStr">
        <is>
          <t>任务：机关雏鸟（jiguan_chuniao）；胜利得机关雏鸟宝箱×1，在仓库开启；组概率20.000000%，权重1/3，单项概率6.666667%，数量1—1；获得庆忌图纸，锻造8级，合成产出1件；材料：铜×46、锡×29、铁×22、木质精华×3、铜质精华×3、玄铁精华×2、紫檀木×6、铁木×3、黑原石×6、金刚煤×4、刨子×3、凿子×5、空气之石×2</t>
        </is>
      </c>
      <c r="E424" s="3" t="inlineStr">
        <is>
          <t>data/item_templates.yaml:mission_chest_v3_jiguan_chuniao.effect_payload；data/forge_blueprints.yaml</t>
        </is>
      </c>
    </row>
    <row r="425">
      <c r="A425" s="3" t="inlineStr">
        <is>
          <t>equip_pojunxue</t>
        </is>
      </c>
      <c r="B425" s="3" t="inlineStr">
        <is>
          <t>破军靴</t>
        </is>
      </c>
      <c r="C425" s="3" t="inlineStr">
        <is>
          <t>任务宝箱装备</t>
        </is>
      </c>
      <c r="D425" s="3" t="inlineStr">
        <is>
          <t>任务：洞天福地（dongtian_fudi）；胜利得洞天福地宝箱×1，在仓库开启；组概率10.000000%，权重1/1，单项概率10.000000%，数量1—1</t>
        </is>
      </c>
      <c r="E425" s="3" t="inlineStr">
        <is>
          <t>data/item_templates.yaml:mission_chest_v3_dongtian_fudi.effect_payload</t>
        </is>
      </c>
    </row>
    <row r="426">
      <c r="A426" s="3" t="inlineStr">
        <is>
          <t>equip_pojunji</t>
        </is>
      </c>
      <c r="B426" s="3" t="inlineStr">
        <is>
          <t>破军戟</t>
        </is>
      </c>
      <c r="C426" s="3" t="inlineStr">
        <is>
          <t>任务宝箱装备</t>
        </is>
      </c>
      <c r="D426" s="3" t="inlineStr">
        <is>
          <t>任务：洞天福地（dongtian_fudi）；胜利得洞天福地宝箱×1，在仓库开启；组概率60.000000%，权重16/60，单项概率16.000000%，数量1—1</t>
        </is>
      </c>
      <c r="E426" s="3" t="inlineStr">
        <is>
          <t>data/item_templates.yaml:mission_chest_v3_dongtian_fudi.effect_payload</t>
        </is>
      </c>
    </row>
    <row r="427">
      <c r="A427" s="3" t="inlineStr">
        <is>
          <t>equip_pojunkui</t>
        </is>
      </c>
      <c r="B427" s="3" t="inlineStr">
        <is>
          <t>破军盔</t>
        </is>
      </c>
      <c r="C427" s="3" t="inlineStr">
        <is>
          <t>任务宝箱装备</t>
        </is>
      </c>
      <c r="D427" s="3" t="inlineStr">
        <is>
          <t>任务：洞天福地（dongtian_fudi）；胜利得洞天福地宝箱×1，在仓库开启；组概率60.000000%，权重16/60，单项概率16.000000%，数量1—1</t>
        </is>
      </c>
      <c r="E427" s="3" t="inlineStr">
        <is>
          <t>data/item_templates.yaml:mission_chest_v3_dongtian_fudi.effect_payload</t>
        </is>
      </c>
    </row>
    <row r="428">
      <c r="A428" s="3" t="inlineStr">
        <is>
          <t>equip_pojunzhanjia</t>
        </is>
      </c>
      <c r="B428" s="3" t="inlineStr">
        <is>
          <t>破军战甲</t>
        </is>
      </c>
      <c r="C428" s="3" t="inlineStr">
        <is>
          <t>任务宝箱装备</t>
        </is>
      </c>
      <c r="D428" s="3" t="inlineStr">
        <is>
          <t>任务：洞天福地（dongtian_fudi）；胜利得洞天福地宝箱×1，在仓库开启；组概率60.000000%，权重16/60，单项概率16.000000%，数量1—1</t>
        </is>
      </c>
      <c r="E428" s="3" t="inlineStr">
        <is>
          <t>data/item_templates.yaml:mission_chest_v3_dongtian_fudi.effect_payload</t>
        </is>
      </c>
    </row>
    <row r="429">
      <c r="A429" s="3" t="inlineStr">
        <is>
          <t>equip_longjingzhu</t>
        </is>
      </c>
      <c r="B429" s="3" t="inlineStr">
        <is>
          <t>龙睛珠</t>
        </is>
      </c>
      <c r="C429" s="3" t="inlineStr">
        <is>
          <t>任务宝箱装备</t>
        </is>
      </c>
      <c r="D429" s="3" t="inlineStr">
        <is>
          <t>任务：洞天福地（dongtian_fudi）；胜利得洞天福地宝箱×1，在仓库开启；组概率60.000000%，权重6/60，单项概率6.000000%，数量1—1</t>
        </is>
      </c>
      <c r="E429" s="3" t="inlineStr">
        <is>
          <t>data/item_templates.yaml:mission_chest_v3_dongtian_fudi.effect_payload</t>
        </is>
      </c>
    </row>
    <row r="430">
      <c r="A430" s="3" t="inlineStr">
        <is>
          <t>equip_qingshuanglu</t>
        </is>
      </c>
      <c r="B430" s="3" t="inlineStr">
        <is>
          <t>青霜鹿</t>
        </is>
      </c>
      <c r="C430" s="3" t="inlineStr">
        <is>
          <t>任务宝箱装备</t>
        </is>
      </c>
      <c r="D430" s="3" t="inlineStr">
        <is>
          <t>任务：洞天福地（dongtian_fudi）；胜利得洞天福地宝箱×1，在仓库开启；组概率60.000000%，权重6/60，单项概率6.000000%，数量1—1</t>
        </is>
      </c>
      <c r="E430" s="3" t="inlineStr">
        <is>
          <t>data/item_templates.yaml:mission_chest_v3_dongtian_fudi.effect_payload</t>
        </is>
      </c>
    </row>
    <row r="431">
      <c r="A431" s="3" t="inlineStr">
        <is>
          <t>equip_lingboxie</t>
        </is>
      </c>
      <c r="B431" s="3" t="inlineStr">
        <is>
          <t>凌波鞋</t>
        </is>
      </c>
      <c r="C431" s="3" t="inlineStr">
        <is>
          <t>任务宝箱装备</t>
        </is>
      </c>
      <c r="D431" s="3" t="inlineStr">
        <is>
          <t>任务：九峰匪患（jiufeng_feihuan）；胜利得九峰匪患宝箱×1，在仓库开启；组概率100.000000%，权重1/1，单项概率100.000000%，数量1—1</t>
        </is>
      </c>
      <c r="E431" s="3" t="inlineStr">
        <is>
          <t>data/item_templates.yaml:mission_chest_v3_jiufeng_feihuan.effect_payload</t>
        </is>
      </c>
    </row>
    <row r="432">
      <c r="A432" s="3" t="inlineStr">
        <is>
          <t>equip_muniuliuma</t>
        </is>
      </c>
      <c r="B432" s="3" t="inlineStr">
        <is>
          <t>木牛流马</t>
        </is>
      </c>
      <c r="C432" s="3" t="inlineStr">
        <is>
          <t>图纸合成（任务宝箱）</t>
        </is>
      </c>
      <c r="D432" s="3" t="inlineStr">
        <is>
          <t>任务：九峰匪患（jiufeng_feihuan）；胜利得九峰匪患宝箱×1，在仓库开启；组概率3.000000%，权重1/1，单项概率3.000000%，数量1—1；获得木牛流马图纸，锻造10级，合成产出1件；材料：铜×65、锡×44、铁×34、木质精华×4、铜质精华×4、玄铁精华×3、紫檀木×8、水曲木×12、铁木×17、黑原石×5、金刚煤×8、刨子×11、凿子×8、高炉×3、大地之石×3、纯水之石×2</t>
        </is>
      </c>
      <c r="E432" s="3" t="inlineStr">
        <is>
          <t>data/item_templates.yaml:mission_chest_v3_jiufeng_feihuan.effect_payload；data/forge_blueprints.yaml</t>
        </is>
      </c>
    </row>
    <row r="433">
      <c r="A433" s="3" t="inlineStr">
        <is>
          <t>equip_yemantoukie</t>
        </is>
      </c>
      <c r="B433" s="3" t="inlineStr">
        <is>
          <t>野蛮头盔</t>
        </is>
      </c>
      <c r="C433" s="3" t="inlineStr">
        <is>
          <t>任务宝箱装备</t>
        </is>
      </c>
      <c r="D433" s="3" t="inlineStr">
        <is>
          <t>任务：九峰匪患（jiufeng_feihuan）；胜利得九峰匪患宝箱×1，在仓库开启；组概率55.000000%，权重10000/55000，单项概率10.000000%，数量1—1</t>
        </is>
      </c>
      <c r="E433" s="3" t="inlineStr">
        <is>
          <t>data/item_templates.yaml:mission_chest_v3_jiufeng_feihuan.effect_payload</t>
        </is>
      </c>
    </row>
    <row r="434">
      <c r="A434" s="3" t="inlineStr">
        <is>
          <t>equip_yemankandao</t>
        </is>
      </c>
      <c r="B434" s="3" t="inlineStr">
        <is>
          <t>野蛮砍刀</t>
        </is>
      </c>
      <c r="C434" s="3" t="inlineStr">
        <is>
          <t>任务宝箱装备</t>
        </is>
      </c>
      <c r="D434" s="3" t="inlineStr">
        <is>
          <t>任务：九峰匪患（jiufeng_feihuan）；胜利得九峰匪患宝箱×1，在仓库开启；组概率55.000000%，权重10000/55000，单项概率10.000000%，数量1—1</t>
        </is>
      </c>
      <c r="E434" s="3" t="inlineStr">
        <is>
          <t>data/item_templates.yaml:mission_chest_v3_jiufeng_feihuan.effect_payload</t>
        </is>
      </c>
    </row>
    <row r="435">
      <c r="A435" s="3" t="inlineStr">
        <is>
          <t>equip_zhuifengxue</t>
        </is>
      </c>
      <c r="B435" s="3" t="inlineStr">
        <is>
          <t>追风靴</t>
        </is>
      </c>
      <c r="C435" s="3" t="inlineStr">
        <is>
          <t>任务宝箱装备</t>
        </is>
      </c>
      <c r="D435" s="3" t="inlineStr">
        <is>
          <t>任务：九峰匪患（jiufeng_feihuan）；胜利得九峰匪患宝箱×1，在仓库开启；组概率55.000000%，权重7000/55000，单项概率7.000000%，数量1—1</t>
        </is>
      </c>
      <c r="E435" s="3" t="inlineStr">
        <is>
          <t>data/item_templates.yaml:mission_chest_v3_jiufeng_feihuan.effect_payload</t>
        </is>
      </c>
    </row>
    <row r="436">
      <c r="A436" s="3" t="inlineStr">
        <is>
          <t>equip_yingxingxue</t>
        </is>
      </c>
      <c r="B436" s="3" t="inlineStr">
        <is>
          <t>影行靴</t>
        </is>
      </c>
      <c r="C436" s="3" t="inlineStr">
        <is>
          <t>任务宝箱装备</t>
        </is>
      </c>
      <c r="D436" s="3" t="inlineStr">
        <is>
          <t>任务：九峰匪患（jiufeng_feihuan）；胜利得九峰匪患宝箱×1，在仓库开启；组概率55.000000%，权重7000/55000，单项概率7.000000%，数量1—1</t>
        </is>
      </c>
      <c r="E436" s="3" t="inlineStr">
        <is>
          <t>data/item_templates.yaml:mission_chest_v3_jiufeng_feihuan.effect_payload</t>
        </is>
      </c>
    </row>
    <row r="437">
      <c r="A437" s="3" t="inlineStr">
        <is>
          <t>equip_pojunxue</t>
        </is>
      </c>
      <c r="B437" s="3" t="inlineStr">
        <is>
          <t>破军靴</t>
        </is>
      </c>
      <c r="C437" s="3" t="inlineStr">
        <is>
          <t>任务宝箱装备</t>
        </is>
      </c>
      <c r="D437" s="3" t="inlineStr">
        <is>
          <t>任务：九峰匪患（jiufeng_feihuan）；胜利得九峰匪患宝箱×1，在仓库开启；组概率55.000000%，权重6000/55000，单项概率6.000000%，数量1—1</t>
        </is>
      </c>
      <c r="E437" s="3" t="inlineStr">
        <is>
          <t>data/item_templates.yaml:mission_chest_v3_jiufeng_feihuan.effect_payload</t>
        </is>
      </c>
    </row>
    <row r="438">
      <c r="A438" s="3" t="inlineStr">
        <is>
          <t>equip_jinlinxue</t>
        </is>
      </c>
      <c r="B438" s="3" t="inlineStr">
        <is>
          <t>金鳞靴</t>
        </is>
      </c>
      <c r="C438" s="3" t="inlineStr">
        <is>
          <t>任务宝箱装备</t>
        </is>
      </c>
      <c r="D438" s="3" t="inlineStr">
        <is>
          <t>任务：九峰匪患（jiufeng_feihuan）；胜利得九峰匪患宝箱×1，在仓库开启；组概率55.000000%，权重6000/55000，单项概率6.000000%，数量1—1</t>
        </is>
      </c>
      <c r="E438" s="3" t="inlineStr">
        <is>
          <t>data/item_templates.yaml:mission_chest_v3_jiufeng_feihuan.effect_payload</t>
        </is>
      </c>
    </row>
    <row r="439">
      <c r="A439" s="3" t="inlineStr">
        <is>
          <t>equip_qianliju</t>
        </is>
      </c>
      <c r="B439" s="3" t="inlineStr">
        <is>
          <t>千里驹</t>
        </is>
      </c>
      <c r="C439" s="3" t="inlineStr">
        <is>
          <t>任务宝箱装备</t>
        </is>
      </c>
      <c r="D439" s="3" t="inlineStr">
        <is>
          <t>任务：九峰匪患（jiufeng_feihuan）；胜利得九峰匪患宝箱×1，在仓库开启；组概率55.000000%，权重6000/55000，单项概率6.000000%，数量1—1</t>
        </is>
      </c>
      <c r="E439" s="3" t="inlineStr">
        <is>
          <t>data/item_templates.yaml:mission_chest_v3_jiufeng_feihuan.effect_payload</t>
        </is>
      </c>
    </row>
    <row r="440">
      <c r="A440" s="3" t="inlineStr">
        <is>
          <t>equip_juanmaochitu</t>
        </is>
      </c>
      <c r="B440" s="3" t="inlineStr">
        <is>
          <t>卷毛赤兔</t>
        </is>
      </c>
      <c r="C440" s="3" t="inlineStr">
        <is>
          <t>任务宝箱装备</t>
        </is>
      </c>
      <c r="D440" s="3" t="inlineStr">
        <is>
          <t>任务：九峰匪患（jiufeng_feihuan）；胜利得九峰匪患宝箱×1，在仓库开启；组概率55.000000%，权重3000/55000，单项概率3.000000%，数量1—1</t>
        </is>
      </c>
      <c r="E440" s="3" t="inlineStr">
        <is>
          <t>data/item_templates.yaml:mission_chest_v3_jiufeng_feihuan.effect_payload</t>
        </is>
      </c>
    </row>
    <row r="441">
      <c r="A441" s="3" t="inlineStr">
        <is>
          <t>equip_qingzhujia</t>
        </is>
      </c>
      <c r="B441" s="3" t="inlineStr">
        <is>
          <t>青竹甲</t>
        </is>
      </c>
      <c r="C441" s="3" t="inlineStr">
        <is>
          <t>任务宝箱装备</t>
        </is>
      </c>
      <c r="D441" s="3" t="inlineStr">
        <is>
          <t>任务：我的桃子分你一半（taozi_fenban）；胜利得分桃宝箱×1，在仓库开启；组概率85.000000%，权重1/11，单项概率7.727273%，数量1—1</t>
        </is>
      </c>
      <c r="E441" s="3" t="inlineStr">
        <is>
          <t>data/item_templates.yaml:mission_chest_v3_taozi_fenban.effect_payload</t>
        </is>
      </c>
    </row>
    <row r="442">
      <c r="A442" s="3" t="inlineStr">
        <is>
          <t>equip_qingtengguan</t>
        </is>
      </c>
      <c r="B442" s="3" t="inlineStr">
        <is>
          <t>青藤冠</t>
        </is>
      </c>
      <c r="C442" s="3" t="inlineStr">
        <is>
          <t>任务宝箱装备</t>
        </is>
      </c>
      <c r="D442" s="3" t="inlineStr">
        <is>
          <t>任务：我的桃子分你一半（taozi_fenban）；胜利得分桃宝箱×1，在仓库开启；组概率85.000000%，权重1/11，单项概率7.727273%，数量1—1</t>
        </is>
      </c>
      <c r="E442" s="3" t="inlineStr">
        <is>
          <t>data/item_templates.yaml:mission_chest_v3_taozi_fenban.effect_payload</t>
        </is>
      </c>
    </row>
    <row r="443">
      <c r="A443" s="3" t="inlineStr">
        <is>
          <t>equip_zhuyelu</t>
        </is>
      </c>
      <c r="B443" s="3" t="inlineStr">
        <is>
          <t>竹叶履</t>
        </is>
      </c>
      <c r="C443" s="3" t="inlineStr">
        <is>
          <t>任务宝箱装备</t>
        </is>
      </c>
      <c r="D443" s="3" t="inlineStr">
        <is>
          <t>任务：我的桃子分你一半（taozi_fenban）；胜利得分桃宝箱×1，在仓库开启；组概率85.000000%，权重1/11，单项概率7.727273%，数量1—1</t>
        </is>
      </c>
      <c r="E443" s="3" t="inlineStr">
        <is>
          <t>data/item_templates.yaml:mission_chest_v3_taozi_fenban.effect_payload</t>
        </is>
      </c>
    </row>
    <row r="444">
      <c r="A444" s="3" t="inlineStr">
        <is>
          <t>equip_tayunxue</t>
        </is>
      </c>
      <c r="B444" s="3" t="inlineStr">
        <is>
          <t>踏云靴</t>
        </is>
      </c>
      <c r="C444" s="3" t="inlineStr">
        <is>
          <t>任务宝箱装备</t>
        </is>
      </c>
      <c r="D444" s="3" t="inlineStr">
        <is>
          <t>任务：我的桃子分你一半（taozi_fenban）；胜利得分桃宝箱×1，在仓库开启；组概率85.000000%，权重1/11，单项概率7.727273%，数量1—1</t>
        </is>
      </c>
      <c r="E444" s="3" t="inlineStr">
        <is>
          <t>data/item_templates.yaml:mission_chest_v3_taozi_fenban.effect_payload</t>
        </is>
      </c>
    </row>
    <row r="445">
      <c r="A445" s="3" t="inlineStr">
        <is>
          <t>equip_jifengxue</t>
        </is>
      </c>
      <c r="B445" s="3" t="inlineStr">
        <is>
          <t>疾风靴</t>
        </is>
      </c>
      <c r="C445" s="3" t="inlineStr">
        <is>
          <t>任务宝箱装备</t>
        </is>
      </c>
      <c r="D445" s="3" t="inlineStr">
        <is>
          <t>任务：我的桃子分你一半（taozi_fenban）；胜利得分桃宝箱×1，在仓库开启；组概率85.000000%，权重1/11，单项概率7.727273%，数量1—1</t>
        </is>
      </c>
      <c r="E445" s="3" t="inlineStr">
        <is>
          <t>data/item_templates.yaml:mission_chest_v3_taozi_fenban.effect_payload</t>
        </is>
      </c>
    </row>
    <row r="446">
      <c r="A446" s="3" t="inlineStr">
        <is>
          <t>equip_hushenfu</t>
        </is>
      </c>
      <c r="B446" s="3" t="inlineStr">
        <is>
          <t>护身符</t>
        </is>
      </c>
      <c r="C446" s="3" t="inlineStr">
        <is>
          <t>任务宝箱装备</t>
        </is>
      </c>
      <c r="D446" s="3" t="inlineStr">
        <is>
          <t>任务：我的桃子分你一半（taozi_fenban）；胜利得分桃宝箱×1，在仓库开启；组概率85.000000%，权重1/11，单项概率7.727273%，数量1—1</t>
        </is>
      </c>
      <c r="E446" s="3" t="inlineStr">
        <is>
          <t>data/item_templates.yaml:mission_chest_v3_taozi_fenban.effect_payload</t>
        </is>
      </c>
    </row>
    <row r="447">
      <c r="A447" s="3" t="inlineStr">
        <is>
          <t>equip_taomupai</t>
        </is>
      </c>
      <c r="B447" s="3" t="inlineStr">
        <is>
          <t>桃木牌</t>
        </is>
      </c>
      <c r="C447" s="3" t="inlineStr">
        <is>
          <t>任务宝箱装备</t>
        </is>
      </c>
      <c r="D447" s="3" t="inlineStr">
        <is>
          <t>任务：我的桃子分你一半（taozi_fenban）；胜利得分桃宝箱×1，在仓库开启；组概率85.000000%，权重1/11，单项概率7.727273%，数量1—1</t>
        </is>
      </c>
      <c r="E447" s="3" t="inlineStr">
        <is>
          <t>data/item_templates.yaml:mission_chest_v3_taozi_fenban.effect_payload</t>
        </is>
      </c>
    </row>
    <row r="448">
      <c r="A448" s="3" t="inlineStr">
        <is>
          <t>equip_tanmunianzhu</t>
        </is>
      </c>
      <c r="B448" s="3" t="inlineStr">
        <is>
          <t>檀木念珠</t>
        </is>
      </c>
      <c r="C448" s="3" t="inlineStr">
        <is>
          <t>任务宝箱装备</t>
        </is>
      </c>
      <c r="D448" s="3" t="inlineStr">
        <is>
          <t>任务：我的桃子分你一半（taozi_fenban）；胜利得分桃宝箱×1，在仓库开启；组概率85.000000%，权重1/11，单项概率7.727273%，数量1—1</t>
        </is>
      </c>
      <c r="E448" s="3" t="inlineStr">
        <is>
          <t>data/item_templates.yaml:mission_chest_v3_taozi_fenban.effect_payload</t>
        </is>
      </c>
    </row>
    <row r="449">
      <c r="A449" s="3" t="inlineStr">
        <is>
          <t>equip_taomujian</t>
        </is>
      </c>
      <c r="B449" s="3" t="inlineStr">
        <is>
          <t>桃木剑</t>
        </is>
      </c>
      <c r="C449" s="3" t="inlineStr">
        <is>
          <t>任务宝箱装备</t>
        </is>
      </c>
      <c r="D449" s="3" t="inlineStr">
        <is>
          <t>任务：我的桃子分你一半（taozi_fenban）；胜利得分桃宝箱×1，在仓库开启；组概率85.000000%，权重1/11，单项概率7.727273%，数量1—1</t>
        </is>
      </c>
      <c r="E449" s="3" t="inlineStr">
        <is>
          <t>data/item_templates.yaml:mission_chest_v3_taozi_fenban.effect_payload</t>
        </is>
      </c>
    </row>
    <row r="450">
      <c r="A450" s="3" t="inlineStr">
        <is>
          <t>equip_luopan</t>
        </is>
      </c>
      <c r="B450" s="3" t="inlineStr">
        <is>
          <t>罗盘</t>
        </is>
      </c>
      <c r="C450" s="3" t="inlineStr">
        <is>
          <t>任务宝箱装备</t>
        </is>
      </c>
      <c r="D450" s="3" t="inlineStr">
        <is>
          <t>任务：我的桃子分你一半（taozi_fenban）；胜利得分桃宝箱×1，在仓库开启；组概率85.000000%，权重1/11，单项概率7.727273%，数量1—1</t>
        </is>
      </c>
      <c r="E450" s="3" t="inlineStr">
        <is>
          <t>data/item_templates.yaml:mission_chest_v3_taozi_fenban.effect_payload</t>
        </is>
      </c>
    </row>
    <row r="451">
      <c r="A451" s="3" t="inlineStr">
        <is>
          <t>equip_taxuema</t>
        </is>
      </c>
      <c r="B451" s="3" t="inlineStr">
        <is>
          <t>踏雪马</t>
        </is>
      </c>
      <c r="C451" s="3" t="inlineStr">
        <is>
          <t>任务宝箱装备</t>
        </is>
      </c>
      <c r="D451" s="3" t="inlineStr">
        <is>
          <t>任务：我的桃子分你一半（taozi_fenban）；胜利得分桃宝箱×1，在仓库开启；组概率85.000000%，权重1/11，单项概率7.727273%，数量1—1</t>
        </is>
      </c>
      <c r="E451" s="3" t="inlineStr">
        <is>
          <t>data/item_templates.yaml:mission_chest_v3_taozi_fenban.effect_payload</t>
        </is>
      </c>
    </row>
    <row r="452">
      <c r="A452" s="3" t="inlineStr">
        <is>
          <t>equip_wuzhuima</t>
        </is>
      </c>
      <c r="B452" s="3" t="inlineStr">
        <is>
          <t>乌骓马</t>
        </is>
      </c>
      <c r="C452" s="3" t="inlineStr">
        <is>
          <t>任务宝箱装备</t>
        </is>
      </c>
      <c r="D452" s="3" t="inlineStr">
        <is>
          <t>任务：四面楚歌（simian_chuge）；胜利得四面楚歌宝箱×1，在仓库开启；组概率50.000000%，权重1/1，单项概率50.000000%，数量1—1</t>
        </is>
      </c>
      <c r="E452" s="3" t="inlineStr">
        <is>
          <t>data/item_templates.yaml:mission_chest_v3_simian_chuge.effect_payload</t>
        </is>
      </c>
    </row>
    <row r="453">
      <c r="A453" s="3" t="inlineStr">
        <is>
          <t>equip_bawangqiang</t>
        </is>
      </c>
      <c r="B453" s="3" t="inlineStr">
        <is>
          <t>霸王枪</t>
        </is>
      </c>
      <c r="C453" s="3" t="inlineStr">
        <is>
          <t>任务宝箱装备</t>
        </is>
      </c>
      <c r="D453" s="3" t="inlineStr">
        <is>
          <t>任务：四面楚歌（simian_chuge）；胜利得四面楚歌宝箱×1，在仓库开启；组概率10.000000%，权重6/10，单项概率6.000000%，数量1—1</t>
        </is>
      </c>
      <c r="E453" s="3" t="inlineStr">
        <is>
          <t>data/item_templates.yaml:mission_chest_v3_simian_chuge.effect_payload</t>
        </is>
      </c>
    </row>
    <row r="454">
      <c r="A454" s="3" t="inlineStr">
        <is>
          <t>equip_bawangkui</t>
        </is>
      </c>
      <c r="B454" s="3" t="inlineStr">
        <is>
          <t>霸王盔</t>
        </is>
      </c>
      <c r="C454" s="3" t="inlineStr">
        <is>
          <t>任务宝箱装备</t>
        </is>
      </c>
      <c r="D454" s="3" t="inlineStr">
        <is>
          <t>任务：四面楚歌（simian_chuge）；胜利得四面楚歌宝箱×1，在仓库开启；组概率10.000000%，权重4/10，单项概率4.000000%，数量1—1</t>
        </is>
      </c>
      <c r="E454" s="3" t="inlineStr">
        <is>
          <t>data/item_templates.yaml:mission_chest_v3_simian_chuge.effect_payload</t>
        </is>
      </c>
    </row>
    <row r="455">
      <c r="A455" s="3" t="inlineStr">
        <is>
          <t>equip_xuanwukui</t>
        </is>
      </c>
      <c r="B455" s="3" t="inlineStr">
        <is>
          <t>玄武盔</t>
        </is>
      </c>
      <c r="C455" s="3" t="inlineStr">
        <is>
          <t>任务宝箱装备</t>
        </is>
      </c>
      <c r="D455" s="3" t="inlineStr">
        <is>
          <t>任务：追击蛮族（zhuiji_manzu）；胜利得追击蛮族宝箱×1，在仓库开启；组概率24.000000%，权重10/74，单项概率3.243243%，数量1—1</t>
        </is>
      </c>
      <c r="E455" s="3" t="inlineStr">
        <is>
          <t>data/item_templates.yaml:mission_chest_v3_zhuiji_manzu.effect_payload</t>
        </is>
      </c>
    </row>
    <row r="456">
      <c r="A456" s="3" t="inlineStr">
        <is>
          <t>equip_xuanwujia</t>
        </is>
      </c>
      <c r="B456" s="3" t="inlineStr">
        <is>
          <t>玄武甲</t>
        </is>
      </c>
      <c r="C456" s="3" t="inlineStr">
        <is>
          <t>任务宝箱装备</t>
        </is>
      </c>
      <c r="D456" s="3" t="inlineStr">
        <is>
          <t>任务：追击蛮族（zhuiji_manzu）；胜利得追击蛮族宝箱×1，在仓库开启；组概率24.000000%，权重10/74，单项概率3.243243%，数量1—1</t>
        </is>
      </c>
      <c r="E456" s="3" t="inlineStr">
        <is>
          <t>data/item_templates.yaml:mission_chest_v3_zhuiji_manzu.effect_payload</t>
        </is>
      </c>
    </row>
    <row r="457">
      <c r="A457" s="3" t="inlineStr">
        <is>
          <t>equip_xuanwuxue</t>
        </is>
      </c>
      <c r="B457" s="3" t="inlineStr">
        <is>
          <t>玄武靴</t>
        </is>
      </c>
      <c r="C457" s="3" t="inlineStr">
        <is>
          <t>任务宝箱装备</t>
        </is>
      </c>
      <c r="D457" s="3" t="inlineStr">
        <is>
          <t>任务：追击蛮族（zhuiji_manzu）；胜利得追击蛮族宝箱×1，在仓库开启；组概率24.000000%，权重10/74，单项概率3.243243%，数量1—1</t>
        </is>
      </c>
      <c r="E457" s="3" t="inlineStr">
        <is>
          <t>data/item_templates.yaml:mission_chest_v3_zhuiji_manzu.effect_payload</t>
        </is>
      </c>
    </row>
    <row r="458">
      <c r="A458" s="3" t="inlineStr">
        <is>
          <t>equip_xuanwuchui</t>
        </is>
      </c>
      <c r="B458" s="3" t="inlineStr">
        <is>
          <t>玄武锤</t>
        </is>
      </c>
      <c r="C458" s="3" t="inlineStr">
        <is>
          <t>任务宝箱装备</t>
        </is>
      </c>
      <c r="D458" s="3" t="inlineStr">
        <is>
          <t>任务：追击蛮族（zhuiji_manzu）；胜利得追击蛮族宝箱×1，在仓库开启；组概率24.000000%，权重10/74，单项概率3.243243%，数量1—1</t>
        </is>
      </c>
      <c r="E458" s="3" t="inlineStr">
        <is>
          <t>data/item_templates.yaml:mission_chest_v3_zhuiji_manzu.effect_payload</t>
        </is>
      </c>
    </row>
    <row r="459">
      <c r="A459" s="3" t="inlineStr">
        <is>
          <t>equip_jinlun</t>
        </is>
      </c>
      <c r="B459" s="3" t="inlineStr">
        <is>
          <t>金轮</t>
        </is>
      </c>
      <c r="C459" s="3" t="inlineStr">
        <is>
          <t>任务宝箱装备</t>
        </is>
      </c>
      <c r="D459" s="3" t="inlineStr">
        <is>
          <t>任务：追击蛮族（zhuiji_manzu）；胜利得追击蛮族宝箱×1，在仓库开启；组概率24.000000%，权重10/74，单项概率3.243243%，数量1—1</t>
        </is>
      </c>
      <c r="E459" s="3" t="inlineStr">
        <is>
          <t>data/item_templates.yaml:mission_chest_v3_zhuiji_manzu.effect_payload</t>
        </is>
      </c>
    </row>
    <row r="460">
      <c r="A460" s="3" t="inlineStr">
        <is>
          <t>equip_jinshezui</t>
        </is>
      </c>
      <c r="B460" s="3" t="inlineStr">
        <is>
          <t>金蛇锥</t>
        </is>
      </c>
      <c r="C460" s="3" t="inlineStr">
        <is>
          <t>任务宝箱装备</t>
        </is>
      </c>
      <c r="D460" s="3" t="inlineStr">
        <is>
          <t>任务：追击蛮族（zhuiji_manzu）；胜利得追击蛮族宝箱×1，在仓库开启；组概率24.000000%，权重10/74，单项概率3.243243%，数量1—1</t>
        </is>
      </c>
      <c r="E460" s="3" t="inlineStr">
        <is>
          <t>data/item_templates.yaml:mission_chest_v3_zhuiji_manzu.effect_payload</t>
        </is>
      </c>
    </row>
    <row r="461">
      <c r="A461" s="3" t="inlineStr">
        <is>
          <t>equip_tiancanbaoyi</t>
        </is>
      </c>
      <c r="B461" s="3" t="inlineStr">
        <is>
          <t>天蚕宝衣</t>
        </is>
      </c>
      <c r="C461" s="3" t="inlineStr">
        <is>
          <t>任务宝箱装备</t>
        </is>
      </c>
      <c r="D461" s="3" t="inlineStr">
        <is>
          <t>任务：追击蛮族（zhuiji_manzu）；胜利得追击蛮族宝箱×1，在仓库开启；组概率24.000000%，权重10/74，单项概率3.243243%，数量1—1</t>
        </is>
      </c>
      <c r="E461" s="3" t="inlineStr">
        <is>
          <t>data/item_templates.yaml:mission_chest_v3_zhuiji_manzu.effect_payload</t>
        </is>
      </c>
    </row>
    <row r="462">
      <c r="A462" s="3" t="inlineStr">
        <is>
          <t>equip_jinsirujia</t>
        </is>
      </c>
      <c r="B462" s="3" t="inlineStr">
        <is>
          <t>金丝软甲</t>
        </is>
      </c>
      <c r="C462" s="3" t="inlineStr">
        <is>
          <t>任务宝箱装备</t>
        </is>
      </c>
      <c r="D462" s="3" t="inlineStr">
        <is>
          <t>任务：追击蛮族（zhuiji_manzu）；胜利得追击蛮族宝箱×1，在仓库开启；组概率24.000000%，权重2/74，单项概率0.648649%，数量1—1</t>
        </is>
      </c>
      <c r="E462" s="3" t="inlineStr">
        <is>
          <t>data/item_templates.yaml:mission_chest_v3_zhuiji_manzu.effect_payload</t>
        </is>
      </c>
    </row>
    <row r="463">
      <c r="A463" s="3" t="inlineStr">
        <is>
          <t>equip_hanxuebaoma</t>
        </is>
      </c>
      <c r="B463" s="3" t="inlineStr">
        <is>
          <t>汗血宝马</t>
        </is>
      </c>
      <c r="C463" s="3" t="inlineStr">
        <is>
          <t>任务宝箱装备</t>
        </is>
      </c>
      <c r="D463" s="3" t="inlineStr">
        <is>
          <t>任务：追击蛮族（zhuiji_manzu）；胜利得追击蛮族宝箱×1，在仓库开启；组概率24.000000%，权重2/74，单项概率0.648649%，数量1—1</t>
        </is>
      </c>
      <c r="E463" s="3" t="inlineStr">
        <is>
          <t>data/item_templates.yaml:mission_chest_v3_zhuiji_manzu.effect_payload</t>
        </is>
      </c>
    </row>
    <row r="464">
      <c r="A464" s="3" t="inlineStr">
        <is>
          <t>equip_nichangyuyi</t>
        </is>
      </c>
      <c r="B464" s="3" t="inlineStr">
        <is>
          <t>霓裳羽衣</t>
        </is>
      </c>
      <c r="C464" s="3" t="inlineStr">
        <is>
          <t>任务宝箱装备</t>
        </is>
      </c>
      <c r="D464" s="3" t="inlineStr">
        <is>
          <t>任务：梁山伯与祝英台（liangshanbo_zhuyingtai）；胜利得梁山伯与祝英台宝箱×1，在仓库开启；组概率10.000000%，权重1/3，单项概率3.333333%，数量1—1</t>
        </is>
      </c>
      <c r="E464" s="3" t="inlineStr">
        <is>
          <t>data/item_templates.yaml:mission_chest_v3_liangshanbo_zhuyingtai.effect_payload</t>
        </is>
      </c>
    </row>
    <row r="465">
      <c r="A465" s="3" t="inlineStr">
        <is>
          <t>equip_nichangwuxie</t>
        </is>
      </c>
      <c r="B465" s="3" t="inlineStr">
        <is>
          <t>霓裳舞鞋</t>
        </is>
      </c>
      <c r="C465" s="3" t="inlineStr">
        <is>
          <t>任务宝箱装备</t>
        </is>
      </c>
      <c r="D465" s="3" t="inlineStr">
        <is>
          <t>任务：梁山伯与祝英台（liangshanbo_zhuyingtai）；胜利得梁山伯与祝英台宝箱×1，在仓库开启；组概率10.000000%，权重1/3，单项概率3.333333%，数量1—1</t>
        </is>
      </c>
      <c r="E465" s="3" t="inlineStr">
        <is>
          <t>data/item_templates.yaml:mission_chest_v3_liangshanbo_zhuyingtai.effect_payload</t>
        </is>
      </c>
    </row>
    <row r="466">
      <c r="A466" s="3" t="inlineStr">
        <is>
          <t>equip_nichangjian</t>
        </is>
      </c>
      <c r="B466" s="3" t="inlineStr">
        <is>
          <t>霓裳剑</t>
        </is>
      </c>
      <c r="C466" s="3" t="inlineStr">
        <is>
          <t>任务宝箱装备</t>
        </is>
      </c>
      <c r="D466" s="3" t="inlineStr">
        <is>
          <t>任务：梁山伯与祝英台（liangshanbo_zhuyingtai）；胜利得梁山伯与祝英台宝箱×1，在仓库开启；组概率10.000000%，权重1/3，单项概率3.333333%，数量1—1</t>
        </is>
      </c>
      <c r="E466" s="3" t="inlineStr">
        <is>
          <t>data/item_templates.yaml:mission_chest_v3_liangshanbo_zhuyingtai.effect_payload</t>
        </is>
      </c>
    </row>
    <row r="467">
      <c r="A467" s="3" t="inlineStr">
        <is>
          <t>equip_baguadao</t>
        </is>
      </c>
      <c r="B467" s="3" t="inlineStr">
        <is>
          <t>八卦刀</t>
        </is>
      </c>
      <c r="C467" s="3" t="inlineStr">
        <is>
          <t>任务宝箱装备</t>
        </is>
      </c>
      <c r="D467" s="3" t="inlineStr">
        <is>
          <t>任务：梁山伯与祝英台（liangshanbo_zhuyingtai）；胜利得梁山伯与祝英台宝箱×1，在仓库开启；组概率40.000000%，权重10000/40000，单项概率10.000000%，数量1—1</t>
        </is>
      </c>
      <c r="E467" s="3" t="inlineStr">
        <is>
          <t>data/item_templates.yaml:mission_chest_v3_liangshanbo_zhuyingtai.effect_payload</t>
        </is>
      </c>
    </row>
    <row r="468">
      <c r="A468" s="3" t="inlineStr">
        <is>
          <t>equip_yiqiyaopai</t>
        </is>
      </c>
      <c r="B468" s="3" t="inlineStr">
        <is>
          <t>义气腰牌</t>
        </is>
      </c>
      <c r="C468" s="3" t="inlineStr">
        <is>
          <t>任务宝箱装备</t>
        </is>
      </c>
      <c r="D468" s="3" t="inlineStr">
        <is>
          <t>任务：梁山伯与祝英台（liangshanbo_zhuyingtai）；胜利得梁山伯与祝英台宝箱×1，在仓库开启；组概率40.000000%，权重6000/40000，单项概率6.000000%，数量1—1</t>
        </is>
      </c>
      <c r="E468" s="3" t="inlineStr">
        <is>
          <t>data/item_templates.yaml:mission_chest_v3_liangshanbo_zhuyingtai.effect_payload</t>
        </is>
      </c>
    </row>
    <row r="469">
      <c r="A469" s="3" t="inlineStr">
        <is>
          <t>equip_zhujian</t>
        </is>
      </c>
      <c r="B469" s="3" t="inlineStr">
        <is>
          <t>竹简</t>
        </is>
      </c>
      <c r="C469" s="3" t="inlineStr">
        <is>
          <t>任务宝箱装备</t>
        </is>
      </c>
      <c r="D469" s="3" t="inlineStr">
        <is>
          <t>任务：梁山伯与祝英台（liangshanbo_zhuyingtai）；胜利得梁山伯与祝英台宝箱×1，在仓库开启；组概率40.000000%，权重5000/40000，单项概率5.000000%，数量1—1</t>
        </is>
      </c>
      <c r="E469" s="3" t="inlineStr">
        <is>
          <t>data/item_templates.yaml:mission_chest_v3_liangshanbo_zhuyingtai.effect_payload</t>
        </is>
      </c>
    </row>
    <row r="470">
      <c r="A470" s="3" t="inlineStr">
        <is>
          <t>equip_moyuyan</t>
        </is>
      </c>
      <c r="B470" s="3" t="inlineStr">
        <is>
          <t>墨玉砚</t>
        </is>
      </c>
      <c r="C470" s="3" t="inlineStr">
        <is>
          <t>任务宝箱装备</t>
        </is>
      </c>
      <c r="D470" s="3" t="inlineStr">
        <is>
          <t>任务：梁山伯与祝英台（liangshanbo_zhuyingtai）；胜利得梁山伯与祝英台宝箱×1，在仓库开启；组概率40.000000%，权重5000/40000，单项概率5.000000%，数量1—1</t>
        </is>
      </c>
      <c r="E470" s="3" t="inlineStr">
        <is>
          <t>data/item_templates.yaml:mission_chest_v3_liangshanbo_zhuyingtai.effect_payload</t>
        </is>
      </c>
    </row>
    <row r="471">
      <c r="A471" s="3" t="inlineStr">
        <is>
          <t>equip_xuantiejie</t>
        </is>
      </c>
      <c r="B471" s="3" t="inlineStr">
        <is>
          <t>玄铁戒</t>
        </is>
      </c>
      <c r="C471" s="3" t="inlineStr">
        <is>
          <t>任务宝箱装备</t>
        </is>
      </c>
      <c r="D471" s="3" t="inlineStr">
        <is>
          <t>任务：梁山伯与祝英台（liangshanbo_zhuyingtai）；胜利得梁山伯与祝英台宝箱×1，在仓库开启；组概率40.000000%，权重7000/40000，单项概率7.000000%，数量1—1</t>
        </is>
      </c>
      <c r="E471" s="3" t="inlineStr">
        <is>
          <t>data/item_templates.yaml:mission_chest_v3_liangshanbo_zhuyingtai.effect_payload</t>
        </is>
      </c>
    </row>
    <row r="472">
      <c r="A472" s="3" t="inlineStr">
        <is>
          <t>equip_liuyunpei</t>
        </is>
      </c>
      <c r="B472" s="3" t="inlineStr">
        <is>
          <t>流云佩</t>
        </is>
      </c>
      <c r="C472" s="3" t="inlineStr">
        <is>
          <t>任务宝箱装备</t>
        </is>
      </c>
      <c r="D472" s="3" t="inlineStr">
        <is>
          <t>任务：梁山伯与祝英台（liangshanbo_zhuyingtai）；胜利得梁山伯与祝英台宝箱×1，在仓库开启；组概率40.000000%，权重7000/40000，单项概率7.000000%，数量1—1</t>
        </is>
      </c>
      <c r="E472" s="3" t="inlineStr">
        <is>
          <t>data/item_templates.yaml:mission_chest_v3_liangshanbo_zhuyingtai.effect_payload</t>
        </is>
      </c>
    </row>
    <row r="473">
      <c r="A473" s="3" t="inlineStr">
        <is>
          <t>equip_baguajing</t>
        </is>
      </c>
      <c r="B473" s="3" t="inlineStr">
        <is>
          <t>八卦镜</t>
        </is>
      </c>
      <c r="C473" s="3" t="inlineStr">
        <is>
          <t>任务宝箱装备</t>
        </is>
      </c>
      <c r="D473" s="3" t="inlineStr">
        <is>
          <t>任务：封神之战：碧游残灯（biyou_candeng）；胜利得碧游残灯宝箱×1，在仓库开启；组概率6.000000%，权重1/1，单项概率6.000000%，数量1—1</t>
        </is>
      </c>
      <c r="E473" s="3" t="inlineStr">
        <is>
          <t>data/item_templates.yaml:mission_chest_v3_biyou_candeng.effect_payload</t>
        </is>
      </c>
    </row>
    <row r="474">
      <c r="A474" s="3" t="inlineStr">
        <is>
          <t>equip_xiaoweitoukui</t>
        </is>
      </c>
      <c r="B474" s="3" t="inlineStr">
        <is>
          <t>校尉头盔</t>
        </is>
      </c>
      <c r="C474" s="3" t="inlineStr">
        <is>
          <t>任务宝箱装备</t>
        </is>
      </c>
      <c r="D474" s="3" t="inlineStr">
        <is>
          <t>任务：封神之战：碧游残灯（biyou_candeng）；胜利得碧游残灯宝箱×1，在仓库开启；组概率35.000000%，权重1/4，单项概率8.750000%，数量1—1</t>
        </is>
      </c>
      <c r="E474" s="3" t="inlineStr">
        <is>
          <t>data/item_templates.yaml:mission_chest_v3_biyou_candeng.effect_payload</t>
        </is>
      </c>
    </row>
    <row r="475">
      <c r="A475" s="3" t="inlineStr">
        <is>
          <t>equip_xiaoweikaijia</t>
        </is>
      </c>
      <c r="B475" s="3" t="inlineStr">
        <is>
          <t>校尉铠甲</t>
        </is>
      </c>
      <c r="C475" s="3" t="inlineStr">
        <is>
          <t>任务宝箱装备</t>
        </is>
      </c>
      <c r="D475" s="3" t="inlineStr">
        <is>
          <t>任务：封神之战：碧游残灯（biyou_candeng）；胜利得碧游残灯宝箱×1，在仓库开启；组概率35.000000%，权重1/4，单项概率8.750000%，数量1—1</t>
        </is>
      </c>
      <c r="E475" s="3" t="inlineStr">
        <is>
          <t>data/item_templates.yaml:mission_chest_v3_biyou_candeng.effect_payload</t>
        </is>
      </c>
    </row>
    <row r="476">
      <c r="A476" s="3" t="inlineStr">
        <is>
          <t>equip_xiaoweichangxue</t>
        </is>
      </c>
      <c r="B476" s="3" t="inlineStr">
        <is>
          <t>校尉长靴</t>
        </is>
      </c>
      <c r="C476" s="3" t="inlineStr">
        <is>
          <t>任务宝箱装备</t>
        </is>
      </c>
      <c r="D476" s="3" t="inlineStr">
        <is>
          <t>任务：封神之战：碧游残灯（biyou_candeng）；胜利得碧游残灯宝箱×1，在仓库开启；组概率35.000000%，权重1/4，单项概率8.750000%，数量1—1</t>
        </is>
      </c>
      <c r="E476" s="3" t="inlineStr">
        <is>
          <t>data/item_templates.yaml:mission_chest_v3_biyou_candeng.effect_payload</t>
        </is>
      </c>
    </row>
    <row r="477">
      <c r="A477" s="3" t="inlineStr">
        <is>
          <t>equip_xiaoweichangjian</t>
        </is>
      </c>
      <c r="B477" s="3" t="inlineStr">
        <is>
          <t>校尉长剑</t>
        </is>
      </c>
      <c r="C477" s="3" t="inlineStr">
        <is>
          <t>任务宝箱装备</t>
        </is>
      </c>
      <c r="D477" s="3" t="inlineStr">
        <is>
          <t>任务：封神之战：碧游残灯（biyou_candeng）；胜利得碧游残灯宝箱×1，在仓库开启；组概率35.000000%，权重1/4，单项概率8.750000%，数量1—1</t>
        </is>
      </c>
      <c r="E477" s="3" t="inlineStr">
        <is>
          <t>data/item_templates.yaml:mission_chest_v3_biyou_candeng.effect_payload</t>
        </is>
      </c>
    </row>
    <row r="478">
      <c r="A478" s="3" t="inlineStr">
        <is>
          <t>equip_huxianpao</t>
        </is>
      </c>
      <c r="B478" s="3" t="inlineStr">
        <is>
          <t>狐仙袍</t>
        </is>
      </c>
      <c r="C478" s="3" t="inlineStr">
        <is>
          <t>图纸合成（任务宝箱）</t>
        </is>
      </c>
      <c r="D478" s="3" t="inlineStr">
        <is>
          <t>任务：封神之战：碧游残灯（biyou_candeng）；胜利得碧游残灯宝箱×1，在仓库开启；组概率10.000000%，权重1/3，单项概率3.333333%，数量1—1；获得狐仙袍图纸，锻造7级，合成产出1件；材料：铜×41、锡×27、铁×20、木质精华×4、铜质精华×3、玄铁精华×2、紫檀木×11、水曲木×12、铁木×4、金刚煤×4、刨子×8、凿子×3、高炉×2、纯水之石×3</t>
        </is>
      </c>
      <c r="E478" s="3" t="inlineStr">
        <is>
          <t>data/item_templates.yaml:mission_chest_v3_biyou_candeng.effect_payload；data/forge_blueprints.yaml</t>
        </is>
      </c>
    </row>
    <row r="479">
      <c r="A479" s="3" t="inlineStr">
        <is>
          <t>equip_huxianxie</t>
        </is>
      </c>
      <c r="B479" s="3" t="inlineStr">
        <is>
          <t>狐仙鞋</t>
        </is>
      </c>
      <c r="C479" s="3" t="inlineStr">
        <is>
          <t>图纸合成（任务宝箱）</t>
        </is>
      </c>
      <c r="D479" s="3" t="inlineStr">
        <is>
          <t>任务：封神之战：碧游残灯（biyou_candeng）；胜利得碧游残灯宝箱×1，在仓库开启；组概率10.000000%，权重1/3，单项概率3.333333%，数量1—1；获得狐仙鞋图纸，锻造7级，合成产出1件；材料：铜×32、锡×20、铁×15、木质精华×3、铜质精华×3、玄铁精华×2、紫檀木×6、水曲木×12、铁木×3、金刚煤×2、刨子×8、凿子×2、高炉×1、空气之石×3</t>
        </is>
      </c>
      <c r="E479" s="3" t="inlineStr">
        <is>
          <t>data/item_templates.yaml:mission_chest_v3_biyou_candeng.effect_payload；data/forge_blueprints.yaml</t>
        </is>
      </c>
    </row>
    <row r="480">
      <c r="A480" s="3" t="inlineStr">
        <is>
          <t>equip_huxianjian</t>
        </is>
      </c>
      <c r="B480" s="3" t="inlineStr">
        <is>
          <t>狐仙剑</t>
        </is>
      </c>
      <c r="C480" s="3" t="inlineStr">
        <is>
          <t>图纸合成（任务宝箱）</t>
        </is>
      </c>
      <c r="D480" s="3" t="inlineStr">
        <is>
          <t>任务：封神之战：碧游残灯（biyou_candeng）；胜利得碧游残灯宝箱×1，在仓库开启；组概率10.000000%，权重1/3，单项概率3.333333%，数量1—1；获得狐仙剑图纸，锻造7级，合成产出1件；材料：铜×39、锡×24、铁×20、木质精华×3、铜质精华×3、玄铁精华×2、紫檀木×6、铁木×6、黑原石×10、金刚煤×8、刨子×3、凿子×6、高炉×2、空气之石×2、纯水之石×3</t>
        </is>
      </c>
      <c r="E480" s="3" t="inlineStr">
        <is>
          <t>data/item_templates.yaml:mission_chest_v3_biyou_candeng.effect_payload；data/forge_blueprints.yaml</t>
        </is>
      </c>
    </row>
    <row r="481">
      <c r="A481" s="3" t="inlineStr">
        <is>
          <t>equip_taiqingyuce</t>
        </is>
      </c>
      <c r="B481" s="3" t="inlineStr">
        <is>
          <t>太清玉册</t>
        </is>
      </c>
      <c r="C481" s="3" t="inlineStr">
        <is>
          <t>任务宝箱装备</t>
        </is>
      </c>
      <c r="D481" s="3" t="inlineStr">
        <is>
          <t>任务：封神之战：十二仙印（shier_xianyin）；胜利得十二仙印宝箱×1，在仓库开启；组概率0.960000%，权重1/1，单项概率0.960000%，数量1—1</t>
        </is>
      </c>
      <c r="E481" s="3" t="inlineStr">
        <is>
          <t>data/item_templates.yaml:mission_chest_v3_shier_xianyin.effect_payload</t>
        </is>
      </c>
    </row>
    <row r="482">
      <c r="A482" s="3" t="inlineStr">
        <is>
          <t>equip_zhuxianjian</t>
        </is>
      </c>
      <c r="B482" s="3" t="inlineStr">
        <is>
          <t>诛仙剑</t>
        </is>
      </c>
      <c r="C482" s="3" t="inlineStr">
        <is>
          <t>碎片累计兑换（任务宝箱）</t>
        </is>
      </c>
      <c r="D482" s="3" t="inlineStr">
        <is>
          <t>封神之战：封榜天门胜利开箱必得诛仙剑意×1；累计30个后仓库使用兑换1件，碎片不可交易</t>
        </is>
      </c>
      <c r="E482" s="3" t="inlineStr">
        <is>
          <t>data/item_templates.yaml:mission_chest_v3_fengbang_tianmen.effect_payload</t>
        </is>
      </c>
    </row>
    <row r="483">
      <c r="A483" s="3" t="inlineStr">
        <is>
          <t>equip_baguajing</t>
        </is>
      </c>
      <c r="B483" s="3" t="inlineStr">
        <is>
          <t>八卦镜</t>
        </is>
      </c>
      <c r="C483" s="3" t="inlineStr">
        <is>
          <t>任务宝箱装备</t>
        </is>
      </c>
      <c r="D483" s="3" t="inlineStr">
        <is>
          <t>任务：封神之战：封榜天门（fengbang_tianmen）；胜利得封榜天门宝箱×1，在仓库开启；组概率8.000000%，权重1/1，单项概率8.000000%，数量1—1</t>
        </is>
      </c>
      <c r="E483" s="3" t="inlineStr">
        <is>
          <t>data/item_templates.yaml:mission_chest_v3_fengbang_tianmen.effect_payload</t>
        </is>
      </c>
    </row>
    <row r="484">
      <c r="A484" s="3" t="inlineStr">
        <is>
          <t>equip_hunyuansan</t>
        </is>
      </c>
      <c r="B484" s="3" t="inlineStr">
        <is>
          <t>混元伞</t>
        </is>
      </c>
      <c r="C484" s="3" t="inlineStr">
        <is>
          <t>任务宝箱装备</t>
        </is>
      </c>
      <c r="D484" s="3" t="inlineStr">
        <is>
          <t>任务：封神之战：封榜天门（fengbang_tianmen）；胜利得封榜天门宝箱×1，在仓库开启；组概率8.000000%，权重1/8，单项概率1.000000%，数量1—1</t>
        </is>
      </c>
      <c r="E484" s="3" t="inlineStr">
        <is>
          <t>data/item_templates.yaml:mission_chest_v3_fengbang_tianmen.effect_payload</t>
        </is>
      </c>
    </row>
    <row r="485">
      <c r="A485" s="3" t="inlineStr">
        <is>
          <t>equip_xuanmingdeng</t>
        </is>
      </c>
      <c r="B485" s="3" t="inlineStr">
        <is>
          <t>玄冥灯</t>
        </is>
      </c>
      <c r="C485" s="3" t="inlineStr">
        <is>
          <t>任务宝箱装备</t>
        </is>
      </c>
      <c r="D485" s="3" t="inlineStr">
        <is>
          <t>任务：封神之战：封榜天门（fengbang_tianmen）；胜利得封榜天门宝箱×1，在仓库开启；组概率8.000000%，权重1/8，单项概率1.000000%，数量1—1</t>
        </is>
      </c>
      <c r="E485" s="3" t="inlineStr">
        <is>
          <t>data/item_templates.yaml:mission_chest_v3_fengbang_tianmen.effect_payload</t>
        </is>
      </c>
    </row>
    <row r="486">
      <c r="A486" s="3" t="inlineStr">
        <is>
          <t>equip_zijinhulu</t>
        </is>
      </c>
      <c r="B486" s="3" t="inlineStr">
        <is>
          <t>紫金葫芦</t>
        </is>
      </c>
      <c r="C486" s="3" t="inlineStr">
        <is>
          <t>任务宝箱装备</t>
        </is>
      </c>
      <c r="D486" s="3" t="inlineStr">
        <is>
          <t>任务：封神之战：封榜天门（fengbang_tianmen）；胜利得封榜天门宝箱×1，在仓库开启；组概率8.000000%，权重1/8，单项概率1.000000%，数量1—1</t>
        </is>
      </c>
      <c r="E486" s="3" t="inlineStr">
        <is>
          <t>data/item_templates.yaml:mission_chest_v3_fengbang_tianmen.effect_payload</t>
        </is>
      </c>
    </row>
    <row r="487">
      <c r="A487" s="3" t="inlineStr">
        <is>
          <t>equip_tianyinguqin</t>
        </is>
      </c>
      <c r="B487" s="3" t="inlineStr">
        <is>
          <t>天音古琴</t>
        </is>
      </c>
      <c r="C487" s="3" t="inlineStr">
        <is>
          <t>任务宝箱装备</t>
        </is>
      </c>
      <c r="D487" s="3" t="inlineStr">
        <is>
          <t>任务：封神之战：封榜天门（fengbang_tianmen）；胜利得封榜天门宝箱×1，在仓库开启；组概率8.000000%，权重1/8，单项概率1.000000%，数量1—1</t>
        </is>
      </c>
      <c r="E487" s="3" t="inlineStr">
        <is>
          <t>data/item_templates.yaml:mission_chest_v3_fengbang_tianmen.effect_payload</t>
        </is>
      </c>
    </row>
    <row r="488">
      <c r="A488" s="3" t="inlineStr">
        <is>
          <t>equip_qixingjian</t>
        </is>
      </c>
      <c r="B488" s="3" t="inlineStr">
        <is>
          <t>七星剑</t>
        </is>
      </c>
      <c r="C488" s="3" t="inlineStr">
        <is>
          <t>任务宝箱装备</t>
        </is>
      </c>
      <c r="D488" s="3" t="inlineStr">
        <is>
          <t>任务：封神之战：封榜天门（fengbang_tianmen）；胜利得封榜天门宝箱×1，在仓库开启；组概率8.000000%，权重1/8，单项概率1.000000%，数量1—1</t>
        </is>
      </c>
      <c r="E488" s="3" t="inlineStr">
        <is>
          <t>data/item_templates.yaml:mission_chest_v3_fengbang_tianmen.effect_payload</t>
        </is>
      </c>
    </row>
    <row r="489">
      <c r="A489" s="3" t="inlineStr">
        <is>
          <t>equip_guiyuanzhu</t>
        </is>
      </c>
      <c r="B489" s="3" t="inlineStr">
        <is>
          <t>归元珠</t>
        </is>
      </c>
      <c r="C489" s="3" t="inlineStr">
        <is>
          <t>任务宝箱装备</t>
        </is>
      </c>
      <c r="D489" s="3" t="inlineStr">
        <is>
          <t>任务：封神之战：封榜天门（fengbang_tianmen）；胜利得封榜天门宝箱×1，在仓库开启；组概率8.000000%，权重1/8，单项概率1.000000%，数量1—1</t>
        </is>
      </c>
      <c r="E489" s="3" t="inlineStr">
        <is>
          <t>data/item_templates.yaml:mission_chest_v3_fengbang_tianmen.effect_payload</t>
        </is>
      </c>
    </row>
    <row r="490">
      <c r="A490" s="3" t="inlineStr">
        <is>
          <t>equip_xuanwuyufu</t>
        </is>
      </c>
      <c r="B490" s="3" t="inlineStr">
        <is>
          <t>玄武玉符</t>
        </is>
      </c>
      <c r="C490" s="3" t="inlineStr">
        <is>
          <t>任务宝箱装备</t>
        </is>
      </c>
      <c r="D490" s="3" t="inlineStr">
        <is>
          <t>任务：封神之战：封榜天门（fengbang_tianmen）；胜利得封榜天门宝箱×1，在仓库开启；组概率8.000000%，权重1/8，单项概率1.000000%，数量1—1</t>
        </is>
      </c>
      <c r="E490" s="3" t="inlineStr">
        <is>
          <t>data/item_templates.yaml:mission_chest_v3_fengbang_tianmen.effect_payload</t>
        </is>
      </c>
    </row>
    <row r="491">
      <c r="A491" s="3" t="inlineStr">
        <is>
          <t>equip_zhurixue</t>
        </is>
      </c>
      <c r="B491" s="3" t="inlineStr">
        <is>
          <t>逐日靴</t>
        </is>
      </c>
      <c r="C491" s="3" t="inlineStr">
        <is>
          <t>任务宝箱装备</t>
        </is>
      </c>
      <c r="D491" s="3" t="inlineStr">
        <is>
          <t>任务：封神之战：封榜天门（fengbang_tianmen）；胜利得封榜天门宝箱×1，在仓库开启；组概率8.000000%，权重1/8，单项概率1.000000%，数量1—1</t>
        </is>
      </c>
      <c r="E491" s="3" t="inlineStr">
        <is>
          <t>data/item_templates.yaml:mission_chest_v3_fengbang_tianmen.effect_payload</t>
        </is>
      </c>
    </row>
    <row r="492">
      <c r="A492" s="3" t="inlineStr">
        <is>
          <t>equip_qinglongkui</t>
        </is>
      </c>
      <c r="B492" s="3" t="inlineStr">
        <is>
          <t>青龙盔</t>
        </is>
      </c>
      <c r="C492" s="3" t="inlineStr">
        <is>
          <t>图纸合成（任务宝箱）</t>
        </is>
      </c>
      <c r="D492" s="3" t="inlineStr">
        <is>
          <t>任务：封神之战：封榜天门（fengbang_tianmen）；胜利得封榜天门宝箱×1，在仓库开启；组概率45.000000%，权重1/4，单项概率11.250000%，数量1—1；获得青龙盔图纸，锻造5级，合成产出1件；材料：铜×29、锡×17、铁×12、木质精华×3、铜质精华×2、紫檀木×5、黑原石×4、金刚煤×3、刨子×3、凿子×3、空气之石×2</t>
        </is>
      </c>
      <c r="E492" s="3" t="inlineStr">
        <is>
          <t>data/item_templates.yaml:mission_chest_v3_fengbang_tianmen.effect_payload；data/forge_blueprints.yaml</t>
        </is>
      </c>
    </row>
    <row r="493">
      <c r="A493" s="3" t="inlineStr">
        <is>
          <t>equip_qinglongjia</t>
        </is>
      </c>
      <c r="B493" s="3" t="inlineStr">
        <is>
          <t>青龙甲</t>
        </is>
      </c>
      <c r="C493" s="3" t="inlineStr">
        <is>
          <t>图纸合成（任务宝箱）</t>
        </is>
      </c>
      <c r="D493" s="3" t="inlineStr">
        <is>
          <t>任务：封神之战：封榜天门（fengbang_tianmen）；胜利得封榜天门宝箱×1，在仓库开启；组概率45.000000%，权重1/4，单项概率11.250000%，数量1—1；获得青龙甲图纸，锻造5级，合成产出1件；材料：铜×36、锡×22、铁×17、木质精华×3、铜质精华×3、紫檀木×4、铁木×6、黑原石×6、金刚煤×4、凿子×5、纯水之石×2、大地之石×2</t>
        </is>
      </c>
      <c r="E493" s="3" t="inlineStr">
        <is>
          <t>data/item_templates.yaml:mission_chest_v3_fengbang_tianmen.effect_payload；data/forge_blueprints.yaml</t>
        </is>
      </c>
    </row>
    <row r="494">
      <c r="A494" s="3" t="inlineStr">
        <is>
          <t>equip_qinglongxue</t>
        </is>
      </c>
      <c r="B494" s="3" t="inlineStr">
        <is>
          <t>青龙靴</t>
        </is>
      </c>
      <c r="C494" s="3" t="inlineStr">
        <is>
          <t>图纸合成（任务宝箱）</t>
        </is>
      </c>
      <c r="D494" s="3" t="inlineStr">
        <is>
          <t>任务：封神之战：封榜天门（fengbang_tianmen）；胜利得封榜天门宝箱×1，在仓库开启；组概率45.000000%，权重1/4，单项概率11.250000%，数量1—1；获得青龙靴图纸，锻造5级，合成产出1件；材料：铜×22、锡×12、铁×10、木质精华×3、铜质精华×2、紫檀木×4、水曲木×9、刨子×5、空气之石×2</t>
        </is>
      </c>
      <c r="E494" s="3" t="inlineStr">
        <is>
          <t>data/item_templates.yaml:mission_chest_v3_fengbang_tianmen.effect_payload；data/forge_blueprints.yaml</t>
        </is>
      </c>
    </row>
    <row r="495">
      <c r="A495" s="3" t="inlineStr">
        <is>
          <t>equip_qinglongdao</t>
        </is>
      </c>
      <c r="B495" s="3" t="inlineStr">
        <is>
          <t>青龙刀</t>
        </is>
      </c>
      <c r="C495" s="3" t="inlineStr">
        <is>
          <t>图纸合成（任务宝箱）</t>
        </is>
      </c>
      <c r="D495" s="3" t="inlineStr">
        <is>
          <t>任务：封神之战：封榜天门（fengbang_tianmen）；胜利得封榜天门宝箱×1，在仓库开启；组概率45.000000%，权重1/4，单项概率11.250000%，数量1—1；获得青龙刀图纸，锻造5级，合成产出1件；材料：铜×32、锡×20、铁×15、木质精华×3、铜质精华×3、紫檀木×4、铁木×5、黑原石×6、金刚煤×5、凿子×4、空气之石×2、纯水之石×2</t>
        </is>
      </c>
      <c r="E495" s="3" t="inlineStr">
        <is>
          <t>data/item_templates.yaml:mission_chest_v3_fengbang_tianmen.effect_payload；data/forge_blueprints.yaml</t>
        </is>
      </c>
    </row>
    <row r="496">
      <c r="A496" s="3" t="inlineStr">
        <is>
          <t>equip_qilinkui</t>
        </is>
      </c>
      <c r="B496" s="3" t="inlineStr">
        <is>
          <t>麒麟盔</t>
        </is>
      </c>
      <c r="C496" s="3" t="inlineStr">
        <is>
          <t>图纸合成（任务宝箱）</t>
        </is>
      </c>
      <c r="D496" s="3" t="inlineStr">
        <is>
          <t>任务：封神之战：封榜天门（fengbang_tianmen）；胜利得封榜天门宝箱×1，在仓库开启；组概率25.000000%，权重1/4，单项概率6.250000%，数量1—1；获得麒麟盔图纸，锻造9级，合成产出1件；材料：铜×46、锡×29、铁×22、玄铁精华×2、紫檀木×4、铁木×8、黑原石×9、金刚煤×6、凿子×6、高炉×2、火焰之石×3</t>
        </is>
      </c>
      <c r="E496" s="3" t="inlineStr">
        <is>
          <t>data/item_templates.yaml:mission_chest_v3_fengbang_tianmen.effect_payload；data/forge_blueprints.yaml</t>
        </is>
      </c>
    </row>
    <row r="497">
      <c r="A497" s="3" t="inlineStr">
        <is>
          <t>equip_qilinjia</t>
        </is>
      </c>
      <c r="B497" s="3" t="inlineStr">
        <is>
          <t>麒麟甲</t>
        </is>
      </c>
      <c r="C497" s="3" t="inlineStr">
        <is>
          <t>图纸合成（任务宝箱）</t>
        </is>
      </c>
      <c r="D497" s="3" t="inlineStr">
        <is>
          <t>任务：封神之战：封榜天门（fengbang_tianmen）；胜利得封榜天门宝箱×1，在仓库开启；组概率25.000000%，权重1/4，单项概率6.250000%，数量1—1；获得麒麟甲图纸，锻造9级，合成产出1件；材料：铜×56、锡×36、铁×29、玄铁精华×3、铁木×12、黑原石×15、金刚煤×10、刨子×3、凿子×10、高炉×3、火焰之石×3、大地之石×3</t>
        </is>
      </c>
      <c r="E497" s="3" t="inlineStr">
        <is>
          <t>data/item_templates.yaml:mission_chest_v3_fengbang_tianmen.effect_payload；data/forge_blueprints.yaml</t>
        </is>
      </c>
    </row>
    <row r="498">
      <c r="A498" s="3" t="inlineStr">
        <is>
          <t>equip_qilinxue</t>
        </is>
      </c>
      <c r="B498" s="3" t="inlineStr">
        <is>
          <t>麒麟靴</t>
        </is>
      </c>
      <c r="C498" s="3" t="inlineStr">
        <is>
          <t>图纸合成（任务宝箱）</t>
        </is>
      </c>
      <c r="D498" s="3" t="inlineStr">
        <is>
          <t>任务：封神之战：封榜天门（fengbang_tianmen）；胜利得封榜天门宝箱×1，在仓库开启；组概率25.000000%，权重1/4，单项概率6.250000%，数量1—1；获得麒麟靴图纸，锻造9级，合成产出1件；材料：铜×36、锡×22、铁×17、玄铁精华×2、水曲木×10、铁木×6、金刚煤×4、刨子×6、凿子×3、高炉×1、火焰之石×2、空气之石×2</t>
        </is>
      </c>
      <c r="E498" s="3" t="inlineStr">
        <is>
          <t>data/item_templates.yaml:mission_chest_v3_fengbang_tianmen.effect_payload；data/forge_blueprints.yaml</t>
        </is>
      </c>
    </row>
    <row r="499">
      <c r="A499" s="3" t="inlineStr">
        <is>
          <t>equip_qilindao</t>
        </is>
      </c>
      <c r="B499" s="3" t="inlineStr">
        <is>
          <t>麒麟刀</t>
        </is>
      </c>
      <c r="C499" s="3" t="inlineStr">
        <is>
          <t>图纸合成（任务宝箱）</t>
        </is>
      </c>
      <c r="D499" s="3" t="inlineStr">
        <is>
          <t>任务：封神之战：封榜天门（fengbang_tianmen）；胜利得封榜天门宝箱×1，在仓库开启；组概率25.000000%，权重1/4，单项概率6.250000%，数量1—1；获得麒麟刀图纸，锻造9级，合成产出1件；材料：铜×51、锡×32、铁×24、玄铁精华×3、铁木×10、黑原石×12、金刚煤×9、刨子×3、凿子×8、高炉×2、火焰之石×4</t>
        </is>
      </c>
      <c r="E499" s="3" t="inlineStr">
        <is>
          <t>data/item_templates.yaml:mission_chest_v3_fengbang_tianmen.effect_payload；data/forge_blueprints.yaml</t>
        </is>
      </c>
    </row>
    <row r="500">
      <c r="A500" s="3" t="inlineStr">
        <is>
          <t>equip_feiyuan</t>
        </is>
      </c>
      <c r="B500" s="3" t="inlineStr">
        <is>
          <t>飞鸢</t>
        </is>
      </c>
      <c r="C500" s="3" t="inlineStr">
        <is>
          <t>图纸合成（任务宝箱）</t>
        </is>
      </c>
      <c r="D500" s="3" t="inlineStr">
        <is>
          <t>任务：封神之战：封榜天门（fengbang_tianmen）；胜利得封榜天门宝箱×1，在仓库开启；组概率6.000000%，权重1/3，单项概率2.000000%，数量1—1；获得飞鸢图纸，锻造10级，合成产出1件；材料：铜×101、锡×68、铁×53、玄铁精华×4、紫檀木×17、水曲木×22、铁木×15、黑原石×12、金刚煤×12、刨子×15、凿子×9、高炉×7、空气之石×4、火焰之石×3</t>
        </is>
      </c>
      <c r="E500" s="3" t="inlineStr">
        <is>
          <t>data/item_templates.yaml:mission_chest_v3_fengbang_tianmen.effect_payload；data/forge_blueprints.yaml</t>
        </is>
      </c>
    </row>
    <row r="501">
      <c r="A501" s="3" t="inlineStr">
        <is>
          <t>equip_chixiaojifeng</t>
        </is>
      </c>
      <c r="B501" s="3" t="inlineStr">
        <is>
          <t>赤霄机凤</t>
        </is>
      </c>
      <c r="C501" s="3" t="inlineStr">
        <is>
          <t>图纸合成（任务宝箱）</t>
        </is>
      </c>
      <c r="D501" s="3" t="inlineStr">
        <is>
          <t>任务：封神之战：封榜天门（fengbang_tianmen）；胜利得封榜天门宝箱×1，在仓库开启；组概率6.000000%，权重1/3，单项概率2.000000%，数量1—1；获得赤霄机凤图纸，锻造10级，合成产出1件；材料：铜×106、锡×70、铁×56、玄铁精华×4、紫檀木×15、水曲木×10、铁木×20、黑原石×22、金刚煤×22、刨子×9、凿子×15、高炉×8、火焰之石×5、空气之石×3</t>
        </is>
      </c>
      <c r="E501" s="3" t="inlineStr">
        <is>
          <t>data/item_templates.yaml:mission_chest_v3_fengbang_tianmen.effect_payload；data/forge_blueprints.yaml</t>
        </is>
      </c>
    </row>
    <row r="502">
      <c r="A502" s="3" t="inlineStr">
        <is>
          <t>equip_mojiajiguanren</t>
        </is>
      </c>
      <c r="B502" s="3" t="inlineStr">
        <is>
          <t>墨家机关人</t>
        </is>
      </c>
      <c r="C502" s="3" t="inlineStr">
        <is>
          <t>图纸合成（任务宝箱）</t>
        </is>
      </c>
      <c r="D502" s="3" t="inlineStr">
        <is>
          <t>任务：封神之战：封榜天门（fengbang_tianmen）；胜利得封榜天门宝箱×1，在仓库开启；组概率6.000000%，权重1/3，单项概率2.000000%，数量1—1；获得墨家机关人图纸，锻造10级，合成产出1件；材料：铜×116、锡×77、铁×63、玄铁精华×5、紫檀木×15、水曲木×10、铁木×27、黑原石×29、金刚煤×27、刨子×12、凿子×20、高炉×10、大地之石×3、火焰之石×3、纯水之石×3</t>
        </is>
      </c>
      <c r="E502" s="3" t="inlineStr">
        <is>
          <t>data/item_templates.yaml:mission_chest_v3_fengbang_tianmen.effect_payload；data/forge_blueprints.yaml</t>
        </is>
      </c>
    </row>
    <row r="503">
      <c r="A503" s="3" t="inlineStr">
        <is>
          <t>equip_taiqingyuce</t>
        </is>
      </c>
      <c r="B503" s="3" t="inlineStr">
        <is>
          <t>太清玉册</t>
        </is>
      </c>
      <c r="C503" s="3" t="inlineStr">
        <is>
          <t>任务宝箱装备</t>
        </is>
      </c>
      <c r="D503" s="3" t="inlineStr">
        <is>
          <t>任务：封神之战：封榜天门（fengbang_tianmen）；胜利得封榜天门宝箱×1，在仓库开启；组概率15.000000%，权重1/3，单项概率5.000000%，数量1—1</t>
        </is>
      </c>
      <c r="E503" s="3" t="inlineStr">
        <is>
          <t>data/item_templates.yaml:mission_chest_v3_fengbang_tianmen.effect_payload</t>
        </is>
      </c>
    </row>
    <row r="504">
      <c r="A504" s="3" t="inlineStr">
        <is>
          <t>equip_fengshenbang</t>
        </is>
      </c>
      <c r="B504" s="3" t="inlineStr">
        <is>
          <t>封神榜</t>
        </is>
      </c>
      <c r="C504" s="3" t="inlineStr">
        <is>
          <t>任务宝箱装备</t>
        </is>
      </c>
      <c r="D504" s="3" t="inlineStr">
        <is>
          <t>任务：封神之战：封榜天门（fengbang_tianmen）；胜利得封榜天门宝箱×1，在仓库开启；组概率15.000000%，权重1/3，单项概率5.000000%，数量1—1</t>
        </is>
      </c>
      <c r="E504" s="3" t="inlineStr">
        <is>
          <t>data/item_templates.yaml:mission_chest_v3_fengbang_tianmen.effect_payload</t>
        </is>
      </c>
    </row>
    <row r="505">
      <c r="A505" s="3" t="inlineStr">
        <is>
          <t>equip_zhuxianjian</t>
        </is>
      </c>
      <c r="B505" s="3" t="inlineStr">
        <is>
          <t>诛仙剑</t>
        </is>
      </c>
      <c r="C505" s="3" t="inlineStr">
        <is>
          <t>任务宝箱装备</t>
        </is>
      </c>
      <c r="D505" s="3" t="inlineStr">
        <is>
          <t>任务：封神之战：封榜天门（fengbang_tianmen）；胜利得封榜天门宝箱×1，在仓库开启；组概率15.000000%，权重1/3，单项概率5.000000%，数量1—1</t>
        </is>
      </c>
      <c r="E505" s="3" t="inlineStr">
        <is>
          <t>data/item_templates.yaml:mission_chest_v3_fengbang_tianmen.effect_payload</t>
        </is>
      </c>
    </row>
    <row r="506">
      <c r="A506" s="3" t="inlineStr">
        <is>
          <t>equip_xuanyuanjian</t>
        </is>
      </c>
      <c r="B506" s="3" t="inlineStr">
        <is>
          <t>轩辕剑</t>
        </is>
      </c>
      <c r="C506" s="3" t="inlineStr">
        <is>
          <t>碎片累计兑换（任务宝箱）</t>
        </is>
      </c>
      <c r="D506" s="3" t="inlineStr">
        <is>
          <t>逐鹿中原胜利开箱必得轩辕剑意×1；累计40个后仓库使用兑换1件，碎片不可交易</t>
        </is>
      </c>
      <c r="E506" s="3" t="inlineStr">
        <is>
          <t>data/item_templates.yaml:mission_chest_v3_zhuolu_zhongyuan.effect_payload</t>
        </is>
      </c>
    </row>
    <row r="507">
      <c r="A507" s="3" t="inlineStr">
        <is>
          <t>equip_qinglongkui</t>
        </is>
      </c>
      <c r="B507" s="3" t="inlineStr">
        <is>
          <t>青龙盔</t>
        </is>
      </c>
      <c r="C507" s="3" t="inlineStr">
        <is>
          <t>图纸合成（任务宝箱）</t>
        </is>
      </c>
      <c r="D507" s="3" t="inlineStr">
        <is>
          <t>任务：逐鹿中原（zhuolu_zhongyuan）；胜利得逐鹿中原宝箱×1，在仓库开启；组概率45.000000%，权重1/4，单项概率11.250000%，数量1—1；获得青龙盔图纸，锻造5级，合成产出1件；材料：铜×29、锡×17、铁×12、木质精华×3、铜质精华×2、紫檀木×5、黑原石×4、金刚煤×3、刨子×3、凿子×3、空气之石×2</t>
        </is>
      </c>
      <c r="E507" s="3" t="inlineStr">
        <is>
          <t>data/item_templates.yaml:mission_chest_v3_zhuolu_zhongyuan.effect_payload；data/forge_blueprints.yaml</t>
        </is>
      </c>
    </row>
    <row r="508">
      <c r="A508" s="3" t="inlineStr">
        <is>
          <t>equip_qinglongjia</t>
        </is>
      </c>
      <c r="B508" s="3" t="inlineStr">
        <is>
          <t>青龙甲</t>
        </is>
      </c>
      <c r="C508" s="3" t="inlineStr">
        <is>
          <t>图纸合成（任务宝箱）</t>
        </is>
      </c>
      <c r="D508" s="3" t="inlineStr">
        <is>
          <t>任务：逐鹿中原（zhuolu_zhongyuan）；胜利得逐鹿中原宝箱×1，在仓库开启；组概率45.000000%，权重1/4，单项概率11.250000%，数量1—1；获得青龙甲图纸，锻造5级，合成产出1件；材料：铜×36、锡×22、铁×17、木质精华×3、铜质精华×3、紫檀木×4、铁木×6、黑原石×6、金刚煤×4、凿子×5、纯水之石×2、大地之石×2</t>
        </is>
      </c>
      <c r="E508" s="3" t="inlineStr">
        <is>
          <t>data/item_templates.yaml:mission_chest_v3_zhuolu_zhongyuan.effect_payload；data/forge_blueprints.yaml</t>
        </is>
      </c>
    </row>
    <row r="509">
      <c r="A509" s="3" t="inlineStr">
        <is>
          <t>equip_qinglongxue</t>
        </is>
      </c>
      <c r="B509" s="3" t="inlineStr">
        <is>
          <t>青龙靴</t>
        </is>
      </c>
      <c r="C509" s="3" t="inlineStr">
        <is>
          <t>图纸合成（任务宝箱）</t>
        </is>
      </c>
      <c r="D509" s="3" t="inlineStr">
        <is>
          <t>任务：逐鹿中原（zhuolu_zhongyuan）；胜利得逐鹿中原宝箱×1，在仓库开启；组概率45.000000%，权重1/4，单项概率11.250000%，数量1—1；获得青龙靴图纸，锻造5级，合成产出1件；材料：铜×22、锡×12、铁×10、木质精华×3、铜质精华×2、紫檀木×4、水曲木×9、刨子×5、空气之石×2</t>
        </is>
      </c>
      <c r="E509" s="3" t="inlineStr">
        <is>
          <t>data/item_templates.yaml:mission_chest_v3_zhuolu_zhongyuan.effect_payload；data/forge_blueprints.yaml</t>
        </is>
      </c>
    </row>
    <row r="510">
      <c r="A510" s="3" t="inlineStr">
        <is>
          <t>equip_qinglongdao</t>
        </is>
      </c>
      <c r="B510" s="3" t="inlineStr">
        <is>
          <t>青龙刀</t>
        </is>
      </c>
      <c r="C510" s="3" t="inlineStr">
        <is>
          <t>图纸合成（任务宝箱）</t>
        </is>
      </c>
      <c r="D510" s="3" t="inlineStr">
        <is>
          <t>任务：逐鹿中原（zhuolu_zhongyuan）；胜利得逐鹿中原宝箱×1，在仓库开启；组概率45.000000%，权重1/4，单项概率11.250000%，数量1—1；获得青龙刀图纸，锻造5级，合成产出1件；材料：铜×32、锡×20、铁×15、木质精华×3、铜质精华×3、紫檀木×4、铁木×5、黑原石×6、金刚煤×5、凿子×4、空气之石×2、纯水之石×2</t>
        </is>
      </c>
      <c r="E510" s="3" t="inlineStr">
        <is>
          <t>data/item_templates.yaml:mission_chest_v3_zhuolu_zhongyuan.effect_payload；data/forge_blueprints.yaml</t>
        </is>
      </c>
    </row>
    <row r="511">
      <c r="A511" s="3" t="inlineStr">
        <is>
          <t>equip_qilinkui</t>
        </is>
      </c>
      <c r="B511" s="3" t="inlineStr">
        <is>
          <t>麒麟盔</t>
        </is>
      </c>
      <c r="C511" s="3" t="inlineStr">
        <is>
          <t>图纸合成（任务宝箱）</t>
        </is>
      </c>
      <c r="D511" s="3" t="inlineStr">
        <is>
          <t>任务：逐鹿中原（zhuolu_zhongyuan）；胜利得逐鹿中原宝箱×1，在仓库开启；组概率25.000000%，权重1/4，单项概率6.250000%，数量1—1；获得麒麟盔图纸，锻造9级，合成产出1件；材料：铜×46、锡×29、铁×22、玄铁精华×2、紫檀木×4、铁木×8、黑原石×9、金刚煤×6、凿子×6、高炉×2、火焰之石×3</t>
        </is>
      </c>
      <c r="E511" s="3" t="inlineStr">
        <is>
          <t>data/item_templates.yaml:mission_chest_v3_zhuolu_zhongyuan.effect_payload；data/forge_blueprints.yaml</t>
        </is>
      </c>
    </row>
    <row r="512">
      <c r="A512" s="3" t="inlineStr">
        <is>
          <t>equip_qilinjia</t>
        </is>
      </c>
      <c r="B512" s="3" t="inlineStr">
        <is>
          <t>麒麟甲</t>
        </is>
      </c>
      <c r="C512" s="3" t="inlineStr">
        <is>
          <t>图纸合成（任务宝箱）</t>
        </is>
      </c>
      <c r="D512" s="3" t="inlineStr">
        <is>
          <t>任务：逐鹿中原（zhuolu_zhongyuan）；胜利得逐鹿中原宝箱×1，在仓库开启；组概率25.000000%，权重1/4，单项概率6.250000%，数量1—1；获得麒麟甲图纸，锻造9级，合成产出1件；材料：铜×56、锡×36、铁×29、玄铁精华×3、铁木×12、黑原石×15、金刚煤×10、刨子×3、凿子×10、高炉×3、火焰之石×3、大地之石×3</t>
        </is>
      </c>
      <c r="E512" s="3" t="inlineStr">
        <is>
          <t>data/item_templates.yaml:mission_chest_v3_zhuolu_zhongyuan.effect_payload；data/forge_blueprints.yaml</t>
        </is>
      </c>
    </row>
    <row r="513">
      <c r="A513" s="3" t="inlineStr">
        <is>
          <t>equip_qilinxue</t>
        </is>
      </c>
      <c r="B513" s="3" t="inlineStr">
        <is>
          <t>麒麟靴</t>
        </is>
      </c>
      <c r="C513" s="3" t="inlineStr">
        <is>
          <t>图纸合成（任务宝箱）</t>
        </is>
      </c>
      <c r="D513" s="3" t="inlineStr">
        <is>
          <t>任务：逐鹿中原（zhuolu_zhongyuan）；胜利得逐鹿中原宝箱×1，在仓库开启；组概率25.000000%，权重1/4，单项概率6.250000%，数量1—1；获得麒麟靴图纸，锻造9级，合成产出1件；材料：铜×36、锡×22、铁×17、玄铁精华×2、水曲木×10、铁木×6、金刚煤×4、刨子×6、凿子×3、高炉×1、火焰之石×2、空气之石×2</t>
        </is>
      </c>
      <c r="E513" s="3" t="inlineStr">
        <is>
          <t>data/item_templates.yaml:mission_chest_v3_zhuolu_zhongyuan.effect_payload；data/forge_blueprints.yaml</t>
        </is>
      </c>
    </row>
    <row r="514">
      <c r="A514" s="3" t="inlineStr">
        <is>
          <t>equip_qilindao</t>
        </is>
      </c>
      <c r="B514" s="3" t="inlineStr">
        <is>
          <t>麒麟刀</t>
        </is>
      </c>
      <c r="C514" s="3" t="inlineStr">
        <is>
          <t>图纸合成（任务宝箱）</t>
        </is>
      </c>
      <c r="D514" s="3" t="inlineStr">
        <is>
          <t>任务：逐鹿中原（zhuolu_zhongyuan）；胜利得逐鹿中原宝箱×1，在仓库开启；组概率25.000000%，权重1/4，单项概率6.250000%，数量1—1；获得麒麟刀图纸，锻造9级，合成产出1件；材料：铜×51、锡×32、铁×24、玄铁精华×3、铁木×10、黑原石×12、金刚煤×9、刨子×3、凿子×8、高炉×2、火焰之石×4</t>
        </is>
      </c>
      <c r="E514" s="3" t="inlineStr">
        <is>
          <t>data/item_templates.yaml:mission_chest_v3_zhuolu_zhongyuan.effect_payload；data/forge_blueprints.yaml</t>
        </is>
      </c>
    </row>
    <row r="515">
      <c r="A515" s="3" t="inlineStr">
        <is>
          <t>equip_feiyuan</t>
        </is>
      </c>
      <c r="B515" s="3" t="inlineStr">
        <is>
          <t>飞鸢</t>
        </is>
      </c>
      <c r="C515" s="3" t="inlineStr">
        <is>
          <t>图纸合成（任务宝箱）</t>
        </is>
      </c>
      <c r="D515" s="3" t="inlineStr">
        <is>
          <t>任务：逐鹿中原（zhuolu_zhongyuan）；胜利得逐鹿中原宝箱×1，在仓库开启；组概率6.000000%，权重1/3，单项概率2.000000%，数量1—1；获得飞鸢图纸，锻造10级，合成产出1件；材料：铜×101、锡×68、铁×53、玄铁精华×4、紫檀木×17、水曲木×22、铁木×15、黑原石×12、金刚煤×12、刨子×15、凿子×9、高炉×7、空气之石×4、火焰之石×3</t>
        </is>
      </c>
      <c r="E515" s="3" t="inlineStr">
        <is>
          <t>data/item_templates.yaml:mission_chest_v3_zhuolu_zhongyuan.effect_payload；data/forge_blueprints.yaml</t>
        </is>
      </c>
    </row>
    <row r="516">
      <c r="A516" s="3" t="inlineStr">
        <is>
          <t>equip_chixiaojifeng</t>
        </is>
      </c>
      <c r="B516" s="3" t="inlineStr">
        <is>
          <t>赤霄机凤</t>
        </is>
      </c>
      <c r="C516" s="3" t="inlineStr">
        <is>
          <t>图纸合成（任务宝箱）</t>
        </is>
      </c>
      <c r="D516" s="3" t="inlineStr">
        <is>
          <t>任务：逐鹿中原（zhuolu_zhongyuan）；胜利得逐鹿中原宝箱×1，在仓库开启；组概率6.000000%，权重1/3，单项概率2.000000%，数量1—1；获得赤霄机凤图纸，锻造10级，合成产出1件；材料：铜×106、锡×70、铁×56、玄铁精华×4、紫檀木×15、水曲木×10、铁木×20、黑原石×22、金刚煤×22、刨子×9、凿子×15、高炉×8、火焰之石×5、空气之石×3</t>
        </is>
      </c>
      <c r="E516" s="3" t="inlineStr">
        <is>
          <t>data/item_templates.yaml:mission_chest_v3_zhuolu_zhongyuan.effect_payload；data/forge_blueprints.yaml</t>
        </is>
      </c>
    </row>
    <row r="517">
      <c r="A517" s="3" t="inlineStr">
        <is>
          <t>equip_mojiajiguanren</t>
        </is>
      </c>
      <c r="B517" s="3" t="inlineStr">
        <is>
          <t>墨家机关人</t>
        </is>
      </c>
      <c r="C517" s="3" t="inlineStr">
        <is>
          <t>图纸合成（任务宝箱）</t>
        </is>
      </c>
      <c r="D517" s="3" t="inlineStr">
        <is>
          <t>任务：逐鹿中原（zhuolu_zhongyuan）；胜利得逐鹿中原宝箱×1，在仓库开启；组概率6.000000%，权重1/3，单项概率2.000000%，数量1—1；获得墨家机关人图纸，锻造10级，合成产出1件；材料：铜×116、锡×77、铁×63、玄铁精华×5、紫檀木×15、水曲木×10、铁木×27、黑原石×29、金刚煤×27、刨子×12、凿子×20、高炉×10、大地之石×3、火焰之石×3、纯水之石×3</t>
        </is>
      </c>
      <c r="E517" s="3" t="inlineStr">
        <is>
          <t>data/item_templates.yaml:mission_chest_v3_zhuolu_zhongyuan.effect_payload；data/forge_blueprints.yaml</t>
        </is>
      </c>
    </row>
    <row r="518">
      <c r="A518" s="3" t="inlineStr">
        <is>
          <t>equip_shanheshejitu</t>
        </is>
      </c>
      <c r="B518" s="3" t="inlineStr">
        <is>
          <t>山河社稷图</t>
        </is>
      </c>
      <c r="C518" s="3" t="inlineStr">
        <is>
          <t>任务宝箱装备</t>
        </is>
      </c>
      <c r="D518" s="3" t="inlineStr">
        <is>
          <t>任务：逐鹿中原（zhuolu_zhongyuan）；胜利得逐鹿中原宝箱×1，在仓库开启；组概率15.000000%，权重1/7，单项概率2.142857%，数量1—1</t>
        </is>
      </c>
      <c r="E518" s="3" t="inlineStr">
        <is>
          <t>data/item_templates.yaml:mission_chest_v3_zhuolu_zhongyuan.effect_payload</t>
        </is>
      </c>
    </row>
    <row r="519">
      <c r="A519" s="3" t="inlineStr">
        <is>
          <t>equip_zhoutianxingpan</t>
        </is>
      </c>
      <c r="B519" s="3" t="inlineStr">
        <is>
          <t>周天星盘</t>
        </is>
      </c>
      <c r="C519" s="3" t="inlineStr">
        <is>
          <t>任务宝箱装备</t>
        </is>
      </c>
      <c r="D519" s="3" t="inlineStr">
        <is>
          <t>任务：逐鹿中原（zhuolu_zhongyuan）；胜利得逐鹿中原宝箱×1，在仓库开启；组概率15.000000%，权重1/7，单项概率2.142857%，数量1—1</t>
        </is>
      </c>
      <c r="E519" s="3" t="inlineStr">
        <is>
          <t>data/item_templates.yaml:mission_chest_v3_zhuolu_zhongyuan.effect_payload</t>
        </is>
      </c>
    </row>
    <row r="520">
      <c r="A520" s="3" t="inlineStr">
        <is>
          <t>equip_xuanyuanjian</t>
        </is>
      </c>
      <c r="B520" s="3" t="inlineStr">
        <is>
          <t>轩辕剑</t>
        </is>
      </c>
      <c r="C520" s="3" t="inlineStr">
        <is>
          <t>任务宝箱装备</t>
        </is>
      </c>
      <c r="D520" s="3" t="inlineStr">
        <is>
          <t>任务：逐鹿中原（zhuolu_zhongyuan）；胜利得逐鹿中原宝箱×1，在仓库开启；组概率15.000000%，权重1/7，单项概率2.142857%，数量1—1</t>
        </is>
      </c>
      <c r="E520" s="3" t="inlineStr">
        <is>
          <t>data/item_templates.yaml:mission_chest_v3_zhuolu_zhongyuan.effect_payload</t>
        </is>
      </c>
    </row>
    <row r="521">
      <c r="A521" s="3" t="inlineStr">
        <is>
          <t>equip_longhuangguan</t>
        </is>
      </c>
      <c r="B521" s="3" t="inlineStr">
        <is>
          <t>龙皇冠</t>
        </is>
      </c>
      <c r="C521" s="3" t="inlineStr">
        <is>
          <t>任务宝箱装备</t>
        </is>
      </c>
      <c r="D521" s="3" t="inlineStr">
        <is>
          <t>任务：逐鹿中原（zhuolu_zhongyuan）；胜利得逐鹿中原宝箱×1，在仓库开启；组概率15.000000%，权重1/7，单项概率2.142857%，数量1—1</t>
        </is>
      </c>
      <c r="E521" s="3" t="inlineStr">
        <is>
          <t>data/item_templates.yaml:mission_chest_v3_zhuolu_zhongyuan.effect_payload</t>
        </is>
      </c>
    </row>
    <row r="522">
      <c r="A522" s="3" t="inlineStr">
        <is>
          <t>equip_chuanguoyuxi</t>
        </is>
      </c>
      <c r="B522" s="3" t="inlineStr">
        <is>
          <t>传国玉玺</t>
        </is>
      </c>
      <c r="C522" s="3" t="inlineStr">
        <is>
          <t>任务宝箱装备</t>
        </is>
      </c>
      <c r="D522" s="3" t="inlineStr">
        <is>
          <t>任务：逐鹿中原（zhuolu_zhongyuan）；胜利得逐鹿中原宝箱×1，在仓库开启；组概率15.000000%，权重1/7，单项概率2.142857%，数量1—1</t>
        </is>
      </c>
      <c r="E522" s="3" t="inlineStr">
        <is>
          <t>data/item_templates.yaml:mission_chest_v3_zhuolu_zhongyuan.effect_payload</t>
        </is>
      </c>
    </row>
    <row r="523">
      <c r="A523" s="3" t="inlineStr">
        <is>
          <t>equip_qilin</t>
        </is>
      </c>
      <c r="B523" s="3" t="inlineStr">
        <is>
          <t>麒麟</t>
        </is>
      </c>
      <c r="C523" s="3" t="inlineStr">
        <is>
          <t>任务宝箱装备</t>
        </is>
      </c>
      <c r="D523" s="3" t="inlineStr">
        <is>
          <t>任务：逐鹿中原（zhuolu_zhongyuan）；胜利得逐鹿中原宝箱×1，在仓库开启；组概率15.000000%，权重1/7，单项概率2.142857%，数量1—1</t>
        </is>
      </c>
      <c r="E523" s="3" t="inlineStr">
        <is>
          <t>data/item_templates.yaml:mission_chest_v3_zhuolu_zhongyuan.effect_payload</t>
        </is>
      </c>
    </row>
    <row r="524">
      <c r="A524" s="3" t="inlineStr">
        <is>
          <t>equip_qingluan</t>
        </is>
      </c>
      <c r="B524" s="3" t="inlineStr">
        <is>
          <t>青鸾</t>
        </is>
      </c>
      <c r="C524" s="3" t="inlineStr">
        <is>
          <t>任务宝箱装备</t>
        </is>
      </c>
      <c r="D524" s="3" t="inlineStr">
        <is>
          <t>任务：逐鹿中原（zhuolu_zhongyuan）；胜利得逐鹿中原宝箱×1，在仓库开启；组概率15.000000%，权重1/7，单项概率2.142857%，数量1—1</t>
        </is>
      </c>
      <c r="E524" s="3" t="inlineStr">
        <is>
          <t>data/item_templates.yaml:mission_chest_v3_zhuolu_zhongyuan.effect_payload</t>
        </is>
      </c>
    </row>
    <row r="525">
      <c r="A525" s="3" t="inlineStr">
        <is>
          <t>equip_diwangkui</t>
        </is>
      </c>
      <c r="B525" s="3" t="inlineStr">
        <is>
          <t>帝王盔</t>
        </is>
      </c>
      <c r="C525" s="3" t="inlineStr">
        <is>
          <t>碎片累计兑换（任务宝箱）</t>
        </is>
      </c>
      <c r="D525" s="3" t="inlineStr">
        <is>
          <t>官渡之战胜利开箱必得官渡帝王战章×1；累计40个后仓库使用兑换1件，碎片不可交易</t>
        </is>
      </c>
      <c r="E525" s="3" t="inlineStr">
        <is>
          <t>data/item_templates.yaml:mission_chest_v3_guandu_zhizhan.effect_payload</t>
        </is>
      </c>
    </row>
    <row r="526">
      <c r="A526" s="3" t="inlineStr">
        <is>
          <t>equip_taixudiguan</t>
        </is>
      </c>
      <c r="B526" s="3" t="inlineStr">
        <is>
          <t>太虚帝冠</t>
        </is>
      </c>
      <c r="C526" s="3" t="inlineStr">
        <is>
          <t>任务宝箱装备</t>
        </is>
      </c>
      <c r="D526" s="3" t="inlineStr">
        <is>
          <t>任务：官渡之战（guandu_zhizhan）；胜利得官渡之战宝箱×1，在仓库开启；组概率15.000000%，权重120/588，单项概率3.061224%，数量1—1</t>
        </is>
      </c>
      <c r="E526" s="3" t="inlineStr">
        <is>
          <t>data/item_templates.yaml:mission_chest_v3_guandu_zhizhan.effect_payload</t>
        </is>
      </c>
    </row>
    <row r="527">
      <c r="A527" s="3" t="inlineStr">
        <is>
          <t>equip_hundunlongpao</t>
        </is>
      </c>
      <c r="B527" s="3" t="inlineStr">
        <is>
          <t>混沌龙袍</t>
        </is>
      </c>
      <c r="C527" s="3" t="inlineStr">
        <is>
          <t>任务宝箱装备</t>
        </is>
      </c>
      <c r="D527" s="3" t="inlineStr">
        <is>
          <t>任务：官渡之战（guandu_zhizhan）；胜利得官渡之战宝箱×1，在仓库开启；组概率15.000000%，权重120/588，单项概率3.061224%，数量1—1</t>
        </is>
      </c>
      <c r="E527" s="3" t="inlineStr">
        <is>
          <t>data/item_templates.yaml:mission_chest_v3_guandu_zhizhan.effect_payload</t>
        </is>
      </c>
    </row>
    <row r="528">
      <c r="A528" s="3" t="inlineStr">
        <is>
          <t>equip_diwangkui</t>
        </is>
      </c>
      <c r="B528" s="3" t="inlineStr">
        <is>
          <t>帝王盔</t>
        </is>
      </c>
      <c r="C528" s="3" t="inlineStr">
        <is>
          <t>任务宝箱装备</t>
        </is>
      </c>
      <c r="D528" s="3" t="inlineStr">
        <is>
          <t>任务：官渡之战（guandu_zhizhan）；胜利得官渡之战宝箱×1，在仓库开启；组概率15.000000%，权重120/588，单项概率3.061224%，数量1—1</t>
        </is>
      </c>
      <c r="E528" s="3" t="inlineStr">
        <is>
          <t>data/item_templates.yaml:mission_chest_v3_guandu_zhizhan.effect_payload</t>
        </is>
      </c>
    </row>
    <row r="529">
      <c r="A529" s="3" t="inlineStr">
        <is>
          <t>equip_panlonggun</t>
        </is>
      </c>
      <c r="B529" s="3" t="inlineStr">
        <is>
          <t>盘龙棍</t>
        </is>
      </c>
      <c r="C529" s="3" t="inlineStr">
        <is>
          <t>任务宝箱装备</t>
        </is>
      </c>
      <c r="D529" s="3" t="inlineStr">
        <is>
          <t>任务：官渡之战（guandu_zhizhan）；胜利得官渡之战宝箱×1，在仓库开启；组概率15.000000%，权重96/588，单项概率2.448980%，数量1—1</t>
        </is>
      </c>
      <c r="E529" s="3" t="inlineStr">
        <is>
          <t>data/item_templates.yaml:mission_chest_v3_guandu_zhizhan.effect_payload</t>
        </is>
      </c>
    </row>
    <row r="530">
      <c r="A530" s="3" t="inlineStr">
        <is>
          <t>equip_qiankunshengong</t>
        </is>
      </c>
      <c r="B530" s="3" t="inlineStr">
        <is>
          <t>乾坤神弓</t>
        </is>
      </c>
      <c r="C530" s="3" t="inlineStr">
        <is>
          <t>任务宝箱装备</t>
        </is>
      </c>
      <c r="D530" s="3" t="inlineStr">
        <is>
          <t>任务：官渡之战（guandu_zhizhan）；胜利得官渡之战宝箱×1，在仓库开启；组概率15.000000%，权重96/588，单项概率2.448980%，数量1—1</t>
        </is>
      </c>
      <c r="E530" s="3" t="inlineStr">
        <is>
          <t>data/item_templates.yaml:mission_chest_v3_guandu_zhizhan.effect_payload</t>
        </is>
      </c>
    </row>
    <row r="531">
      <c r="A531" s="3" t="inlineStr">
        <is>
          <t>equip_changshengjian</t>
        </is>
      </c>
      <c r="B531" s="3" t="inlineStr">
        <is>
          <t>长生剑</t>
        </is>
      </c>
      <c r="C531" s="3" t="inlineStr">
        <is>
          <t>任务宝箱装备</t>
        </is>
      </c>
      <c r="D531" s="3" t="inlineStr">
        <is>
          <t>任务：官渡之战（guandu_zhizhan）；胜利得官渡之战宝箱×1，在仓库开启；组概率15.000000%，权重36/588，单项概率0.918367%，数量1—1</t>
        </is>
      </c>
      <c r="E531" s="3" t="inlineStr">
        <is>
          <t>data/item_templates.yaml:mission_chest_v3_guandu_zhizhan.effect_payload</t>
        </is>
      </c>
    </row>
    <row r="532">
      <c r="A532" s="3" t="inlineStr">
        <is>
          <t>equip_jueying</t>
        </is>
      </c>
      <c r="B532" s="3" t="inlineStr">
        <is>
          <t>绝影</t>
        </is>
      </c>
      <c r="C532" s="3" t="inlineStr">
        <is>
          <t>任务宝箱装备</t>
        </is>
      </c>
      <c r="D532" s="3" t="inlineStr">
        <is>
          <t>任务：官渡之战（guandu_zhizhan）；胜利得官渡之战宝箱×1，在仓库开启；组概率25.000000%，权重1/2，单项概率12.500000%，数量1—1</t>
        </is>
      </c>
      <c r="E532" s="3" t="inlineStr">
        <is>
          <t>data/item_templates.yaml:mission_chest_v3_guandu_zhizhan.effect_payload</t>
        </is>
      </c>
    </row>
    <row r="533">
      <c r="A533" s="3" t="inlineStr">
        <is>
          <t>equip_zhaohuangfeidian</t>
        </is>
      </c>
      <c r="B533" s="3" t="inlineStr">
        <is>
          <t>爪黄飞电</t>
        </is>
      </c>
      <c r="C533" s="3" t="inlineStr">
        <is>
          <t>任务宝箱装备</t>
        </is>
      </c>
      <c r="D533" s="3" t="inlineStr">
        <is>
          <t>任务：官渡之战（guandu_zhizhan）；胜利得官渡之战宝箱×1，在仓库开启；组概率25.000000%，权重1/2，单项概率12.500000%，数量1—1</t>
        </is>
      </c>
      <c r="E533" s="3" t="inlineStr">
        <is>
          <t>data/item_templates.yaml:mission_chest_v3_guandu_zhizhan.effect_payload</t>
        </is>
      </c>
    </row>
    <row r="534">
      <c r="A534" s="3" t="inlineStr">
        <is>
          <t>equip_xuantiechongjian</t>
        </is>
      </c>
      <c r="B534" s="3" t="inlineStr">
        <is>
          <t>玄铁重剑</t>
        </is>
      </c>
      <c r="C534" s="3" t="inlineStr">
        <is>
          <t>碎片累计兑换（任务宝箱）</t>
        </is>
      </c>
      <c r="D534" s="3" t="inlineStr">
        <is>
          <t>华山论剑胜利开箱必得华山重剑心得×1；累计40个后仓库使用兑换1件，碎片不可交易</t>
        </is>
      </c>
      <c r="E534" s="3" t="inlineStr">
        <is>
          <t>data/item_templates.yaml:mission_chest_v3_huashan_lunjian_advanced.effect_payload</t>
        </is>
      </c>
    </row>
    <row r="535">
      <c r="A535" s="3" t="inlineStr">
        <is>
          <t>equip_taotieding</t>
        </is>
      </c>
      <c r="B535" s="3" t="inlineStr">
        <is>
          <t>饕餮鼎</t>
        </is>
      </c>
      <c r="C535" s="3" t="inlineStr">
        <is>
          <t>图纸合成（任务宝箱）</t>
        </is>
      </c>
      <c r="D535" s="3" t="inlineStr">
        <is>
          <t>任务：华山论剑（huashan_lunjian_advanced）；胜利得华山论剑宝箱×1，在仓库开启；组概率100.000000%，权重85/1800，单项概率4.722222%，数量1—1；获得饕餮鼎图纸，锻造10级，合成产出1件；材料：铜×72、锡×48、铁×39、木质精华×3、铜质精华×4、玄铁精华×3、铁木×12、黑原石×18、金刚煤×15、刨子×3、凿子×12、高炉×4、纯水之石×2、大地之石×3、火焰之石×3</t>
        </is>
      </c>
      <c r="E535" s="3" t="inlineStr">
        <is>
          <t>data/item_templates.yaml:mission_chest_v3_huashan_lunjian_advanced.effect_payload；data/forge_blueprints.yaml</t>
        </is>
      </c>
    </row>
    <row r="536">
      <c r="A536" s="3" t="inlineStr">
        <is>
          <t>equip_yuanyangdao</t>
        </is>
      </c>
      <c r="B536" s="3" t="inlineStr">
        <is>
          <t>鸳鸯刀</t>
        </is>
      </c>
      <c r="C536" s="3" t="inlineStr">
        <is>
          <t>任务宝箱装备</t>
        </is>
      </c>
      <c r="D536" s="3" t="inlineStr">
        <is>
          <t>任务：华山论剑（huashan_lunjian_advanced）；胜利得华山论剑宝箱×1，在仓库开启；组概率100.000000%，权重85/1800，单项概率4.722222%，数量1—1</t>
        </is>
      </c>
      <c r="E536" s="3" t="inlineStr">
        <is>
          <t>data/item_templates.yaml:mission_chest_v3_huashan_lunjian_advanced.effect_payload</t>
        </is>
      </c>
    </row>
    <row r="537">
      <c r="A537" s="3" t="inlineStr">
        <is>
          <t>equip_shenghuoling</t>
        </is>
      </c>
      <c r="B537" s="3" t="inlineStr">
        <is>
          <t>圣火令</t>
        </is>
      </c>
      <c r="C537" s="3" t="inlineStr">
        <is>
          <t>任务宝箱装备</t>
        </is>
      </c>
      <c r="D537" s="3" t="inlineStr">
        <is>
          <t>任务：华山论剑（huashan_lunjian_advanced）；胜利得华山论剑宝箱×1，在仓库开启；组概率100.000000%，权重85/1800，单项概率4.722222%，数量1—1</t>
        </is>
      </c>
      <c r="E537" s="3" t="inlineStr">
        <is>
          <t>data/item_templates.yaml:mission_chest_v3_huashan_lunjian_advanced.effect_payload</t>
        </is>
      </c>
    </row>
    <row r="538">
      <c r="A538" s="3" t="inlineStr">
        <is>
          <t>equip_duoqinghuan</t>
        </is>
      </c>
      <c r="B538" s="3" t="inlineStr">
        <is>
          <t>多情环</t>
        </is>
      </c>
      <c r="C538" s="3" t="inlineStr">
        <is>
          <t>任务宝箱装备</t>
        </is>
      </c>
      <c r="D538" s="3" t="inlineStr">
        <is>
          <t>任务：华山论剑（huashan_lunjian_advanced）；胜利得华山论剑宝箱×1，在仓库开启；组概率100.000000%，权重85/1800，单项概率4.722222%，数量1—1</t>
        </is>
      </c>
      <c r="E538" s="3" t="inlineStr">
        <is>
          <t>data/item_templates.yaml:mission_chest_v3_huashan_lunjian_advanced.effect_payload</t>
        </is>
      </c>
    </row>
    <row r="539">
      <c r="A539" s="3" t="inlineStr">
        <is>
          <t>equip_tulongdao</t>
        </is>
      </c>
      <c r="B539" s="3" t="inlineStr">
        <is>
          <t>屠龙刀</t>
        </is>
      </c>
      <c r="C539" s="3" t="inlineStr">
        <is>
          <t>任务宝箱装备</t>
        </is>
      </c>
      <c r="D539" s="3" t="inlineStr">
        <is>
          <t>任务：华山论剑（huashan_lunjian_advanced）；胜利得华山论剑宝箱×1，在仓库开启；组概率100.000000%，权重85/1800，单项概率4.722222%，数量1—1</t>
        </is>
      </c>
      <c r="E539" s="3" t="inlineStr">
        <is>
          <t>data/item_templates.yaml:mission_chest_v3_huashan_lunjian_advanced.effect_payload</t>
        </is>
      </c>
    </row>
    <row r="540">
      <c r="A540" s="3" t="inlineStr">
        <is>
          <t>equip_liekongxue</t>
        </is>
      </c>
      <c r="B540" s="3" t="inlineStr">
        <is>
          <t>裂空靴</t>
        </is>
      </c>
      <c r="C540" s="3" t="inlineStr">
        <is>
          <t>任务宝箱装备</t>
        </is>
      </c>
      <c r="D540" s="3" t="inlineStr">
        <is>
          <t>任务：华山论剑（huashan_lunjian_advanced）；胜利得华山论剑宝箱×1，在仓库开启；组概率100.000000%，权重85/1800，单项概率4.722222%，数量1—1</t>
        </is>
      </c>
      <c r="E540" s="3" t="inlineStr">
        <is>
          <t>data/item_templates.yaml:mission_chest_v3_huashan_lunjian_advanced.effect_payload</t>
        </is>
      </c>
    </row>
    <row r="541">
      <c r="A541" s="3" t="inlineStr">
        <is>
          <t>equip_shuanghuagong</t>
        </is>
      </c>
      <c r="B541" s="3" t="inlineStr">
        <is>
          <t>霜华弓</t>
        </is>
      </c>
      <c r="C541" s="3" t="inlineStr">
        <is>
          <t>任务宝箱装备</t>
        </is>
      </c>
      <c r="D541" s="3" t="inlineStr">
        <is>
          <t>任务：华山论剑（huashan_lunjian_advanced）；胜利得华山论剑宝箱×1，在仓库开启；组概率100.000000%，权重85/1800，单项概率4.722222%，数量1—1</t>
        </is>
      </c>
      <c r="E541" s="3" t="inlineStr">
        <is>
          <t>data/item_templates.yaml:mission_chest_v3_huashan_lunjian_advanced.effect_payload</t>
        </is>
      </c>
    </row>
    <row r="542">
      <c r="A542" s="3" t="inlineStr">
        <is>
          <t>equip_yuxiao</t>
        </is>
      </c>
      <c r="B542" s="3" t="inlineStr">
        <is>
          <t>玉箫</t>
        </is>
      </c>
      <c r="C542" s="3" t="inlineStr">
        <is>
          <t>任务宝箱装备</t>
        </is>
      </c>
      <c r="D542" s="3" t="inlineStr">
        <is>
          <t>任务：华山论剑（huashan_lunjian_advanced）；胜利得华山论剑宝箱×1，在仓库开启；组概率100.000000%，权重85/1800，单项概率4.722222%，数量1—1</t>
        </is>
      </c>
      <c r="E542" s="3" t="inlineStr">
        <is>
          <t>data/item_templates.yaml:mission_chest_v3_huashan_lunjian_advanced.effect_payload</t>
        </is>
      </c>
    </row>
    <row r="543">
      <c r="A543" s="3" t="inlineStr">
        <is>
          <t>equip_wuqiaojian</t>
        </is>
      </c>
      <c r="B543" s="3" t="inlineStr">
        <is>
          <t>乌鞘剑</t>
        </is>
      </c>
      <c r="C543" s="3" t="inlineStr">
        <is>
          <t>任务宝箱装备</t>
        </is>
      </c>
      <c r="D543" s="3" t="inlineStr">
        <is>
          <t>任务：华山论剑（huashan_lunjian_advanced）；胜利得华山论剑宝箱×1，在仓库开启；组概率100.000000%，权重85/1800，单项概率4.722222%，数量1—1</t>
        </is>
      </c>
      <c r="E543" s="3" t="inlineStr">
        <is>
          <t>data/item_templates.yaml:mission_chest_v3_huashan_lunjian_advanced.effect_payload</t>
        </is>
      </c>
    </row>
    <row r="544">
      <c r="A544" s="3" t="inlineStr">
        <is>
          <t>equip_tiancanbaoyi</t>
        </is>
      </c>
      <c r="B544" s="3" t="inlineStr">
        <is>
          <t>天蚕宝衣</t>
        </is>
      </c>
      <c r="C544" s="3" t="inlineStr">
        <is>
          <t>任务宝箱装备</t>
        </is>
      </c>
      <c r="D544" s="3" t="inlineStr">
        <is>
          <t>任务：华山论剑（huashan_lunjian_advanced）；胜利得华山论剑宝箱×1，在仓库开启；组概率100.000000%，权重85/1800，单项概率4.722222%，数量1—1</t>
        </is>
      </c>
      <c r="E544" s="3" t="inlineStr">
        <is>
          <t>data/item_templates.yaml:mission_chest_v3_huashan_lunjian_advanced.effect_payload</t>
        </is>
      </c>
    </row>
    <row r="545">
      <c r="A545" s="3" t="inlineStr">
        <is>
          <t>equip_biyudao</t>
        </is>
      </c>
      <c r="B545" s="3" t="inlineStr">
        <is>
          <t>碧玉刀</t>
        </is>
      </c>
      <c r="C545" s="3" t="inlineStr">
        <is>
          <t>任务宝箱装备</t>
        </is>
      </c>
      <c r="D545" s="3" t="inlineStr">
        <is>
          <t>任务：华山论剑（huashan_lunjian_advanced）；胜利得华山论剑宝箱×1，在仓库开启；组概率100.000000%，权重85/1800，单项概率4.722222%，数量1—1</t>
        </is>
      </c>
      <c r="E545" s="3" t="inlineStr">
        <is>
          <t>data/item_templates.yaml:mission_chest_v3_huashan_lunjian_advanced.effect_payload</t>
        </is>
      </c>
    </row>
    <row r="546">
      <c r="A546" s="3" t="inlineStr">
        <is>
          <t>equip_libiegou</t>
        </is>
      </c>
      <c r="B546" s="3" t="inlineStr">
        <is>
          <t>离别钩</t>
        </is>
      </c>
      <c r="C546" s="3" t="inlineStr">
        <is>
          <t>任务宝箱装备</t>
        </is>
      </c>
      <c r="D546" s="3" t="inlineStr">
        <is>
          <t>任务：华山论剑（huashan_lunjian_advanced）；胜利得华山论剑宝箱×1，在仓库开启；组概率100.000000%，权重85/1800，单项概率4.722222%，数量1—1</t>
        </is>
      </c>
      <c r="E546" s="3" t="inlineStr">
        <is>
          <t>data/item_templates.yaml:mission_chest_v3_huashan_lunjian_advanced.effect_payload</t>
        </is>
      </c>
    </row>
    <row r="547">
      <c r="A547" s="3" t="inlineStr">
        <is>
          <t>equip_ziweiruanjian</t>
        </is>
      </c>
      <c r="B547" s="3" t="inlineStr">
        <is>
          <t>紫薇软剑</t>
        </is>
      </c>
      <c r="C547" s="3" t="inlineStr">
        <is>
          <t>任务宝箱装备</t>
        </is>
      </c>
      <c r="D547" s="3" t="inlineStr">
        <is>
          <t>任务：华山论剑（huashan_lunjian_advanced）；胜利得华山论剑宝箱×1，在仓库开启；组概率100.000000%，权重85/1800，单项概率4.722222%，数量1—1</t>
        </is>
      </c>
      <c r="E547" s="3" t="inlineStr">
        <is>
          <t>data/item_templates.yaml:mission_chest_v3_huashan_lunjian_advanced.effect_payload</t>
        </is>
      </c>
    </row>
    <row r="548">
      <c r="A548" s="3" t="inlineStr">
        <is>
          <t>equip_xiuhuazhen</t>
        </is>
      </c>
      <c r="B548" s="3" t="inlineStr">
        <is>
          <t>绣花针</t>
        </is>
      </c>
      <c r="C548" s="3" t="inlineStr">
        <is>
          <t>任务宝箱装备</t>
        </is>
      </c>
      <c r="D548" s="3" t="inlineStr">
        <is>
          <t>任务：华山论剑（huashan_lunjian_advanced）；胜利得华山论剑宝箱×1，在仓库开启；组概率100.000000%，权重85/1800，单项概率4.722222%，数量1—1</t>
        </is>
      </c>
      <c r="E548" s="3" t="inlineStr">
        <is>
          <t>data/item_templates.yaml:mission_chest_v3_huashan_lunjian_advanced.effect_payload</t>
        </is>
      </c>
    </row>
    <row r="549">
      <c r="A549" s="3" t="inlineStr">
        <is>
          <t>equip_xuedao</t>
        </is>
      </c>
      <c r="B549" s="3" t="inlineStr">
        <is>
          <t>血刀</t>
        </is>
      </c>
      <c r="C549" s="3" t="inlineStr">
        <is>
          <t>任务宝箱装备</t>
        </is>
      </c>
      <c r="D549" s="3" t="inlineStr">
        <is>
          <t>任务：华山论剑（huashan_lunjian_advanced）；胜利得华山论剑宝箱×1，在仓库开启；组概率100.000000%，权重85/1800，单项概率4.722222%，数量1—1</t>
        </is>
      </c>
      <c r="E549" s="3" t="inlineStr">
        <is>
          <t>data/item_templates.yaml:mission_chest_v3_huashan_lunjian_advanced.effect_payload</t>
        </is>
      </c>
    </row>
    <row r="550">
      <c r="A550" s="3" t="inlineStr">
        <is>
          <t>equip_jinshejian</t>
        </is>
      </c>
      <c r="B550" s="3" t="inlineStr">
        <is>
          <t>金蛇剑</t>
        </is>
      </c>
      <c r="C550" s="3" t="inlineStr">
        <is>
          <t>任务宝箱装备</t>
        </is>
      </c>
      <c r="D550" s="3" t="inlineStr">
        <is>
          <t>任务：华山论剑（huashan_lunjian_advanced）；胜利得华山论剑宝箱×1，在仓库开启；组概率100.000000%，权重85/1800，单项概率4.722222%，数量1—1</t>
        </is>
      </c>
      <c r="E550" s="3" t="inlineStr">
        <is>
          <t>data/item_templates.yaml:mission_chest_v3_huashan_lunjian_advanced.effect_payload</t>
        </is>
      </c>
    </row>
    <row r="551">
      <c r="A551" s="3" t="inlineStr">
        <is>
          <t>equip_jinshezui</t>
        </is>
      </c>
      <c r="B551" s="3" t="inlineStr">
        <is>
          <t>金蛇锥</t>
        </is>
      </c>
      <c r="C551" s="3" t="inlineStr">
        <is>
          <t>任务宝箱装备</t>
        </is>
      </c>
      <c r="D551" s="3" t="inlineStr">
        <is>
          <t>任务：华山论剑（huashan_lunjian_advanced）；胜利得华山论剑宝箱×1，在仓库开启；组概率100.000000%，权重85/1800，单项概率4.722222%，数量1—1</t>
        </is>
      </c>
      <c r="E551" s="3" t="inlineStr">
        <is>
          <t>data/item_templates.yaml:mission_chest_v3_huashan_lunjian_advanced.effect_payload</t>
        </is>
      </c>
    </row>
    <row r="552">
      <c r="A552" s="3" t="inlineStr">
        <is>
          <t>equip_jinlun</t>
        </is>
      </c>
      <c r="B552" s="3" t="inlineStr">
        <is>
          <t>金轮</t>
        </is>
      </c>
      <c r="C552" s="3" t="inlineStr">
        <is>
          <t>任务宝箱装备</t>
        </is>
      </c>
      <c r="D552" s="3" t="inlineStr">
        <is>
          <t>任务：华山论剑（huashan_lunjian_advanced）；胜利得华山论剑宝箱×1，在仓库开启；组概率100.000000%，权重85/1800，单项概率4.722222%，数量1—1</t>
        </is>
      </c>
      <c r="E552" s="3" t="inlineStr">
        <is>
          <t>data/item_templates.yaml:mission_chest_v3_huashan_lunjian_advanced.effect_payload</t>
        </is>
      </c>
    </row>
    <row r="553">
      <c r="A553" s="3" t="inlineStr">
        <is>
          <t>equip_yuanyuewandao</t>
        </is>
      </c>
      <c r="B553" s="3" t="inlineStr">
        <is>
          <t>圆月弯刀</t>
        </is>
      </c>
      <c r="C553" s="3" t="inlineStr">
        <is>
          <t>任务宝箱装备</t>
        </is>
      </c>
      <c r="D553" s="3" t="inlineStr">
        <is>
          <t>任务：华山论剑（huashan_lunjian_advanced）；胜利得华山论剑宝箱×1，在仓库开启；组概率100.000000%，权重27/1800，单项概率1.500000%，数量1—1</t>
        </is>
      </c>
      <c r="E553" s="3" t="inlineStr">
        <is>
          <t>data/item_templates.yaml:mission_chest_v3_huashan_lunjian_advanced.effect_payload</t>
        </is>
      </c>
    </row>
    <row r="554">
      <c r="A554" s="3" t="inlineStr">
        <is>
          <t>equip_tianyamingyuedao</t>
        </is>
      </c>
      <c r="B554" s="3" t="inlineStr">
        <is>
          <t>天涯明月刀</t>
        </is>
      </c>
      <c r="C554" s="3" t="inlineStr">
        <is>
          <t>任务宝箱装备</t>
        </is>
      </c>
      <c r="D554" s="3" t="inlineStr">
        <is>
          <t>任务：华山论剑（huashan_lunjian_advanced）；胜利得华山论剑宝箱×1，在仓库开启；组概率100.000000%，权重27/1800，单项概率1.500000%，数量1—1</t>
        </is>
      </c>
      <c r="E554" s="3" t="inlineStr">
        <is>
          <t>data/item_templates.yaml:mission_chest_v3_huashan_lunjian_advanced.effect_payload</t>
        </is>
      </c>
    </row>
    <row r="555">
      <c r="A555" s="3" t="inlineStr">
        <is>
          <t>equip_kongquelin</t>
        </is>
      </c>
      <c r="B555" s="3" t="inlineStr">
        <is>
          <t>孔雀翎</t>
        </is>
      </c>
      <c r="C555" s="3" t="inlineStr">
        <is>
          <t>任务宝箱装备</t>
        </is>
      </c>
      <c r="D555" s="3" t="inlineStr">
        <is>
          <t>任务：华山论剑（huashan_lunjian_advanced）；胜利得华山论剑宝箱×1，在仓库开启；组概率100.000000%，权重27/1800，单项概率1.500000%，数量1—1</t>
        </is>
      </c>
      <c r="E555" s="3" t="inlineStr">
        <is>
          <t>data/item_templates.yaml:mission_chest_v3_huashan_lunjian_advanced.effect_payload</t>
        </is>
      </c>
    </row>
    <row r="556">
      <c r="A556" s="3" t="inlineStr">
        <is>
          <t>equip_xiaolifeidao</t>
        </is>
      </c>
      <c r="B556" s="3" t="inlineStr">
        <is>
          <t>小李飞刀</t>
        </is>
      </c>
      <c r="C556" s="3" t="inlineStr">
        <is>
          <t>任务宝箱装备</t>
        </is>
      </c>
      <c r="D556" s="3" t="inlineStr">
        <is>
          <t>任务：华山论剑（huashan_lunjian_advanced）；胜利得华山论剑宝箱×1，在仓库开启；组概率100.000000%，权重27/1800，单项概率1.500000%，数量1—1</t>
        </is>
      </c>
      <c r="E556" s="3" t="inlineStr">
        <is>
          <t>data/item_templates.yaml:mission_chest_v3_huashan_lunjian_advanced.effect_payload</t>
        </is>
      </c>
    </row>
    <row r="557">
      <c r="A557" s="3" t="inlineStr">
        <is>
          <t>equip_dagoubang</t>
        </is>
      </c>
      <c r="B557" s="3" t="inlineStr">
        <is>
          <t>打狗棒</t>
        </is>
      </c>
      <c r="C557" s="3" t="inlineStr">
        <is>
          <t>任务宝箱装备</t>
        </is>
      </c>
      <c r="D557" s="3" t="inlineStr">
        <is>
          <t>任务：华山论剑（huashan_lunjian_advanced）；胜利得华山论剑宝箱×1，在仓库开启；组概率100.000000%，权重27/1800，单项概率1.500000%，数量1—1</t>
        </is>
      </c>
      <c r="E557" s="3" t="inlineStr">
        <is>
          <t>data/item_templates.yaml:mission_chest_v3_huashan_lunjian_advanced.effect_payload</t>
        </is>
      </c>
    </row>
    <row r="558">
      <c r="A558" s="3" t="inlineStr">
        <is>
          <t>equip_xuantiechongjian</t>
        </is>
      </c>
      <c r="B558" s="3" t="inlineStr">
        <is>
          <t>玄铁重剑</t>
        </is>
      </c>
      <c r="C558" s="3" t="inlineStr">
        <is>
          <t>任务宝箱装备</t>
        </is>
      </c>
      <c r="D558" s="3" t="inlineStr">
        <is>
          <t>任务：华山论剑（huashan_lunjian_advanced）；胜利得华山论剑宝箱×1，在仓库开启；组概率100.000000%，权重27/1800，单项概率1.500000%，数量1—1</t>
        </is>
      </c>
      <c r="E558" s="3" t="inlineStr">
        <is>
          <t>data/item_templates.yaml:mission_chest_v3_huashan_lunjian_advanced.effect_payload</t>
        </is>
      </c>
    </row>
    <row r="559">
      <c r="A559" s="3" t="inlineStr">
        <is>
          <t>equip_shendiao</t>
        </is>
      </c>
      <c r="B559" s="3" t="inlineStr">
        <is>
          <t>神雕</t>
        </is>
      </c>
      <c r="C559" s="3" t="inlineStr">
        <is>
          <t>任务宝箱装备</t>
        </is>
      </c>
      <c r="D559" s="3" t="inlineStr">
        <is>
          <t>任务：华山论剑（huashan_lunjian_advanced）；胜利得华山论剑宝箱×1，在仓库开启；组概率100.000000%，权重27/1800，单项概率1.500000%，数量1—1</t>
        </is>
      </c>
      <c r="E559" s="3" t="inlineStr">
        <is>
          <t>data/item_templates.yaml:mission_chest_v3_huashan_lunjian_advanced.effect_payload</t>
        </is>
      </c>
    </row>
    <row r="560">
      <c r="A560" s="3" t="inlineStr">
        <is>
          <t>equip_shangshanfaeling</t>
        </is>
      </c>
      <c r="B560" s="3" t="inlineStr">
        <is>
          <t>赏善罚恶令</t>
        </is>
      </c>
      <c r="C560" s="3" t="inlineStr">
        <is>
          <t>任务宝箱装备</t>
        </is>
      </c>
      <c r="D560" s="3" t="inlineStr">
        <is>
          <t>任务：华山论剑（huashan_lunjian_advanced）；胜利得华山论剑宝箱×1，在仓库开启；组概率100.000000%，权重27/1800，单项概率1.500000%，数量1—1</t>
        </is>
      </c>
      <c r="E560" s="3" t="inlineStr">
        <is>
          <t>data/item_templates.yaml:mission_chest_v3_huashan_lunjian_advanced.effect_payload</t>
        </is>
      </c>
    </row>
    <row r="561">
      <c r="A561" s="3" t="inlineStr">
        <is>
          <t>equip_ruanweijia</t>
        </is>
      </c>
      <c r="B561" s="3" t="inlineStr">
        <is>
          <t>软猬甲</t>
        </is>
      </c>
      <c r="C561" s="3" t="inlineStr">
        <is>
          <t>任务宝箱装备</t>
        </is>
      </c>
      <c r="D561" s="3" t="inlineStr">
        <is>
          <t>任务：华山论剑（huashan_lunjian_advanced）；胜利得华山论剑宝箱×1，在仓库开启；组概率100.000000%，权重27/1800，单项概率1.500000%，数量1—1</t>
        </is>
      </c>
      <c r="E561" s="3" t="inlineStr">
        <is>
          <t>data/item_templates.yaml:mission_chest_v3_huashan_lunjian_advanced.effect_payload</t>
        </is>
      </c>
    </row>
    <row r="562">
      <c r="A562" s="3" t="inlineStr">
        <is>
          <t>equip_shenxingxue</t>
        </is>
      </c>
      <c r="B562" s="3" t="inlineStr">
        <is>
          <t>神行靴</t>
        </is>
      </c>
      <c r="C562" s="3" t="inlineStr">
        <is>
          <t>任务宝箱装备</t>
        </is>
      </c>
      <c r="D562" s="3" t="inlineStr">
        <is>
          <t>任务：华山论剑（huashan_lunjian_advanced）；胜利得华山论剑宝箱×1，在仓库开启；组概率100.000000%，权重27/1800，单项概率1.500000%，数量1—1</t>
        </is>
      </c>
      <c r="E562" s="3" t="inlineStr">
        <is>
          <t>data/item_templates.yaml:mission_chest_v3_huashan_lunjian_advanced.effect_payload</t>
        </is>
      </c>
    </row>
    <row r="563">
      <c r="A563" s="3" t="inlineStr">
        <is>
          <t>equip_pozhenqiang</t>
        </is>
      </c>
      <c r="B563" s="3" t="inlineStr">
        <is>
          <t>破阵枪</t>
        </is>
      </c>
      <c r="C563" s="3" t="inlineStr">
        <is>
          <t>任务宝箱装备</t>
        </is>
      </c>
      <c r="D563" s="3" t="inlineStr">
        <is>
          <t>任务：飞将浮沉录：汜水关华雄逞威（sishui_huaxiong_chengwei）；胜利得汜水关宝箱×1，在仓库开启；组概率10.000000%，权重1/3，单项概率3.333333%，数量1—1</t>
        </is>
      </c>
      <c r="E563" s="3" t="inlineStr">
        <is>
          <t>data/item_templates.yaml:mission_chest_v3_sishui_huaxiong_chengwei.effect_payload</t>
        </is>
      </c>
    </row>
    <row r="564">
      <c r="A564" s="3" t="inlineStr">
        <is>
          <t>equip_chuanyungong</t>
        </is>
      </c>
      <c r="B564" s="3" t="inlineStr">
        <is>
          <t>穿云弓</t>
        </is>
      </c>
      <c r="C564" s="3" t="inlineStr">
        <is>
          <t>任务宝箱装备</t>
        </is>
      </c>
      <c r="D564" s="3" t="inlineStr">
        <is>
          <t>任务：飞将浮沉录：汜水关华雄逞威（sishui_huaxiong_chengwei）；胜利得汜水关宝箱×1，在仓库开启；组概率10.000000%，权重1/3，单项概率3.333333%，数量1—1</t>
        </is>
      </c>
      <c r="E564" s="3" t="inlineStr">
        <is>
          <t>data/item_templates.yaml:mission_chest_v3_sishui_huaxiong_chengwei.effect_payload</t>
        </is>
      </c>
    </row>
    <row r="565">
      <c r="A565" s="3" t="inlineStr">
        <is>
          <t>equip_longwenyupei</t>
        </is>
      </c>
      <c r="B565" s="3" t="inlineStr">
        <is>
          <t>龙纹玉佩</t>
        </is>
      </c>
      <c r="C565" s="3" t="inlineStr">
        <is>
          <t>任务宝箱装备</t>
        </is>
      </c>
      <c r="D565" s="3" t="inlineStr">
        <is>
          <t>任务：飞将浮沉录：汜水关华雄逞威（sishui_huaxiong_chengwei）；胜利得汜水关宝箱×1，在仓库开启；组概率10.000000%，权重1/3，单项概率3.333333%，数量1—1</t>
        </is>
      </c>
      <c r="E565" s="3" t="inlineStr">
        <is>
          <t>data/item_templates.yaml:mission_chest_v3_sishui_huaxiong_chengwei.effect_payload</t>
        </is>
      </c>
    </row>
    <row r="566">
      <c r="A566" s="3" t="inlineStr">
        <is>
          <t>equip_zhuyuye</t>
        </is>
      </c>
      <c r="B566" s="3" t="inlineStr">
        <is>
          <t>茱萸叶</t>
        </is>
      </c>
      <c r="C566" s="3" t="inlineStr">
        <is>
          <t>任务宝箱装备</t>
        </is>
      </c>
      <c r="D566" s="3" t="inlineStr">
        <is>
          <t>任务：飞将浮沉录：汜水关华雄逞威（sishui_huaxiong_chengwei）；胜利得汜水关宝箱×1，在仓库开启；组概率0.500000%，权重1/1，单项概率0.500000%，数量1—1</t>
        </is>
      </c>
      <c r="E566" s="3" t="inlineStr">
        <is>
          <t>data/item_templates.yaml:mission_chest_v3_sishui_huaxiong_chengwei.effect_payload</t>
        </is>
      </c>
    </row>
    <row r="567">
      <c r="A567" s="3" t="inlineStr">
        <is>
          <t>equip_fangtianhuaji</t>
        </is>
      </c>
      <c r="B567" s="3" t="inlineStr">
        <is>
          <t>方天画戟</t>
        </is>
      </c>
      <c r="C567" s="3" t="inlineStr">
        <is>
          <t>碎片累计兑换（任务宝箱）</t>
        </is>
      </c>
      <c r="D567" s="3" t="inlineStr">
        <is>
          <t>飞将浮沉录：虎牢关群英战吕布胜利开箱必得虎牢画戟战魂×1；累计40个后仓库使用兑换1件，碎片不可交易</t>
        </is>
      </c>
      <c r="E567" s="3" t="inlineStr">
        <is>
          <t>data/item_templates.yaml:mission_chest_v3_hulao_qunying_zhan_lvbu.effect_payload</t>
        </is>
      </c>
    </row>
    <row r="568">
      <c r="A568" s="3" t="inlineStr">
        <is>
          <t>equip_fangtianhuaji</t>
        </is>
      </c>
      <c r="B568" s="3" t="inlineStr">
        <is>
          <t>方天画戟</t>
        </is>
      </c>
      <c r="C568" s="3" t="inlineStr">
        <is>
          <t>任务宝箱装备</t>
        </is>
      </c>
      <c r="D568" s="3" t="inlineStr">
        <is>
          <t>任务：飞将浮沉录：虎牢关群英战吕布（hulao_qunying_zhan_lvbu）；胜利得虎牢关宝箱×1，在仓库开启；组概率10.000000%，权重1/3，单项概率3.333333%，数量1—1</t>
        </is>
      </c>
      <c r="E568" s="3" t="inlineStr">
        <is>
          <t>data/item_templates.yaml:mission_chest_v3_hulao_qunying_zhan_lvbu.effect_payload</t>
        </is>
      </c>
    </row>
    <row r="569">
      <c r="A569" s="3" t="inlineStr">
        <is>
          <t>equip_longlinzhanjia</t>
        </is>
      </c>
      <c r="B569" s="3" t="inlineStr">
        <is>
          <t>龙鳞战甲</t>
        </is>
      </c>
      <c r="C569" s="3" t="inlineStr">
        <is>
          <t>任务宝箱装备</t>
        </is>
      </c>
      <c r="D569" s="3" t="inlineStr">
        <is>
          <t>任务：飞将浮沉录：虎牢关群英战吕布（hulao_qunying_zhan_lvbu）；胜利得虎牢关宝箱×1，在仓库开启；组概率10.000000%，权重1/3，单项概率3.333333%，数量1—1</t>
        </is>
      </c>
      <c r="E569" s="3" t="inlineStr">
        <is>
          <t>data/item_templates.yaml:mission_chest_v3_hulao_qunying_zhan_lvbu.effect_payload</t>
        </is>
      </c>
    </row>
    <row r="570">
      <c r="A570" s="3" t="inlineStr">
        <is>
          <t>equip_chituma</t>
        </is>
      </c>
      <c r="B570" s="3" t="inlineStr">
        <is>
          <t>赤兔马</t>
        </is>
      </c>
      <c r="C570" s="3" t="inlineStr">
        <is>
          <t>任务宝箱装备</t>
        </is>
      </c>
      <c r="D570" s="3" t="inlineStr">
        <is>
          <t>任务：飞将浮沉录：虎牢关群英战吕布（hulao_qunying_zhan_lvbu）；胜利得虎牢关宝箱×1，在仓库开启；组概率10.000000%，权重1/3，单项概率3.333333%，数量1—1</t>
        </is>
      </c>
      <c r="E570" s="3" t="inlineStr">
        <is>
          <t>data/item_templates.yaml:mission_chest_v3_hulao_qunying_zhan_lvbu.effect_payload</t>
        </is>
      </c>
    </row>
    <row r="571">
      <c r="A571" s="3" t="inlineStr">
        <is>
          <t>equip_panlonggun</t>
        </is>
      </c>
      <c r="B571" s="3" t="inlineStr">
        <is>
          <t>盘龙棍</t>
        </is>
      </c>
      <c r="C571" s="3" t="inlineStr">
        <is>
          <t>碎片累计兑换（任务宝箱）</t>
        </is>
      </c>
      <c r="D571" s="3" t="inlineStr">
        <is>
          <t>飞将浮沉录：白门楼命运抉择胜利开箱必得白门楼盘龙战魂×1；累计40个后仓库使用兑换1件，碎片不可交易</t>
        </is>
      </c>
      <c r="E571" s="3" t="inlineStr">
        <is>
          <t>data/item_templates.yaml:mission_chest_v3_baimenlou_mingyun_jueze.effect_payload</t>
        </is>
      </c>
    </row>
    <row r="572">
      <c r="A572" s="3" t="inlineStr">
        <is>
          <t>equip_panlonggun</t>
        </is>
      </c>
      <c r="B572" s="3" t="inlineStr">
        <is>
          <t>盘龙棍</t>
        </is>
      </c>
      <c r="C572" s="3" t="inlineStr">
        <is>
          <t>任务宝箱装备</t>
        </is>
      </c>
      <c r="D572" s="3" t="inlineStr">
        <is>
          <t>任务：飞将浮沉录：白门楼命运抉择（baimenlou_mingyun_jueze）；胜利得白门楼宝箱×1，在仓库开启；组概率10.000000%，权重1/1，单项概率10.000000%，数量1—1</t>
        </is>
      </c>
      <c r="E572" s="3" t="inlineStr">
        <is>
          <t>data/item_templates.yaml:mission_chest_v3_baimenlou_mingyun_jueze.effect_payload</t>
        </is>
      </c>
    </row>
    <row r="573">
      <c r="A573" s="3" t="inlineStr">
        <is>
          <t>equip_pojunzhanjia</t>
        </is>
      </c>
      <c r="B573" s="3" t="inlineStr">
        <is>
          <t>破军战甲</t>
        </is>
      </c>
      <c r="C573" s="3" t="inlineStr">
        <is>
          <t>任务宝箱装备</t>
        </is>
      </c>
      <c r="D573" s="3" t="inlineStr">
        <is>
          <t>任务：飞将浮沉录：白门楼命运抉择（baimenlou_mingyun_jueze）；胜利得白门楼宝箱×1，在仓库开启；组概率35.000000%，权重1/2，单项概率17.500000%，数量1—1</t>
        </is>
      </c>
      <c r="E573" s="3" t="inlineStr">
        <is>
          <t>data/item_templates.yaml:mission_chest_v3_baimenlou_mingyun_jueze.effect_payload</t>
        </is>
      </c>
    </row>
    <row r="574">
      <c r="A574" s="3" t="inlineStr">
        <is>
          <t>equip_tianjiguan</t>
        </is>
      </c>
      <c r="B574" s="3" t="inlineStr">
        <is>
          <t>天机冠</t>
        </is>
      </c>
      <c r="C574" s="3" t="inlineStr">
        <is>
          <t>任务宝箱装备</t>
        </is>
      </c>
      <c r="D574" s="3" t="inlineStr">
        <is>
          <t>任务：飞将浮沉录：白门楼命运抉择（baimenlou_mingyun_jueze）；胜利得白门楼宝箱×1，在仓库开启；组概率35.000000%，权重1/2，单项概率17.500000%，数量1—1</t>
        </is>
      </c>
      <c r="E574" s="3" t="inlineStr">
        <is>
          <t>data/item_templates.yaml:mission_chest_v3_baimenlou_mingyun_jueze.effect_payload</t>
        </is>
      </c>
    </row>
  </sheetData>
  <autoFilter ref="A1:E5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8" customWidth="1" min="4" max="4"/>
    <col width="85" customWidth="1" min="5" max="5"/>
    <col width="42" customWidth="1" min="6" max="6"/>
  </cols>
  <sheetData>
    <row r="1" ht="30" customHeight="1">
      <c r="A1" s="1" t="inlineStr">
        <is>
          <t>装备key</t>
        </is>
      </c>
      <c r="B1" s="1" t="inlineStr">
        <is>
          <t>装备名称</t>
        </is>
      </c>
      <c r="C1" s="1" t="inlineStr">
        <is>
          <t>装备类型</t>
        </is>
      </c>
      <c r="D1" s="1" t="inlineStr">
        <is>
          <t>稀有度</t>
        </is>
      </c>
      <c r="E1" s="1" t="inlineStr">
        <is>
          <t>核对结果</t>
        </is>
      </c>
      <c r="F1" s="1" t="inlineStr">
        <is>
          <t>模板来源</t>
        </is>
      </c>
    </row>
    <row r="2">
      <c r="A2" s="3" t="inlineStr">
        <is>
          <t>equip_tatianxue</t>
        </is>
      </c>
      <c r="B2" s="3" t="inlineStr">
        <is>
          <t>踏天靴</t>
        </is>
      </c>
      <c r="C2" s="3" t="inlineStr">
        <is>
          <t>鞋子</t>
        </is>
      </c>
      <c r="D2" s="3" t="inlineStr">
        <is>
          <t>传说/橙</t>
        </is>
      </c>
      <c r="E2" s="3" t="inlineStr">
        <is>
          <t>当前主要配置未发现获取途径；不代表数据库或活动中绝对无法获得。</t>
        </is>
      </c>
      <c r="F2" s="3" t="inlineStr">
        <is>
          <t>data/item_templates.yaml:L4714</t>
        </is>
      </c>
    </row>
    <row r="3">
      <c r="A3" s="3" t="inlineStr">
        <is>
          <t>equip_wujixingxue</t>
        </is>
      </c>
      <c r="B3" s="3" t="inlineStr">
        <is>
          <t>无极行靴</t>
        </is>
      </c>
      <c r="C3" s="3" t="inlineStr">
        <is>
          <t>鞋子</t>
        </is>
      </c>
      <c r="D3" s="3" t="inlineStr">
        <is>
          <t>传说/橙</t>
        </is>
      </c>
      <c r="E3" s="3" t="inlineStr">
        <is>
          <t>当前主要配置未发现获取途径；不代表数据库或活动中绝对无法获得。</t>
        </is>
      </c>
      <c r="F3" s="3" t="inlineStr">
        <is>
          <t>data/item_templates.yaml:L4745</t>
        </is>
      </c>
    </row>
    <row r="4">
      <c r="A4" s="3" t="inlineStr">
        <is>
          <t>equip_businiaoyu</t>
        </is>
      </c>
      <c r="B4" s="3" t="inlineStr">
        <is>
          <t>不死鸟羽</t>
        </is>
      </c>
      <c r="C4" s="3" t="inlineStr">
        <is>
          <t>饰品</t>
        </is>
      </c>
      <c r="D4" s="3" t="inlineStr">
        <is>
          <t>传说/橙</t>
        </is>
      </c>
      <c r="E4" s="3" t="inlineStr">
        <is>
          <t>当前主要配置未发现获取途径；不代表数据库或活动中绝对无法获得。</t>
        </is>
      </c>
      <c r="F4" s="3" t="inlineStr">
        <is>
          <t>data/item_templates.yaml:L6395</t>
        </is>
      </c>
    </row>
    <row r="5">
      <c r="A5" s="3" t="inlineStr">
        <is>
          <t>equip_heshibi</t>
        </is>
      </c>
      <c r="B5" s="3" t="inlineStr">
        <is>
          <t>和氏璧</t>
        </is>
      </c>
      <c r="C5" s="3" t="inlineStr">
        <is>
          <t>饰品</t>
        </is>
      </c>
      <c r="D5" s="3" t="inlineStr">
        <is>
          <t>传说/橙</t>
        </is>
      </c>
      <c r="E5" s="3" t="inlineStr">
        <is>
          <t>当前主要配置未发现获取途径；不代表数据库或活动中绝对无法获得。</t>
        </is>
      </c>
      <c r="F5" s="3" t="inlineStr">
        <is>
          <t>data/item_templates.yaml:L6346</t>
        </is>
      </c>
    </row>
    <row r="6">
      <c r="A6" s="3" t="inlineStr">
        <is>
          <t>equip_qiankunzhu</t>
        </is>
      </c>
      <c r="B6" s="3" t="inlineStr">
        <is>
          <t>乾坤珠</t>
        </is>
      </c>
      <c r="C6" s="3" t="inlineStr">
        <is>
          <t>饰品</t>
        </is>
      </c>
      <c r="D6" s="3" t="inlineStr">
        <is>
          <t>传说/橙</t>
        </is>
      </c>
      <c r="E6" s="3" t="inlineStr">
        <is>
          <t>当前主要配置未发现获取途径；不代表数据库或活动中绝对无法获得。</t>
        </is>
      </c>
      <c r="F6" s="3" t="inlineStr">
        <is>
          <t>data/item_templates.yaml:L6378</t>
        </is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8" customWidth="1" min="4" max="4"/>
    <col width="22" customWidth="1" min="5" max="5"/>
    <col width="14" customWidth="1" min="6" max="6"/>
    <col width="14" customWidth="1" min="7" max="7"/>
    <col width="16" customWidth="1" min="8" max="8"/>
    <col width="85" customWidth="1" min="9" max="9"/>
  </cols>
  <sheetData>
    <row r="1" ht="30" customHeight="1">
      <c r="A1" s="1" t="inlineStr">
        <is>
          <t>稀有度代码</t>
        </is>
      </c>
      <c r="B1" s="1" t="inlineStr">
        <is>
          <t>稀有度</t>
        </is>
      </c>
      <c r="C1" s="1" t="inlineStr">
        <is>
          <t>奖励类型</t>
        </is>
      </c>
      <c r="D1" s="1" t="inlineStr">
        <is>
          <t>材料key</t>
        </is>
      </c>
      <c r="E1" s="1" t="inlineStr">
        <is>
          <t>材料名称</t>
        </is>
      </c>
      <c r="F1" s="1" t="inlineStr">
        <is>
          <t>最少数量</t>
        </is>
      </c>
      <c r="G1" s="1" t="inlineStr">
        <is>
          <t>最多数量</t>
        </is>
      </c>
      <c r="H1" s="1" t="inlineStr">
        <is>
          <t>获得概率</t>
        </is>
      </c>
      <c r="I1" s="1" t="inlineStr">
        <is>
          <t>数据来源</t>
        </is>
      </c>
    </row>
    <row r="2">
      <c r="A2" s="3" t="inlineStr">
        <is>
          <t>green</t>
        </is>
      </c>
      <c r="B2" s="3" t="inlineStr">
        <is>
          <t>优秀/绿</t>
        </is>
      </c>
      <c r="C2" s="3" t="inlineStr">
        <is>
          <t>每件必得区间</t>
        </is>
      </c>
      <c r="D2" s="3" t="inlineStr">
        <is>
          <t>tong</t>
        </is>
      </c>
      <c r="E2" s="3" t="inlineStr">
        <is>
          <t>铜</t>
        </is>
      </c>
      <c r="F2" s="3" t="n">
        <v>2</v>
      </c>
      <c r="G2" s="3" t="n">
        <v>5</v>
      </c>
      <c r="H2" s="7" t="n"/>
      <c r="I2" s="3" t="inlineStr">
        <is>
          <t>data/forge_decompose.yaml:base_materials.green.tong</t>
        </is>
      </c>
    </row>
    <row r="3">
      <c r="A3" s="3" t="inlineStr">
        <is>
          <t>green</t>
        </is>
      </c>
      <c r="B3" s="3" t="inlineStr">
        <is>
          <t>优秀/绿</t>
        </is>
      </c>
      <c r="C3" s="3" t="inlineStr">
        <is>
          <t>每件必得区间</t>
        </is>
      </c>
      <c r="D3" s="3" t="inlineStr">
        <is>
          <t>xi</t>
        </is>
      </c>
      <c r="E3" s="3" t="inlineStr">
        <is>
          <t>锡</t>
        </is>
      </c>
      <c r="F3" s="3" t="n">
        <v>1</v>
      </c>
      <c r="G3" s="3" t="n">
        <v>3</v>
      </c>
      <c r="H3" s="7" t="n"/>
      <c r="I3" s="3" t="inlineStr">
        <is>
          <t>data/forge_decompose.yaml:base_materials.green.xi</t>
        </is>
      </c>
    </row>
    <row r="4">
      <c r="A4" s="3" t="inlineStr">
        <is>
          <t>green</t>
        </is>
      </c>
      <c r="B4" s="3" t="inlineStr">
        <is>
          <t>优秀/绿</t>
        </is>
      </c>
      <c r="C4" s="3" t="inlineStr">
        <is>
          <t>每件必得区间</t>
        </is>
      </c>
      <c r="D4" s="3" t="inlineStr">
        <is>
          <t>tie</t>
        </is>
      </c>
      <c r="E4" s="3" t="inlineStr">
        <is>
          <t>铁</t>
        </is>
      </c>
      <c r="F4" s="3" t="n">
        <v>1</v>
      </c>
      <c r="G4" s="3" t="n">
        <v>2</v>
      </c>
      <c r="H4" s="7" t="n"/>
      <c r="I4" s="3" t="inlineStr">
        <is>
          <t>data/forge_decompose.yaml:base_materials.green.tie</t>
        </is>
      </c>
    </row>
    <row r="5">
      <c r="A5" s="3" t="inlineStr">
        <is>
          <t>green</t>
        </is>
      </c>
      <c r="B5" s="3" t="inlineStr">
        <is>
          <t>优秀/绿</t>
        </is>
      </c>
      <c r="C5" s="3" t="inlineStr">
        <is>
          <t>概率奖励</t>
        </is>
      </c>
      <c r="D5" s="3" t="inlineStr">
        <is>
          <t>wood_essence</t>
        </is>
      </c>
      <c r="E5" s="3" t="inlineStr">
        <is>
          <t>木质精华</t>
        </is>
      </c>
      <c r="F5" s="3" t="n"/>
      <c r="G5" s="3" t="n"/>
      <c r="H5" s="7" t="n">
        <v>0.75</v>
      </c>
      <c r="I5" s="3" t="inlineStr">
        <is>
          <t>data/forge_decompose.yaml:chance_rewards.green.wood_essence</t>
        </is>
      </c>
    </row>
    <row r="6">
      <c r="A6" s="3" t="inlineStr">
        <is>
          <t>green</t>
        </is>
      </c>
      <c r="B6" s="3" t="inlineStr">
        <is>
          <t>优秀/绿</t>
        </is>
      </c>
      <c r="C6" s="3" t="inlineStr">
        <is>
          <t>概率奖励</t>
        </is>
      </c>
      <c r="D6" s="3" t="inlineStr">
        <is>
          <t>copper_essence</t>
        </is>
      </c>
      <c r="E6" s="3" t="inlineStr">
        <is>
          <t>铜质精华</t>
        </is>
      </c>
      <c r="F6" s="3" t="n"/>
      <c r="G6" s="3" t="n"/>
      <c r="H6" s="7" t="n">
        <v>0.25</v>
      </c>
      <c r="I6" s="3" t="inlineStr">
        <is>
          <t>data/forge_decompose.yaml:chance_rewards.green.copper_essence</t>
        </is>
      </c>
    </row>
    <row r="7">
      <c r="A7" s="3" t="inlineStr">
        <is>
          <t>green</t>
        </is>
      </c>
      <c r="B7" s="3" t="inlineStr">
        <is>
          <t>优秀/绿</t>
        </is>
      </c>
      <c r="C7" s="3" t="inlineStr">
        <is>
          <t>概率奖励</t>
        </is>
      </c>
      <c r="D7" s="3" t="inlineStr">
        <is>
          <t>shuiqumu</t>
        </is>
      </c>
      <c r="E7" s="3" t="inlineStr">
        <is>
          <t>水曲木</t>
        </is>
      </c>
      <c r="F7" s="3" t="n"/>
      <c r="G7" s="3" t="n"/>
      <c r="H7" s="7" t="n">
        <v>0.25</v>
      </c>
      <c r="I7" s="3" t="inlineStr">
        <is>
          <t>data/forge_decompose.yaml:chance_rewards.green.shuiqumu</t>
        </is>
      </c>
    </row>
    <row r="8">
      <c r="A8" s="3" t="inlineStr">
        <is>
          <t>green</t>
        </is>
      </c>
      <c r="B8" s="3" t="inlineStr">
        <is>
          <t>优秀/绿</t>
        </is>
      </c>
      <c r="C8" s="3" t="inlineStr">
        <is>
          <t>概率奖励</t>
        </is>
      </c>
      <c r="D8" s="3" t="inlineStr">
        <is>
          <t>paozi</t>
        </is>
      </c>
      <c r="E8" s="3" t="inlineStr">
        <is>
          <t>刨子</t>
        </is>
      </c>
      <c r="F8" s="3" t="n"/>
      <c r="G8" s="3" t="n"/>
      <c r="H8" s="7" t="n">
        <v>0.12</v>
      </c>
      <c r="I8" s="3" t="inlineStr">
        <is>
          <t>data/forge_decompose.yaml:chance_rewards.green.paozi</t>
        </is>
      </c>
    </row>
    <row r="9">
      <c r="A9" s="3" t="inlineStr">
        <is>
          <t>green</t>
        </is>
      </c>
      <c r="B9" s="3" t="inlineStr">
        <is>
          <t>优秀/绿</t>
        </is>
      </c>
      <c r="C9" s="3" t="inlineStr">
        <is>
          <t>概率奖励</t>
        </is>
      </c>
      <c r="D9" s="3" t="inlineStr">
        <is>
          <t>zaozi</t>
        </is>
      </c>
      <c r="E9" s="3" t="inlineStr">
        <is>
          <t>凿子</t>
        </is>
      </c>
      <c r="F9" s="3" t="n"/>
      <c r="G9" s="3" t="n"/>
      <c r="H9" s="7" t="n">
        <v>0.12</v>
      </c>
      <c r="I9" s="3" t="inlineStr">
        <is>
          <t>data/forge_decompose.yaml:chance_rewards.green.zaozi</t>
        </is>
      </c>
    </row>
    <row r="10">
      <c r="A10" s="3" t="inlineStr">
        <is>
          <t>green</t>
        </is>
      </c>
      <c r="B10" s="3" t="inlineStr">
        <is>
          <t>优秀/绿</t>
        </is>
      </c>
      <c r="C10" s="3" t="inlineStr">
        <is>
          <t>概率奖励</t>
        </is>
      </c>
      <c r="D10" s="3" t="inlineStr">
        <is>
          <t>tiemu</t>
        </is>
      </c>
      <c r="E10" s="3" t="inlineStr">
        <is>
          <t>铁木</t>
        </is>
      </c>
      <c r="F10" s="3" t="n"/>
      <c r="G10" s="3" t="n"/>
      <c r="H10" s="7" t="n">
        <v>0.06</v>
      </c>
      <c r="I10" s="3" t="inlineStr">
        <is>
          <t>data/forge_decompose.yaml:chance_rewards.green.tiemu</t>
        </is>
      </c>
    </row>
    <row r="11">
      <c r="A11" s="3" t="inlineStr">
        <is>
          <t>green</t>
        </is>
      </c>
      <c r="B11" s="3" t="inlineStr">
        <is>
          <t>优秀/绿</t>
        </is>
      </c>
      <c r="C11" s="3" t="inlineStr">
        <is>
          <t>概率奖励</t>
        </is>
      </c>
      <c r="D11" s="3" t="inlineStr">
        <is>
          <t>zitanmu</t>
        </is>
      </c>
      <c r="E11" s="3" t="inlineStr">
        <is>
          <t>紫檀木</t>
        </is>
      </c>
      <c r="F11" s="3" t="n"/>
      <c r="G11" s="3" t="n"/>
      <c r="H11" s="7" t="n">
        <v>0.05</v>
      </c>
      <c r="I11" s="3" t="inlineStr">
        <is>
          <t>data/forge_decompose.yaml:chance_rewards.green.zitanmu</t>
        </is>
      </c>
    </row>
    <row r="12">
      <c r="A12" s="3" t="inlineStr">
        <is>
          <t>green</t>
        </is>
      </c>
      <c r="B12" s="3" t="inlineStr">
        <is>
          <t>优秀/绿</t>
        </is>
      </c>
      <c r="C12" s="3" t="inlineStr">
        <is>
          <t>概率奖励</t>
        </is>
      </c>
      <c r="D12" s="3" t="inlineStr">
        <is>
          <t>heiyuanshi</t>
        </is>
      </c>
      <c r="E12" s="3" t="inlineStr">
        <is>
          <t>黑原石</t>
        </is>
      </c>
      <c r="F12" s="3" t="n"/>
      <c r="G12" s="3" t="n"/>
      <c r="H12" s="7" t="n">
        <v>0.06</v>
      </c>
      <c r="I12" s="3" t="inlineStr">
        <is>
          <t>data/forge_decompose.yaml:chance_rewards.green.heiyuanshi</t>
        </is>
      </c>
    </row>
    <row r="13">
      <c r="A13" s="3" t="inlineStr">
        <is>
          <t>green</t>
        </is>
      </c>
      <c r="B13" s="3" t="inlineStr">
        <is>
          <t>优秀/绿</t>
        </is>
      </c>
      <c r="C13" s="3" t="inlineStr">
        <is>
          <t>概率奖励</t>
        </is>
      </c>
      <c r="D13" s="3" t="inlineStr">
        <is>
          <t>jingangmei</t>
        </is>
      </c>
      <c r="E13" s="3" t="inlineStr">
        <is>
          <t>金刚煤</t>
        </is>
      </c>
      <c r="F13" s="3" t="n"/>
      <c r="G13" s="3" t="n"/>
      <c r="H13" s="7" t="n">
        <v>0.04</v>
      </c>
      <c r="I13" s="3" t="inlineStr">
        <is>
          <t>data/forge_decompose.yaml:chance_rewards.green.jingangmei</t>
        </is>
      </c>
    </row>
    <row r="14">
      <c r="A14" s="3" t="inlineStr">
        <is>
          <t>blue</t>
        </is>
      </c>
      <c r="B14" s="3" t="inlineStr">
        <is>
          <t>稀有/蓝</t>
        </is>
      </c>
      <c r="C14" s="3" t="inlineStr">
        <is>
          <t>每件必得区间</t>
        </is>
      </c>
      <c r="D14" s="3" t="inlineStr">
        <is>
          <t>tong</t>
        </is>
      </c>
      <c r="E14" s="3" t="inlineStr">
        <is>
          <t>铜</t>
        </is>
      </c>
      <c r="F14" s="3" t="n">
        <v>4</v>
      </c>
      <c r="G14" s="3" t="n">
        <v>8</v>
      </c>
      <c r="H14" s="7" t="n"/>
      <c r="I14" s="3" t="inlineStr">
        <is>
          <t>data/forge_decompose.yaml:base_materials.blue.tong</t>
        </is>
      </c>
    </row>
    <row r="15">
      <c r="A15" s="3" t="inlineStr">
        <is>
          <t>blue</t>
        </is>
      </c>
      <c r="B15" s="3" t="inlineStr">
        <is>
          <t>稀有/蓝</t>
        </is>
      </c>
      <c r="C15" s="3" t="inlineStr">
        <is>
          <t>每件必得区间</t>
        </is>
      </c>
      <c r="D15" s="3" t="inlineStr">
        <is>
          <t>xi</t>
        </is>
      </c>
      <c r="E15" s="3" t="inlineStr">
        <is>
          <t>锡</t>
        </is>
      </c>
      <c r="F15" s="3" t="n">
        <v>2</v>
      </c>
      <c r="G15" s="3" t="n">
        <v>5</v>
      </c>
      <c r="H15" s="7" t="n"/>
      <c r="I15" s="3" t="inlineStr">
        <is>
          <t>data/forge_decompose.yaml:base_materials.blue.xi</t>
        </is>
      </c>
    </row>
    <row r="16">
      <c r="A16" s="3" t="inlineStr">
        <is>
          <t>blue</t>
        </is>
      </c>
      <c r="B16" s="3" t="inlineStr">
        <is>
          <t>稀有/蓝</t>
        </is>
      </c>
      <c r="C16" s="3" t="inlineStr">
        <is>
          <t>每件必得区间</t>
        </is>
      </c>
      <c r="D16" s="3" t="inlineStr">
        <is>
          <t>tie</t>
        </is>
      </c>
      <c r="E16" s="3" t="inlineStr">
        <is>
          <t>铁</t>
        </is>
      </c>
      <c r="F16" s="3" t="n">
        <v>1</v>
      </c>
      <c r="G16" s="3" t="n">
        <v>3</v>
      </c>
      <c r="H16" s="7" t="n"/>
      <c r="I16" s="3" t="inlineStr">
        <is>
          <t>data/forge_decompose.yaml:base_materials.blue.tie</t>
        </is>
      </c>
    </row>
    <row r="17">
      <c r="A17" s="3" t="inlineStr">
        <is>
          <t>blue</t>
        </is>
      </c>
      <c r="B17" s="3" t="inlineStr">
        <is>
          <t>稀有/蓝</t>
        </is>
      </c>
      <c r="C17" s="3" t="inlineStr">
        <is>
          <t>概率奖励</t>
        </is>
      </c>
      <c r="D17" s="3" t="inlineStr">
        <is>
          <t>wood_essence</t>
        </is>
      </c>
      <c r="E17" s="3" t="inlineStr">
        <is>
          <t>木质精华</t>
        </is>
      </c>
      <c r="F17" s="3" t="n"/>
      <c r="G17" s="3" t="n"/>
      <c r="H17" s="7" t="n">
        <v>0.8</v>
      </c>
      <c r="I17" s="3" t="inlineStr">
        <is>
          <t>data/forge_decompose.yaml:chance_rewards.blue.wood_essence</t>
        </is>
      </c>
    </row>
    <row r="18">
      <c r="A18" s="3" t="inlineStr">
        <is>
          <t>blue</t>
        </is>
      </c>
      <c r="B18" s="3" t="inlineStr">
        <is>
          <t>稀有/蓝</t>
        </is>
      </c>
      <c r="C18" s="3" t="inlineStr">
        <is>
          <t>概率奖励</t>
        </is>
      </c>
      <c r="D18" s="3" t="inlineStr">
        <is>
          <t>copper_essence</t>
        </is>
      </c>
      <c r="E18" s="3" t="inlineStr">
        <is>
          <t>铜质精华</t>
        </is>
      </c>
      <c r="F18" s="3" t="n"/>
      <c r="G18" s="3" t="n"/>
      <c r="H18" s="7" t="n">
        <v>0.75</v>
      </c>
      <c r="I18" s="3" t="inlineStr">
        <is>
          <t>data/forge_decompose.yaml:chance_rewards.blue.copper_essence</t>
        </is>
      </c>
    </row>
    <row r="19">
      <c r="A19" s="3" t="inlineStr">
        <is>
          <t>blue</t>
        </is>
      </c>
      <c r="B19" s="3" t="inlineStr">
        <is>
          <t>稀有/蓝</t>
        </is>
      </c>
      <c r="C19" s="3" t="inlineStr">
        <is>
          <t>概率奖励</t>
        </is>
      </c>
      <c r="D19" s="3" t="inlineStr">
        <is>
          <t>iron_essence</t>
        </is>
      </c>
      <c r="E19" s="3" t="inlineStr">
        <is>
          <t>铁质精华</t>
        </is>
      </c>
      <c r="F19" s="3" t="n"/>
      <c r="G19" s="3" t="n"/>
      <c r="H19" s="7" t="n">
        <v>0.5</v>
      </c>
      <c r="I19" s="3" t="inlineStr">
        <is>
          <t>data/forge_decompose.yaml:chance_rewards.blue.iron_essence</t>
        </is>
      </c>
    </row>
    <row r="20">
      <c r="A20" s="3" t="inlineStr">
        <is>
          <t>blue</t>
        </is>
      </c>
      <c r="B20" s="3" t="inlineStr">
        <is>
          <t>稀有/蓝</t>
        </is>
      </c>
      <c r="C20" s="3" t="inlineStr">
        <is>
          <t>概率奖励</t>
        </is>
      </c>
      <c r="D20" s="3" t="inlineStr">
        <is>
          <t>xuan_tie_essence</t>
        </is>
      </c>
      <c r="E20" s="3" t="inlineStr">
        <is>
          <t>玄铁精华</t>
        </is>
      </c>
      <c r="F20" s="3" t="n"/>
      <c r="G20" s="3" t="n"/>
      <c r="H20" s="7" t="n">
        <v>0.25</v>
      </c>
      <c r="I20" s="3" t="inlineStr">
        <is>
          <t>data/forge_decompose.yaml:chance_rewards.blue.xuan_tie_essence</t>
        </is>
      </c>
    </row>
    <row r="21">
      <c r="A21" s="3" t="inlineStr">
        <is>
          <t>blue</t>
        </is>
      </c>
      <c r="B21" s="3" t="inlineStr">
        <is>
          <t>稀有/蓝</t>
        </is>
      </c>
      <c r="C21" s="3" t="inlineStr">
        <is>
          <t>概率奖励</t>
        </is>
      </c>
      <c r="D21" s="3" t="inlineStr">
        <is>
          <t>air_stone</t>
        </is>
      </c>
      <c r="E21" s="3" t="inlineStr">
        <is>
          <t>空气之石</t>
        </is>
      </c>
      <c r="F21" s="3" t="n"/>
      <c r="G21" s="3" t="n"/>
      <c r="H21" s="7" t="n">
        <v>0.12</v>
      </c>
      <c r="I21" s="3" t="inlineStr">
        <is>
          <t>data/forge_decompose.yaml:chance_rewards.blue.air_stone</t>
        </is>
      </c>
    </row>
    <row r="22">
      <c r="A22" s="3" t="inlineStr">
        <is>
          <t>blue</t>
        </is>
      </c>
      <c r="B22" s="3" t="inlineStr">
        <is>
          <t>稀有/蓝</t>
        </is>
      </c>
      <c r="C22" s="3" t="inlineStr">
        <is>
          <t>概率奖励</t>
        </is>
      </c>
      <c r="D22" s="3" t="inlineStr">
        <is>
          <t>fire_stone</t>
        </is>
      </c>
      <c r="E22" s="3" t="inlineStr">
        <is>
          <t>火焰之石</t>
        </is>
      </c>
      <c r="F22" s="3" t="n"/>
      <c r="G22" s="3" t="n"/>
      <c r="H22" s="7" t="n">
        <v>0.12</v>
      </c>
      <c r="I22" s="3" t="inlineStr">
        <is>
          <t>data/forge_decompose.yaml:chance_rewards.blue.fire_stone</t>
        </is>
      </c>
    </row>
    <row r="23">
      <c r="A23" s="3" t="inlineStr">
        <is>
          <t>blue</t>
        </is>
      </c>
      <c r="B23" s="3" t="inlineStr">
        <is>
          <t>稀有/蓝</t>
        </is>
      </c>
      <c r="C23" s="3" t="inlineStr">
        <is>
          <t>概率奖励</t>
        </is>
      </c>
      <c r="D23" s="3" t="inlineStr">
        <is>
          <t>earth_stone</t>
        </is>
      </c>
      <c r="E23" s="3" t="inlineStr">
        <is>
          <t>大地之石</t>
        </is>
      </c>
      <c r="F23" s="3" t="n"/>
      <c r="G23" s="3" t="n"/>
      <c r="H23" s="7" t="n">
        <v>0.12</v>
      </c>
      <c r="I23" s="3" t="inlineStr">
        <is>
          <t>data/forge_decompose.yaml:chance_rewards.blue.earth_stone</t>
        </is>
      </c>
    </row>
    <row r="24">
      <c r="A24" s="3" t="inlineStr">
        <is>
          <t>blue</t>
        </is>
      </c>
      <c r="B24" s="3" t="inlineStr">
        <is>
          <t>稀有/蓝</t>
        </is>
      </c>
      <c r="C24" s="3" t="inlineStr">
        <is>
          <t>概率奖励</t>
        </is>
      </c>
      <c r="D24" s="3" t="inlineStr">
        <is>
          <t>water_stone</t>
        </is>
      </c>
      <c r="E24" s="3" t="inlineStr">
        <is>
          <t>纯水之石</t>
        </is>
      </c>
      <c r="F24" s="3" t="n"/>
      <c r="G24" s="3" t="n"/>
      <c r="H24" s="7" t="n">
        <v>0.12</v>
      </c>
      <c r="I24" s="3" t="inlineStr">
        <is>
          <t>data/forge_decompose.yaml:chance_rewards.blue.water_stone</t>
        </is>
      </c>
    </row>
    <row r="25">
      <c r="A25" s="3" t="inlineStr">
        <is>
          <t>blue</t>
        </is>
      </c>
      <c r="B25" s="3" t="inlineStr">
        <is>
          <t>稀有/蓝</t>
        </is>
      </c>
      <c r="C25" s="3" t="inlineStr">
        <is>
          <t>概率奖励</t>
        </is>
      </c>
      <c r="D25" s="3" t="inlineStr">
        <is>
          <t>shuiqumu</t>
        </is>
      </c>
      <c r="E25" s="3" t="inlineStr">
        <is>
          <t>水曲木</t>
        </is>
      </c>
      <c r="F25" s="3" t="n"/>
      <c r="G25" s="3" t="n"/>
      <c r="H25" s="7" t="n">
        <v>0.35</v>
      </c>
      <c r="I25" s="3" t="inlineStr">
        <is>
          <t>data/forge_decompose.yaml:chance_rewards.blue.shuiqumu</t>
        </is>
      </c>
    </row>
    <row r="26">
      <c r="A26" s="3" t="inlineStr">
        <is>
          <t>blue</t>
        </is>
      </c>
      <c r="B26" s="3" t="inlineStr">
        <is>
          <t>稀有/蓝</t>
        </is>
      </c>
      <c r="C26" s="3" t="inlineStr">
        <is>
          <t>概率奖励</t>
        </is>
      </c>
      <c r="D26" s="3" t="inlineStr">
        <is>
          <t>paozi</t>
        </is>
      </c>
      <c r="E26" s="3" t="inlineStr">
        <is>
          <t>刨子</t>
        </is>
      </c>
      <c r="F26" s="3" t="n"/>
      <c r="G26" s="3" t="n"/>
      <c r="H26" s="7" t="n">
        <v>0.2</v>
      </c>
      <c r="I26" s="3" t="inlineStr">
        <is>
          <t>data/forge_decompose.yaml:chance_rewards.blue.paozi</t>
        </is>
      </c>
    </row>
    <row r="27">
      <c r="A27" s="3" t="inlineStr">
        <is>
          <t>blue</t>
        </is>
      </c>
      <c r="B27" s="3" t="inlineStr">
        <is>
          <t>稀有/蓝</t>
        </is>
      </c>
      <c r="C27" s="3" t="inlineStr">
        <is>
          <t>概率奖励</t>
        </is>
      </c>
      <c r="D27" s="3" t="inlineStr">
        <is>
          <t>zaozi</t>
        </is>
      </c>
      <c r="E27" s="3" t="inlineStr">
        <is>
          <t>凿子</t>
        </is>
      </c>
      <c r="F27" s="3" t="n"/>
      <c r="G27" s="3" t="n"/>
      <c r="H27" s="7" t="n">
        <v>0.2</v>
      </c>
      <c r="I27" s="3" t="inlineStr">
        <is>
          <t>data/forge_decompose.yaml:chance_rewards.blue.zaozi</t>
        </is>
      </c>
    </row>
    <row r="28">
      <c r="A28" s="3" t="inlineStr">
        <is>
          <t>blue</t>
        </is>
      </c>
      <c r="B28" s="3" t="inlineStr">
        <is>
          <t>稀有/蓝</t>
        </is>
      </c>
      <c r="C28" s="3" t="inlineStr">
        <is>
          <t>概率奖励</t>
        </is>
      </c>
      <c r="D28" s="3" t="inlineStr">
        <is>
          <t>tiemu</t>
        </is>
      </c>
      <c r="E28" s="3" t="inlineStr">
        <is>
          <t>铁木</t>
        </is>
      </c>
      <c r="F28" s="3" t="n"/>
      <c r="G28" s="3" t="n"/>
      <c r="H28" s="7" t="n">
        <v>0.14</v>
      </c>
      <c r="I28" s="3" t="inlineStr">
        <is>
          <t>data/forge_decompose.yaml:chance_rewards.blue.tiemu</t>
        </is>
      </c>
    </row>
    <row r="29">
      <c r="A29" s="3" t="inlineStr">
        <is>
          <t>blue</t>
        </is>
      </c>
      <c r="B29" s="3" t="inlineStr">
        <is>
          <t>稀有/蓝</t>
        </is>
      </c>
      <c r="C29" s="3" t="inlineStr">
        <is>
          <t>概率奖励</t>
        </is>
      </c>
      <c r="D29" s="3" t="inlineStr">
        <is>
          <t>zitanmu</t>
        </is>
      </c>
      <c r="E29" s="3" t="inlineStr">
        <is>
          <t>紫檀木</t>
        </is>
      </c>
      <c r="F29" s="3" t="n"/>
      <c r="G29" s="3" t="n"/>
      <c r="H29" s="7" t="n">
        <v>0.12</v>
      </c>
      <c r="I29" s="3" t="inlineStr">
        <is>
          <t>data/forge_decompose.yaml:chance_rewards.blue.zitanmu</t>
        </is>
      </c>
    </row>
    <row r="30">
      <c r="A30" s="3" t="inlineStr">
        <is>
          <t>blue</t>
        </is>
      </c>
      <c r="B30" s="3" t="inlineStr">
        <is>
          <t>稀有/蓝</t>
        </is>
      </c>
      <c r="C30" s="3" t="inlineStr">
        <is>
          <t>概率奖励</t>
        </is>
      </c>
      <c r="D30" s="3" t="inlineStr">
        <is>
          <t>heiyuanshi</t>
        </is>
      </c>
      <c r="E30" s="3" t="inlineStr">
        <is>
          <t>黑原石</t>
        </is>
      </c>
      <c r="F30" s="3" t="n"/>
      <c r="G30" s="3" t="n"/>
      <c r="H30" s="7" t="n">
        <v>0.15</v>
      </c>
      <c r="I30" s="3" t="inlineStr">
        <is>
          <t>data/forge_decompose.yaml:chance_rewards.blue.heiyuanshi</t>
        </is>
      </c>
    </row>
    <row r="31">
      <c r="A31" s="3" t="inlineStr">
        <is>
          <t>blue</t>
        </is>
      </c>
      <c r="B31" s="3" t="inlineStr">
        <is>
          <t>稀有/蓝</t>
        </is>
      </c>
      <c r="C31" s="3" t="inlineStr">
        <is>
          <t>概率奖励</t>
        </is>
      </c>
      <c r="D31" s="3" t="inlineStr">
        <is>
          <t>jingangmei</t>
        </is>
      </c>
      <c r="E31" s="3" t="inlineStr">
        <is>
          <t>金刚煤</t>
        </is>
      </c>
      <c r="F31" s="3" t="n"/>
      <c r="G31" s="3" t="n"/>
      <c r="H31" s="7" t="n">
        <v>0.1</v>
      </c>
      <c r="I31" s="3" t="inlineStr">
        <is>
          <t>data/forge_decompose.yaml:chance_rewards.blue.jingangmei</t>
        </is>
      </c>
    </row>
    <row r="32">
      <c r="A32" s="3" t="inlineStr">
        <is>
          <t>blue</t>
        </is>
      </c>
      <c r="B32" s="3" t="inlineStr">
        <is>
          <t>稀有/蓝</t>
        </is>
      </c>
      <c r="C32" s="3" t="inlineStr">
        <is>
          <t>概率奖励</t>
        </is>
      </c>
      <c r="D32" s="3" t="inlineStr">
        <is>
          <t>gaolu</t>
        </is>
      </c>
      <c r="E32" s="3" t="inlineStr">
        <is>
          <t>高炉</t>
        </is>
      </c>
      <c r="F32" s="3" t="n"/>
      <c r="G32" s="3" t="n"/>
      <c r="H32" s="7" t="n">
        <v>0.05</v>
      </c>
      <c r="I32" s="3" t="inlineStr">
        <is>
          <t>data/forge_decompose.yaml:chance_rewards.blue.gaolu</t>
        </is>
      </c>
    </row>
    <row r="33">
      <c r="A33" s="3" t="inlineStr">
        <is>
          <t>purple</t>
        </is>
      </c>
      <c r="B33" s="3" t="inlineStr">
        <is>
          <t>史诗/紫</t>
        </is>
      </c>
      <c r="C33" s="3" t="inlineStr">
        <is>
          <t>每件必得区间</t>
        </is>
      </c>
      <c r="D33" s="3" t="inlineStr">
        <is>
          <t>tong</t>
        </is>
      </c>
      <c r="E33" s="3" t="inlineStr">
        <is>
          <t>铜</t>
        </is>
      </c>
      <c r="F33" s="3" t="n">
        <v>6</v>
      </c>
      <c r="G33" s="3" t="n">
        <v>12</v>
      </c>
      <c r="H33" s="7" t="n"/>
      <c r="I33" s="3" t="inlineStr">
        <is>
          <t>data/forge_decompose.yaml:base_materials.purple.tong</t>
        </is>
      </c>
    </row>
    <row r="34">
      <c r="A34" s="3" t="inlineStr">
        <is>
          <t>purple</t>
        </is>
      </c>
      <c r="B34" s="3" t="inlineStr">
        <is>
          <t>史诗/紫</t>
        </is>
      </c>
      <c r="C34" s="3" t="inlineStr">
        <is>
          <t>每件必得区间</t>
        </is>
      </c>
      <c r="D34" s="3" t="inlineStr">
        <is>
          <t>xi</t>
        </is>
      </c>
      <c r="E34" s="3" t="inlineStr">
        <is>
          <t>锡</t>
        </is>
      </c>
      <c r="F34" s="3" t="n">
        <v>4</v>
      </c>
      <c r="G34" s="3" t="n">
        <v>8</v>
      </c>
      <c r="H34" s="7" t="n"/>
      <c r="I34" s="3" t="inlineStr">
        <is>
          <t>data/forge_decompose.yaml:base_materials.purple.xi</t>
        </is>
      </c>
    </row>
    <row r="35">
      <c r="A35" s="3" t="inlineStr">
        <is>
          <t>purple</t>
        </is>
      </c>
      <c r="B35" s="3" t="inlineStr">
        <is>
          <t>史诗/紫</t>
        </is>
      </c>
      <c r="C35" s="3" t="inlineStr">
        <is>
          <t>每件必得区间</t>
        </is>
      </c>
      <c r="D35" s="3" t="inlineStr">
        <is>
          <t>tie</t>
        </is>
      </c>
      <c r="E35" s="3" t="inlineStr">
        <is>
          <t>铁</t>
        </is>
      </c>
      <c r="F35" s="3" t="n">
        <v>2</v>
      </c>
      <c r="G35" s="3" t="n">
        <v>5</v>
      </c>
      <c r="H35" s="7" t="n"/>
      <c r="I35" s="3" t="inlineStr">
        <is>
          <t>data/forge_decompose.yaml:base_materials.purple.tie</t>
        </is>
      </c>
    </row>
    <row r="36">
      <c r="A36" s="3" t="inlineStr">
        <is>
          <t>purple</t>
        </is>
      </c>
      <c r="B36" s="3" t="inlineStr">
        <is>
          <t>史诗/紫</t>
        </is>
      </c>
      <c r="C36" s="3" t="inlineStr">
        <is>
          <t>概率奖励</t>
        </is>
      </c>
      <c r="D36" s="3" t="inlineStr">
        <is>
          <t>wood_essence</t>
        </is>
      </c>
      <c r="E36" s="3" t="inlineStr">
        <is>
          <t>木质精华</t>
        </is>
      </c>
      <c r="F36" s="3" t="n"/>
      <c r="G36" s="3" t="n"/>
      <c r="H36" s="7" t="n">
        <v>0.88</v>
      </c>
      <c r="I36" s="3" t="inlineStr">
        <is>
          <t>data/forge_decompose.yaml:chance_rewards.purple.wood_essence</t>
        </is>
      </c>
    </row>
    <row r="37">
      <c r="A37" s="3" t="inlineStr">
        <is>
          <t>purple</t>
        </is>
      </c>
      <c r="B37" s="3" t="inlineStr">
        <is>
          <t>史诗/紫</t>
        </is>
      </c>
      <c r="C37" s="3" t="inlineStr">
        <is>
          <t>概率奖励</t>
        </is>
      </c>
      <c r="D37" s="3" t="inlineStr">
        <is>
          <t>copper_essence</t>
        </is>
      </c>
      <c r="E37" s="3" t="inlineStr">
        <is>
          <t>铜质精华</t>
        </is>
      </c>
      <c r="F37" s="3" t="n"/>
      <c r="G37" s="3" t="n"/>
      <c r="H37" s="7" t="n">
        <v>0.88</v>
      </c>
      <c r="I37" s="3" t="inlineStr">
        <is>
          <t>data/forge_decompose.yaml:chance_rewards.purple.copper_essence</t>
        </is>
      </c>
    </row>
    <row r="38">
      <c r="A38" s="3" t="inlineStr">
        <is>
          <t>purple</t>
        </is>
      </c>
      <c r="B38" s="3" t="inlineStr">
        <is>
          <t>史诗/紫</t>
        </is>
      </c>
      <c r="C38" s="3" t="inlineStr">
        <is>
          <t>概率奖励</t>
        </is>
      </c>
      <c r="D38" s="3" t="inlineStr">
        <is>
          <t>xuan_tie_essence</t>
        </is>
      </c>
      <c r="E38" s="3" t="inlineStr">
        <is>
          <t>玄铁精华</t>
        </is>
      </c>
      <c r="F38" s="3" t="n"/>
      <c r="G38" s="3" t="n"/>
      <c r="H38" s="7" t="n">
        <v>0.4</v>
      </c>
      <c r="I38" s="3" t="inlineStr">
        <is>
          <t>data/forge_decompose.yaml:chance_rewards.purple.xuan_tie_essence</t>
        </is>
      </c>
    </row>
    <row r="39">
      <c r="A39" s="3" t="inlineStr">
        <is>
          <t>purple</t>
        </is>
      </c>
      <c r="B39" s="3" t="inlineStr">
        <is>
          <t>史诗/紫</t>
        </is>
      </c>
      <c r="C39" s="3" t="inlineStr">
        <is>
          <t>概率奖励</t>
        </is>
      </c>
      <c r="D39" s="3" t="inlineStr">
        <is>
          <t>air_stone</t>
        </is>
      </c>
      <c r="E39" s="3" t="inlineStr">
        <is>
          <t>空气之石</t>
        </is>
      </c>
      <c r="F39" s="3" t="n"/>
      <c r="G39" s="3" t="n"/>
      <c r="H39" s="7" t="n">
        <v>0.22</v>
      </c>
      <c r="I39" s="3" t="inlineStr">
        <is>
          <t>data/forge_decompose.yaml:chance_rewards.purple.air_stone</t>
        </is>
      </c>
    </row>
    <row r="40">
      <c r="A40" s="3" t="inlineStr">
        <is>
          <t>purple</t>
        </is>
      </c>
      <c r="B40" s="3" t="inlineStr">
        <is>
          <t>史诗/紫</t>
        </is>
      </c>
      <c r="C40" s="3" t="inlineStr">
        <is>
          <t>概率奖励</t>
        </is>
      </c>
      <c r="D40" s="3" t="inlineStr">
        <is>
          <t>fire_stone</t>
        </is>
      </c>
      <c r="E40" s="3" t="inlineStr">
        <is>
          <t>火焰之石</t>
        </is>
      </c>
      <c r="F40" s="3" t="n"/>
      <c r="G40" s="3" t="n"/>
      <c r="H40" s="7" t="n">
        <v>0.22</v>
      </c>
      <c r="I40" s="3" t="inlineStr">
        <is>
          <t>data/forge_decompose.yaml:chance_rewards.purple.fire_stone</t>
        </is>
      </c>
    </row>
    <row r="41">
      <c r="A41" s="3" t="inlineStr">
        <is>
          <t>purple</t>
        </is>
      </c>
      <c r="B41" s="3" t="inlineStr">
        <is>
          <t>史诗/紫</t>
        </is>
      </c>
      <c r="C41" s="3" t="inlineStr">
        <is>
          <t>概率奖励</t>
        </is>
      </c>
      <c r="D41" s="3" t="inlineStr">
        <is>
          <t>earth_stone</t>
        </is>
      </c>
      <c r="E41" s="3" t="inlineStr">
        <is>
          <t>大地之石</t>
        </is>
      </c>
      <c r="F41" s="3" t="n"/>
      <c r="G41" s="3" t="n"/>
      <c r="H41" s="7" t="n">
        <v>0.22</v>
      </c>
      <c r="I41" s="3" t="inlineStr">
        <is>
          <t>data/forge_decompose.yaml:chance_rewards.purple.earth_stone</t>
        </is>
      </c>
    </row>
    <row r="42">
      <c r="A42" s="3" t="inlineStr">
        <is>
          <t>purple</t>
        </is>
      </c>
      <c r="B42" s="3" t="inlineStr">
        <is>
          <t>史诗/紫</t>
        </is>
      </c>
      <c r="C42" s="3" t="inlineStr">
        <is>
          <t>概率奖励</t>
        </is>
      </c>
      <c r="D42" s="3" t="inlineStr">
        <is>
          <t>water_stone</t>
        </is>
      </c>
      <c r="E42" s="3" t="inlineStr">
        <is>
          <t>纯水之石</t>
        </is>
      </c>
      <c r="F42" s="3" t="n"/>
      <c r="G42" s="3" t="n"/>
      <c r="H42" s="7" t="n">
        <v>0.22</v>
      </c>
      <c r="I42" s="3" t="inlineStr">
        <is>
          <t>data/forge_decompose.yaml:chance_rewards.purple.water_stone</t>
        </is>
      </c>
    </row>
    <row r="43">
      <c r="A43" s="3" t="inlineStr">
        <is>
          <t>purple</t>
        </is>
      </c>
      <c r="B43" s="3" t="inlineStr">
        <is>
          <t>史诗/紫</t>
        </is>
      </c>
      <c r="C43" s="3" t="inlineStr">
        <is>
          <t>概率奖励</t>
        </is>
      </c>
      <c r="D43" s="3" t="inlineStr">
        <is>
          <t>shuiqumu</t>
        </is>
      </c>
      <c r="E43" s="3" t="inlineStr">
        <is>
          <t>水曲木</t>
        </is>
      </c>
      <c r="F43" s="3" t="n"/>
      <c r="G43" s="3" t="n"/>
      <c r="H43" s="7" t="n">
        <v>0.5</v>
      </c>
      <c r="I43" s="3" t="inlineStr">
        <is>
          <t>data/forge_decompose.yaml:chance_rewards.purple.shuiqumu</t>
        </is>
      </c>
    </row>
    <row r="44">
      <c r="A44" s="3" t="inlineStr">
        <is>
          <t>purple</t>
        </is>
      </c>
      <c r="B44" s="3" t="inlineStr">
        <is>
          <t>史诗/紫</t>
        </is>
      </c>
      <c r="C44" s="3" t="inlineStr">
        <is>
          <t>概率奖励</t>
        </is>
      </c>
      <c r="D44" s="3" t="inlineStr">
        <is>
          <t>paozi</t>
        </is>
      </c>
      <c r="E44" s="3" t="inlineStr">
        <is>
          <t>刨子</t>
        </is>
      </c>
      <c r="F44" s="3" t="n"/>
      <c r="G44" s="3" t="n"/>
      <c r="H44" s="7" t="n">
        <v>0.3</v>
      </c>
      <c r="I44" s="3" t="inlineStr">
        <is>
          <t>data/forge_decompose.yaml:chance_rewards.purple.paozi</t>
        </is>
      </c>
    </row>
    <row r="45">
      <c r="A45" s="3" t="inlineStr">
        <is>
          <t>purple</t>
        </is>
      </c>
      <c r="B45" s="3" t="inlineStr">
        <is>
          <t>史诗/紫</t>
        </is>
      </c>
      <c r="C45" s="3" t="inlineStr">
        <is>
          <t>概率奖励</t>
        </is>
      </c>
      <c r="D45" s="3" t="inlineStr">
        <is>
          <t>zaozi</t>
        </is>
      </c>
      <c r="E45" s="3" t="inlineStr">
        <is>
          <t>凿子</t>
        </is>
      </c>
      <c r="F45" s="3" t="n"/>
      <c r="G45" s="3" t="n"/>
      <c r="H45" s="7" t="n">
        <v>0.3</v>
      </c>
      <c r="I45" s="3" t="inlineStr">
        <is>
          <t>data/forge_decompose.yaml:chance_rewards.purple.zaozi</t>
        </is>
      </c>
    </row>
    <row r="46">
      <c r="A46" s="3" t="inlineStr">
        <is>
          <t>purple</t>
        </is>
      </c>
      <c r="B46" s="3" t="inlineStr">
        <is>
          <t>史诗/紫</t>
        </is>
      </c>
      <c r="C46" s="3" t="inlineStr">
        <is>
          <t>概率奖励</t>
        </is>
      </c>
      <c r="D46" s="3" t="inlineStr">
        <is>
          <t>tiemu</t>
        </is>
      </c>
      <c r="E46" s="3" t="inlineStr">
        <is>
          <t>铁木</t>
        </is>
      </c>
      <c r="F46" s="3" t="n"/>
      <c r="G46" s="3" t="n"/>
      <c r="H46" s="7" t="n">
        <v>0.24</v>
      </c>
      <c r="I46" s="3" t="inlineStr">
        <is>
          <t>data/forge_decompose.yaml:chance_rewards.purple.tiemu</t>
        </is>
      </c>
    </row>
    <row r="47">
      <c r="A47" s="3" t="inlineStr">
        <is>
          <t>purple</t>
        </is>
      </c>
      <c r="B47" s="3" t="inlineStr">
        <is>
          <t>史诗/紫</t>
        </is>
      </c>
      <c r="C47" s="3" t="inlineStr">
        <is>
          <t>概率奖励</t>
        </is>
      </c>
      <c r="D47" s="3" t="inlineStr">
        <is>
          <t>zitanmu</t>
        </is>
      </c>
      <c r="E47" s="3" t="inlineStr">
        <is>
          <t>紫檀木</t>
        </is>
      </c>
      <c r="F47" s="3" t="n"/>
      <c r="G47" s="3" t="n"/>
      <c r="H47" s="7" t="n">
        <v>0.22</v>
      </c>
      <c r="I47" s="3" t="inlineStr">
        <is>
          <t>data/forge_decompose.yaml:chance_rewards.purple.zitanmu</t>
        </is>
      </c>
    </row>
    <row r="48">
      <c r="A48" s="3" t="inlineStr">
        <is>
          <t>purple</t>
        </is>
      </c>
      <c r="B48" s="3" t="inlineStr">
        <is>
          <t>史诗/紫</t>
        </is>
      </c>
      <c r="C48" s="3" t="inlineStr">
        <is>
          <t>概率奖励</t>
        </is>
      </c>
      <c r="D48" s="3" t="inlineStr">
        <is>
          <t>heiyuanshi</t>
        </is>
      </c>
      <c r="E48" s="3" t="inlineStr">
        <is>
          <t>黑原石</t>
        </is>
      </c>
      <c r="F48" s="3" t="n"/>
      <c r="G48" s="3" t="n"/>
      <c r="H48" s="7" t="n">
        <v>0.26</v>
      </c>
      <c r="I48" s="3" t="inlineStr">
        <is>
          <t>data/forge_decompose.yaml:chance_rewards.purple.heiyuanshi</t>
        </is>
      </c>
    </row>
    <row r="49">
      <c r="A49" s="3" t="inlineStr">
        <is>
          <t>purple</t>
        </is>
      </c>
      <c r="B49" s="3" t="inlineStr">
        <is>
          <t>史诗/紫</t>
        </is>
      </c>
      <c r="C49" s="3" t="inlineStr">
        <is>
          <t>概率奖励</t>
        </is>
      </c>
      <c r="D49" s="3" t="inlineStr">
        <is>
          <t>jingangmei</t>
        </is>
      </c>
      <c r="E49" s="3" t="inlineStr">
        <is>
          <t>金刚煤</t>
        </is>
      </c>
      <c r="F49" s="3" t="n"/>
      <c r="G49" s="3" t="n"/>
      <c r="H49" s="7" t="n">
        <v>0.2</v>
      </c>
      <c r="I49" s="3" t="inlineStr">
        <is>
          <t>data/forge_decompose.yaml:chance_rewards.purple.jingangmei</t>
        </is>
      </c>
    </row>
    <row r="50">
      <c r="A50" s="3" t="inlineStr">
        <is>
          <t>purple</t>
        </is>
      </c>
      <c r="B50" s="3" t="inlineStr">
        <is>
          <t>史诗/紫</t>
        </is>
      </c>
      <c r="C50" s="3" t="inlineStr">
        <is>
          <t>概率奖励</t>
        </is>
      </c>
      <c r="D50" s="3" t="inlineStr">
        <is>
          <t>gaolu</t>
        </is>
      </c>
      <c r="E50" s="3" t="inlineStr">
        <is>
          <t>高炉</t>
        </is>
      </c>
      <c r="F50" s="3" t="n"/>
      <c r="G50" s="3" t="n"/>
      <c r="H50" s="7" t="n">
        <v>0.1</v>
      </c>
      <c r="I50" s="3" t="inlineStr">
        <is>
          <t>data/forge_decompose.yaml:chance_rewards.purple.gaolu</t>
        </is>
      </c>
    </row>
    <row r="51">
      <c r="A51" s="3" t="inlineStr">
        <is>
          <t>orange</t>
        </is>
      </c>
      <c r="B51" s="3" t="inlineStr">
        <is>
          <t>传说/橙</t>
        </is>
      </c>
      <c r="C51" s="3" t="inlineStr">
        <is>
          <t>每件必得区间</t>
        </is>
      </c>
      <c r="D51" s="3" t="inlineStr">
        <is>
          <t>tong</t>
        </is>
      </c>
      <c r="E51" s="3" t="inlineStr">
        <is>
          <t>铜</t>
        </is>
      </c>
      <c r="F51" s="3" t="n">
        <v>8</v>
      </c>
      <c r="G51" s="3" t="n">
        <v>16</v>
      </c>
      <c r="H51" s="7" t="n"/>
      <c r="I51" s="3" t="inlineStr">
        <is>
          <t>data/forge_decompose.yaml:base_materials.orange.tong</t>
        </is>
      </c>
    </row>
    <row r="52">
      <c r="A52" s="3" t="inlineStr">
        <is>
          <t>orange</t>
        </is>
      </c>
      <c r="B52" s="3" t="inlineStr">
        <is>
          <t>传说/橙</t>
        </is>
      </c>
      <c r="C52" s="3" t="inlineStr">
        <is>
          <t>每件必得区间</t>
        </is>
      </c>
      <c r="D52" s="3" t="inlineStr">
        <is>
          <t>xi</t>
        </is>
      </c>
      <c r="E52" s="3" t="inlineStr">
        <is>
          <t>锡</t>
        </is>
      </c>
      <c r="F52" s="3" t="n">
        <v>5</v>
      </c>
      <c r="G52" s="3" t="n">
        <v>10</v>
      </c>
      <c r="H52" s="7" t="n"/>
      <c r="I52" s="3" t="inlineStr">
        <is>
          <t>data/forge_decompose.yaml:base_materials.orange.xi</t>
        </is>
      </c>
    </row>
    <row r="53">
      <c r="A53" s="3" t="inlineStr">
        <is>
          <t>orange</t>
        </is>
      </c>
      <c r="B53" s="3" t="inlineStr">
        <is>
          <t>传说/橙</t>
        </is>
      </c>
      <c r="C53" s="3" t="inlineStr">
        <is>
          <t>每件必得区间</t>
        </is>
      </c>
      <c r="D53" s="3" t="inlineStr">
        <is>
          <t>tie</t>
        </is>
      </c>
      <c r="E53" s="3" t="inlineStr">
        <is>
          <t>铁</t>
        </is>
      </c>
      <c r="F53" s="3" t="n">
        <v>3</v>
      </c>
      <c r="G53" s="3" t="n">
        <v>7</v>
      </c>
      <c r="H53" s="7" t="n"/>
      <c r="I53" s="3" t="inlineStr">
        <is>
          <t>data/forge_decompose.yaml:base_materials.orange.tie</t>
        </is>
      </c>
    </row>
    <row r="54">
      <c r="A54" s="3" t="inlineStr">
        <is>
          <t>orange</t>
        </is>
      </c>
      <c r="B54" s="3" t="inlineStr">
        <is>
          <t>传说/橙</t>
        </is>
      </c>
      <c r="C54" s="3" t="inlineStr">
        <is>
          <t>概率奖励</t>
        </is>
      </c>
      <c r="D54" s="3" t="inlineStr">
        <is>
          <t>wood_essence</t>
        </is>
      </c>
      <c r="E54" s="3" t="inlineStr">
        <is>
          <t>木质精华</t>
        </is>
      </c>
      <c r="F54" s="3" t="n"/>
      <c r="G54" s="3" t="n"/>
      <c r="H54" s="7" t="n">
        <v>0.95</v>
      </c>
      <c r="I54" s="3" t="inlineStr">
        <is>
          <t>data/forge_decompose.yaml:chance_rewards.orange.wood_essence</t>
        </is>
      </c>
    </row>
    <row r="55">
      <c r="A55" s="3" t="inlineStr">
        <is>
          <t>orange</t>
        </is>
      </c>
      <c r="B55" s="3" t="inlineStr">
        <is>
          <t>传说/橙</t>
        </is>
      </c>
      <c r="C55" s="3" t="inlineStr">
        <is>
          <t>概率奖励</t>
        </is>
      </c>
      <c r="D55" s="3" t="inlineStr">
        <is>
          <t>copper_essence</t>
        </is>
      </c>
      <c r="E55" s="3" t="inlineStr">
        <is>
          <t>铜质精华</t>
        </is>
      </c>
      <c r="F55" s="3" t="n"/>
      <c r="G55" s="3" t="n"/>
      <c r="H55" s="7" t="n">
        <v>0.95</v>
      </c>
      <c r="I55" s="3" t="inlineStr">
        <is>
          <t>data/forge_decompose.yaml:chance_rewards.orange.copper_essence</t>
        </is>
      </c>
    </row>
    <row r="56">
      <c r="A56" s="3" t="inlineStr">
        <is>
          <t>orange</t>
        </is>
      </c>
      <c r="B56" s="3" t="inlineStr">
        <is>
          <t>传说/橙</t>
        </is>
      </c>
      <c r="C56" s="3" t="inlineStr">
        <is>
          <t>概率奖励</t>
        </is>
      </c>
      <c r="D56" s="3" t="inlineStr">
        <is>
          <t>xuan_tie_essence</t>
        </is>
      </c>
      <c r="E56" s="3" t="inlineStr">
        <is>
          <t>玄铁精华</t>
        </is>
      </c>
      <c r="F56" s="3" t="n"/>
      <c r="G56" s="3" t="n"/>
      <c r="H56" s="7" t="n">
        <v>0.5</v>
      </c>
      <c r="I56" s="3" t="inlineStr">
        <is>
          <t>data/forge_decompose.yaml:chance_rewards.orange.xuan_tie_essence</t>
        </is>
      </c>
    </row>
    <row r="57">
      <c r="A57" s="3" t="inlineStr">
        <is>
          <t>orange</t>
        </is>
      </c>
      <c r="B57" s="3" t="inlineStr">
        <is>
          <t>传说/橙</t>
        </is>
      </c>
      <c r="C57" s="3" t="inlineStr">
        <is>
          <t>概率奖励</t>
        </is>
      </c>
      <c r="D57" s="3" t="inlineStr">
        <is>
          <t>air_stone</t>
        </is>
      </c>
      <c r="E57" s="3" t="inlineStr">
        <is>
          <t>空气之石</t>
        </is>
      </c>
      <c r="F57" s="3" t="n"/>
      <c r="G57" s="3" t="n"/>
      <c r="H57" s="7" t="n">
        <v>0.35</v>
      </c>
      <c r="I57" s="3" t="inlineStr">
        <is>
          <t>data/forge_decompose.yaml:chance_rewards.orange.air_stone</t>
        </is>
      </c>
    </row>
    <row r="58">
      <c r="A58" s="3" t="inlineStr">
        <is>
          <t>orange</t>
        </is>
      </c>
      <c r="B58" s="3" t="inlineStr">
        <is>
          <t>传说/橙</t>
        </is>
      </c>
      <c r="C58" s="3" t="inlineStr">
        <is>
          <t>概率奖励</t>
        </is>
      </c>
      <c r="D58" s="3" t="inlineStr">
        <is>
          <t>fire_stone</t>
        </is>
      </c>
      <c r="E58" s="3" t="inlineStr">
        <is>
          <t>火焰之石</t>
        </is>
      </c>
      <c r="F58" s="3" t="n"/>
      <c r="G58" s="3" t="n"/>
      <c r="H58" s="7" t="n">
        <v>0.35</v>
      </c>
      <c r="I58" s="3" t="inlineStr">
        <is>
          <t>data/forge_decompose.yaml:chance_rewards.orange.fire_stone</t>
        </is>
      </c>
    </row>
    <row r="59">
      <c r="A59" s="3" t="inlineStr">
        <is>
          <t>orange</t>
        </is>
      </c>
      <c r="B59" s="3" t="inlineStr">
        <is>
          <t>传说/橙</t>
        </is>
      </c>
      <c r="C59" s="3" t="inlineStr">
        <is>
          <t>概率奖励</t>
        </is>
      </c>
      <c r="D59" s="3" t="inlineStr">
        <is>
          <t>earth_stone</t>
        </is>
      </c>
      <c r="E59" s="3" t="inlineStr">
        <is>
          <t>大地之石</t>
        </is>
      </c>
      <c r="F59" s="3" t="n"/>
      <c r="G59" s="3" t="n"/>
      <c r="H59" s="7" t="n">
        <v>0.35</v>
      </c>
      <c r="I59" s="3" t="inlineStr">
        <is>
          <t>data/forge_decompose.yaml:chance_rewards.orange.earth_stone</t>
        </is>
      </c>
    </row>
    <row r="60">
      <c r="A60" s="3" t="inlineStr">
        <is>
          <t>orange</t>
        </is>
      </c>
      <c r="B60" s="3" t="inlineStr">
        <is>
          <t>传说/橙</t>
        </is>
      </c>
      <c r="C60" s="3" t="inlineStr">
        <is>
          <t>概率奖励</t>
        </is>
      </c>
      <c r="D60" s="3" t="inlineStr">
        <is>
          <t>water_stone</t>
        </is>
      </c>
      <c r="E60" s="3" t="inlineStr">
        <is>
          <t>纯水之石</t>
        </is>
      </c>
      <c r="F60" s="3" t="n"/>
      <c r="G60" s="3" t="n"/>
      <c r="H60" s="7" t="n">
        <v>0.35</v>
      </c>
      <c r="I60" s="3" t="inlineStr">
        <is>
          <t>data/forge_decompose.yaml:chance_rewards.orange.water_stone</t>
        </is>
      </c>
    </row>
    <row r="61">
      <c r="A61" s="3" t="inlineStr">
        <is>
          <t>orange</t>
        </is>
      </c>
      <c r="B61" s="3" t="inlineStr">
        <is>
          <t>传说/橙</t>
        </is>
      </c>
      <c r="C61" s="3" t="inlineStr">
        <is>
          <t>概率奖励</t>
        </is>
      </c>
      <c r="D61" s="3" t="inlineStr">
        <is>
          <t>shuiqumu</t>
        </is>
      </c>
      <c r="E61" s="3" t="inlineStr">
        <is>
          <t>水曲木</t>
        </is>
      </c>
      <c r="F61" s="3" t="n"/>
      <c r="G61" s="3" t="n"/>
      <c r="H61" s="7" t="n">
        <v>0.65</v>
      </c>
      <c r="I61" s="3" t="inlineStr">
        <is>
          <t>data/forge_decompose.yaml:chance_rewards.orange.shuiqumu</t>
        </is>
      </c>
    </row>
    <row r="62">
      <c r="A62" s="3" t="inlineStr">
        <is>
          <t>orange</t>
        </is>
      </c>
      <c r="B62" s="3" t="inlineStr">
        <is>
          <t>传说/橙</t>
        </is>
      </c>
      <c r="C62" s="3" t="inlineStr">
        <is>
          <t>概率奖励</t>
        </is>
      </c>
      <c r="D62" s="3" t="inlineStr">
        <is>
          <t>paozi</t>
        </is>
      </c>
      <c r="E62" s="3" t="inlineStr">
        <is>
          <t>刨子</t>
        </is>
      </c>
      <c r="F62" s="3" t="n"/>
      <c r="G62" s="3" t="n"/>
      <c r="H62" s="7" t="n">
        <v>0.42</v>
      </c>
      <c r="I62" s="3" t="inlineStr">
        <is>
          <t>data/forge_decompose.yaml:chance_rewards.orange.paozi</t>
        </is>
      </c>
    </row>
    <row r="63">
      <c r="A63" s="3" t="inlineStr">
        <is>
          <t>orange</t>
        </is>
      </c>
      <c r="B63" s="3" t="inlineStr">
        <is>
          <t>传说/橙</t>
        </is>
      </c>
      <c r="C63" s="3" t="inlineStr">
        <is>
          <t>概率奖励</t>
        </is>
      </c>
      <c r="D63" s="3" t="inlineStr">
        <is>
          <t>zaozi</t>
        </is>
      </c>
      <c r="E63" s="3" t="inlineStr">
        <is>
          <t>凿子</t>
        </is>
      </c>
      <c r="F63" s="3" t="n"/>
      <c r="G63" s="3" t="n"/>
      <c r="H63" s="7" t="n">
        <v>0.42</v>
      </c>
      <c r="I63" s="3" t="inlineStr">
        <is>
          <t>data/forge_decompose.yaml:chance_rewards.orange.zaozi</t>
        </is>
      </c>
    </row>
    <row r="64">
      <c r="A64" s="3" t="inlineStr">
        <is>
          <t>orange</t>
        </is>
      </c>
      <c r="B64" s="3" t="inlineStr">
        <is>
          <t>传说/橙</t>
        </is>
      </c>
      <c r="C64" s="3" t="inlineStr">
        <is>
          <t>概率奖励</t>
        </is>
      </c>
      <c r="D64" s="3" t="inlineStr">
        <is>
          <t>tiemu</t>
        </is>
      </c>
      <c r="E64" s="3" t="inlineStr">
        <is>
          <t>铁木</t>
        </is>
      </c>
      <c r="F64" s="3" t="n"/>
      <c r="G64" s="3" t="n"/>
      <c r="H64" s="7" t="n">
        <v>0.36</v>
      </c>
      <c r="I64" s="3" t="inlineStr">
        <is>
          <t>data/forge_decompose.yaml:chance_rewards.orange.tiemu</t>
        </is>
      </c>
    </row>
    <row r="65">
      <c r="A65" s="3" t="inlineStr">
        <is>
          <t>orange</t>
        </is>
      </c>
      <c r="B65" s="3" t="inlineStr">
        <is>
          <t>传说/橙</t>
        </is>
      </c>
      <c r="C65" s="3" t="inlineStr">
        <is>
          <t>概率奖励</t>
        </is>
      </c>
      <c r="D65" s="3" t="inlineStr">
        <is>
          <t>zitanmu</t>
        </is>
      </c>
      <c r="E65" s="3" t="inlineStr">
        <is>
          <t>紫檀木</t>
        </is>
      </c>
      <c r="F65" s="3" t="n"/>
      <c r="G65" s="3" t="n"/>
      <c r="H65" s="7" t="n">
        <v>0.34</v>
      </c>
      <c r="I65" s="3" t="inlineStr">
        <is>
          <t>data/forge_decompose.yaml:chance_rewards.orange.zitanmu</t>
        </is>
      </c>
    </row>
    <row r="66">
      <c r="A66" s="3" t="inlineStr">
        <is>
          <t>orange</t>
        </is>
      </c>
      <c r="B66" s="3" t="inlineStr">
        <is>
          <t>传说/橙</t>
        </is>
      </c>
      <c r="C66" s="3" t="inlineStr">
        <is>
          <t>概率奖励</t>
        </is>
      </c>
      <c r="D66" s="3" t="inlineStr">
        <is>
          <t>heiyuanshi</t>
        </is>
      </c>
      <c r="E66" s="3" t="inlineStr">
        <is>
          <t>黑原石</t>
        </is>
      </c>
      <c r="F66" s="3" t="n"/>
      <c r="G66" s="3" t="n"/>
      <c r="H66" s="7" t="n">
        <v>0.4</v>
      </c>
      <c r="I66" s="3" t="inlineStr">
        <is>
          <t>data/forge_decompose.yaml:chance_rewards.orange.heiyuanshi</t>
        </is>
      </c>
    </row>
    <row r="67">
      <c r="A67" s="3" t="inlineStr">
        <is>
          <t>orange</t>
        </is>
      </c>
      <c r="B67" s="3" t="inlineStr">
        <is>
          <t>传说/橙</t>
        </is>
      </c>
      <c r="C67" s="3" t="inlineStr">
        <is>
          <t>概率奖励</t>
        </is>
      </c>
      <c r="D67" s="3" t="inlineStr">
        <is>
          <t>jingangmei</t>
        </is>
      </c>
      <c r="E67" s="3" t="inlineStr">
        <is>
          <t>金刚煤</t>
        </is>
      </c>
      <c r="F67" s="3" t="n"/>
      <c r="G67" s="3" t="n"/>
      <c r="H67" s="7" t="n">
        <v>0.32</v>
      </c>
      <c r="I67" s="3" t="inlineStr">
        <is>
          <t>data/forge_decompose.yaml:chance_rewards.orange.jingangmei</t>
        </is>
      </c>
    </row>
    <row r="68">
      <c r="A68" s="3" t="inlineStr">
        <is>
          <t>orange</t>
        </is>
      </c>
      <c r="B68" s="3" t="inlineStr">
        <is>
          <t>传说/橙</t>
        </is>
      </c>
      <c r="C68" s="3" t="inlineStr">
        <is>
          <t>概率奖励</t>
        </is>
      </c>
      <c r="D68" s="3" t="inlineStr">
        <is>
          <t>gaolu</t>
        </is>
      </c>
      <c r="E68" s="3" t="inlineStr">
        <is>
          <t>高炉</t>
        </is>
      </c>
      <c r="F68" s="3" t="n"/>
      <c r="G68" s="3" t="n"/>
      <c r="H68" s="7" t="n">
        <v>0.2</v>
      </c>
      <c r="I68" s="3" t="inlineStr">
        <is>
          <t>data/forge_decompose.yaml:chance_rewards.orange.gaolu</t>
        </is>
      </c>
    </row>
  </sheetData>
  <autoFilter ref="A1:I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</cols>
  <sheetData>
    <row r="1" ht="30" customHeight="1">
      <c r="A1" s="1" t="inlineStr">
        <is>
          <t>装备类型</t>
        </is>
      </c>
      <c r="B1" s="1" t="inlineStr">
        <is>
          <t>稀有度</t>
        </is>
      </c>
      <c r="C1" s="1" t="inlineStr">
        <is>
          <t>装备数量</t>
        </is>
      </c>
      <c r="D1" s="1" t="inlineStr">
        <is>
          <t>稀有度代码</t>
        </is>
      </c>
    </row>
    <row r="2">
      <c r="A2" s="3" t="inlineStr">
        <is>
          <t>头盔</t>
        </is>
      </c>
      <c r="B2" s="3" t="inlineStr">
        <is>
          <t>普通/白</t>
        </is>
      </c>
      <c r="C2" s="8">
        <f>COUNTIFS(装备总表!$R$2:$R$266,A2,装备总表!$P$2:$P$266,D2)</f>
        <v>4</v>
      </c>
      <c r="D2" s="3" t="inlineStr">
        <is>
          <t>black</t>
        </is>
      </c>
    </row>
    <row r="3">
      <c r="A3" s="3" t="inlineStr">
        <is>
          <t>头盔</t>
        </is>
      </c>
      <c r="B3" s="3" t="inlineStr">
        <is>
          <t>优秀/绿</t>
        </is>
      </c>
      <c r="C3" s="8">
        <f>COUNTIFS(装备总表!$R$2:$R$266,A3,装备总表!$P$2:$P$266,D3)</f>
        <v>8</v>
      </c>
      <c r="D3" s="3" t="inlineStr">
        <is>
          <t>green</t>
        </is>
      </c>
    </row>
    <row r="4">
      <c r="A4" s="3" t="inlineStr">
        <is>
          <t>头盔</t>
        </is>
      </c>
      <c r="B4" s="3" t="inlineStr">
        <is>
          <t>稀有/蓝</t>
        </is>
      </c>
      <c r="C4" s="8">
        <f>COUNTIFS(装备总表!$R$2:$R$266,A4,装备总表!$P$2:$P$266,D4)</f>
        <v>9</v>
      </c>
      <c r="D4" s="3" t="inlineStr">
        <is>
          <t>blue</t>
        </is>
      </c>
    </row>
    <row r="5">
      <c r="A5" s="3" t="inlineStr">
        <is>
          <t>头盔</t>
        </is>
      </c>
      <c r="B5" s="3" t="inlineStr">
        <is>
          <t>史诗/紫</t>
        </is>
      </c>
      <c r="C5" s="8">
        <f>COUNTIFS(装备总表!$R$2:$R$266,A5,装备总表!$P$2:$P$266,D5)</f>
        <v>6</v>
      </c>
      <c r="D5" s="3" t="inlineStr">
        <is>
          <t>purple</t>
        </is>
      </c>
    </row>
    <row r="6">
      <c r="A6" s="3" t="inlineStr">
        <is>
          <t>头盔</t>
        </is>
      </c>
      <c r="B6" s="3" t="inlineStr">
        <is>
          <t>传说/橙</t>
        </is>
      </c>
      <c r="C6" s="8">
        <f>COUNTIFS(装备总表!$R$2:$R$266,A6,装备总表!$P$2:$P$266,D6)</f>
        <v>3</v>
      </c>
      <c r="D6" s="3" t="inlineStr">
        <is>
          <t>orange</t>
        </is>
      </c>
    </row>
    <row r="7">
      <c r="A7" s="3" t="inlineStr">
        <is>
          <t>护甲</t>
        </is>
      </c>
      <c r="B7" s="3" t="inlineStr">
        <is>
          <t>普通/白</t>
        </is>
      </c>
      <c r="C7" s="8">
        <f>COUNTIFS(装备总表!$R$2:$R$266,A7,装备总表!$P$2:$P$266,D7)</f>
        <v>4</v>
      </c>
      <c r="D7" s="3" t="inlineStr">
        <is>
          <t>black</t>
        </is>
      </c>
    </row>
    <row r="8">
      <c r="A8" s="3" t="inlineStr">
        <is>
          <t>护甲</t>
        </is>
      </c>
      <c r="B8" s="3" t="inlineStr">
        <is>
          <t>优秀/绿</t>
        </is>
      </c>
      <c r="C8" s="8">
        <f>COUNTIFS(装备总表!$R$2:$R$266,A8,装备总表!$P$2:$P$266,D8)</f>
        <v>8</v>
      </c>
      <c r="D8" s="3" t="inlineStr">
        <is>
          <t>green</t>
        </is>
      </c>
    </row>
    <row r="9">
      <c r="A9" s="3" t="inlineStr">
        <is>
          <t>护甲</t>
        </is>
      </c>
      <c r="B9" s="3" t="inlineStr">
        <is>
          <t>稀有/蓝</t>
        </is>
      </c>
      <c r="C9" s="8">
        <f>COUNTIFS(装备总表!$R$2:$R$266,A9,装备总表!$P$2:$P$266,D9)</f>
        <v>8</v>
      </c>
      <c r="D9" s="3" t="inlineStr">
        <is>
          <t>blue</t>
        </is>
      </c>
    </row>
    <row r="10">
      <c r="A10" s="3" t="inlineStr">
        <is>
          <t>护甲</t>
        </is>
      </c>
      <c r="B10" s="3" t="inlineStr">
        <is>
          <t>史诗/紫</t>
        </is>
      </c>
      <c r="C10" s="8">
        <f>COUNTIFS(装备总表!$R$2:$R$266,A10,装备总表!$P$2:$P$266,D10)</f>
        <v>6</v>
      </c>
      <c r="D10" s="3" t="inlineStr">
        <is>
          <t>purple</t>
        </is>
      </c>
    </row>
    <row r="11">
      <c r="A11" s="3" t="inlineStr">
        <is>
          <t>护甲</t>
        </is>
      </c>
      <c r="B11" s="3" t="inlineStr">
        <is>
          <t>传说/橙</t>
        </is>
      </c>
      <c r="C11" s="8">
        <f>COUNTIFS(装备总表!$R$2:$R$266,A11,装备总表!$P$2:$P$266,D11)</f>
        <v>4</v>
      </c>
      <c r="D11" s="3" t="inlineStr">
        <is>
          <t>orange</t>
        </is>
      </c>
    </row>
    <row r="12">
      <c r="A12" s="3" t="inlineStr">
        <is>
          <t>鞋子</t>
        </is>
      </c>
      <c r="B12" s="3" t="inlineStr">
        <is>
          <t>普通/白</t>
        </is>
      </c>
      <c r="C12" s="8">
        <f>COUNTIFS(装备总表!$R$2:$R$266,A12,装备总表!$P$2:$P$266,D12)</f>
        <v>4</v>
      </c>
      <c r="D12" s="3" t="inlineStr">
        <is>
          <t>black</t>
        </is>
      </c>
    </row>
    <row r="13">
      <c r="A13" s="3" t="inlineStr">
        <is>
          <t>鞋子</t>
        </is>
      </c>
      <c r="B13" s="3" t="inlineStr">
        <is>
          <t>优秀/绿</t>
        </is>
      </c>
      <c r="C13" s="8">
        <f>COUNTIFS(装备总表!$R$2:$R$266,A13,装备总表!$P$2:$P$266,D13)</f>
        <v>8</v>
      </c>
      <c r="D13" s="3" t="inlineStr">
        <is>
          <t>green</t>
        </is>
      </c>
    </row>
    <row r="14">
      <c r="A14" s="3" t="inlineStr">
        <is>
          <t>鞋子</t>
        </is>
      </c>
      <c r="B14" s="3" t="inlineStr">
        <is>
          <t>稀有/蓝</t>
        </is>
      </c>
      <c r="C14" s="8">
        <f>COUNTIFS(装备总表!$R$2:$R$266,A14,装备总表!$P$2:$P$266,D14)</f>
        <v>8</v>
      </c>
      <c r="D14" s="3" t="inlineStr">
        <is>
          <t>blue</t>
        </is>
      </c>
    </row>
    <row r="15">
      <c r="A15" s="3" t="inlineStr">
        <is>
          <t>鞋子</t>
        </is>
      </c>
      <c r="B15" s="3" t="inlineStr">
        <is>
          <t>史诗/紫</t>
        </is>
      </c>
      <c r="C15" s="8">
        <f>COUNTIFS(装备总表!$R$2:$R$266,A15,装备总表!$P$2:$P$266,D15)</f>
        <v>6</v>
      </c>
      <c r="D15" s="3" t="inlineStr">
        <is>
          <t>purple</t>
        </is>
      </c>
    </row>
    <row r="16">
      <c r="A16" s="3" t="inlineStr">
        <is>
          <t>鞋子</t>
        </is>
      </c>
      <c r="B16" s="3" t="inlineStr">
        <is>
          <t>传说/橙</t>
        </is>
      </c>
      <c r="C16" s="8">
        <f>COUNTIFS(装备总表!$R$2:$R$266,A16,装备总表!$P$2:$P$266,D16)</f>
        <v>3</v>
      </c>
      <c r="D16" s="3" t="inlineStr">
        <is>
          <t>orange</t>
        </is>
      </c>
    </row>
    <row r="17">
      <c r="A17" s="3" t="inlineStr">
        <is>
          <t>武器</t>
        </is>
      </c>
      <c r="B17" s="3" t="inlineStr">
        <is>
          <t>普通/白</t>
        </is>
      </c>
      <c r="C17" s="8">
        <f>COUNTIFS(装备总表!$R$2:$R$266,A17,装备总表!$P$2:$P$266,D17)</f>
        <v>11</v>
      </c>
      <c r="D17" s="3" t="inlineStr">
        <is>
          <t>black</t>
        </is>
      </c>
    </row>
    <row r="18">
      <c r="A18" s="3" t="inlineStr">
        <is>
          <t>武器</t>
        </is>
      </c>
      <c r="B18" s="3" t="inlineStr">
        <is>
          <t>优秀/绿</t>
        </is>
      </c>
      <c r="C18" s="8">
        <f>COUNTIFS(装备总表!$R$2:$R$266,A18,装备总表!$P$2:$P$266,D18)</f>
        <v>16</v>
      </c>
      <c r="D18" s="3" t="inlineStr">
        <is>
          <t>green</t>
        </is>
      </c>
    </row>
    <row r="19">
      <c r="A19" s="3" t="inlineStr">
        <is>
          <t>武器</t>
        </is>
      </c>
      <c r="B19" s="3" t="inlineStr">
        <is>
          <t>稀有/蓝</t>
        </is>
      </c>
      <c r="C19" s="8">
        <f>COUNTIFS(装备总表!$R$2:$R$266,A19,装备总表!$P$2:$P$266,D19)</f>
        <v>16</v>
      </c>
      <c r="D19" s="3" t="inlineStr">
        <is>
          <t>blue</t>
        </is>
      </c>
    </row>
    <row r="20">
      <c r="A20" s="3" t="inlineStr">
        <is>
          <t>武器</t>
        </is>
      </c>
      <c r="B20" s="3" t="inlineStr">
        <is>
          <t>史诗/紫</t>
        </is>
      </c>
      <c r="C20" s="8">
        <f>COUNTIFS(装备总表!$R$2:$R$266,A20,装备总表!$P$2:$P$266,D20)</f>
        <v>23</v>
      </c>
      <c r="D20" s="3" t="inlineStr">
        <is>
          <t>purple</t>
        </is>
      </c>
    </row>
    <row r="21">
      <c r="A21" s="3" t="inlineStr">
        <is>
          <t>武器</t>
        </is>
      </c>
      <c r="B21" s="3" t="inlineStr">
        <is>
          <t>传说/橙</t>
        </is>
      </c>
      <c r="C21" s="8">
        <f>COUNTIFS(装备总表!$R$2:$R$266,A21,装备总表!$P$2:$P$266,D21)</f>
        <v>14</v>
      </c>
      <c r="D21" s="3" t="inlineStr">
        <is>
          <t>orange</t>
        </is>
      </c>
    </row>
    <row r="22">
      <c r="A22" s="3" t="inlineStr">
        <is>
          <t>坐骑</t>
        </is>
      </c>
      <c r="B22" s="3" t="inlineStr">
        <is>
          <t>普通/白</t>
        </is>
      </c>
      <c r="C22" s="8">
        <f>COUNTIFS(装备总表!$R$2:$R$266,A22,装备总表!$P$2:$P$266,D22)</f>
        <v>4</v>
      </c>
      <c r="D22" s="3" t="inlineStr">
        <is>
          <t>black</t>
        </is>
      </c>
    </row>
    <row r="23">
      <c r="A23" s="3" t="inlineStr">
        <is>
          <t>坐骑</t>
        </is>
      </c>
      <c r="B23" s="3" t="inlineStr">
        <is>
          <t>优秀/绿</t>
        </is>
      </c>
      <c r="C23" s="8">
        <f>COUNTIFS(装备总表!$R$2:$R$266,A23,装备总表!$P$2:$P$266,D23)</f>
        <v>6</v>
      </c>
      <c r="D23" s="3" t="inlineStr">
        <is>
          <t>green</t>
        </is>
      </c>
    </row>
    <row r="24">
      <c r="A24" s="3" t="inlineStr">
        <is>
          <t>坐骑</t>
        </is>
      </c>
      <c r="B24" s="3" t="inlineStr">
        <is>
          <t>稀有/蓝</t>
        </is>
      </c>
      <c r="C24" s="8">
        <f>COUNTIFS(装备总表!$R$2:$R$266,A24,装备总表!$P$2:$P$266,D24)</f>
        <v>6</v>
      </c>
      <c r="D24" s="3" t="inlineStr">
        <is>
          <t>blue</t>
        </is>
      </c>
    </row>
    <row r="25">
      <c r="A25" s="3" t="inlineStr">
        <is>
          <t>坐骑</t>
        </is>
      </c>
      <c r="B25" s="3" t="inlineStr">
        <is>
          <t>史诗/紫</t>
        </is>
      </c>
      <c r="C25" s="8">
        <f>COUNTIFS(装备总表!$R$2:$R$266,A25,装备总表!$P$2:$P$266,D25)</f>
        <v>6</v>
      </c>
      <c r="D25" s="3" t="inlineStr">
        <is>
          <t>purple</t>
        </is>
      </c>
    </row>
    <row r="26">
      <c r="A26" s="3" t="inlineStr">
        <is>
          <t>坐骑</t>
        </is>
      </c>
      <c r="B26" s="3" t="inlineStr">
        <is>
          <t>传说/橙</t>
        </is>
      </c>
      <c r="C26" s="8">
        <f>COUNTIFS(装备总表!$R$2:$R$266,A26,装备总表!$P$2:$P$266,D26)</f>
        <v>5</v>
      </c>
      <c r="D26" s="3" t="inlineStr">
        <is>
          <t>orange</t>
        </is>
      </c>
    </row>
    <row r="27">
      <c r="A27" s="3" t="inlineStr">
        <is>
          <t>饰品</t>
        </is>
      </c>
      <c r="B27" s="3" t="inlineStr">
        <is>
          <t>普通/白</t>
        </is>
      </c>
      <c r="C27" s="8">
        <f>COUNTIFS(装备总表!$R$2:$R$266,A27,装备总表!$P$2:$P$266,D27)</f>
        <v>0</v>
      </c>
      <c r="D27" s="3" t="inlineStr">
        <is>
          <t>black</t>
        </is>
      </c>
    </row>
    <row r="28">
      <c r="A28" s="3" t="inlineStr">
        <is>
          <t>饰品</t>
        </is>
      </c>
      <c r="B28" s="3" t="inlineStr">
        <is>
          <t>优秀/绿</t>
        </is>
      </c>
      <c r="C28" s="8">
        <f>COUNTIFS(装备总表!$R$2:$R$266,A28,装备总表!$P$2:$P$266,D28)</f>
        <v>14</v>
      </c>
      <c r="D28" s="3" t="inlineStr">
        <is>
          <t>green</t>
        </is>
      </c>
    </row>
    <row r="29">
      <c r="A29" s="3" t="inlineStr">
        <is>
          <t>饰品</t>
        </is>
      </c>
      <c r="B29" s="3" t="inlineStr">
        <is>
          <t>稀有/蓝</t>
        </is>
      </c>
      <c r="C29" s="8">
        <f>COUNTIFS(装备总表!$R$2:$R$266,A29,装备总表!$P$2:$P$266,D29)</f>
        <v>14</v>
      </c>
      <c r="D29" s="3" t="inlineStr">
        <is>
          <t>blue</t>
        </is>
      </c>
    </row>
    <row r="30">
      <c r="A30" s="3" t="inlineStr">
        <is>
          <t>饰品</t>
        </is>
      </c>
      <c r="B30" s="3" t="inlineStr">
        <is>
          <t>史诗/紫</t>
        </is>
      </c>
      <c r="C30" s="8">
        <f>COUNTIFS(装备总表!$R$2:$R$266,A30,装备总表!$P$2:$P$266,D30)</f>
        <v>14</v>
      </c>
      <c r="D30" s="3" t="inlineStr">
        <is>
          <t>purple</t>
        </is>
      </c>
    </row>
    <row r="31">
      <c r="A31" s="3" t="inlineStr">
        <is>
          <t>饰品</t>
        </is>
      </c>
      <c r="B31" s="3" t="inlineStr">
        <is>
          <t>传说/橙</t>
        </is>
      </c>
      <c r="C31" s="8">
        <f>COUNTIFS(装备总表!$R$2:$R$266,A31,装备总表!$P$2:$P$266,D31)</f>
        <v>10</v>
      </c>
      <c r="D31" s="3" t="inlineStr">
        <is>
          <t>orange</t>
        </is>
      </c>
    </row>
    <row r="32">
      <c r="A32" s="3" t="inlineStr">
        <is>
          <t>器械</t>
        </is>
      </c>
      <c r="B32" s="3" t="inlineStr">
        <is>
          <t>普通/白</t>
        </is>
      </c>
      <c r="C32" s="8">
        <f>COUNTIFS(装备总表!$R$2:$R$266,A32,装备总表!$P$2:$P$266,D32)</f>
        <v>0</v>
      </c>
      <c r="D32" s="3" t="inlineStr">
        <is>
          <t>black</t>
        </is>
      </c>
    </row>
    <row r="33">
      <c r="A33" s="3" t="inlineStr">
        <is>
          <t>器械</t>
        </is>
      </c>
      <c r="B33" s="3" t="inlineStr">
        <is>
          <t>优秀/绿</t>
        </is>
      </c>
      <c r="C33" s="8">
        <f>COUNTIFS(装备总表!$R$2:$R$266,A33,装备总表!$P$2:$P$266,D33)</f>
        <v>3</v>
      </c>
      <c r="D33" s="3" t="inlineStr">
        <is>
          <t>green</t>
        </is>
      </c>
    </row>
    <row r="34">
      <c r="A34" s="3" t="inlineStr">
        <is>
          <t>器械</t>
        </is>
      </c>
      <c r="B34" s="3" t="inlineStr">
        <is>
          <t>稀有/蓝</t>
        </is>
      </c>
      <c r="C34" s="8">
        <f>COUNTIFS(装备总表!$R$2:$R$266,A34,装备总表!$P$2:$P$266,D34)</f>
        <v>5</v>
      </c>
      <c r="D34" s="3" t="inlineStr">
        <is>
          <t>blue</t>
        </is>
      </c>
    </row>
    <row r="35">
      <c r="A35" s="3" t="inlineStr">
        <is>
          <t>器械</t>
        </is>
      </c>
      <c r="B35" s="3" t="inlineStr">
        <is>
          <t>史诗/紫</t>
        </is>
      </c>
      <c r="C35" s="8">
        <f>COUNTIFS(装备总表!$R$2:$R$266,A35,装备总表!$P$2:$P$266,D35)</f>
        <v>6</v>
      </c>
      <c r="D35" s="3" t="inlineStr">
        <is>
          <t>purple</t>
        </is>
      </c>
    </row>
    <row r="36">
      <c r="A36" s="3" t="inlineStr">
        <is>
          <t>器械</t>
        </is>
      </c>
      <c r="B36" s="3" t="inlineStr">
        <is>
          <t>传说/橙</t>
        </is>
      </c>
      <c r="C36" s="8">
        <f>COUNTIFS(装备总表!$R$2:$R$266,A36,装备总表!$P$2:$P$266,D36)</f>
        <v>3</v>
      </c>
      <c r="D36" s="3" t="inlineStr">
        <is>
          <t>orange</t>
        </is>
      </c>
    </row>
    <row r="37">
      <c r="A37" s="3" t="inlineStr">
        <is>
          <t>全部装备</t>
        </is>
      </c>
      <c r="B37" s="3" t="inlineStr"/>
      <c r="C37" s="8">
        <f>COUNTA(装备总表!B2:B266)</f>
        <v>265</v>
      </c>
      <c r="D37" s="3" t="inlineStr"/>
    </row>
  </sheetData>
  <autoFilter ref="A1:D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5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>
      <c r="A2" s="3" t="inlineStr">
        <is>
          <t>更新时间</t>
        </is>
      </c>
      <c r="B2" s="3" t="inlineStr">
        <is>
          <t>2026-10-01</t>
        </is>
      </c>
    </row>
    <row r="3">
      <c r="A3" s="3" t="inlineStr">
        <is>
          <t>数据范围</t>
        </is>
      </c>
      <c r="B3" s="3" t="inlineStr">
        <is>
          <t>当前工作区 data/item_templates.yaml 中 effect_type 以 equip_ 开头的全部装备模板；未查询运行中数据库。</t>
        </is>
      </c>
    </row>
    <row r="4">
      <c r="A4" s="3" t="inlineStr">
        <is>
          <t>装备数量</t>
        </is>
      </c>
      <c r="B4" s="8">
        <f>COUNTA(装备总表!B2:B266)</f>
        <v>265</v>
      </c>
    </row>
    <row r="5">
      <c r="A5" s="3" t="inlineStr">
        <is>
          <t>更新结果</t>
        </is>
      </c>
      <c r="B5" s="3" t="inlineStr">
        <is>
          <t>旧表262件，新增3件；211件原有装备的价格、占用空间或基础属性已更新。</t>
        </is>
      </c>
    </row>
    <row r="6">
      <c r="A6" s="3" t="inlineStr">
        <is>
          <t>新增装备</t>
        </is>
      </c>
      <c r="B6" s="3" t="inlineStr">
        <is>
          <t>青铜之角斗士；白银之角斗士；黄金之角斗士</t>
        </is>
      </c>
    </row>
    <row r="7">
      <c r="A7" s="3" t="inlineStr">
        <is>
          <t>合计公式</t>
        </is>
      </c>
      <c r="B7" s="3" t="inlineStr">
        <is>
          <t>生命/54+防御+武力+智力+敏捷+运势×1.2+带兵上限/2；沿用旧表及平衡测试口径，不包含套装与护院加成。</t>
        </is>
      </c>
    </row>
    <row r="8">
      <c r="A8" s="3" t="inlineStr">
        <is>
          <t>模板价格</t>
        </is>
      </c>
      <c r="B8" s="3" t="inlineStr">
        <is>
          <t>price 是模板字段。实际商店购买价格请查获取途径页；未配置 price 时按导入默认值0展示。</t>
        </is>
      </c>
    </row>
    <row r="9">
      <c r="A9" s="3" t="inlineStr">
        <is>
          <t>默认值</t>
        </is>
      </c>
      <c r="B9" s="3" t="inlineStr">
        <is>
          <t>与 load_item_templates._build_item_defaults 一致：price=0、storage_space=1、tradeable=False、is_usable=False；未出现的基础属性按0显示。</t>
        </is>
      </c>
    </row>
    <row r="10">
      <c r="A10" s="3" t="inlineStr">
        <is>
          <t>制作配方</t>
        </is>
      </c>
      <c r="B10" s="3" t="inlineStr">
        <is>
          <t>普通锻造、图纸合成、马厩养马分行列出；技能分别指锻造技或马术；图纸合成每次额外消耗1张图纸；耗时是配置基准，运行时受科技等影响。</t>
        </is>
      </c>
    </row>
    <row r="11">
      <c r="A11" s="3" t="inlineStr">
        <is>
          <t>套装效果</t>
        </is>
      </c>
      <c r="B11" s="3" t="inlineStr">
        <is>
          <t>各档套装效果是独立门槛，达到多个门槛时累加；仅有 set_key 的装备计入同套装。</t>
        </is>
      </c>
    </row>
    <row r="12">
      <c r="A12" s="3" t="inlineStr">
        <is>
          <t>护院加成</t>
        </is>
      </c>
      <c r="B12" s="3" t="inlineStr">
        <is>
          <t>器械的 troop_stat_bonus 加成对应护院兵种，不计入门客基础属性与原表合计。比例以Excel百分比展示。</t>
        </is>
      </c>
    </row>
    <row r="13">
      <c r="A13" s="3" t="inlineStr">
        <is>
          <t>装备分解</t>
        </is>
      </c>
      <c r="B13" s="3" t="inlineStr">
        <is>
          <t>按稀有度的当前配置展示基础材料区间及概率奖励；白色装备不在 supported_rarities 中。</t>
        </is>
      </c>
    </row>
    <row r="14">
      <c r="A14" s="3" t="inlineStr">
        <is>
          <t>获取途径范围</t>
        </is>
      </c>
      <c r="B14" s="3" t="inlineStr">
        <is>
          <t>根据当前配置及对应服务规则整理；列出掉落概率或随机权重时保留其配置语义，不将权重等同概率；获取条件详见明细。交易行还依赖玩家挂单。</t>
        </is>
      </c>
    </row>
    <row r="15">
      <c r="A15" s="3" t="inlineStr">
        <is>
          <t>途径待核实</t>
        </is>
      </c>
      <c r="B15" s="3" t="inlineStr">
        <is>
          <t>5件；个人任务途径已同步为宝箱与图纸合成。</t>
        </is>
      </c>
    </row>
    <row r="16">
      <c r="A16" s="3" t="inlineStr">
        <is>
          <t>细分类型</t>
        </is>
      </c>
      <c r="B16" s="3" t="inlineStr">
        <is>
          <t>沿用旧表细分类型；普通锻造装备使用当前配方类别。item_templates 未定义统一武器细分字段。</t>
        </is>
      </c>
    </row>
    <row r="17">
      <c r="A17" s="3" t="inlineStr">
        <is>
          <t>来源追溯</t>
        </is>
      </c>
      <c r="B17" s="3" t="inlineStr">
        <is>
          <t>总表保留原始effect_payload及YAML行号；各明细页标注来源配置键。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2026-05-16T16:56:00Z</dcterms:created>
  <dcterms:modified xmlns:dcterms="http://purl.org/dc/terms/" xmlns:xsi="http://www.w3.org/2001/XMLSchema-instance" xsi:type="dcterms:W3CDTF">2026-10-01T13:34:33Z</dcterms:modified>
  <cp:lastModifiedBy>会旋转的呆毛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08E68BD31F91432FB63151CEA885DE91_12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