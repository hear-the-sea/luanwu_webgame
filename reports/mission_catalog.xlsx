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任务列表" sheetId="1" state="visible" r:id="rId1"/>
    <sheet xmlns:r="http://schemas.openxmlformats.org/officeDocument/2006/relationships" name="任务掉落明细" sheetId="2" state="visible" r:id="rId2"/>
    <sheet xmlns:r="http://schemas.openxmlformats.org/officeDocument/2006/relationships" name="掉落物反查" sheetId="3" state="visible" r:id="rId3"/>
    <sheet xmlns:r="http://schemas.openxmlformats.org/officeDocument/2006/relationships" name="敌方阵容" sheetId="4" state="visible" r:id="rId4"/>
    <sheet xmlns:r="http://schemas.openxmlformats.org/officeDocument/2006/relationships" name="页面展示配置" sheetId="5" state="visible" r:id="rId5"/>
    <sheet xmlns:r="http://schemas.openxmlformats.org/officeDocument/2006/relationships" name="动态奖励规则" sheetId="6" state="visible" r:id="rId6"/>
    <sheet xmlns:r="http://schemas.openxmlformats.org/officeDocument/2006/relationships" name="统计" sheetId="7" state="visible" r:id="rId7"/>
    <sheet xmlns:r="http://schemas.openxmlformats.org/officeDocument/2006/relationships" name="字段说明" sheetId="8" state="visible" r:id="rId8"/>
  </sheets>
  <definedNames>
    <definedName name="_xlnm._FilterDatabase" localSheetId="0" hidden="1">'任务列表'!$A$1:$AH$36</definedName>
    <definedName name="_xlnm._FilterDatabase" localSheetId="1" hidden="1">'任务掉落明细'!$A$1:$AD$290</definedName>
    <definedName name="_xlnm._FilterDatabase" localSheetId="2" hidden="1">'掉落物反查'!$A$1:$N$290</definedName>
    <definedName name="_xlnm._FilterDatabase" localSheetId="3" hidden="1">'敌方阵容'!$A$1:$M$258</definedName>
    <definedName name="_xlnm._FilterDatabase" localSheetId="4" hidden="1">'页面展示配置'!$A$1:$G$4</definedName>
    <definedName name="_xlnm._FilterDatabase" localSheetId="5" hidden="1">'动态奖励规则'!$A$1:$H$5</definedName>
    <definedName name="_xlnm._FilterDatabase" localSheetId="6" hidden="1">'统计'!$A$1:$B$10</definedName>
    <definedName name="_xlnm._FilterDatabase" localSheetId="7" hidden="1">'字段说明'!$A$1:$B$18</definedName>
  </definedNames>
  <calcPr calcId="124519" calcMode="auto" fullCalcOnLoad="1" forceFullCalc="1"/>
</workbook>
</file>

<file path=xl/styles.xml><?xml version="1.0" encoding="utf-8"?>
<styleSheet xmlns="http://schemas.openxmlformats.org/spreadsheetml/2006/main">
  <numFmts count="2">
    <numFmt numFmtId="164" formatCode="0.0000%"/>
    <numFmt numFmtId="165" formatCode="0.000000"/>
  </numFmts>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1" fontId="2" fillId="0" borderId="1" applyAlignment="1" pivotButton="0" quotePrefix="0" xfId="0">
      <alignment vertical="top" wrapText="1"/>
    </xf>
    <xf numFmtId="10" fontId="2" fillId="0" borderId="1" applyAlignment="1" pivotButton="0" quotePrefix="0" xfId="0">
      <alignment vertical="top" wrapText="1"/>
    </xf>
    <xf numFmtId="164" fontId="2" fillId="0" borderId="1" applyAlignment="1" pivotButton="0" quotePrefix="0" xfId="0">
      <alignment vertical="top" wrapText="1"/>
    </xf>
    <xf numFmtId="165"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说明</author>
  </authors>
  <commentList>
    <comment ref="I1" authorId="0" shapeId="0">
      <text>
        <t>配置基准秒数。个人进攻由单程修正后加返程，防守一次基准；实际受速度及游戏时间倍率影响。帮会任务受时间倍率影响，无额外返程。未填个人base_travel_time按导入默认1800秒。</t>
      </text>
    </comment>
    <comment ref="O1" authorId="0" shapeId="0">
      <text>
        <t>按展开后的实际候选掉落概率=100%统计，随机池的单一候选可计入此列。概率项数统计单项实际概率&lt;100%的明细行。</t>
      </text>
    </comment>
  </commentList>
</comments>
</file>

<file path=xl/comments/comment2.xml><?xml version="1.0" encoding="utf-8"?>
<comments xmlns="http://schemas.openxmlformats.org/spreadsheetml/2006/main">
  <authors>
    <author>说明</author>
  </authors>
  <commentList>
    <comment ref="X1" authorId="0" shapeId="0">
      <text>
        <t>普通掉落=触发概率；随机池=池触发概率×候选权重/池权重合计。各配置条目分别判定，同一物品可以多次获得。</t>
      </text>
    </comment>
    <comment ref="Y1" authorId="0" shapeId="0">
      <text>
        <t>单条掉落明细在一次任务胜利后的期望数量=单项实际概率×触发时数量，不表示保底数量；失败与撤退不适用。</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H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36" customWidth="1" min="2" max="2"/>
    <col width="34" customWidth="1" min="3" max="3"/>
    <col width="10" customWidth="1" min="4" max="4"/>
    <col width="12" customWidth="1" min="5" max="5"/>
    <col width="12" customWidth="1" min="6" max="6"/>
    <col width="12" customWidth="1" min="7" max="7"/>
    <col width="12" customWidth="1" min="8" max="8"/>
    <col width="20" customWidth="1" min="9" max="9"/>
    <col width="28" customWidth="1" min="10" max="10"/>
    <col width="35" customWidth="1" min="11" max="11"/>
    <col width="16" customWidth="1" min="12" max="12"/>
    <col width="18" customWidth="1" min="13" max="13"/>
    <col width="16" customWidth="1" min="14" max="14"/>
    <col width="14" customWidth="1" min="15" max="15"/>
    <col width="14" customWidth="1" min="16" max="16"/>
    <col width="15" customWidth="1" min="17" max="17"/>
    <col width="18" customWidth="1" min="18" max="18"/>
    <col width="20" customWidth="1" min="19" max="19"/>
    <col width="70" customWidth="1" min="20" max="20"/>
    <col width="22" customWidth="1" min="21" max="21"/>
    <col width="18" customWidth="1" min="22" max="22"/>
    <col width="23" customWidth="1" min="23" max="23"/>
    <col width="60" customWidth="1" min="24" max="24"/>
    <col width="95" customWidth="1" min="25" max="25"/>
    <col width="18" customWidth="1" min="26" max="26"/>
    <col width="17" customWidth="1" min="27" max="27"/>
    <col width="24" customWidth="1" min="28" max="28"/>
    <col width="55" customWidth="1" min="29" max="29"/>
    <col width="50" customWidth="1" min="30" max="30"/>
    <col width="75" customWidth="1" min="31" max="31"/>
    <col width="110" customWidth="1" min="32" max="32"/>
    <col width="22" customWidth="1" min="33" max="33"/>
    <col width="20" customWidth="1" min="34" max="34"/>
  </cols>
  <sheetData>
    <row r="1" ht="32" customHeight="1">
      <c r="A1" s="1" t="inlineStr">
        <is>
          <t>序号</t>
        </is>
      </c>
      <c r="B1" s="1" t="inlineStr">
        <is>
          <t>任务key</t>
        </is>
      </c>
      <c r="C1" s="1" t="inlineStr">
        <is>
          <t>任务名称</t>
        </is>
      </c>
      <c r="D1" s="1" t="inlineStr">
        <is>
          <t>难度</t>
        </is>
      </c>
      <c r="E1" s="1" t="inlineStr">
        <is>
          <t>战斗类型</t>
        </is>
      </c>
      <c r="F1" s="1" t="inlineStr">
        <is>
          <t>防守任务</t>
        </is>
      </c>
      <c r="G1" s="1" t="inlineStr">
        <is>
          <t>仅门客</t>
        </is>
      </c>
      <c r="H1" s="1" t="inlineStr">
        <is>
          <t>每日次数</t>
        </is>
      </c>
      <c r="I1" s="1" t="inlineStr">
        <is>
          <t>配置基础耗时秒</t>
        </is>
      </c>
      <c r="J1" s="1" t="inlineStr">
        <is>
          <t>开放星期</t>
        </is>
      </c>
      <c r="K1" s="1" t="inlineStr">
        <is>
          <t>进入消耗</t>
        </is>
      </c>
      <c r="L1" s="1" t="inlineStr">
        <is>
          <t>敌方门客数</t>
        </is>
      </c>
      <c r="M1" s="1" t="inlineStr">
        <is>
          <t>敌方护院总数</t>
        </is>
      </c>
      <c r="N1" s="1" t="inlineStr">
        <is>
          <t>掉落明细数</t>
        </is>
      </c>
      <c r="O1" s="1" t="inlineStr">
        <is>
          <t>固定项数</t>
        </is>
      </c>
      <c r="P1" s="1" t="inlineStr">
        <is>
          <t>概率项数</t>
        </is>
      </c>
      <c r="Q1" s="1" t="inlineStr">
        <is>
          <t>任务分类</t>
        </is>
      </c>
      <c r="R1" s="1" t="inlineStr">
        <is>
          <t>每周次数(帮会)</t>
        </is>
      </c>
      <c r="S1" s="1" t="inlineStr">
        <is>
          <t>任务卡每日上限</t>
        </is>
      </c>
      <c r="T1" s="1" t="inlineStr">
        <is>
          <t>任务描述</t>
        </is>
      </c>
      <c r="U1" s="1" t="inlineStr">
        <is>
          <t>敌方统一科技等级</t>
        </is>
      </c>
      <c r="V1" s="1" t="inlineStr">
        <is>
          <t>敌方门客等级</t>
        </is>
      </c>
      <c r="W1" s="1" t="inlineStr">
        <is>
          <t>敌方门客属性加成</t>
        </is>
      </c>
      <c r="X1" s="1" t="inlineStr">
        <is>
          <t>固定奖励摘要</t>
        </is>
      </c>
      <c r="Y1" s="1" t="inlineStr">
        <is>
          <t>随机奖励摘要</t>
        </is>
      </c>
      <c r="Z1" s="1" t="inlineStr">
        <is>
          <t>显示排序配置</t>
        </is>
      </c>
      <c r="AA1" s="1" t="inlineStr">
        <is>
          <t>启用状态</t>
        </is>
      </c>
      <c r="AB1" s="1" t="inlineStr">
        <is>
          <t>推荐门客数(帮会)</t>
        </is>
      </c>
      <c r="AC1" s="1" t="inlineStr">
        <is>
          <t>数据来源</t>
        </is>
      </c>
      <c r="AD1" s="1" t="inlineStr">
        <is>
          <t>进入消耗(JSON)</t>
        </is>
      </c>
      <c r="AE1" s="1" t="inlineStr">
        <is>
          <t>敌方科技(JSON)</t>
        </is>
      </c>
      <c r="AF1" s="1" t="inlineStr">
        <is>
          <t>原始任务配置(JSON)</t>
        </is>
      </c>
      <c r="AG1" s="1" t="inlineStr">
        <is>
          <t>发起行动点消耗</t>
        </is>
      </c>
      <c r="AH1" s="1" t="inlineStr">
        <is>
          <t>奖励接收方</t>
        </is>
      </c>
    </row>
    <row r="2">
      <c r="A2" s="2" t="n">
        <v>1</v>
      </c>
      <c r="B2" s="2" t="inlineStr">
        <is>
          <t>mid_autumn_moon_palace_trial</t>
        </is>
      </c>
      <c r="C2" s="2" t="inlineStr">
        <is>
          <t>广寒宫试炼</t>
        </is>
      </c>
      <c r="D2" s="2" t="inlineStr">
        <is>
          <t>中级</t>
        </is>
      </c>
      <c r="E2" s="2" t="inlineStr">
        <is>
          <t>task1</t>
        </is>
      </c>
      <c r="F2" s="2" t="inlineStr">
        <is>
          <t>否</t>
        </is>
      </c>
      <c r="G2" s="2" t="inlineStr">
        <is>
          <t>否</t>
        </is>
      </c>
      <c r="H2" s="2" t="n">
        <v>3</v>
      </c>
      <c r="I2" s="2" t="n">
        <v>1800</v>
      </c>
      <c r="J2" s="2" t="inlineStr">
        <is>
          <t>周二、周四、周六、周日</t>
        </is>
      </c>
      <c r="K2" s="2" t="inlineStr">
        <is>
          <t>无</t>
        </is>
      </c>
      <c r="L2" s="3">
        <f>SUMIFS(敌方阵容!$F$2:$F$258,敌方阵容!$A$2:$A$258,B2,敌方阵容!$D$2:$D$258,"门客")</f>
        <v>3</v>
      </c>
      <c r="M2" s="3">
        <f>SUMIFS(敌方阵容!$F$2:$F$258,敌方阵容!$A$2:$A$258,B2,敌方阵容!$D$2:$D$258,"护院")</f>
        <v>800</v>
      </c>
      <c r="N2" s="3">
        <f>COUNTIF(任务掉落明细!$B$2:$B$290,B2)</f>
        <v>9</v>
      </c>
      <c r="O2" s="3">
        <f>COUNTIFS(任务掉落明细!$B$2:$B$290,B2,任务掉落明细!$X$2:$X$290,1)</f>
        <v>2</v>
      </c>
      <c r="P2" s="3">
        <f>COUNTIFS(任务掉落明细!$B$2:$B$290,B2,任务掉落明细!$X$2:$X$290,"&lt;1")</f>
        <v>7</v>
      </c>
      <c r="Q2" s="2" t="inlineStr">
        <is>
          <t>个人任务</t>
        </is>
      </c>
      <c r="R2" s="2" t="n"/>
      <c r="S2" s="2" t="n">
        <v>5</v>
      </c>
      <c r="T2" s="2" t="inlineStr">
        <is>
          <t xml:space="preserve">中秋将近，广寒宫外的月桂忽然枝叶疯长，遮蔽月华，连玉兔捣药的石臼也被散落的桂枝掩埋。吴刚日夜挥斧仍无法遏止异变，嫦娥只得向人间庄园主发出月宫请帖。
受邀者需穿过桂影迷阵，协助玉兔收集药材，并通过吴刚与嫦娥设下的月宫试炼。完成试炼者可带回月饼，也有机会获得三位月宫门客留下的召唤卷轴。
</t>
        </is>
      </c>
      <c r="U2" s="2" t="n">
        <v>7</v>
      </c>
      <c r="V2" s="2" t="n">
        <v>60</v>
      </c>
      <c r="W2" s="4" t="n">
        <v>0.12</v>
      </c>
      <c r="X2" s="2" t="inlineStr">
        <is>
          <t>银两×40000；月饼×1</t>
        </is>
      </c>
      <c r="Y2" s="2" t="inlineStr">
        <is>
          <t>随机池mid_autumn_mooncake_bonus_1（月饼）×1；触发55.0000%；随机池mid_autumn_mooncake_bonus_2（月饼）×2；触发25.0000%；随机池mid_autumn_mooncake_bonus_4（月饼）×4；触发8.0000%；随机池mid_autumn_mooncake_bonus_10（月饼）×10；触发1.5000%；玉兔召唤卷轴×1；触发8.0000%；吴刚召唤卷轴×1；触发5.0000%；嫦娥召唤卷轴×1；触发3.0000%</t>
        </is>
      </c>
      <c r="Z2" s="2" t="n">
        <v>1000</v>
      </c>
      <c r="AA2" s="2" t="inlineStr">
        <is>
          <t>按配置导入</t>
        </is>
      </c>
      <c r="AB2" s="2" t="n"/>
      <c r="AC2" s="2" t="inlineStr">
        <is>
          <t>data/mission_templates.yaml:L139</t>
        </is>
      </c>
      <c r="AD2" s="2" t="inlineStr">
        <is>
          <t>{}</t>
        </is>
      </c>
      <c r="AE2" s="2" t="inlineStr">
        <is>
          <t>{"level":7,"guest_level":60,"guest_bonus":0.12}</t>
        </is>
      </c>
      <c r="AF2" s="2" t="inlineStr">
        <is>
          <t>{"key":"mid_autumn_moon_palace_trial","name":"广寒宫试炼","difficulty":"intermediate","available_weekdays":[2,4,6,7],"description":"中秋将近，广寒宫外的月桂忽然枝叶疯长，遮蔽月华，连玉兔捣药的石臼也被散落的桂枝掩埋。吴刚日夜挥斧仍无法遏止异变，嫦娥只得向人间庄园主发出月宫请帖。\n\n受邀者需穿过桂影迷阵，协助玉兔收集药材，并通过吴刚与嫦娥设下的月宫试炼。完成试炼者可带回月饼，也有机会获得三位月宫门客留下的召唤卷轴。\n","battle_type":"task1","base_travel_time":1800,"enemy_guests":[{"key":"myth_moon_jade_rabbit","label":"玉兔"},{"key":"myth_moon_wu_gang","label":"吴刚"},{"key":"hist_xianqin_0413","label":"嫦娥"}],"enemy_troops":{"quan_wang":300,"jian_hao":300,"divine_archer":200},"enemy_technology":{"level":7,"guest_level":60,"guest_bonus":0.12},"drop_table":{"silver":40000,"mid_autumn_mooncake":1,"mid_autumn_mooncake_bonus_1":{"chance":0.55,"count":1,"choices":["mid_autumn_mooncake"]},"mid_autumn_mooncake_bonus_2":{"chance":0.25,"count":2,"choices":["mid_autumn_mooncake"]},"mid_autumn_mooncake_bonus_4":{"chance":0.08,"count":4,"choices":["mid_autumn_mooncake"]},"mid_autumn_mooncake_bonus_10":{"chance":0.015,"count":10,"choices":["mid_autumn_mooncake"]},"jade_rabbit_summon_scroll":{"chance":0.08,"count":1},"wu_gang_summon_scroll":{"chance":0.05,"count":1},"chang_e_summon_scroll":{"chance":0.03,"count":1}},"daily_limit":3}</t>
        </is>
      </c>
      <c r="AG2" s="2" t="n">
        <v>10</v>
      </c>
      <c r="AH2" s="2" t="inlineStr">
        <is>
          <t>挑战者庄园</t>
        </is>
      </c>
    </row>
    <row r="3">
      <c r="A3" s="2" t="n">
        <v>2</v>
      </c>
      <c r="B3" s="2" t="inlineStr">
        <is>
          <t>kasukabe_daisakusen</t>
        </is>
      </c>
      <c r="C3" s="2" t="inlineStr">
        <is>
          <t>春日部大作战</t>
        </is>
      </c>
      <c r="D3" s="2" t="inlineStr">
        <is>
          <t>中级</t>
        </is>
      </c>
      <c r="E3" s="2" t="inlineStr">
        <is>
          <t>task1</t>
        </is>
      </c>
      <c r="F3" s="2" t="inlineStr">
        <is>
          <t>否</t>
        </is>
      </c>
      <c r="G3" s="2" t="inlineStr">
        <is>
          <t>否</t>
        </is>
      </c>
      <c r="H3" s="2" t="n">
        <v>3</v>
      </c>
      <c r="I3" s="2" t="n">
        <v>1800</v>
      </c>
      <c r="J3" s="2" t="inlineStr">
        <is>
          <t>周二、周四、周六、周日</t>
        </is>
      </c>
      <c r="K3" s="2" t="inlineStr">
        <is>
          <t>无</t>
        </is>
      </c>
      <c r="L3" s="3">
        <f>SUMIFS(敌方阵容!$F$2:$F$258,敌方阵容!$A$2:$A$258,B3,敌方阵容!$D$2:$D$258,"门客")</f>
        <v>5</v>
      </c>
      <c r="M3" s="3">
        <f>SUMIFS(敌方阵容!$F$2:$F$258,敌方阵容!$A$2:$A$258,B3,敌方阵容!$D$2:$D$258,"护院")</f>
        <v>800</v>
      </c>
      <c r="N3" s="3">
        <f>COUNTIF(任务掉落明细!$B$2:$B$290,B3)</f>
        <v>16</v>
      </c>
      <c r="O3" s="3">
        <f>COUNTIFS(任务掉落明细!$B$2:$B$290,B3,任务掉落明细!$X$2:$X$290,1)</f>
        <v>2</v>
      </c>
      <c r="P3" s="3">
        <f>COUNTIFS(任务掉落明细!$B$2:$B$290,B3,任务掉落明细!$X$2:$X$290,"&lt;1")</f>
        <v>14</v>
      </c>
      <c r="Q3" s="2" t="inlineStr">
        <is>
          <t>个人任务</t>
        </is>
      </c>
      <c r="R3" s="2" t="n"/>
      <c r="S3" s="2" t="n">
        <v>5</v>
      </c>
      <c r="T3" s="2" t="inlineStr">
        <is>
          <t xml:space="preserve">庄园附近突然出现一支自称“春日部防卫队”的神秘队伍。他们本是追查被妖怪夺走的神奇蜡笔，却不慎把庄园周边画成了临时游乐战场：粮仓墙上长出大象鼻子，演武场地面变成蹦床，护院巡逻路线也被涂鸦迷宫搅得七零八落。
为了平息这场哭笑不得的混乱，庄主需要进入春日部游乐战场，突破玩具机关、恶作剧陷阱和防卫队试炼，击败被蜡笔力量影响的涂鸦大魔王，回收“小新的蜡笔”。集齐150个蜡笔后，可在仓库中招募紫色武门客「蜡笔小新」。
</t>
        </is>
      </c>
      <c r="U3" s="2" t="n">
        <v>7</v>
      </c>
      <c r="V3" s="2" t="n">
        <v>60</v>
      </c>
      <c r="W3" s="4" t="n">
        <v>0.12</v>
      </c>
      <c r="X3" s="2" t="inlineStr">
        <is>
          <t>银两×40000；小新的蜡笔×1</t>
        </is>
      </c>
      <c r="Y3" s="2" t="inlineStr">
        <is>
          <t>随机池kasukabe_crayon_bonus_1（小新的蜡笔）×1；触发55.0000%；随机池kasukabe_crayon_bonus_2（小新的蜡笔）×2；触发25.0000%；随机池kasukabe_crayon_bonus_4（小新的蜡笔）×4；触发8.0000%；随机池kasukabe_crayon_bonus_10（小新的蜡笔）×10；触发1.5000%；经验菠萝×3；触发35.0000%；经验西瓜×1；触发5.0000%；补血丹×6；触发45.0000%；放大镜×2；触发18.0000%；任务卡×1；触发8.0000%；动感超人面具×1；触发10.0000%；小白的散步绳×1；触发10.0000%；春日部小书包×1；触发8.0000%；动感光波手套×1；触发6.0000%；野原家的平底锅×1；触发5.0000%</t>
        </is>
      </c>
      <c r="Z3" s="2" t="n">
        <v>1000</v>
      </c>
      <c r="AA3" s="2" t="inlineStr">
        <is>
          <t>按配置导入</t>
        </is>
      </c>
      <c r="AB3" s="2" t="n"/>
      <c r="AC3" s="2" t="inlineStr">
        <is>
          <t>data/mission_templates.yaml:L206</t>
        </is>
      </c>
      <c r="AD3" s="2" t="inlineStr">
        <is>
          <t>{}</t>
        </is>
      </c>
      <c r="AE3" s="2" t="inlineStr">
        <is>
          <t>{"level":7,"guest_level":60,"guest_bonus":0.12}</t>
        </is>
      </c>
      <c r="AF3" s="2" t="inlineStr">
        <is>
          <t>{"key":"kasukabe_daisakusen","name":"春日部大作战","difficulty":"intermediate","available_weekdays":[2,4,6,7],"description":"庄园附近突然出现一支自称“春日部防卫队”的神秘队伍。他们本是追查被妖怪夺走的神奇蜡笔，却不慎把庄园周边画成了临时游乐战场：粮仓墙上长出大象鼻子，演武场地面变成蹦床，护院巡逻路线也被涂鸦迷宫搅得七零八落。\n\n为了平息这场哭笑不得的混乱，庄主需要进入春日部游乐战场，突破玩具机关、恶作剧陷阱和防卫队试炼，击败被蜡笔力量影响的涂鸦大魔王，回收“小新的蜡笔”。集齐150个蜡笔后，可在仓库中招募紫色武门客「蜡笔小新」。\n","battle_type":"task1","enemy_guests":[{"key":"task_kasukabe_patrol_captain","label":"春日部巡逻队长"},{"key":"task_kasukabe_toy_crocodile","label":"玩具机关鳄鱼"},{"key":"task_kasukabe_defense_member","label":"迷路的防卫队员"},{"key":"task_kasukabe_crayon_clone","label":"蜡笔恶作剧分身"},{"key":"task_kasukabe_doodle_boss","label":"涂鸦大魔王"}],"enemy_troops":{"quan_wang":300,"archer":300,"dao_ba":200},"enemy_technology":{"level":7,"guest_level":60,"guest_bonus":0.12},"drop_table":{"silver":40000,"kasukabe_crayon":1,"kasukabe_crayon_bonus_1":{"chance":0.55,"count":1,"choices":["kasukabe_crayon"]},"kasukabe_crayon_bonus_2":{"chance":0.25,"count":2,"choices":["kasukabe_crayon"]},"kasukabe_crayon_bonus_4":{"chance":0.08,"count":4,"choices":["kasukabe_crayon"]},"kasukabe_crayon_bonus_10":{"chance":0.015,"count":10,"choices":["kasukabe_crayon"]},"experience_pineapple":{"chance":0.35,"count":3},"experience_watermelon":{"chance":0.05,"count":1},"buxuedan":{"chance":0.45,"count":6},"fangdajing":{"chance":0.18,"count":2},"mission_card":{"chance":0.08,"count":1},"equip_action_mask":0.1,"equip_shiro_leash":0.1,"equip_kasukabe_satchel":0.08,"equip_action_beam_glove":0.06,"equip_nohara_pan":0.05},"daily_limit":3}</t>
        </is>
      </c>
      <c r="AG3" s="2" t="n">
        <v>10</v>
      </c>
      <c r="AH3" s="2" t="inlineStr">
        <is>
          <t>挑战者庄园</t>
        </is>
      </c>
    </row>
    <row r="4">
      <c r="A4" s="2" t="n">
        <v>3</v>
      </c>
      <c r="B4" s="2" t="inlineStr">
        <is>
          <t>huashan_lunjian</t>
        </is>
      </c>
      <c r="C4" s="2" t="inlineStr">
        <is>
          <t>华山论贱</t>
        </is>
      </c>
      <c r="D4" s="2" t="inlineStr">
        <is>
          <t>初级</t>
        </is>
      </c>
      <c r="E4" s="2" t="inlineStr">
        <is>
          <t>task1</t>
        </is>
      </c>
      <c r="F4" s="2" t="inlineStr">
        <is>
          <t>否</t>
        </is>
      </c>
      <c r="G4" s="2" t="inlineStr">
        <is>
          <t>是</t>
        </is>
      </c>
      <c r="H4" s="2" t="n">
        <v>3</v>
      </c>
      <c r="I4" s="2" t="n">
        <v>1800</v>
      </c>
      <c r="J4" s="2" t="inlineStr">
        <is>
          <t>每日开放</t>
        </is>
      </c>
      <c r="K4" s="2" t="inlineStr">
        <is>
          <t>无</t>
        </is>
      </c>
      <c r="L4" s="3">
        <f>SUMIFS(敌方阵容!$F$2:$F$258,敌方阵容!$A$2:$A$258,B4,敌方阵容!$D$2:$D$258,"门客")</f>
        <v>4</v>
      </c>
      <c r="M4" s="3">
        <f>SUMIFS(敌方阵容!$F$2:$F$258,敌方阵容!$A$2:$A$258,B4,敌方阵容!$D$2:$D$258,"护院")</f>
        <v>0</v>
      </c>
      <c r="N4" s="3">
        <f>COUNTIF(任务掉落明细!$B$2:$B$290,B4)</f>
        <v>4</v>
      </c>
      <c r="O4" s="3">
        <f>COUNTIFS(任务掉落明细!$B$2:$B$290,B4,任务掉落明细!$X$2:$X$290,1)</f>
        <v>1</v>
      </c>
      <c r="P4" s="3">
        <f>COUNTIFS(任务掉落明细!$B$2:$B$290,B4,任务掉落明细!$X$2:$X$290,"&lt;1")</f>
        <v>3</v>
      </c>
      <c r="Q4" s="2" t="inlineStr">
        <is>
          <t>个人任务</t>
        </is>
      </c>
      <c r="R4" s="2" t="n"/>
      <c r="S4" s="2" t="n">
        <v>5</v>
      </c>
      <c r="T4" s="2" t="inlineStr">
        <is>
          <t xml:space="preserve">中原大地，经过无数年的风吹雨打，各大贱派均元气大伤，数百年的休养调整使各大贱客高手知耻后勇，不断创新各种贱术秘籍，停办经年的贱客比武大赛将顺应民意在华山之巅重新开启，各路英雄贱客可在此大展身手，争当新一届人见人爱、花见花开的贱客之王，在此和谐社会留下自己奋斗的印记。
</t>
        </is>
      </c>
      <c r="U4" s="2" t="n">
        <v>2</v>
      </c>
      <c r="V4" s="2" t="n">
        <v>12</v>
      </c>
      <c r="W4" s="4" t="n">
        <v>0</v>
      </c>
      <c r="X4" s="2" t="inlineStr">
        <is>
          <t>银两×8000</t>
        </is>
      </c>
      <c r="Y4" s="2" t="inlineStr">
        <is>
          <t>《驭雷术》秘术×1；触发5.0000%；随机池huashan_equipment_pool（书生折扇、雁翎帽）×1；触发60.0000%</t>
        </is>
      </c>
      <c r="Z4" s="2" t="n">
        <v>2</v>
      </c>
      <c r="AA4" s="2" t="inlineStr">
        <is>
          <t>按配置导入</t>
        </is>
      </c>
      <c r="AB4" s="2" t="n"/>
      <c r="AC4" s="2" t="inlineStr">
        <is>
          <t>data/mission_templates.yaml:L287</t>
        </is>
      </c>
      <c r="AD4" s="2" t="inlineStr">
        <is>
          <t>{}</t>
        </is>
      </c>
      <c r="AE4" s="2" t="inlineStr">
        <is>
          <t>{"level":2,"guest_level":12,"guest_bonus":0}</t>
        </is>
      </c>
      <c r="AF4" s="2" t="inlineStr">
        <is>
          <t>{"key":"huashan_lunjian","name":"华山论贱","display_order":2,"difficulty":"junior","description":"中原大地，经过无数年的风吹雨打，各大贱派均元气大伤，数百年的休养调整使各大贱客高手知耻后勇，不断创新各种贱术秘籍，停办经年的贱客比武大赛将顺应民意在华山之巅重新开启，各路英雄贱客可在此大展身手，争当新一届人见人爱、花见花开的贱客之王，在此和谐社会留下自己奋斗的印记。\n","battle_type":"task1","guest_only":true,"enemy_guests":[{"key":"task_huashan_jianwang","label":"贱王之王"},{"key":"task_huashan_jianjing","label":"顶级贱精"},{"key":"task_huashan_jianjing","label":"顶级贱精"},{"key":"task_huashan_audience_a","label":"观众甲"}],"enemy_technology":{"level":2,"guest_level":12,"guest_bonus":0},"drop_table":{"silver":8000,"book_thunder_control":0.05,"huashan_equipment_pool":{"chance":0.6,"count":1,"choices":["equip_shushengzhesan","equip_yanlingmao"]}},"daily_limit":3}</t>
        </is>
      </c>
      <c r="AG4" s="2" t="n">
        <v>10</v>
      </c>
      <c r="AH4" s="2" t="inlineStr">
        <is>
          <t>挑战者庄园</t>
        </is>
      </c>
    </row>
    <row r="5">
      <c r="A5" s="2" t="n">
        <v>4</v>
      </c>
      <c r="B5" s="2" t="inlineStr">
        <is>
          <t>wagangzhai_nixi</t>
        </is>
      </c>
      <c r="C5" s="2" t="inlineStr">
        <is>
          <t>瓦岗寨的逆袭</t>
        </is>
      </c>
      <c r="D5" s="2" t="inlineStr">
        <is>
          <t>中级</t>
        </is>
      </c>
      <c r="E5" s="2" t="inlineStr">
        <is>
          <t>task1</t>
        </is>
      </c>
      <c r="F5" s="2" t="inlineStr">
        <is>
          <t>是</t>
        </is>
      </c>
      <c r="G5" s="2" t="inlineStr">
        <is>
          <t>否</t>
        </is>
      </c>
      <c r="H5" s="2" t="n">
        <v>3</v>
      </c>
      <c r="I5" s="2" t="n">
        <v>1800</v>
      </c>
      <c r="J5" s="2" t="inlineStr">
        <is>
          <t>每日开放</t>
        </is>
      </c>
      <c r="K5" s="2" t="inlineStr">
        <is>
          <t>无</t>
        </is>
      </c>
      <c r="L5" s="3">
        <f>SUMIFS(敌方阵容!$F$2:$F$258,敌方阵容!$A$2:$A$258,B5,敌方阵容!$D$2:$D$258,"门客")</f>
        <v>6</v>
      </c>
      <c r="M5" s="3">
        <f>SUMIFS(敌方阵容!$F$2:$F$258,敌方阵容!$A$2:$A$258,B5,敌方阵容!$D$2:$D$258,"护院")</f>
        <v>2400</v>
      </c>
      <c r="N5" s="3">
        <f>COUNTIF(任务掉落明细!$B$2:$B$290,B5)</f>
        <v>11</v>
      </c>
      <c r="O5" s="3">
        <f>COUNTIFS(任务掉落明细!$B$2:$B$290,B5,任务掉落明细!$X$2:$X$290,1)</f>
        <v>1</v>
      </c>
      <c r="P5" s="3">
        <f>COUNTIFS(任务掉落明细!$B$2:$B$290,B5,任务掉落明细!$X$2:$X$290,"&lt;1")</f>
        <v>10</v>
      </c>
      <c r="Q5" s="2" t="inlineStr">
        <is>
          <t>个人任务</t>
        </is>
      </c>
      <c r="R5" s="2" t="n"/>
      <c r="S5" s="2" t="n">
        <v>5</v>
      </c>
      <c r="T5" s="2" t="inlineStr">
        <is>
          <t xml:space="preserve">在上一次广大庄园主联手扫荡瓦岗寨时，正值瓦岗五虎出门执行任务，翟让和程咬金输的并不服气，为了证明瓦岗寨的实力，翟让率领瓦岗五虎"秦叔宝"、"单雄信"、"王伯当"、"罗成"、"程咬金"携山寨喽啰兵600人亲自上各庄园寻衅……这一次的战场变成了您的庄园，请加强防御设施，让您的门客和护院准备好迎接战斗洗礼。
</t>
        </is>
      </c>
      <c r="U5" s="2" t="n">
        <v>10</v>
      </c>
      <c r="V5" s="2" t="n">
        <v>100</v>
      </c>
      <c r="W5" s="4" t="n">
        <v>0.3</v>
      </c>
      <c r="X5" s="2" t="inlineStr">
        <is>
          <t>银两×40000</t>
        </is>
      </c>
      <c r="Y5" s="2" t="inlineStr">
        <is>
          <t>《寒冰咒》秘术×1；触发20.0000%；《夺命连环剑》秘术×1；触发4.0000%；经验菠萝×5；触发30.0000%；飞云锥×1；触发10.0000%；铁护符×1；触发6.0000%；义气腰牌×1；触发5.0000%；玄铁盔×1；触发7.0000%；寒铁盔×1；触发6.0000%；乌金甲×1；触发6.0000%；鳞纹战甲×1；触发5.0000%</t>
        </is>
      </c>
      <c r="Z5" s="2" t="n">
        <v>7</v>
      </c>
      <c r="AA5" s="2" t="inlineStr">
        <is>
          <t>按配置导入</t>
        </is>
      </c>
      <c r="AB5" s="2" t="n"/>
      <c r="AC5" s="2" t="inlineStr">
        <is>
          <t>data/mission_templates.yaml:L326</t>
        </is>
      </c>
      <c r="AD5" s="2" t="inlineStr">
        <is>
          <t>{}</t>
        </is>
      </c>
      <c r="AE5" s="2" t="inlineStr">
        <is>
          <t>{"level":10,"guest_level":100,"guest_bonus":0.3}</t>
        </is>
      </c>
      <c r="AF5" s="2" t="inlineStr">
        <is>
          <t>{"key":"wagangzhai_nixi","name":"瓦岗寨的逆袭","difficulty":"intermediate","description":"在上一次广大庄园主联手扫荡瓦岗寨时，正值瓦岗五虎出门执行任务，翟让和程咬金输的并不服气，为了证明瓦岗寨的实力，翟让率领瓦岗五虎\"秦叔宝\"、\"单雄信\"、\"王伯当\"、\"罗成\"、\"程咬金\"携山寨喽啰兵600人亲自上各庄园寻衅……这一次的战场变成了您的庄园，请加强防御设施，让您的门客和护院准备好迎接战斗洗礼。\n","battle_type":"task1","is_defense":true,"display_order":7,"enemy_guests":[{"key":"hist_suitang_0162_zhairang","skills":["tangseng_sermon"]},{"key":"hero_qin_shubao","skills":["brahma_true_fire"]},"hist_suitang_0164_shanxiongxin","hist_suitang_0165_wangbodang","hero_luo_cheng","hero_cheng_yaojin"],"enemy_technology":{"level":10,"guest_level":100,"guest_bonus":0.3},"enemy_troops":{"arrow_god":800,"quan_sheng":800,"qiang_wang":800},"drop_table":{"silver":40000,"book_ice_curse":0.2,"book_fatal_chain_sword":0.04,"experience_pineapple":{"chance":0.3,"count":5},"equip_feiyunzui":0.1,"equip_tiehufu":0.06,"equip_yiqiyaopai":0.05,"equip_xuantiekui":0.07,"equip_hantiekui":0.06,"equip_wujinjia":0.06,"equip_linwenzhanjia":0.05},"base_travel_time":1800,"daily_limit":3}</t>
        </is>
      </c>
      <c r="AG5" s="2" t="n">
        <v>10</v>
      </c>
      <c r="AH5" s="2" t="inlineStr">
        <is>
          <t>挑战者庄园</t>
        </is>
      </c>
    </row>
    <row r="6">
      <c r="A6" s="2" t="n">
        <v>5</v>
      </c>
      <c r="B6" s="2" t="inlineStr">
        <is>
          <t>jingyanggang</t>
        </is>
      </c>
      <c r="C6" s="2" t="inlineStr">
        <is>
          <t>景阳冈</t>
        </is>
      </c>
      <c r="D6" s="2" t="inlineStr">
        <is>
          <t>初级</t>
        </is>
      </c>
      <c r="E6" s="2" t="inlineStr">
        <is>
          <t>task1</t>
        </is>
      </c>
      <c r="F6" s="2" t="inlineStr">
        <is>
          <t>否</t>
        </is>
      </c>
      <c r="G6" s="2" t="inlineStr">
        <is>
          <t>是</t>
        </is>
      </c>
      <c r="H6" s="2" t="n">
        <v>3</v>
      </c>
      <c r="I6" s="2" t="n">
        <v>1800</v>
      </c>
      <c r="J6" s="2" t="inlineStr">
        <is>
          <t>每日开放</t>
        </is>
      </c>
      <c r="K6" s="2" t="inlineStr">
        <is>
          <t>无</t>
        </is>
      </c>
      <c r="L6" s="3">
        <f>SUMIFS(敌方阵容!$F$2:$F$258,敌方阵容!$A$2:$A$258,B6,敌方阵容!$D$2:$D$258,"门客")</f>
        <v>1</v>
      </c>
      <c r="M6" s="3">
        <f>SUMIFS(敌方阵容!$F$2:$F$258,敌方阵容!$A$2:$A$258,B6,敌方阵容!$D$2:$D$258,"护院")</f>
        <v>0</v>
      </c>
      <c r="N6" s="3">
        <f>COUNTIF(任务掉落明细!$B$2:$B$290,B6)</f>
        <v>3</v>
      </c>
      <c r="O6" s="3">
        <f>COUNTIFS(任务掉落明细!$B$2:$B$290,B6,任务掉落明细!$X$2:$X$290,1)</f>
        <v>1</v>
      </c>
      <c r="P6" s="3">
        <f>COUNTIFS(任务掉落明细!$B$2:$B$290,B6,任务掉落明细!$X$2:$X$290,"&lt;1")</f>
        <v>2</v>
      </c>
      <c r="Q6" s="2" t="inlineStr">
        <is>
          <t>个人任务</t>
        </is>
      </c>
      <c r="R6" s="2" t="n"/>
      <c r="S6" s="2" t="n">
        <v>5</v>
      </c>
      <c r="T6" s="2" t="inlineStr">
        <is>
          <t xml:space="preserve">景阳冈上有只吊睛白额大虫伤害人命，官府多次派猎户擒捉未果，往客商人只能在巳午未三个时辰结伴过冈，其馀时分，及单身客人，不能过冈，恐被伤害性命。
</t>
        </is>
      </c>
      <c r="U6" s="2" t="n">
        <v>3</v>
      </c>
      <c r="V6" s="2" t="n">
        <v>15</v>
      </c>
      <c r="W6" s="4" t="n">
        <v>0.02</v>
      </c>
      <c r="X6" s="2" t="inlineStr">
        <is>
          <t>银两×7000</t>
        </is>
      </c>
      <c r="Y6" s="2" t="inlineStr">
        <is>
          <t>随机池jingyang_equipment_pool（虎皮靴、虎纹盔）×1；触发50.0000%</t>
        </is>
      </c>
      <c r="Z6" s="2" t="n">
        <v>1</v>
      </c>
      <c r="AA6" s="2" t="inlineStr">
        <is>
          <t>按配置导入</t>
        </is>
      </c>
      <c r="AB6" s="2" t="n"/>
      <c r="AC6" s="2" t="inlineStr">
        <is>
          <t>data/mission_templates.yaml:L379</t>
        </is>
      </c>
      <c r="AD6" s="2" t="inlineStr">
        <is>
          <t>{}</t>
        </is>
      </c>
      <c r="AE6" s="2" t="inlineStr">
        <is>
          <t>{"level":3,"guest_level":15,"guest_bonus":0.02}</t>
        </is>
      </c>
      <c r="AF6" s="2" t="inlineStr">
        <is>
          <t>{"key":"jingyanggang","name":"景阳冈","display_order":1,"difficulty":"junior","description":"景阳冈上有只吊睛白额大虫伤害人命，官府多次派猎户擒捉未果，往客商人只能在巳午未三个时辰结伴过冈，其馀时分，及单身客人，不能过冈，恐被伤害性命。\n","battle_type":"task1","guest_only":true,"enemy_guests":[{"key":"task_jingyang_tiger","label":"猛虎"}],"enemy_technology":{"level":3,"guest_level":15,"guest_bonus":0.02},"drop_table":{"silver":7000,"jingyang_equipment_pool":{"chance":0.5,"count":1,"choices":["equip_hupixue","equip_huwenkui"]}},"daily_limit":3}</t>
        </is>
      </c>
      <c r="AG6" s="2" t="n">
        <v>10</v>
      </c>
      <c r="AH6" s="2" t="inlineStr">
        <is>
          <t>挑战者庄园</t>
        </is>
      </c>
    </row>
    <row r="7">
      <c r="A7" s="2" t="n">
        <v>6</v>
      </c>
      <c r="B7" s="2" t="inlineStr">
        <is>
          <t>wulongshan</t>
        </is>
      </c>
      <c r="C7" s="2" t="inlineStr">
        <is>
          <t>乌龙山</t>
        </is>
      </c>
      <c r="D7" s="2" t="inlineStr">
        <is>
          <t>初级</t>
        </is>
      </c>
      <c r="E7" s="2" t="inlineStr">
        <is>
          <t>task1</t>
        </is>
      </c>
      <c r="F7" s="2" t="inlineStr">
        <is>
          <t>否</t>
        </is>
      </c>
      <c r="G7" s="2" t="inlineStr">
        <is>
          <t>否</t>
        </is>
      </c>
      <c r="H7" s="2" t="n">
        <v>3</v>
      </c>
      <c r="I7" s="2" t="n">
        <v>1800</v>
      </c>
      <c r="J7" s="2" t="inlineStr">
        <is>
          <t>每日开放</t>
        </is>
      </c>
      <c r="K7" s="2" t="inlineStr">
        <is>
          <t>无</t>
        </is>
      </c>
      <c r="L7" s="3">
        <f>SUMIFS(敌方阵容!$F$2:$F$258,敌方阵容!$A$2:$A$258,B7,敌方阵容!$D$2:$D$258,"门客")</f>
        <v>2</v>
      </c>
      <c r="M7" s="3">
        <f>SUMIFS(敌方阵容!$F$2:$F$258,敌方阵容!$A$2:$A$258,B7,敌方阵容!$D$2:$D$258,"护院")</f>
        <v>200</v>
      </c>
      <c r="N7" s="3">
        <f>COUNTIF(任务掉落明细!$B$2:$B$290,B7)</f>
        <v>6</v>
      </c>
      <c r="O7" s="3">
        <f>COUNTIFS(任务掉落明细!$B$2:$B$290,B7,任务掉落明细!$X$2:$X$290,1)</f>
        <v>1</v>
      </c>
      <c r="P7" s="3">
        <f>COUNTIFS(任务掉落明细!$B$2:$B$290,B7,任务掉落明细!$X$2:$X$290,"&lt;1")</f>
        <v>5</v>
      </c>
      <c r="Q7" s="2" t="inlineStr">
        <is>
          <t>个人任务</t>
        </is>
      </c>
      <c r="R7" s="2" t="n"/>
      <c r="S7" s="2" t="n">
        <v>5</v>
      </c>
      <c r="T7" s="2" t="inlineStr">
        <is>
          <t xml:space="preserve">湘黔边界的乌龙山鲜少人迹，这里盘聚着一帮强盗将那里作为他们的大本营。他们借这乱世之际四处行凶，烧杀凌掠无恶不作，种种罪行令人发指。由于此帮强盗行迹过于放肆导致朝野上下为之震动，朝廷号召各方能人尽快歼灭这帮流寇。
</t>
        </is>
      </c>
      <c r="U7" s="2" t="n">
        <v>4</v>
      </c>
      <c r="V7" s="2" t="n">
        <v>20</v>
      </c>
      <c r="W7" s="4" t="n">
        <v>0.04</v>
      </c>
      <c r="X7" s="2" t="inlineStr">
        <is>
          <t>银两×15000</t>
        </is>
      </c>
      <c r="Y7" s="2" t="inlineStr">
        <is>
          <t>《破龙咒》秘术×1；触发5.0000%；随机池wulong_equipment_pool（豹头盔、铁骨棍、游侠靴、蒙古马）×1；触发70.0000%</t>
        </is>
      </c>
      <c r="Z7" s="2" t="n">
        <v>4</v>
      </c>
      <c r="AA7" s="2" t="inlineStr">
        <is>
          <t>按配置导入</t>
        </is>
      </c>
      <c r="AB7" s="2" t="n"/>
      <c r="AC7" s="2" t="inlineStr">
        <is>
          <t>data/mission_templates.yaml:L408</t>
        </is>
      </c>
      <c r="AD7" s="2" t="inlineStr">
        <is>
          <t>{}</t>
        </is>
      </c>
      <c r="AE7" s="2" t="inlineStr">
        <is>
          <t>{"level":4,"guest_level":20,"guest_bonus":0.04}</t>
        </is>
      </c>
      <c r="AF7" s="2" t="inlineStr">
        <is>
          <t>{"key":"wulongshan","name":"乌龙山","difficulty":"junior","display_order":4,"description":"湘黔边界的乌龙山鲜少人迹，这里盘聚着一帮强盗将那里作为他们的大本营。他们借这乱世之际四处行凶，烧杀凌掠无恶不作，种种罪行令人发指。由于此帮强盗行迹过于放肆导致朝野上下为之震动，朝廷号召各方能人尽快歼灭这帮流寇。\n","battle_type":"task1","enemy_guests":[{"key":"task_wulong_bandit_chief_zuanshanbao","label":"钻山豹"},{"key":"task_wulong_bandit_chief_zuoshandiao","label":"座山雕"}],"enemy_technology":{"level":4,"guest_level":20,"guest_bonus":0.04},"enemy_troops":{"qiang_ke":200},"drop_table":{"silver":15000,"book_dragon_break_curse":0.05,"wulong_equipment_pool":{"chance":0.7,"count":1,"choices":["equip_baoutoukui","equip_tiegugun","equip_youxiaxue","equip_mengguma"]}},"daily_limit":3}</t>
        </is>
      </c>
      <c r="AG7" s="2" t="n">
        <v>10</v>
      </c>
      <c r="AH7" s="2" t="inlineStr">
        <is>
          <t>挑战者庄园</t>
        </is>
      </c>
    </row>
    <row r="8">
      <c r="A8" s="2" t="n">
        <v>7</v>
      </c>
      <c r="B8" s="2" t="inlineStr">
        <is>
          <t>wagangzhai</t>
        </is>
      </c>
      <c r="C8" s="2" t="inlineStr">
        <is>
          <t>瓦岗寨</t>
        </is>
      </c>
      <c r="D8" s="2" t="inlineStr">
        <is>
          <t>初级</t>
        </is>
      </c>
      <c r="E8" s="2" t="inlineStr">
        <is>
          <t>task1</t>
        </is>
      </c>
      <c r="F8" s="2" t="inlineStr">
        <is>
          <t>否</t>
        </is>
      </c>
      <c r="G8" s="2" t="inlineStr">
        <is>
          <t>否</t>
        </is>
      </c>
      <c r="H8" s="2" t="n">
        <v>3</v>
      </c>
      <c r="I8" s="2" t="n">
        <v>1800</v>
      </c>
      <c r="J8" s="2" t="inlineStr">
        <is>
          <t>每日开放</t>
        </is>
      </c>
      <c r="K8" s="2" t="inlineStr">
        <is>
          <t>无</t>
        </is>
      </c>
      <c r="L8" s="3">
        <f>SUMIFS(敌方阵容!$F$2:$F$258,敌方阵容!$A$2:$A$258,B8,敌方阵容!$D$2:$D$258,"门客")</f>
        <v>2</v>
      </c>
      <c r="M8" s="3">
        <f>SUMIFS(敌方阵容!$F$2:$F$258,敌方阵容!$A$2:$A$258,B8,敌方阵容!$D$2:$D$258,"护院")</f>
        <v>400</v>
      </c>
      <c r="N8" s="3">
        <f>COUNTIF(任务掉落明细!$B$2:$B$290,B8)</f>
        <v>10</v>
      </c>
      <c r="O8" s="3">
        <f>COUNTIFS(任务掉落明细!$B$2:$B$290,B8,任务掉落明细!$X$2:$X$290,1)</f>
        <v>1</v>
      </c>
      <c r="P8" s="3">
        <f>COUNTIFS(任务掉落明细!$B$2:$B$290,B8,任务掉落明细!$X$2:$X$290,"&lt;1")</f>
        <v>9</v>
      </c>
      <c r="Q8" s="2" t="inlineStr">
        <is>
          <t>个人任务</t>
        </is>
      </c>
      <c r="R8" s="2" t="n"/>
      <c r="S8" s="2" t="n">
        <v>5</v>
      </c>
      <c r="T8" s="2" t="inlineStr">
        <is>
          <t xml:space="preserve">瓦岗寨原来的寨主翟让被程咬金击败后让出寨主之位，程咬金自号"大魔国混世魔王"，并带领瓦岗军四处出门踢馆打劫，引得各地庄园主怨声在道，大家决定联手打击瓦岗寨，维护和保障各庄园的和平与稳定。
</t>
        </is>
      </c>
      <c r="U8" s="2" t="n">
        <v>5</v>
      </c>
      <c r="V8" s="2" t="n">
        <v>35</v>
      </c>
      <c r="W8" s="4" t="n">
        <v>0.1</v>
      </c>
      <c r="X8" s="2" t="inlineStr">
        <is>
          <t>银两×20000</t>
        </is>
      </c>
      <c r="Y8" s="2" t="inlineStr">
        <is>
          <t>随机池wagang_equipment_pool（锁子甲、山纹甲、铁线甲、破风戟、铜山锤、铁护符、义气腰牌、西凉马、赤骠）×1；触发75.0000%</t>
        </is>
      </c>
      <c r="Z8" s="2" t="n">
        <v>5</v>
      </c>
      <c r="AA8" s="2" t="inlineStr">
        <is>
          <t>按配置导入</t>
        </is>
      </c>
      <c r="AB8" s="2" t="n"/>
      <c r="AC8" s="2" t="inlineStr">
        <is>
          <t>data/mission_templates.yaml:L444</t>
        </is>
      </c>
      <c r="AD8" s="2" t="inlineStr">
        <is>
          <t>{}</t>
        </is>
      </c>
      <c r="AE8" s="2" t="inlineStr">
        <is>
          <t>{"level":5,"guest_level":35,"guest_bonus":0.1}</t>
        </is>
      </c>
      <c r="AF8" s="2" t="inlineStr">
        <is>
          <t>{"key":"wagangzhai","name":"瓦岗寨","difficulty":"junior","display_order":5,"description":"瓦岗寨原来的寨主翟让被程咬金击败后让出寨主之位，程咬金自号\"大魔国混世魔王\"，并带领瓦岗军四处出门踢馆打劫，引得各地庄园主怨声在道，大家决定联手打击瓦岗寨，维护和保障各庄园的和平与稳定。\n","battle_type":"task1","enemy_guests":["hero_cheng_yaojin","hist_suitang_0162_zhairang"],"enemy_troops":{"jian_xia":400},"enemy_technology":{"level":5,"guest_level":35,"guest_bonus":0.1},"drop_table":{"silver":20000,"wagang_equipment_pool":{"chance":0.75,"count":1,"choices":["equip_suozijia","equip_shanwenjia","equip_tiexianjia","equip_pofengji","equip_tongshanchui","equip_tiehufu","equip_yiqiyaopai","equip_xiliangma","equip_chibiao"]}},"daily_limit":3}</t>
        </is>
      </c>
      <c r="AG8" s="2" t="n">
        <v>10</v>
      </c>
      <c r="AH8" s="2" t="inlineStr">
        <is>
          <t>挑战者庄园</t>
        </is>
      </c>
    </row>
    <row r="9">
      <c r="A9" s="2" t="n">
        <v>8</v>
      </c>
      <c r="B9" s="2" t="inlineStr">
        <is>
          <t>fugui_shanzhuang</t>
        </is>
      </c>
      <c r="C9" s="2" t="inlineStr">
        <is>
          <t>富贵山庄</t>
        </is>
      </c>
      <c r="D9" s="2" t="inlineStr">
        <is>
          <t>初级</t>
        </is>
      </c>
      <c r="E9" s="2" t="inlineStr">
        <is>
          <t>task1</t>
        </is>
      </c>
      <c r="F9" s="2" t="inlineStr">
        <is>
          <t>否</t>
        </is>
      </c>
      <c r="G9" s="2" t="inlineStr">
        <is>
          <t>是</t>
        </is>
      </c>
      <c r="H9" s="2" t="n">
        <v>3</v>
      </c>
      <c r="I9" s="2" t="n">
        <v>1800</v>
      </c>
      <c r="J9" s="2" t="inlineStr">
        <is>
          <t>每日开放</t>
        </is>
      </c>
      <c r="K9" s="2" t="inlineStr">
        <is>
          <t>无</t>
        </is>
      </c>
      <c r="L9" s="3">
        <f>SUMIFS(敌方阵容!$F$2:$F$258,敌方阵容!$A$2:$A$258,B9,敌方阵容!$D$2:$D$258,"门客")</f>
        <v>1</v>
      </c>
      <c r="M9" s="3">
        <f>SUMIFS(敌方阵容!$F$2:$F$258,敌方阵容!$A$2:$A$258,B9,敌方阵容!$D$2:$D$258,"护院")</f>
        <v>0</v>
      </c>
      <c r="N9" s="3">
        <f>COUNTIF(任务掉落明细!$B$2:$B$290,B9)</f>
        <v>6</v>
      </c>
      <c r="O9" s="3">
        <f>COUNTIFS(任务掉落明细!$B$2:$B$290,B9,任务掉落明细!$X$2:$X$290,1)</f>
        <v>1</v>
      </c>
      <c r="P9" s="3">
        <f>COUNTIFS(任务掉落明细!$B$2:$B$290,B9,任务掉落明细!$X$2:$X$290,"&lt;1")</f>
        <v>5</v>
      </c>
      <c r="Q9" s="2" t="inlineStr">
        <is>
          <t>个人任务</t>
        </is>
      </c>
      <c r="R9" s="2" t="n"/>
      <c r="S9" s="2" t="n">
        <v>5</v>
      </c>
      <c r="T9" s="2" t="inlineStr">
        <is>
          <t xml:space="preserve">富贵山庄，其美甲天下、其富可敌国，庄主张富贵更是好客之人，但凡江湖有难，他都不遗余力伸出援助之手，解人燃眉。故被人予以"雪中炭"之美名。江湖多有时运不济、怀才不遇的落魄之士，若想求得张庄主帮助，必先证明自己才识。在接受庄主考验后，若能得到庄主赏识，则日后必荣禄相授。
</t>
        </is>
      </c>
      <c r="U9" s="2" t="n">
        <v>3</v>
      </c>
      <c r="V9" s="2" t="n">
        <v>40</v>
      </c>
      <c r="W9" s="4" t="n">
        <v>0.05</v>
      </c>
      <c r="X9" s="2" t="inlineStr">
        <is>
          <t>银两×14000</t>
        </is>
      </c>
      <c r="Y9" s="2" t="inlineStr">
        <is>
          <t>《静水筹谋》秘术×1；触发5.0000%；随机池fugui_equipment_pool（玉佩、福袋、竹简、墨玉砚）×1；触发80.0000%</t>
        </is>
      </c>
      <c r="Z9" s="2" t="n">
        <v>3</v>
      </c>
      <c r="AA9" s="2" t="inlineStr">
        <is>
          <t>按配置导入</t>
        </is>
      </c>
      <c r="AB9" s="2" t="n"/>
      <c r="AC9" s="2" t="inlineStr">
        <is>
          <t>data/mission_templates.yaml:L482</t>
        </is>
      </c>
      <c r="AD9" s="2" t="inlineStr">
        <is>
          <t>{}</t>
        </is>
      </c>
      <c r="AE9" s="2" t="inlineStr">
        <is>
          <t>{"level":3,"guest_level":40,"guest_bonus":0.05}</t>
        </is>
      </c>
      <c r="AF9" s="2" t="inlineStr">
        <is>
          <t>{"key":"fugui_shanzhuang","name":"富贵山庄","difficulty":"junior","display_order":3,"description":"富贵山庄，其美甲天下、其富可敌国，庄主张富贵更是好客之人，但凡江湖有难，他都不遗余力伸出援助之手，解人燃眉。故被人予以\"雪中炭\"之美名。江湖多有时运不济、怀才不遇的落魄之士，若想求得张庄主帮助，必先证明自己才识。在接受庄主考验后，若能得到庄主赏识，则日后必荣禄相授。\n","battle_type":"task1","guest_only":true,"enemy_guests":[{"key":"task_fugui_instructor","label":"武师教头"}],"enemy_technology":{"level":3,"guest_level":40,"guest_bonus":0.05},"drop_table":{"silver":14000,"book_steadfast_planning":0.05,"fugui_equipment_pool":{"chance":0.8,"count":1,"choices":["equip_yupei","equip_fudai","equip_zhujian","equip_moyuyan"]}},"daily_limit":3}</t>
        </is>
      </c>
      <c r="AG9" s="2" t="n">
        <v>10</v>
      </c>
      <c r="AH9" s="2" t="inlineStr">
        <is>
          <t>挑战者庄园</t>
        </is>
      </c>
    </row>
    <row r="10">
      <c r="A10" s="2" t="n">
        <v>9</v>
      </c>
      <c r="B10" s="2" t="inlineStr">
        <is>
          <t>shizipo_heidian</t>
        </is>
      </c>
      <c r="C10" s="2" t="inlineStr">
        <is>
          <t>十字坡黑店</t>
        </is>
      </c>
      <c r="D10" s="2" t="inlineStr">
        <is>
          <t>中级</t>
        </is>
      </c>
      <c r="E10" s="2" t="inlineStr">
        <is>
          <t>task1</t>
        </is>
      </c>
      <c r="F10" s="2" t="inlineStr">
        <is>
          <t>否</t>
        </is>
      </c>
      <c r="G10" s="2" t="inlineStr">
        <is>
          <t>否</t>
        </is>
      </c>
      <c r="H10" s="2" t="n">
        <v>3</v>
      </c>
      <c r="I10" s="2" t="n">
        <v>1800</v>
      </c>
      <c r="J10" s="2" t="inlineStr">
        <is>
          <t>每日开放</t>
        </is>
      </c>
      <c r="K10" s="2" t="inlineStr">
        <is>
          <t>无</t>
        </is>
      </c>
      <c r="L10" s="3">
        <f>SUMIFS(敌方阵容!$F$2:$F$258,敌方阵容!$A$2:$A$258,B10,敌方阵容!$D$2:$D$258,"门客")</f>
        <v>2</v>
      </c>
      <c r="M10" s="3">
        <f>SUMIFS(敌方阵容!$F$2:$F$258,敌方阵容!$A$2:$A$258,B10,敌方阵容!$D$2:$D$258,"护院")</f>
        <v>700</v>
      </c>
      <c r="N10" s="3">
        <f>COUNTIF(任务掉落明细!$B$2:$B$290,B10)</f>
        <v>12</v>
      </c>
      <c r="O10" s="3">
        <f>COUNTIFS(任务掉落明细!$B$2:$B$290,B10,任务掉落明细!$X$2:$X$290,1)</f>
        <v>1</v>
      </c>
      <c r="P10" s="3">
        <f>COUNTIFS(任务掉落明细!$B$2:$B$290,B10,任务掉落明细!$X$2:$X$290,"&lt;1")</f>
        <v>11</v>
      </c>
      <c r="Q10" s="2" t="inlineStr">
        <is>
          <t>个人任务</t>
        </is>
      </c>
      <c r="R10" s="2" t="n"/>
      <c r="S10" s="2" t="n">
        <v>5</v>
      </c>
      <c r="T10" s="2" t="inlineStr">
        <is>
          <t xml:space="preserve">孙二娘和张青在十字坡开酒店，常用蒙汗药蒙翻过往行人。他们将行人杀死后，大块好肉当作黄牛肉卖，零碎小肉，做馅包馒头。江湖有传言说："大树十字坡，客人谁敢那里过？肥的切做馒头馅，瘦的却丢去填河。"
</t>
        </is>
      </c>
      <c r="U10" s="2" t="n">
        <v>6</v>
      </c>
      <c r="V10" s="2" t="n">
        <v>70</v>
      </c>
      <c r="W10" s="4" t="n">
        <v>0.1</v>
      </c>
      <c r="X10" s="2" t="inlineStr">
        <is>
          <t>银两×30000</t>
        </is>
      </c>
      <c r="Y10" s="2" t="inlineStr">
        <is>
          <t>随机池shizipo_skill_book_random（《销魂蚀骨》秘术、《招锋引敌》秘术）×1；触发8.0000%；护身符×1；触发10.0000%；铜镜×1；触发10.0000%；福袋×1；触发10.0000%；断魂鞭×1；触发20.0000%；寒月剑×1；触发10.0000%；烈焰刀×1；触发10.0000%；镇岳锤×1；触发10.0000%；虎牙项链×1；触发10.0000%；血玉镯×1；触发10.0000%</t>
        </is>
      </c>
      <c r="Z10" s="2" t="n">
        <v>5</v>
      </c>
      <c r="AA10" s="2" t="inlineStr">
        <is>
          <t>按配置导入</t>
        </is>
      </c>
      <c r="AB10" s="2" t="n"/>
      <c r="AC10" s="2" t="inlineStr">
        <is>
          <t>data/mission_templates.yaml:L514</t>
        </is>
      </c>
      <c r="AD10" s="2" t="inlineStr">
        <is>
          <t>{}</t>
        </is>
      </c>
      <c r="AE10" s="2" t="inlineStr">
        <is>
          <t>{"level":6,"guest_level":70,"guest_bonus":0.1}</t>
        </is>
      </c>
      <c r="AF10" s="2" t="inlineStr">
        <is>
          <t>{"key":"shizipo_heidian","name":"十字坡黑店","difficulty":"intermediate","display_order":5,"description":"孙二娘和张青在十字坡开酒店，常用蒙汗药蒙翻过往行人。他们将行人杀死后，大块好肉当作黄牛肉卖，零碎小肉，做馅包馒头。江湖有传言说：\"大树十字坡，客人谁敢那里过？肥的切做馒头馅，瘦的却丢去填河。\"\n","battle_type":"task1","enemy_guests":[{"key":"task_shizipo_sun_erniang","label":"孙二娘"},{"key":"task_shizipo_zhang_qing","label":"张青"}],"enemy_troops":{"quan_wang":300,"divine_archer":300,"dao_ba":100},"enemy_technology":{"level":6,"guest_level":70,"guest_bonus":0.1},"drop_table":{"silver":30000,"shizipo_skill_book_random":{"chance":0.08,"choices":[{"item_key":"book_soul_erode","weight":1},{"item_key":"book_draw_enemy_blades","weight":1}]},"equip_hushenfu":0.1,"equip_tongjing":0.1,"equip_fudai":0.1,"equip_duanhunbian":0.2,"equip_hanyuejian":0.1,"equip_lieyandao":0.1,"equip_zhenyuechui":0.1,"equip_huyaxianglian":0.1,"equip_xueyuzhuo":0.1},"daily_limit":3}</t>
        </is>
      </c>
      <c r="AG10" s="2" t="n">
        <v>10</v>
      </c>
      <c r="AH10" s="2" t="inlineStr">
        <is>
          <t>挑战者庄园</t>
        </is>
      </c>
    </row>
    <row r="11">
      <c r="A11" s="2" t="n">
        <v>10</v>
      </c>
      <c r="B11" s="2" t="inlineStr">
        <is>
          <t>shanhaiguan</t>
        </is>
      </c>
      <c r="C11" s="2" t="inlineStr">
        <is>
          <t>山海关</t>
        </is>
      </c>
      <c r="D11" s="2" t="inlineStr">
        <is>
          <t>中级</t>
        </is>
      </c>
      <c r="E11" s="2" t="inlineStr">
        <is>
          <t>task1</t>
        </is>
      </c>
      <c r="F11" s="2" t="inlineStr">
        <is>
          <t>否</t>
        </is>
      </c>
      <c r="G11" s="2" t="inlineStr">
        <is>
          <t>否</t>
        </is>
      </c>
      <c r="H11" s="2" t="n">
        <v>3</v>
      </c>
      <c r="I11" s="2" t="n">
        <v>1800</v>
      </c>
      <c r="J11" s="2" t="inlineStr">
        <is>
          <t>每日开放</t>
        </is>
      </c>
      <c r="K11" s="2" t="inlineStr">
        <is>
          <t>无</t>
        </is>
      </c>
      <c r="L11" s="3">
        <f>SUMIFS(敌方阵容!$F$2:$F$258,敌方阵容!$A$2:$A$258,B11,敌方阵容!$D$2:$D$258,"门客")</f>
        <v>2</v>
      </c>
      <c r="M11" s="3">
        <f>SUMIFS(敌方阵容!$F$2:$F$258,敌方阵容!$A$2:$A$258,B11,敌方阵容!$D$2:$D$258,"护院")</f>
        <v>1500</v>
      </c>
      <c r="N11" s="3">
        <f>COUNTIF(任务掉落明细!$B$2:$B$290,B11)</f>
        <v>14</v>
      </c>
      <c r="O11" s="3">
        <f>COUNTIFS(任务掉落明细!$B$2:$B$290,B11,任务掉落明细!$X$2:$X$290,1)</f>
        <v>1</v>
      </c>
      <c r="P11" s="3">
        <f>COUNTIFS(任务掉落明细!$B$2:$B$290,B11,任务掉落明细!$X$2:$X$290,"&lt;1")</f>
        <v>13</v>
      </c>
      <c r="Q11" s="2" t="inlineStr">
        <is>
          <t>个人任务</t>
        </is>
      </c>
      <c r="R11" s="2" t="n"/>
      <c r="S11" s="2" t="n">
        <v>5</v>
      </c>
      <c r="T11" s="2" t="inlineStr">
        <is>
          <t xml:space="preserve">山海关所在的河西走廊是华北通向东北的咽喉地带，是一座及其重要的军事重镇，主要防御外族势力的入侵。吴三桂作为镇守山海关的大将，居然意图勾结外族势力，入侵中原。
</t>
        </is>
      </c>
      <c r="U11" s="2" t="n">
        <v>7</v>
      </c>
      <c r="V11" s="2" t="n">
        <v>70</v>
      </c>
      <c r="W11" s="4" t="n">
        <v>0.18</v>
      </c>
      <c r="X11" s="2" t="inlineStr">
        <is>
          <t>银两×40000</t>
        </is>
      </c>
      <c r="Y11" s="2" t="inlineStr">
        <is>
          <t>随机池shanhaiguan_skill_book_random（《铁壁心法》秘术、《绝处逢生》秘术）×1；触发9.0000%；罗盘×1；触发10.0000%；铁护符×1；触发10.0000%；飞羽盔×1；触发10.0000%；狼牙盔×1；触发10.0000%；照夜玉狮子×1；触发15.0000%；追电×1；触发10.0000%；白龙驹×1；触发10.0000%；随机池blueprint_xiaowei_set（校尉头盔图纸、校尉铠甲图纸、校尉长靴图纸、校尉长剑图纸）×1；触发35.0000%</t>
        </is>
      </c>
      <c r="Z11" s="2" t="n">
        <v>6</v>
      </c>
      <c r="AA11" s="2" t="inlineStr">
        <is>
          <t>按配置导入</t>
        </is>
      </c>
      <c r="AB11" s="2" t="n"/>
      <c r="AC11" s="2" t="inlineStr">
        <is>
          <t>data/mission_templates.yaml:L559</t>
        </is>
      </c>
      <c r="AD11" s="2" t="inlineStr">
        <is>
          <t>{}</t>
        </is>
      </c>
      <c r="AE11" s="2" t="inlineStr">
        <is>
          <t>{"level":7,"guest_level":70,"guest_bonus":0.18}</t>
        </is>
      </c>
      <c r="AF11" s="2" t="inlineStr">
        <is>
          <t>{"key":"shanhaiguan","name":"山海关","difficulty":"intermediate","display_order":6,"description":"山海关所在的河西走廊是华北通向东北的咽喉地带，是一座及其重要的军事重镇，主要防御外族势力的入侵。吴三桂作为镇守山海关的大将，居然意图勾结外族势力，入侵中原。\n","battle_type":"task1","enemy_guests":["hist_mingqing_0230","hist_mingqing_0054"],"enemy_troops":{"jian_sheng":500,"quan_wang":500,"qiang_ba":500},"enemy_technology":{"level":7,"guest_level":70,"guest_bonus":0.18},"drop_table":{"silver":40000,"shanhaiguan_skill_book_random":{"chance":0.09,"choices":[{"item_key":"book_iron_wall_heart","weight":5},{"item_key":"book_last_chance_revival","weight":4}]},"equip_luopan":0.1,"equip_tiehufu":0.1,"equip_feiyukui":0.1,"equip_langyakui":0.1,"equip_zhaoyeyushizi":0.15,"equip_zhuidian":0.1,"equip_bailongju":0.1,"blueprint_xiaowei_set":{"chance":0.35,"choices":["blueprint_xiaoweitoukie","blueprint_xiaoweikaijia","blueprint_xiaoweichangxue","blueprint_xiaoweichangjian"]}},"daily_limit":3}</t>
        </is>
      </c>
      <c r="AG11" s="2" t="n">
        <v>10</v>
      </c>
      <c r="AH11" s="2" t="inlineStr">
        <is>
          <t>挑战者庄园</t>
        </is>
      </c>
    </row>
    <row r="12">
      <c r="A12" s="2" t="n">
        <v>11</v>
      </c>
      <c r="B12" s="2" t="inlineStr">
        <is>
          <t>shiren_daochang</t>
        </is>
      </c>
      <c r="C12" s="2" t="inlineStr">
        <is>
          <t>十人道场</t>
        </is>
      </c>
      <c r="D12" s="2" t="inlineStr">
        <is>
          <t>中级</t>
        </is>
      </c>
      <c r="E12" s="2" t="inlineStr">
        <is>
          <t>task1</t>
        </is>
      </c>
      <c r="F12" s="2" t="inlineStr">
        <is>
          <t>否</t>
        </is>
      </c>
      <c r="G12" s="2" t="inlineStr">
        <is>
          <t>否</t>
        </is>
      </c>
      <c r="H12" s="2" t="n">
        <v>3</v>
      </c>
      <c r="I12" s="2" t="n">
        <v>1800</v>
      </c>
      <c r="J12" s="2" t="inlineStr">
        <is>
          <t>每日开放</t>
        </is>
      </c>
      <c r="K12" s="2" t="inlineStr">
        <is>
          <t>无</t>
        </is>
      </c>
      <c r="L12" s="3">
        <f>SUMIFS(敌方阵容!$F$2:$F$258,敌方阵容!$A$2:$A$258,B12,敌方阵容!$D$2:$D$258,"门客")</f>
        <v>10</v>
      </c>
      <c r="M12" s="3">
        <f>SUMIFS(敌方阵容!$F$2:$F$258,敌方阵容!$A$2:$A$258,B12,敌方阵容!$D$2:$D$258,"护院")</f>
        <v>0</v>
      </c>
      <c r="N12" s="3">
        <f>COUNTIF(任务掉落明细!$B$2:$B$290,B12)</f>
        <v>10</v>
      </c>
      <c r="O12" s="3">
        <f>COUNTIFS(任务掉落明细!$B$2:$B$290,B12,任务掉落明细!$X$2:$X$290,1)</f>
        <v>2</v>
      </c>
      <c r="P12" s="3">
        <f>COUNTIFS(任务掉落明细!$B$2:$B$290,B12,任务掉落明细!$X$2:$X$290,"&lt;1")</f>
        <v>8</v>
      </c>
      <c r="Q12" s="2" t="inlineStr">
        <is>
          <t>个人任务</t>
        </is>
      </c>
      <c r="R12" s="2" t="n"/>
      <c r="S12" s="2" t="n">
        <v>5</v>
      </c>
      <c r="T12" s="2" t="inlineStr">
        <is>
          <t xml:space="preserve">十人道场是春秋世界初级试炼之地，由恶人谷十大恶人驻守。只要能击败十大恶人，通过试炼，就能极速提升门客的等级和能力。
</t>
        </is>
      </c>
      <c r="U12" s="2" t="n">
        <v>6</v>
      </c>
      <c r="V12" s="2" t="n">
        <v>55</v>
      </c>
      <c r="W12" s="4" t="n">
        <v>0.08</v>
      </c>
      <c r="X12" s="2" t="inlineStr">
        <is>
          <t>银两×20000；经验桃子×9</t>
        </is>
      </c>
      <c r="Y12" s="2" t="inlineStr">
        <is>
          <t>随机池shiren_skill_book_random（《太乙生风》秘术、《天花乱坠》秘术）×1；触发10.0000%；檀木念珠×1；触发10.0000%；桃木剑×1；触发10.0000%；云纹盔×1；触发10.0000%；云纹法衣×1；触发10.0000%；星罗扇×1；触发10.0000%；灵狐坠×1；触发10.0000%</t>
        </is>
      </c>
      <c r="Z12" s="2" t="n">
        <v>3</v>
      </c>
      <c r="AA12" s="2" t="inlineStr">
        <is>
          <t>按配置导入</t>
        </is>
      </c>
      <c r="AB12" s="2" t="n"/>
      <c r="AC12" s="2" t="inlineStr">
        <is>
          <t>data/mission_templates.yaml:L607</t>
        </is>
      </c>
      <c r="AD12" s="2" t="inlineStr">
        <is>
          <t>{}</t>
        </is>
      </c>
      <c r="AE12" s="2" t="inlineStr">
        <is>
          <t>{"level":6,"guest_level":55,"guest_bonus":0.08}</t>
        </is>
      </c>
      <c r="AF12" s="2" t="inlineStr">
        <is>
          <t>{"key":"shiren_daochang","name":"十人道场","difficulty":"intermediate","display_order":3,"description":"十人道场是春秋世界初级试炼之地，由恶人谷十大恶人驻守。只要能击败十大恶人，通过试炼，就能极速提升门客的等级和能力。\n","battle_type":"task1","enemy_guests":["hero_du_sha","hero_li_dazui","hero_hahaer","hero_tu_jiaojiao","hero_yin_jiuyou",{"key":"task_shiren_xiaomimi","label":"萧咪咪"},{"key":"task_shiren_xuanyuansanguang","label":"轩辕三光"},{"key":"task_shiren_tiezhan","label":"铁战"},"hero_bai_kaixin",{"key":"task_shiren_luoshixiongdi","label":"罗氏兄弟"}],"enemy_technology":{"level":6,"guest_level":55,"guest_bonus":0.08},"drop_table":{"silver":20000,"shiren_skill_book_random":{"chance":0.1,"choices":[{"item_key":"book_taiyi_wind","weight":1},{"item_key":"book_flower_rain","weight":1}]},"experience_peach":9,"equip_tanmunianzhu":0.1,"equip_taomujian":0.1,"equip_yunwenkui":0.1,"equip_yunwenfayi":0.1,"equip_xingluoshan":0.1,"equip_linghuzhui":0.1},"daily_limit":3}</t>
        </is>
      </c>
      <c r="AG12" s="2" t="n">
        <v>10</v>
      </c>
      <c r="AH12" s="2" t="inlineStr">
        <is>
          <t>挑战者庄园</t>
        </is>
      </c>
    </row>
    <row r="13">
      <c r="A13" s="2" t="n">
        <v>12</v>
      </c>
      <c r="B13" s="2" t="inlineStr">
        <is>
          <t>jiguanshou_chuxian</t>
        </is>
      </c>
      <c r="C13" s="2" t="inlineStr">
        <is>
          <t>机关兽初现</t>
        </is>
      </c>
      <c r="D13" s="2" t="inlineStr">
        <is>
          <t>初级</t>
        </is>
      </c>
      <c r="E13" s="2" t="inlineStr">
        <is>
          <t>task1</t>
        </is>
      </c>
      <c r="F13" s="2" t="inlineStr">
        <is>
          <t>否</t>
        </is>
      </c>
      <c r="G13" s="2" t="inlineStr">
        <is>
          <t>否</t>
        </is>
      </c>
      <c r="H13" s="2" t="n">
        <v>2</v>
      </c>
      <c r="I13" s="2" t="n">
        <v>1800</v>
      </c>
      <c r="J13" s="2" t="inlineStr">
        <is>
          <t>每日开放</t>
        </is>
      </c>
      <c r="K13" s="2" t="inlineStr">
        <is>
          <t>无</t>
        </is>
      </c>
      <c r="L13" s="3">
        <f>SUMIFS(敌方阵容!$F$2:$F$258,敌方阵容!$A$2:$A$258,B13,敌方阵容!$D$2:$D$258,"门客")</f>
        <v>8</v>
      </c>
      <c r="M13" s="3">
        <f>SUMIFS(敌方阵容!$F$2:$F$258,敌方阵容!$A$2:$A$258,B13,敌方阵容!$D$2:$D$258,"护院")</f>
        <v>0</v>
      </c>
      <c r="N13" s="3">
        <f>COUNTIF(任务掉落明细!$B$2:$B$290,B13)</f>
        <v>3</v>
      </c>
      <c r="O13" s="3">
        <f>COUNTIFS(任务掉落明细!$B$2:$B$290,B13,任务掉落明细!$X$2:$X$290,1)</f>
        <v>1</v>
      </c>
      <c r="P13" s="3">
        <f>COUNTIFS(任务掉落明细!$B$2:$B$290,B13,任务掉落明细!$X$2:$X$290,"&lt;1")</f>
        <v>2</v>
      </c>
      <c r="Q13" s="2" t="inlineStr">
        <is>
          <t>个人任务</t>
        </is>
      </c>
      <c r="R13" s="2" t="n"/>
      <c r="S13" s="2" t="n">
        <v>1</v>
      </c>
      <c r="T13" s="2" t="inlineStr">
        <is>
          <t xml:space="preserve">乔家村以制做灵活轻巧、栩栩如生的「机械猫」闻名于天下。「机械猫」又称之为「钟离猫」，相传是墨家子弟孙钟离路过此地时，时逢村中鼠患肆虐，为清除鼠患取当地木材仿猫型制成。经历代乔家村民不断改良，「机械猫」以生具灵性、精巧无比，并作用于生活各用途中。某日乔家村第一铁匠乔大牛家中被盗，八只刚制成的「机械猫」见房门未锁，逃离乔家村。随后，逃离的八只「机械猫」开始在乔家村附近肆虐作恶，搞得乔家村民苦不堪言。
</t>
        </is>
      </c>
      <c r="U13" s="2" t="n">
        <v>7</v>
      </c>
      <c r="V13" s="2" t="n">
        <v>35</v>
      </c>
      <c r="W13" s="4" t="n">
        <v>0.12</v>
      </c>
      <c r="X13" s="2" t="inlineStr">
        <is>
          <t>银两×24000</t>
        </is>
      </c>
      <c r="Y13" s="2" t="inlineStr">
        <is>
          <t>随机池jiguanshou_equipment_pool（机械猫、青铜算筹）×1；触发80.0000%</t>
        </is>
      </c>
      <c r="Z13" s="2" t="n">
        <v>7</v>
      </c>
      <c r="AA13" s="2" t="inlineStr">
        <is>
          <t>按配置导入</t>
        </is>
      </c>
      <c r="AB13" s="2" t="n"/>
      <c r="AC13" s="2" t="inlineStr">
        <is>
          <t>data/mission_templates.yaml:L655</t>
        </is>
      </c>
      <c r="AD13" s="2" t="inlineStr">
        <is>
          <t>{}</t>
        </is>
      </c>
      <c r="AE13" s="2" t="inlineStr">
        <is>
          <t>{"level":7,"guest_level":35,"guest_bonus":0.12}</t>
        </is>
      </c>
      <c r="AF13" s="2" t="inlineStr">
        <is>
          <t>{"key":"jiguanshou_chuxian","name":"机关兽初现","difficulty":"junior","display_order":7,"description":"乔家村以制做灵活轻巧、栩栩如生的「机械猫」闻名于天下。「机械猫」又称之为「钟离猫」，相传是墨家子弟孙钟离路过此地时，时逢村中鼠患肆虐，为清除鼠患取当地木材仿猫型制成。经历代乔家村民不断改良，「机械猫」以生具灵性、精巧无比，并作用于生活各用途中。某日乔家村第一铁匠乔大牛家中被盗，八只刚制成的「机械猫」见房门未锁，逃离乔家村。随后，逃离的八只「机械猫」开始在乔家村附近肆虐作恶，搞得乔家村民苦不堪言。\n","battle_type":"task1","enemy_guests":[{"key":"task_mechanism_cat","label":"改装机械猫"},{"key":"task_mechanism_cat","label":"改装机械猫"},{"key":"task_mechanism_cat","label":"改装机械猫"},{"key":"task_mechanism_cat","label":"改装机械猫"},{"key":"task_mechanism_cat","label":"改装机械猫"},{"key":"task_mechanism_cat","label":"改装机械猫"},{"key":"task_mechanism_cat","label":"改装机械猫"},{"key":"task_mechanism_cat","label":"改装机械猫"}],"enemy_technology":{"level":7,"guest_level":35,"guest_bonus":0.12},"drop_table":{"silver":24000,"jiguanshou_equipment_pool":{"chance":0.8,"count":1,"choices":["equip_jixiemao","equip_qingtongsuanchou"]}},"daily_limit":2,"mission_card_daily_limit":1}</t>
        </is>
      </c>
      <c r="AG13" s="2" t="n">
        <v>10</v>
      </c>
      <c r="AH13" s="2" t="inlineStr">
        <is>
          <t>挑战者庄园</t>
        </is>
      </c>
    </row>
    <row r="14">
      <c r="A14" s="2" t="n">
        <v>13</v>
      </c>
      <c r="B14" s="2" t="inlineStr">
        <is>
          <t>biwu_zhaoqin</t>
        </is>
      </c>
      <c r="C14" s="2" t="inlineStr">
        <is>
          <t>比武招亲</t>
        </is>
      </c>
      <c r="D14" s="2" t="inlineStr">
        <is>
          <t>初级</t>
        </is>
      </c>
      <c r="E14" s="2" t="inlineStr">
        <is>
          <t>task1</t>
        </is>
      </c>
      <c r="F14" s="2" t="inlineStr">
        <is>
          <t>否</t>
        </is>
      </c>
      <c r="G14" s="2" t="inlineStr">
        <is>
          <t>是</t>
        </is>
      </c>
      <c r="H14" s="2" t="n">
        <v>3</v>
      </c>
      <c r="I14" s="2" t="n">
        <v>1800</v>
      </c>
      <c r="J14" s="2" t="inlineStr">
        <is>
          <t>每日开放</t>
        </is>
      </c>
      <c r="K14" s="2" t="inlineStr">
        <is>
          <t>无</t>
        </is>
      </c>
      <c r="L14" s="3">
        <f>SUMIFS(敌方阵容!$F$2:$F$258,敌方阵容!$A$2:$A$258,B14,敌方阵容!$D$2:$D$258,"门客")</f>
        <v>1</v>
      </c>
      <c r="M14" s="3">
        <f>SUMIFS(敌方阵容!$F$2:$F$258,敌方阵容!$A$2:$A$258,B14,敌方阵容!$D$2:$D$258,"护院")</f>
        <v>0</v>
      </c>
      <c r="N14" s="3">
        <f>COUNTIF(任务掉落明细!$B$2:$B$290,B14)</f>
        <v>7</v>
      </c>
      <c r="O14" s="3">
        <f>COUNTIFS(任务掉落明细!$B$2:$B$290,B14,任务掉落明细!$X$2:$X$290,1)</f>
        <v>1</v>
      </c>
      <c r="P14" s="3">
        <f>COUNTIFS(任务掉落明细!$B$2:$B$290,B14,任务掉落明细!$X$2:$X$290,"&lt;1")</f>
        <v>6</v>
      </c>
      <c r="Q14" s="2" t="inlineStr">
        <is>
          <t>个人任务</t>
        </is>
      </c>
      <c r="R14" s="2" t="n"/>
      <c r="S14" s="2" t="n">
        <v>5</v>
      </c>
      <c r="T14" s="2" t="inlineStr">
        <is>
          <t xml:space="preserve">苏州首富杜万年之女杜莞尔芳龄二八，登门求亲者络绎不绝，门庭若市。杜老爷既不想得罪朝廷中人，也不愿把女儿嫁给草莽之士，于是想出一招比武招亲。奇就奇在这代杜千金比武的，不是人，而是一只战斗熊。此熊周身每个关节都可活动，内部充满各种机关，战斗力强。比武当天无人能出其右，最终竟由穷小子管无介出马搏得头筹。原来小姐早已芳心暗许，只因那固执的父亲介意门第之见。管无介经众人帮助，得到铸熊大师珍藏图纸，命中熊身要害，一击即中。杜老爷在众人面前也不能食言而肥，只得将女儿许配给比赛冠军。管无介如愿以偿，开心抱得美人归。
</t>
        </is>
      </c>
      <c r="U14" s="2" t="n">
        <v>4</v>
      </c>
      <c r="V14" s="2" t="n">
        <v>55</v>
      </c>
      <c r="W14" s="4" t="n">
        <v>0.2</v>
      </c>
      <c r="X14" s="2" t="inlineStr">
        <is>
          <t>银两×20000</t>
        </is>
      </c>
      <c r="Y14" s="2" t="inlineStr">
        <is>
          <t>《唧唧歪歪》秘术×1；触发5.0000%；机关熊图纸×1；触发2.0000%；随机池biwu_equipment_pool（玄铁甲、青铜算筹、铜镜、青鬃马）×1；触发80.0000%</t>
        </is>
      </c>
      <c r="Z14" s="2" t="n">
        <v>6</v>
      </c>
      <c r="AA14" s="2" t="inlineStr">
        <is>
          <t>按配置导入</t>
        </is>
      </c>
      <c r="AB14" s="2" t="n"/>
      <c r="AC14" s="2" t="inlineStr">
        <is>
          <t>data/mission_templates.yaml:L698</t>
        </is>
      </c>
      <c r="AD14" s="2" t="inlineStr">
        <is>
          <t>{}</t>
        </is>
      </c>
      <c r="AE14" s="2" t="inlineStr">
        <is>
          <t>{"level":4,"guest_level":55,"guest_bonus":0.2}</t>
        </is>
      </c>
      <c r="AF14" s="2" t="inlineStr">
        <is>
          <t>{"key":"biwu_zhaoqin","name":"比武招亲","difficulty":"junior","display_order":6,"description":"苏州首富杜万年之女杜莞尔芳龄二八，登门求亲者络绎不绝，门庭若市。杜老爷既不想得罪朝廷中人，也不愿把女儿嫁给草莽之士，于是想出一招比武招亲。奇就奇在这代杜千金比武的，不是人，而是一只战斗熊。此熊周身每个关节都可活动，内部充满各种机关，战斗力强。比武当天无人能出其右，最终竟由穷小子管无介出马搏得头筹。原来小姐早已芳心暗许，只因那固执的父亲介意门第之见。管无介经众人帮助，得到铸熊大师珍藏图纸，命中熊身要害，一击即中。杜老爷在众人面前也不能食言而肥，只得将女儿许配给比赛冠军。管无介如愿以偿，开心抱得美人归。\n","battle_type":"task1","guest_only":true,"enemy_guests":[{"key":"task_matchmaking_bear","label":"机关熊"}],"enemy_technology":{"level":4,"guest_level":55,"guest_bonus":0.2},"drop_table":{"silver":20000,"book_endless_chatter":0.05,"blueprint_jiguanxiong":0.02,"biwu_equipment_pool":{"chance":0.8,"count":1,"choices":["equip_xuantiejia","equip_qingtongsuanchou","equip_tongjing","equip_qingzongma"]}},"daily_limit":3}</t>
        </is>
      </c>
      <c r="AG14" s="2" t="n">
        <v>10</v>
      </c>
      <c r="AH14" s="2" t="inlineStr">
        <is>
          <t>挑战者庄园</t>
        </is>
      </c>
    </row>
    <row r="15">
      <c r="A15" s="2" t="n">
        <v>14</v>
      </c>
      <c r="B15" s="2" t="inlineStr">
        <is>
          <t>tianpeng_dijiao_1</t>
        </is>
      </c>
      <c r="C15" s="2" t="inlineStr">
        <is>
          <t>天蓬元帅的地窖（第一层）</t>
        </is>
      </c>
      <c r="D15" s="2" t="inlineStr">
        <is>
          <t>中级</t>
        </is>
      </c>
      <c r="E15" s="2" t="inlineStr">
        <is>
          <t>task1</t>
        </is>
      </c>
      <c r="F15" s="2" t="inlineStr">
        <is>
          <t>否</t>
        </is>
      </c>
      <c r="G15" s="2" t="inlineStr">
        <is>
          <t>否</t>
        </is>
      </c>
      <c r="H15" s="2" t="n">
        <v>3</v>
      </c>
      <c r="I15" s="2" t="n">
        <v>1800</v>
      </c>
      <c r="J15" s="2" t="inlineStr">
        <is>
          <t>每日开放</t>
        </is>
      </c>
      <c r="K15" s="2" t="inlineStr">
        <is>
          <t>无</t>
        </is>
      </c>
      <c r="L15" s="3">
        <f>SUMIFS(敌方阵容!$F$2:$F$258,敌方阵容!$A$2:$A$258,B15,敌方阵容!$D$2:$D$258,"门客")</f>
        <v>8</v>
      </c>
      <c r="M15" s="3">
        <f>SUMIFS(敌方阵容!$F$2:$F$258,敌方阵容!$A$2:$A$258,B15,敌方阵容!$D$2:$D$258,"护院")</f>
        <v>0</v>
      </c>
      <c r="N15" s="3">
        <f>COUNTIF(任务掉落明细!$B$2:$B$290,B15)</f>
        <v>11</v>
      </c>
      <c r="O15" s="3">
        <f>COUNTIFS(任务掉落明细!$B$2:$B$290,B15,任务掉落明细!$X$2:$X$290,1)</f>
        <v>2</v>
      </c>
      <c r="P15" s="3">
        <f>COUNTIFS(任务掉落明细!$B$2:$B$290,B15,任务掉落明细!$X$2:$X$290,"&lt;1")</f>
        <v>9</v>
      </c>
      <c r="Q15" s="2" t="inlineStr">
        <is>
          <t>个人任务</t>
        </is>
      </c>
      <c r="R15" s="2" t="n"/>
      <c r="S15" s="2" t="n">
        <v>5</v>
      </c>
      <c r="T15" s="2" t="inlineStr">
        <is>
          <t xml:space="preserve">天蓬元帅何许人也，我想不必多加介绍，他的大名你我也都如雷贯耳了。天蓬元帅耳大招风，腰缠"万贯"，气宇方刚，心宽体胖。当然，他最出名的还是吃，不仅会吃，吃遍天下美食，还私藏了许多琼浆玉液、佳肴珍馐。每次天庭大请宾筵，我们的大元帅都是不仅吃得饱饱的，还要兜着走。拿了这么多食物，一时半会儿也消灭不了，那到底放在哪里才算妥当安全呢？天蓬元帅还真是聪明，他想到他在高老庄的老相好，还有他那个老丈人，也是很喜欢这个勤奋的女婿的，他们特地留出一块上好的、超大平方米、黄金地段、冬暖夏凉的地窖给猪女婿保存食物。要说天神也有打瞌睡的时候，天蓬元帅乘天门打开之际，每次都私自下凡，偷渡美食于此地窖中。经年累月，地窖倒也藏了不少宝贝。
</t>
        </is>
      </c>
      <c r="U15" s="2" t="n">
        <v>8</v>
      </c>
      <c r="V15" s="2" t="n">
        <v>50</v>
      </c>
      <c r="W15" s="4" t="n">
        <v>0.12</v>
      </c>
      <c r="X15" s="2" t="inlineStr">
        <is>
          <t>银两×50000；经验菠萝×15</t>
        </is>
      </c>
      <c r="Y15" s="2" t="inlineStr">
        <is>
          <t>《红莲之舞》秘术×1；触发5.0000%；《唐僧说禅》秘术×1；触发3.0000%；君子剑×1；触发10.0000%；玉佩×1；触发6.0000%；福袋×1；触发6.0000%；玄甲战袍×1；触发5.0000%；玄冰弓×1；触发6.0000%；凤羽簪×1；触发7.0000%；星砂手串×1；触发7.0000%</t>
        </is>
      </c>
      <c r="Z15" s="2" t="n">
        <v>1</v>
      </c>
      <c r="AA15" s="2" t="inlineStr">
        <is>
          <t>按配置导入</t>
        </is>
      </c>
      <c r="AB15" s="2" t="n"/>
      <c r="AC15" s="2" t="inlineStr">
        <is>
          <t>data/mission_templates.yaml:L731</t>
        </is>
      </c>
      <c r="AD15" s="2" t="inlineStr">
        <is>
          <t>{}</t>
        </is>
      </c>
      <c r="AE15" s="2" t="inlineStr">
        <is>
          <t>{"level":8,"guest_level":50,"guest_bonus":0.12}</t>
        </is>
      </c>
      <c r="AF15" s="2" t="inlineStr">
        <is>
          <t>{"key":"tianpeng_dijiao_1","name":"天蓬元帅的地窖（第一层）","difficulty":"intermediate","display_order":1,"description":"天蓬元帅何许人也，我想不必多加介绍，他的大名你我也都如雷贯耳了。天蓬元帅耳大招风，腰缠\"万贯\"，气宇方刚，心宽体胖。当然，他最出名的还是吃，不仅会吃，吃遍天下美食，还私藏了许多琼浆玉液、佳肴珍馐。每次天庭大请宾筵，我们的大元帅都是不仅吃得饱饱的，还要兜着走。拿了这么多食物，一时半会儿也消灭不了，那到底放在哪里才算妥当安全呢？天蓬元帅还真是聪明，他想到他在高老庄的老相好，还有他那个老丈人，也是很喜欢这个勤奋的女婿的，他们特地留出一块上好的、超大平方米、黄金地段、冬暖夏凉的地窖给猪女婿保存食物。要说天神也有打瞌睡的时候，天蓬元帅乘天门打开之际，每次都私自下凡，偷渡美食于此地窖中。经年累月，地窖倒也藏了不少宝贝。\n","battle_type":"task1","enemy_guests":[{"key":"task_cellar_guard","label":"守卫"},{"key":"task_cellar_guard","label":"守卫"},{"key":"task_cellar_guard","label":"守卫"},{"key":"task_cellar_guard","label":"守卫"},{"key":"task_cellar_guard","label":"守卫"},{"key":"task_cellar_guard","label":"守卫"},{"key":"task_cellar_guard","label":"守卫"},{"key":"task_cellar_guard","label":"守卫"}],"enemy_technology":{"level":8,"guest_level":50,"guest_bonus":0.12},"drop_table":{"silver":50000,"book_red_lotus_dance":0.05,"book_tangseng_sermon":0.03,"experience_pineapple":15,"equip_junzijian":0.1,"equip_yupei":0.06,"equip_fudai":0.06,"equip_xuanjiazhanbao":0.05,"equip_xuanbinggong":0.06,"equip_fengyuzan":0.07,"equip_xingshashouchuan":0.07},"daily_limit":3}</t>
        </is>
      </c>
      <c r="AG15" s="2" t="n">
        <v>10</v>
      </c>
      <c r="AH15" s="2" t="inlineStr">
        <is>
          <t>挑战者庄园</t>
        </is>
      </c>
    </row>
    <row r="16">
      <c r="A16" s="2" t="n">
        <v>15</v>
      </c>
      <c r="B16" s="2" t="inlineStr">
        <is>
          <t>tianpeng_dijiao_2</t>
        </is>
      </c>
      <c r="C16" s="2" t="inlineStr">
        <is>
          <t>天蓬元帅的地窖（第二层）</t>
        </is>
      </c>
      <c r="D16" s="2" t="inlineStr">
        <is>
          <t>高级</t>
        </is>
      </c>
      <c r="E16" s="2" t="inlineStr">
        <is>
          <t>task1</t>
        </is>
      </c>
      <c r="F16" s="2" t="inlineStr">
        <is>
          <t>否</t>
        </is>
      </c>
      <c r="G16" s="2" t="inlineStr">
        <is>
          <t>否</t>
        </is>
      </c>
      <c r="H16" s="2" t="n">
        <v>3</v>
      </c>
      <c r="I16" s="2" t="n">
        <v>1800</v>
      </c>
      <c r="J16" s="2" t="inlineStr">
        <is>
          <t>每日开放</t>
        </is>
      </c>
      <c r="K16" s="2" t="inlineStr">
        <is>
          <t>无</t>
        </is>
      </c>
      <c r="L16" s="3">
        <f>SUMIFS(敌方阵容!$F$2:$F$258,敌方阵容!$A$2:$A$258,B16,敌方阵容!$D$2:$D$258,"门客")</f>
        <v>8</v>
      </c>
      <c r="M16" s="3">
        <f>SUMIFS(敌方阵容!$F$2:$F$258,敌方阵容!$A$2:$A$258,B16,敌方阵容!$D$2:$D$258,"护院")</f>
        <v>0</v>
      </c>
      <c r="N16" s="3">
        <f>COUNTIF(任务掉落明细!$B$2:$B$290,B16)</f>
        <v>9</v>
      </c>
      <c r="O16" s="3">
        <f>COUNTIFS(任务掉落明细!$B$2:$B$290,B16,任务掉落明细!$X$2:$X$290,1)</f>
        <v>0</v>
      </c>
      <c r="P16" s="3">
        <f>COUNTIFS(任务掉落明细!$B$2:$B$290,B16,任务掉落明细!$X$2:$X$290,"&lt;1")</f>
        <v>9</v>
      </c>
      <c r="Q16" s="2" t="inlineStr">
        <is>
          <t>个人任务</t>
        </is>
      </c>
      <c r="R16" s="2" t="n"/>
      <c r="S16" s="2" t="n">
        <v>5</v>
      </c>
      <c r="T16" s="2" t="inlineStr">
        <is>
          <t xml:space="preserve">天蓬元帅猪八戒在完成了跟随唐僧西天取经的重任后，混得了一个肥的流油的美差——净坛使者。不说人前人后，吃不完的山珍海味，更有深谙拍马溜须功夫的小妖小仙送上各种宝物，让天蓬元帅高兴之余也苦恼不已，净坛使者那小小地界根本无处可以存放东西。这时候天蓬元帅想起了N年前被搁置的他用来存放食物的高老庄地窖。
找到灵感的天蓬元帅喜滋滋的驾着他的装宝大车回到高老庄，却发现地窖内一片狼藉，他最喜欢的菠萝被抢劫了一大半。天蓬元帅怒从心头起，恶向胆边生。呔，哪方小贼，竟然胆敢洗劫本使者的粮仓！
这时，一绝色美貌狐仙扭着腰肢冲着天蓬元帅狂抛媚眼，八戒哥您消消气，气坏了身子可不好涅，对付这等小贼，奴家愿献上妙计。八戒哥一见美人便七荤八素，当下将满车宝物及地窖的后期开发工程交给了小狐仙。
小狐仙的目的其实是那满车宝物，可怜八戒有了美女就没了大脑，至此以后那车宝贝和地窖都归了小狐仙所有。小狐仙一时间没有地方存放宝贝，于是将地窖开发成好几层，并在各处委派了法力高强的妖仙好友把守。
消息不胫而走，各庄园主在尝过了菠萝的甜头后，将眼光伸向了小狐仙的藏宝库，小狐仙等着接招吧……
</t>
        </is>
      </c>
      <c r="U16" s="2" t="n">
        <v>9</v>
      </c>
      <c r="V16" s="2" t="n">
        <v>80</v>
      </c>
      <c r="W16" s="4" t="n">
        <v>0.2</v>
      </c>
      <c r="X16" s="2" t="inlineStr">
        <is>
          <t>无</t>
        </is>
      </c>
      <c r="Y16" s="2" t="inlineStr">
        <is>
          <t>经验菠萝×20；触发99.0000%；狐仙剑图纸×1；触发5.0000%；狐仙袍图纸×1；触发10.0000%；狐仙鞋图纸×1；触发10.0000%；照妖镜×1；触发15.0000%；乾坤圈×1；触发10.0000%；天机罗盘×1；触发10.0000%；灵纹玉笔×1；触发10.0000%；观星灯×1；触发10.0000%</t>
        </is>
      </c>
      <c r="Z16" s="2" t="n">
        <v>1000</v>
      </c>
      <c r="AA16" s="2" t="inlineStr">
        <is>
          <t>按配置导入</t>
        </is>
      </c>
      <c r="AB16" s="2" t="n"/>
      <c r="AC16" s="2" t="inlineStr">
        <is>
          <t>data/mission_templates.yaml:L777</t>
        </is>
      </c>
      <c r="AD16" s="2" t="inlineStr">
        <is>
          <t>{}</t>
        </is>
      </c>
      <c r="AE16" s="2" t="inlineStr">
        <is>
          <t>{"level":9,"guest_level":80,"guest_bonus":0.2}</t>
        </is>
      </c>
      <c r="AF16" s="2" t="inlineStr">
        <is>
          <t>{"key":"tianpeng_dijiao_2","name":"天蓬元帅的地窖（第二层）","difficulty":"advanced","description":"天蓬元帅猪八戒在完成了跟随唐僧西天取经的重任后，混得了一个肥的流油的美差——净坛使者。不说人前人后，吃不完的山珍海味，更有深谙拍马溜须功夫的小妖小仙送上各种宝物，让天蓬元帅高兴之余也苦恼不已，净坛使者那小小地界根本无处可以存放东西。这时候天蓬元帅想起了N年前被搁置的他用来存放食物的高老庄地窖。\n\n找到灵感的天蓬元帅喜滋滋的驾着他的装宝大车回到高老庄，却发现地窖内一片狼藉，他最喜欢的菠萝被抢劫了一大半。天蓬元帅怒从心头起，恶向胆边生。呔，哪方小贼，竟然胆敢洗劫本使者的粮仓！\n\n这时，一绝色美貌狐仙扭着腰肢冲着天蓬元帅狂抛媚眼，八戒哥您消消气，气坏了身子可不好涅，对付这等小贼，奴家愿献上妙计。八戒哥一见美人便七荤八素，当下将满车宝物及地窖的后期开发工程交给了小狐仙。\n\n小狐仙的目的其实是那满车宝物，可怜八戒有了美女就没了大脑，至此以后那车宝贝和地窖都归了小狐仙所有。小狐仙一时间没有地方存放宝贝，于是将地窖开发成好几层，并在各处委派了法力高强的妖仙好友把守。\n\n消息不胫而走，各庄园主在尝过了菠萝的甜头后，将眼光伸向了小狐仙的藏宝库，小狐仙等着接招吧……\n","battle_type":"task1","enemy_guests":[{"key":"task_fox_spirit_keeper","label":"小狐仙"},{"key":"task_fox_spirit_keeper","label":"小狐仙"},{"key":"task_fox_spirit_keeper","label":"小狐仙"},{"key":"task_fox_spirit_keeper","label":"小狐仙"},{"key":"task_fox_spirit_keeper","label":"小狐仙"},{"key":"task_fox_spirit_keeper","label":"小狐仙"},{"key":"task_fox_spirit_keeper","label":"小狐仙"},{"key":"task_fox_spirit_keeper","label":"小狐仙"}],"enemy_technology":{"level":9,"guest_level":80,"guest_bonus":0.2},"drop_table":{"experience_pineapple":{"chance":0.99,"count":20},"blueprint_huxianjian":0.05,"blueprint_huxianpao":0.1,"blueprint_huxianxie":0.1,"equip_zhaoyaojing":0.15,"equip_qiankunquan":0.1,"equip_tianjiluopan":0.1,"equip_lingwenyubi":0.1,"equip_guanxingdeng":0.1},"daily_limit":3}</t>
        </is>
      </c>
      <c r="AG16" s="2" t="n">
        <v>10</v>
      </c>
      <c r="AH16" s="2" t="inlineStr">
        <is>
          <t>挑战者庄园</t>
        </is>
      </c>
    </row>
    <row r="17">
      <c r="A17" s="2" t="n">
        <v>16</v>
      </c>
      <c r="B17" s="2" t="inlineStr">
        <is>
          <t>jiguan_chuniao</t>
        </is>
      </c>
      <c r="C17" s="2" t="inlineStr">
        <is>
          <t>机关雏鸟</t>
        </is>
      </c>
      <c r="D17" s="2" t="inlineStr">
        <is>
          <t>中级</t>
        </is>
      </c>
      <c r="E17" s="2" t="inlineStr">
        <is>
          <t>task1</t>
        </is>
      </c>
      <c r="F17" s="2" t="inlineStr">
        <is>
          <t>否</t>
        </is>
      </c>
      <c r="G17" s="2" t="inlineStr">
        <is>
          <t>否</t>
        </is>
      </c>
      <c r="H17" s="2" t="n">
        <v>3</v>
      </c>
      <c r="I17" s="2" t="n">
        <v>1800</v>
      </c>
      <c r="J17" s="2" t="inlineStr">
        <is>
          <t>每日开放</t>
        </is>
      </c>
      <c r="K17" s="2" t="inlineStr">
        <is>
          <t>无</t>
        </is>
      </c>
      <c r="L17" s="3">
        <f>SUMIFS(敌方阵容!$F$2:$F$258,敌方阵容!$A$2:$A$258,B17,敌方阵容!$D$2:$D$258,"门客")</f>
        <v>4</v>
      </c>
      <c r="M17" s="3">
        <f>SUMIFS(敌方阵容!$F$2:$F$258,敌方阵容!$A$2:$A$258,B17,敌方阵容!$D$2:$D$258,"护院")</f>
        <v>600</v>
      </c>
      <c r="N17" s="3">
        <f>COUNTIF(任务掉落明细!$B$2:$B$290,B17)</f>
        <v>9</v>
      </c>
      <c r="O17" s="3">
        <f>COUNTIFS(任务掉落明细!$B$2:$B$290,B17,任务掉落明细!$X$2:$X$290,1)</f>
        <v>2</v>
      </c>
      <c r="P17" s="3">
        <f>COUNTIFS(任务掉落明细!$B$2:$B$290,B17,任务掉落明细!$X$2:$X$290,"&lt;1")</f>
        <v>7</v>
      </c>
      <c r="Q17" s="2" t="inlineStr">
        <is>
          <t>个人任务</t>
        </is>
      </c>
      <c r="R17" s="2" t="n"/>
      <c r="S17" s="2" t="n">
        <v>5</v>
      </c>
      <c r="T17" s="2" t="inlineStr">
        <is>
          <t xml:space="preserve">话说江家堡被仇家围攻，四面受敌，堡内粮草只能维持3天生计，突围的任务迫在眉睫。堡主曾派壮丁驾快马送信求救，可惜都遭遇埋伏。管家之子江犁墨献上自制的木结构机关雏鸟。其鸟可避弓矢，自动飞达目的地。江家堡靠此木鸟最终送出求救信号，得盟友支援解困。后来此鸟被奉为堡内"幸运鸟"，经改造后功能更强大，已成为江家堡著名的机关武器之一。
</t>
        </is>
      </c>
      <c r="U17" s="2" t="n">
        <v>7</v>
      </c>
      <c r="V17" s="2" t="n">
        <v>60</v>
      </c>
      <c r="W17" s="4" t="n">
        <v>0.1</v>
      </c>
      <c r="X17" s="2" t="inlineStr">
        <is>
          <t>银两×30000；机关雏鸟×1</t>
        </is>
      </c>
      <c r="Y17" s="2" t="inlineStr">
        <is>
          <t>《雷动九天》秘术×1；触发4.0000%；飞云锥×1；触发10.0000%；罗盘×1；触发5.0000%；随机池blueprint_mechanism_blue（机械猫图纸、机关雏鸟图纸、傀儡木人图纸、庆忌图纸）×1；触发20.0000%</t>
        </is>
      </c>
      <c r="Z17" s="2" t="n">
        <v>4</v>
      </c>
      <c r="AA17" s="2" t="inlineStr">
        <is>
          <t>按配置导入</t>
        </is>
      </c>
      <c r="AB17" s="2" t="n"/>
      <c r="AC17" s="2" t="inlineStr">
        <is>
          <t>data/mission_templates.yaml:L830</t>
        </is>
      </c>
      <c r="AD17" s="2" t="inlineStr">
        <is>
          <t>{}</t>
        </is>
      </c>
      <c r="AE17" s="2" t="inlineStr">
        <is>
          <t>{"level":7,"guest_level":60,"guest_bonus":0.1}</t>
        </is>
      </c>
      <c r="AF17" s="2" t="inlineStr">
        <is>
          <t>{"key":"jiguan_chuniao","name":"机关雏鸟","difficulty":"intermediate","display_order":4,"description":"话说江家堡被仇家围攻，四面受敌，堡内粮草只能维持3天生计，突围的任务迫在眉睫。堡主曾派壮丁驾快马送信求救，可惜都遭遇埋伏。管家之子江犁墨献上自制的木结构机关雏鸟。其鸟可避弓矢，自动飞达目的地。江家堡靠此木鸟最终送出求救信号，得盟友支援解困。后来此鸟被奉为堡内\"幸运鸟\"，经改造后功能更强大，已成为江家堡著名的机关武器之一。\n","battle_type":"task1","enemy_guests":[{"key":"task_mechanism_bird","label":"黑衣人"},{"key":"task_mechanism_bird","label":"黑衣人"},{"key":"task_mechanism_bird","label":"黑衣人"},{"key":"task_mechanism_bird","label":"黑衣人"}],"enemy_troops":{"qiang_wang":300,"jian_sheng":300},"enemy_technology":{"level":7,"guest_level":60,"guest_bonus":0.1},"drop_table":{"silver":30000,"book_thunder_nine_heavens":0.04,"equip_jiguanchuniao":1,"equip_feiyunzui":0.1,"equip_luopan":0.05,"blueprint_mechanism_blue":{"chance":0.2,"choices":["blueprint_jixiemao","blueprint_jiguanchuniao","blueprint_kuileimuren","blueprint_qingji"]}},"daily_limit":3}</t>
        </is>
      </c>
      <c r="AG17" s="2" t="n">
        <v>10</v>
      </c>
      <c r="AH17" s="2" t="inlineStr">
        <is>
          <t>挑战者庄园</t>
        </is>
      </c>
    </row>
    <row r="18">
      <c r="A18" s="2" t="n">
        <v>17</v>
      </c>
      <c r="B18" s="2" t="inlineStr">
        <is>
          <t>dongtian_fudi</t>
        </is>
      </c>
      <c r="C18" s="2" t="inlineStr">
        <is>
          <t>洞天福地</t>
        </is>
      </c>
      <c r="D18" s="2" t="inlineStr">
        <is>
          <t>高级</t>
        </is>
      </c>
      <c r="E18" s="2" t="inlineStr">
        <is>
          <t>task1</t>
        </is>
      </c>
      <c r="F18" s="2" t="inlineStr">
        <is>
          <t>否</t>
        </is>
      </c>
      <c r="G18" s="2" t="inlineStr">
        <is>
          <t>否</t>
        </is>
      </c>
      <c r="H18" s="2" t="n">
        <v>3</v>
      </c>
      <c r="I18" s="2" t="n">
        <v>1800</v>
      </c>
      <c r="J18" s="2" t="inlineStr">
        <is>
          <t>每日开放</t>
        </is>
      </c>
      <c r="K18" s="2" t="inlineStr">
        <is>
          <t>无</t>
        </is>
      </c>
      <c r="L18" s="3">
        <f>SUMIFS(敌方阵容!$F$2:$F$258,敌方阵容!$A$2:$A$258,B18,敌方阵容!$D$2:$D$258,"门客")</f>
        <v>2</v>
      </c>
      <c r="M18" s="3">
        <f>SUMIFS(敌方阵容!$F$2:$F$258,敌方阵容!$A$2:$A$258,B18,敌方阵容!$D$2:$D$258,"护院")</f>
        <v>1000</v>
      </c>
      <c r="N18" s="3">
        <f>COUNTIF(任务掉落明细!$B$2:$B$290,B18)</f>
        <v>8</v>
      </c>
      <c r="O18" s="3">
        <f>COUNTIFS(任务掉落明细!$B$2:$B$290,B18,任务掉落明细!$X$2:$X$290,1)</f>
        <v>2</v>
      </c>
      <c r="P18" s="3">
        <f>COUNTIFS(任务掉落明细!$B$2:$B$290,B18,任务掉落明细!$X$2:$X$290,"&lt;1")</f>
        <v>6</v>
      </c>
      <c r="Q18" s="2" t="inlineStr">
        <is>
          <t>个人任务</t>
        </is>
      </c>
      <c r="R18" s="2" t="n"/>
      <c r="S18" s="2" t="n">
        <v>5</v>
      </c>
      <c r="T18" s="2" t="inlineStr">
        <is>
          <t xml:space="preserve">传说"洞天福地"位于西部大雪山之巅，当年丘真人携唯一弟子在此闭关修炼，洞内集日月精华，物华天宝俊彩星驰。百年后一场雪崩覆盖了洞口，珍贵的道家秘籍、炼丹点金之术也遭雪掩埋，就此不流于世。多年后各大门派竞相寻找此地，企图寻找求仙捷径。然而"洞天福地"内机关重重、关卡奥妙也是众所皆知，至今闯入禁区者无人生还。要想寻找财富，除了勇气，还需傲人的智慧和体魄才行。
</t>
        </is>
      </c>
      <c r="U18" s="2" t="n">
        <v>9</v>
      </c>
      <c r="V18" s="2" t="n">
        <v>80</v>
      </c>
      <c r="W18" s="4" t="n">
        <v>0.26</v>
      </c>
      <c r="X18" s="2" t="inlineStr">
        <is>
          <t>银两×50000；经验西瓜×5</t>
        </is>
      </c>
      <c r="Y18" s="2" t="inlineStr">
        <is>
          <t>洗点卡×1；触发50.0000%；洗髓丹×1；触发5.0000%；破军戟×1；触发20.0000%；破军盔×1；触发20.0000%；破军战甲×1；触发20.0000%；破军靴×1；触发10.0000%</t>
        </is>
      </c>
      <c r="Z18" s="2" t="n">
        <v>1000</v>
      </c>
      <c r="AA18" s="2" t="inlineStr">
        <is>
          <t>按配置导入</t>
        </is>
      </c>
      <c r="AB18" s="2" t="n"/>
      <c r="AC18" s="2" t="inlineStr">
        <is>
          <t>data/mission_templates.yaml:L873</t>
        </is>
      </c>
      <c r="AD18" s="2" t="inlineStr">
        <is>
          <t>{}</t>
        </is>
      </c>
      <c r="AE18" s="2" t="inlineStr">
        <is>
          <t>{"level":9,"guest_level":80,"guest_bonus":0.26}</t>
        </is>
      </c>
      <c r="AF18" s="2" t="inlineStr">
        <is>
          <t>{"key":"dongtian_fudi","name":"洞天福地","difficulty":"advanced","description":"传说\"洞天福地\"位于西部大雪山之巅，当年丘真人携唯一弟子在此闭关修炼，洞内集日月精华，物华天宝俊彩星驰。百年后一场雪崩覆盖了洞口，珍贵的道家秘籍、炼丹点金之术也遭雪掩埋，就此不流于世。多年后各大门派竞相寻找此地，企图寻找求仙捷径。然而\"洞天福地\"内机关重重、关卡奥妙也是众所皆知，至今闯入禁区者无人生还。要想寻找财富，除了勇气，还需傲人的智慧和体魄才行。\n","battle_type":"task1","enemy_guests":[{"key":"task_heaven_cave_sentinel","label":"金甲神兵"},{"key":"task_heaven_cave_sentinel","label":"金甲神兵"}],"enemy_troops":{"arrow_god":300,"quan_sheng":700},"enemy_technology":{"level":9,"guest_level":80,"guest_bonus":0.26},"drop_table":{"silver":50000,"experience_watermelon":5,"xidianka":0.5,"xisuidan":0.05,"equip_pojunji":0.2,"equip_pojunkui":0.2,"equip_pojunzhanjia":0.2,"equip_pojunxue":0.1},"daily_limit":3}</t>
        </is>
      </c>
      <c r="AG18" s="2" t="n">
        <v>10</v>
      </c>
      <c r="AH18" s="2" t="inlineStr">
        <is>
          <t>挑战者庄园</t>
        </is>
      </c>
    </row>
    <row r="19">
      <c r="A19" s="2" t="n">
        <v>18</v>
      </c>
      <c r="B19" s="2" t="inlineStr">
        <is>
          <t>jiufeng_feihuan</t>
        </is>
      </c>
      <c r="C19" s="2" t="inlineStr">
        <is>
          <t>九峰匪患</t>
        </is>
      </c>
      <c r="D19" s="2" t="inlineStr">
        <is>
          <t>中级</t>
        </is>
      </c>
      <c r="E19" s="2" t="inlineStr">
        <is>
          <t>task1</t>
        </is>
      </c>
      <c r="F19" s="2" t="inlineStr">
        <is>
          <t>否</t>
        </is>
      </c>
      <c r="G19" s="2" t="inlineStr">
        <is>
          <t>否</t>
        </is>
      </c>
      <c r="H19" s="2" t="n">
        <v>3</v>
      </c>
      <c r="I19" s="2" t="n">
        <v>1800</v>
      </c>
      <c r="J19" s="2" t="inlineStr">
        <is>
          <t>每日开放</t>
        </is>
      </c>
      <c r="K19" s="2" t="inlineStr">
        <is>
          <t>无</t>
        </is>
      </c>
      <c r="L19" s="3">
        <f>SUMIFS(敌方阵容!$F$2:$F$258,敌方阵容!$A$2:$A$258,B19,敌方阵容!$D$2:$D$258,"门客")</f>
        <v>3</v>
      </c>
      <c r="M19" s="3">
        <f>SUMIFS(敌方阵容!$F$2:$F$258,敌方阵容!$A$2:$A$258,B19,敌方阵容!$D$2:$D$258,"护院")</f>
        <v>600</v>
      </c>
      <c r="N19" s="3">
        <f>COUNTIF(任务掉落明细!$B$2:$B$290,B19)</f>
        <v>10</v>
      </c>
      <c r="O19" s="3">
        <f>COUNTIFS(任务掉落明细!$B$2:$B$290,B19,任务掉落明细!$X$2:$X$290,1)</f>
        <v>2</v>
      </c>
      <c r="P19" s="3">
        <f>COUNTIFS(任务掉落明细!$B$2:$B$290,B19,任务掉落明细!$X$2:$X$290,"&lt;1")</f>
        <v>8</v>
      </c>
      <c r="Q19" s="2" t="inlineStr">
        <is>
          <t>个人任务</t>
        </is>
      </c>
      <c r="R19" s="2" t="n"/>
      <c r="S19" s="2" t="n">
        <v>5</v>
      </c>
      <c r="T19" s="2" t="inlineStr">
        <is>
          <t xml:space="preserve">话说有一座有着九个山峰的山叫做九峰山，那里山水秀丽，风景如画，九峰山下有个九峰村，这里的人民善良纯朴，吃苦耐劳，上天也因为这里的人勤劳善良，所以赐给了他们肥沃的土地，村民们也通过自己勤劳的双手将这片土地变成了万顷良田来回报上天的恩赐，于是一代一代的村民就在这里过着无忧无虑的生活。
但有一天这美好日子被一群土匪给搅乱了，带领这帮土匪的是三兄弟分别叫大胖、二胖和小胖，这三人原本是这里的村民，可是这三人好吃懒做，从不去干活，把自己家田里的粮食吃光后还去偷别人的庄稼，最终被村长赶出村，上山做了土匪头子，他们怀恨在心，所以每个月都到山下的村庄来抢粮食、鸡、鸭、牛、羊，还试图抢良家妇女上山做压寨夫人，搞的民不聊生，怨声载道。
于是村民们准备联合起来反抗，他们请村里的木匠赵牛把他发明的机关牛改造成可以防御土匪的武器，说到这赵牛发明的机关牛还真是神奇咧，不用吃草也不用喝水，却又能耕来又能拉，村民们种田犁地拉磨磨面都离不开它。听到了乡亲们的请求赵牛没日没夜的研制，最后给机关牛装上了厚厚的护甲和锋利的武器成为了攻防一体的兵器，同时村长给各地的庄主们发去了求援信希望能借助强大庄主的力量来帮助一起剿灭来犯的土匪，一场保卫九峰村的大战即将展开。
</t>
        </is>
      </c>
      <c r="U19" s="2" t="n">
        <v>6</v>
      </c>
      <c r="V19" s="2" t="n">
        <v>58</v>
      </c>
      <c r="W19" s="4" t="n">
        <v>0.12</v>
      </c>
      <c r="X19" s="2" t="inlineStr">
        <is>
          <t>银两×20000；凌波鞋×1</t>
        </is>
      </c>
      <c r="Y19" s="2" t="inlineStr">
        <is>
          <t>野蛮头盔×1；触发10.0000%；野蛮砍刀×1；触发10.0000%；追风靴×1；触发7.0000%；影行靴×1；触发7.0000%；破军靴×1；触发6.0000%；金鳞靴×1；触发6.0000%；千里驹×1；触发6.0000%；卷毛赤兔×1；触发6.0000%</t>
        </is>
      </c>
      <c r="Z19" s="2" t="n">
        <v>2</v>
      </c>
      <c r="AA19" s="2" t="inlineStr">
        <is>
          <t>按配置导入</t>
        </is>
      </c>
      <c r="AB19" s="2" t="n"/>
      <c r="AC19" s="2" t="inlineStr">
        <is>
          <t>data/mission_templates.yaml:L908</t>
        </is>
      </c>
      <c r="AD19" s="2" t="inlineStr">
        <is>
          <t>{}</t>
        </is>
      </c>
      <c r="AE19" s="2" t="inlineStr">
        <is>
          <t>{"level":6,"guest_level":58,"guest_bonus":0.12}</t>
        </is>
      </c>
      <c r="AF19" s="2" t="inlineStr">
        <is>
          <t>{"key":"jiufeng_feihuan","name":"九峰匪患","difficulty":"intermediate","display_order":2,"description":"话说有一座有着九个山峰的山叫做九峰山，那里山水秀丽，风景如画，九峰山下有个九峰村，这里的人民善良纯朴，吃苦耐劳，上天也因为这里的人勤劳善良，所以赐给了他们肥沃的土地，村民们也通过自己勤劳的双手将这片土地变成了万顷良田来回报上天的恩赐，于是一代一代的村民就在这里过着无忧无虑的生活。\n\n但有一天这美好日子被一群土匪给搅乱了，带领这帮土匪的是三兄弟分别叫大胖、二胖和小胖，这三人原本是这里的村民，可是这三人好吃懒做，从不去干活，把自己家田里的粮食吃光后还去偷别人的庄稼，最终被村长赶出村，上山做了土匪头子，他们怀恨在心，所以每个月都到山下的村庄来抢粮食、鸡、鸭、牛、羊，还试图抢良家妇女上山做压寨夫人，搞的民不聊生，怨声载道。\n\n于是村民们准备联合起来反抗，他们请村里的木匠赵牛把他发明的机关牛改造成可以防御土匪的武器，说到这赵牛发明的机关牛还真是神奇咧，不用吃草也不用喝水，却又能耕来又能拉，村民们种田犁地拉磨磨面都离不开它。听到了乡亲们的请求赵牛没日没夜的研制，最后给机关牛装上了厚厚的护甲和锋利的武器成为了攻防一体的兵器，同时村长给各地的庄主们发去了求援信希望能借助强大庄主的力量来帮助一起剿灭来犯的土匪，一场保卫九峰村的大战即将展开。\n","battle_type":"task1","enemy_guests":[{"key":"task_nine_peaks_bandit","label":"土匪"},{"key":"task_nine_peaks_bandit","label":"土匪"},{"key":"task_nine_peaks_bandit","label":"土匪"}],"enemy_troops":{"quan_sheng":500,"arrow_god":100},"enemy_technology":{"level":6,"guest_level":58,"guest_bonus":0.12},"drop_table":{"silver":20000,"equip_lingboxie":1,"equip_yemantoukie":0.1,"equip_yemankandao":0.1,"equip_zhuifengxue":0.07,"equip_yingxingxue":0.07,"equip_pojunxue":0.06,"equip_jinlinxue":0.06,"equip_qianliju":0.06,"equip_juanmaochitu":0.06},"daily_limit":3}</t>
        </is>
      </c>
      <c r="AG19" s="2" t="n">
        <v>10</v>
      </c>
      <c r="AH19" s="2" t="inlineStr">
        <is>
          <t>挑战者庄园</t>
        </is>
      </c>
    </row>
    <row r="20">
      <c r="A20" s="2" t="n">
        <v>19</v>
      </c>
      <c r="B20" s="2" t="inlineStr">
        <is>
          <t>taozi_fenban</t>
        </is>
      </c>
      <c r="C20" s="2" t="inlineStr">
        <is>
          <t>我的桃子分你一半</t>
        </is>
      </c>
      <c r="D20" s="2" t="inlineStr">
        <is>
          <t>初级</t>
        </is>
      </c>
      <c r="E20" s="2" t="inlineStr">
        <is>
          <t>task1</t>
        </is>
      </c>
      <c r="F20" s="2" t="inlineStr">
        <is>
          <t>否</t>
        </is>
      </c>
      <c r="G20" s="2" t="inlineStr">
        <is>
          <t>否</t>
        </is>
      </c>
      <c r="H20" s="2" t="n">
        <v>1</v>
      </c>
      <c r="I20" s="2" t="n">
        <v>1800</v>
      </c>
      <c r="J20" s="2" t="inlineStr">
        <is>
          <t>每日开放</t>
        </is>
      </c>
      <c r="K20" s="2" t="inlineStr">
        <is>
          <t>无</t>
        </is>
      </c>
      <c r="L20" s="3">
        <f>SUMIFS(敌方阵容!$F$2:$F$258,敌方阵容!$A$2:$A$258,B20,敌方阵容!$D$2:$D$258,"门客")</f>
        <v>8</v>
      </c>
      <c r="M20" s="3">
        <f>SUMIFS(敌方阵容!$F$2:$F$258,敌方阵容!$A$2:$A$258,B20,敌方阵容!$D$2:$D$258,"护院")</f>
        <v>0</v>
      </c>
      <c r="N20" s="3">
        <f>COUNTIF(任务掉落明细!$B$2:$B$290,B20)</f>
        <v>12</v>
      </c>
      <c r="O20" s="3">
        <f>COUNTIFS(任务掉落明细!$B$2:$B$290,B20,任务掉落明细!$X$2:$X$290,1)</f>
        <v>1</v>
      </c>
      <c r="P20" s="3">
        <f>COUNTIFS(任务掉落明细!$B$2:$B$290,B20,任务掉落明细!$X$2:$X$290,"&lt;1")</f>
        <v>11</v>
      </c>
      <c r="Q20" s="2" t="inlineStr">
        <is>
          <t>个人任务</t>
        </is>
      </c>
      <c r="R20" s="2" t="n"/>
      <c r="S20" s="2" t="n">
        <v>0</v>
      </c>
      <c r="T20" s="2" t="inlineStr">
        <is>
          <t xml:space="preserve">终南山为道教发祥地之一。据传，周康王时，函谷关关令尹喜，在山中结草为楼，每日登草楼观星望气。一日圣人老子经过此关，尹喜忙把老子请到楼观，执弟子礼，请其讲经著书。老子为尹喜讲授《道德经》五千言后飘然而去。传说今日楼观台的说经台就是当年老子讲经之处。道教产生后，尊老子为道祖，尹喜为文始真人，奉《道德经》为根本经典。于是终南山上的楼观成了"天下道林张本之地"。
日后在山上修行的道士们在山下种了一片桃林，一方面种桃树可以修身养性、锻炼身体，这桃树还是道士们除妖降魔的利器桃木剑的主要材料，而且这道家圣地的桃林结的桃子也不普通，是三年开花三年结果的"仙桃"，吃了它不仅功力倍增，而且练起功来更是事半功倍，因此这山下的桃林对于道士们来说十分的重要。
而另一方面众多孤魂野鬼也盯上了这片桃林，由于它是道士们制造桃木剑材料的主要来源，如果能占据它，那道士们就没有办法对付他们了，于是大批的妖魔鬼怪一同聚集到了这片桃林，道士们知道这样下去的结果是不堪设想的，妖魔鬼怪会给人间带来极大的灾难，于是他们进行了多次尝试想驱散妖怪们，但由于寡不敌众均败下阵来，就在这紧要关头他们向各大庄主发去了求援信，希望能借助强大庄主的力量来平定这场灾难，当然作为回报他们将赠与你15个经验桃子以示感谢。
</t>
        </is>
      </c>
      <c r="U20" s="2" t="n">
        <v>3</v>
      </c>
      <c r="V20" s="2" t="n">
        <v>40</v>
      </c>
      <c r="W20" s="4" t="n">
        <v>0.06</v>
      </c>
      <c r="X20" s="2" t="inlineStr">
        <is>
          <t>经验桃子×15</t>
        </is>
      </c>
      <c r="Y20" s="2" t="inlineStr">
        <is>
          <t>随机池taozi_equipment_pool（青竹甲、青藤冠、竹叶履、踏云靴、疾风靴、护身符、桃木牌、檀木念珠、桃木剑、罗盘、踏雪马）×1；触发85.0000%</t>
        </is>
      </c>
      <c r="Z20" s="2" t="n">
        <v>8</v>
      </c>
      <c r="AA20" s="2" t="inlineStr">
        <is>
          <t>按配置导入</t>
        </is>
      </c>
      <c r="AB20" s="2" t="n"/>
      <c r="AC20" s="2" t="inlineStr">
        <is>
          <t>data/mission_templates.yaml:L951</t>
        </is>
      </c>
      <c r="AD20" s="2" t="inlineStr">
        <is>
          <t>{}</t>
        </is>
      </c>
      <c r="AE20" s="2" t="inlineStr">
        <is>
          <t>{"level":3,"guest_level":40,"guest_bonus":0.06}</t>
        </is>
      </c>
      <c r="AF20" s="2" t="inlineStr">
        <is>
          <t>{"key":"taozi_fenban","name":"我的桃子分你一半","difficulty":"junior","display_order":8,"description":"终南山为道教发祥地之一。据传，周康王时，函谷关关令尹喜，在山中结草为楼，每日登草楼观星望气。一日圣人老子经过此关，尹喜忙把老子请到楼观，执弟子礼，请其讲经著书。老子为尹喜讲授《道德经》五千言后飘然而去。传说今日楼观台的说经台就是当年老子讲经之处。道教产生后，尊老子为道祖，尹喜为文始真人，奉《道德经》为根本经典。于是终南山上的楼观成了\"天下道林张本之地\"。\n\n日后在山上修行的道士们在山下种了一片桃林，一方面种桃树可以修身养性、锻炼身体，这桃树还是道士们除妖降魔的利器桃木剑的主要材料，而且这道家圣地的桃林结的桃子也不普通，是三年开花三年结果的\"仙桃\"，吃了它不仅功力倍增，而且练起功来更是事半功倍，因此这山下的桃林对于道士们来说十分的重要。\n\n而另一方面众多孤魂野鬼也盯上了这片桃林，由于它是道士们制造桃木剑材料的主要来源，如果能占据它，那道士们就没有办法对付他们了，于是大批的妖魔鬼怪一同聚集到了这片桃林，道士们知道这样下去的结果是不堪设想的，妖魔鬼怪会给人间带来极大的灾难，于是他们进行了多次尝试想驱散妖怪们，但由于寡不敌众均败下阵来，就在这紧要关头他们向各大庄主发去了求援信，希望能借助强大庄主的力量来平定这场灾难，当然作为回报他们将赠与你15个经验桃子以示感谢。\n","battle_type":"task1","enemy_guests":[{"key":"task_orchard_wraith","label":"孤魂野鬼"},{"key":"task_orchard_wraith","label":"孤魂野鬼"},{"key":"task_orchard_wraith","label":"孤魂野鬼"},{"key":"task_orchard_wraith","label":"孤魂野鬼"},{"key":"task_orchard_wraith","label":"孤魂野鬼"},{"key":"task_orchard_wraith","label":"孤魂野鬼"},{"key":"task_orchard_wraith","label":"孤魂野鬼"},{"key":"task_orchard_wraith","label":"孤魂野鬼"}],"enemy_technology":{"level":3,"guest_level":40,"guest_bonus":0.06},"drop_table":{"experience_peach":15,"taozi_equipment_pool":{"chance":0.85,"count":1,"choices":["equip_qingzhujia","equip_qingtengguan","equip_zhuyelu","equip_tayunxue","equip_jifengxue","equip_hushenfu","equip_taomupai","equip_tanmunianzhu","equip_taomujian","equip_luopan","equip_taxuema"]}},"daily_limit":1,"mission_card_daily_limit":0}</t>
        </is>
      </c>
      <c r="AG20" s="2" t="n">
        <v>10</v>
      </c>
      <c r="AH20" s="2" t="inlineStr">
        <is>
          <t>挑战者庄园</t>
        </is>
      </c>
    </row>
    <row r="21">
      <c r="A21" s="2" t="n">
        <v>20</v>
      </c>
      <c r="B21" s="2" t="inlineStr">
        <is>
          <t>simian_chuge</t>
        </is>
      </c>
      <c r="C21" s="2" t="inlineStr">
        <is>
          <t>四面楚歌</t>
        </is>
      </c>
      <c r="D21" s="2" t="inlineStr">
        <is>
          <t>高级</t>
        </is>
      </c>
      <c r="E21" s="2" t="inlineStr">
        <is>
          <t>task1</t>
        </is>
      </c>
      <c r="F21" s="2" t="inlineStr">
        <is>
          <t>否</t>
        </is>
      </c>
      <c r="G21" s="2" t="inlineStr">
        <is>
          <t>否</t>
        </is>
      </c>
      <c r="H21" s="2" t="n">
        <v>3</v>
      </c>
      <c r="I21" s="2" t="n">
        <v>1800</v>
      </c>
      <c r="J21" s="2" t="inlineStr">
        <is>
          <t>每日开放</t>
        </is>
      </c>
      <c r="K21" s="2" t="inlineStr">
        <is>
          <t>无</t>
        </is>
      </c>
      <c r="L21" s="3">
        <f>SUMIFS(敌方阵容!$F$2:$F$258,敌方阵容!$A$2:$A$258,B21,敌方阵容!$D$2:$D$258,"门客")</f>
        <v>3</v>
      </c>
      <c r="M21" s="3">
        <f>SUMIFS(敌方阵容!$F$2:$F$258,敌方阵容!$A$2:$A$258,B21,敌方阵容!$D$2:$D$258,"护院")</f>
        <v>1000</v>
      </c>
      <c r="N21" s="3">
        <f>COUNTIF(任务掉落明细!$B$2:$B$290,B21)</f>
        <v>5</v>
      </c>
      <c r="O21" s="3">
        <f>COUNTIFS(任务掉落明细!$B$2:$B$290,B21,任务掉落明细!$X$2:$X$290,1)</f>
        <v>2</v>
      </c>
      <c r="P21" s="3">
        <f>COUNTIFS(任务掉落明细!$B$2:$B$290,B21,任务掉落明细!$X$2:$X$290,"&lt;1")</f>
        <v>3</v>
      </c>
      <c r="Q21" s="2" t="inlineStr">
        <is>
          <t>个人任务</t>
        </is>
      </c>
      <c r="R21" s="2" t="n"/>
      <c r="S21" s="2" t="n">
        <v>5</v>
      </c>
      <c r="T21" s="2" t="inlineStr">
        <is>
          <t xml:space="preserve">楚汉相争时期，项羽、刘邦于荥阳、成皋相持两年多。项羽因腹背受敌，少食无助，被迫与刘邦订立和，以鸿沟为界，东归楚、西属汉。次年，刘邦、韩信、刘贾、彭越、英布等各路汉军约计40万人与10万楚军于垓下展开决战。汉军以韩信率军居中，将军孔熙为左翼、陈贺为右翼，刘邦率部跟进，将军周勃断后。韩信挥军进攻失利，引兵后退，命左、右翼军继续攻击。楚军迎战不利，韩信再挥军反击。楚军大败，退入壁垒坚守，被汉军重重包围。楚军屡战不胜，兵疲食尽。
张良又命围困项羽的各营兵士吹奏楚乐，楚兵闻之，顿时涌起思乡之情，军心涣散，项羽也疑心汉军已进楚地，遂与美人虞姬对饮帐中，奋然起舞，悲歌慷慨，歌数阙，美人和之，慷慨悲凉，脍炙人口。项王涕泪行行，左右皆泣，莫能仰视。未几，虞姬自杀。项羽跨上乌骓协着姬首，率兵800突围而去，至乌江仅剩下26人，形势危急，您是否发兵相助，以求逆天？
</t>
        </is>
      </c>
      <c r="U21" s="2" t="n">
        <v>10</v>
      </c>
      <c r="V21" s="2" t="n">
        <v>100</v>
      </c>
      <c r="W21" s="4" t="n">
        <v>0.28</v>
      </c>
      <c r="X21" s="2" t="inlineStr">
        <is>
          <t>银两×50000；经验西瓜×2</t>
        </is>
      </c>
      <c r="Y21" s="2" t="inlineStr">
        <is>
          <t>乌骓马×1；触发50.0000%；霸王枪×1；触发10.0000%；被动技能宝箱×1；触发6.0000%</t>
        </is>
      </c>
      <c r="Z21" s="2" t="n">
        <v>1000</v>
      </c>
      <c r="AA21" s="2" t="inlineStr">
        <is>
          <t>按配置导入</t>
        </is>
      </c>
      <c r="AB21" s="2" t="n"/>
      <c r="AC21" s="2" t="inlineStr">
        <is>
          <t>data/mission_templates.yaml:L1007</t>
        </is>
      </c>
      <c r="AD21" s="2" t="inlineStr">
        <is>
          <t>{}</t>
        </is>
      </c>
      <c r="AE21" s="2" t="inlineStr">
        <is>
          <t>{"level":10,"guest_level":100,"guest_bonus":0.28}</t>
        </is>
      </c>
      <c r="AF21" s="2" t="inlineStr">
        <is>
          <t>{"key":"simian_chuge","name":"四面楚歌","difficulty":"advanced","description":"楚汉相争时期，项羽、刘邦于荥阳、成皋相持两年多。项羽因腹背受敌，少食无助，被迫与刘邦订立和，以鸿沟为界，东归楚、西属汉。次年，刘邦、韩信、刘贾、彭越、英布等各路汉军约计40万人与10万楚军于垓下展开决战。汉军以韩信率军居中，将军孔熙为左翼、陈贺为右翼，刘邦率部跟进，将军周勃断后。韩信挥军进攻失利，引兵后退，命左、右翼军继续攻击。楚军迎战不利，韩信再挥军反击。楚军大败，退入壁垒坚守，被汉军重重包围。楚军屡战不胜，兵疲食尽。\n\n张良又命围困项羽的各营兵士吹奏楚乐，楚兵闻之，顿时涌起思乡之情，军心涣散，项羽也疑心汉军已进楚地，遂与美人虞姬对饮帐中，奋然起舞，悲歌慷慨，歌数阙，美人和之，慷慨悲凉，脍炙人口。项王涕泪行行，左右皆泣，莫能仰视。未几，虞姬自杀。项羽跨上乌骓协着姬首，率兵800突围而去，至乌江仅剩下26人，形势危急，您是否发兵相助，以求逆天？\n","battle_type":"task1","enemy_guests":[{"key":"task_simian_chuge_hanxin_boss","label":"韩信","skills":["stratagem_burst"]},{"key":"task_simian_chuge_pengyue_boss","skills":["city_felling_strike"]},{"key":"task_simian_chuge_yingbu_boss","skills":["city_felling_strike"]}],"enemy_troops":{"dao_sheng":500,"qiang_wang":500},"enemy_technology":{"level":10,"guest_level":100,"guest_bonus":0.28},"drop_table":{"silver":50000,"equip_wuzhuima":0.5,"equip_bawangqiang":0.1,"experience_watermelon":2,"passive_skill_book_box":0.06},"daily_limit":3}</t>
        </is>
      </c>
      <c r="AG21" s="2" t="n">
        <v>10</v>
      </c>
      <c r="AH21" s="2" t="inlineStr">
        <is>
          <t>挑战者庄园</t>
        </is>
      </c>
    </row>
    <row r="22">
      <c r="A22" s="2" t="n">
        <v>21</v>
      </c>
      <c r="B22" s="2" t="inlineStr">
        <is>
          <t>manzu_ruqin</t>
        </is>
      </c>
      <c r="C22" s="2" t="inlineStr">
        <is>
          <t>蛮族入侵</t>
        </is>
      </c>
      <c r="D22" s="2" t="inlineStr">
        <is>
          <t>高级</t>
        </is>
      </c>
      <c r="E22" s="2" t="inlineStr">
        <is>
          <t>task1</t>
        </is>
      </c>
      <c r="F22" s="2" t="inlineStr">
        <is>
          <t>是</t>
        </is>
      </c>
      <c r="G22" s="2" t="inlineStr">
        <is>
          <t>否</t>
        </is>
      </c>
      <c r="H22" s="2" t="n">
        <v>3</v>
      </c>
      <c r="I22" s="2" t="n">
        <v>1800</v>
      </c>
      <c r="J22" s="2" t="inlineStr">
        <is>
          <t>每日开放</t>
        </is>
      </c>
      <c r="K22" s="2" t="inlineStr">
        <is>
          <t>无</t>
        </is>
      </c>
      <c r="L22" s="3">
        <f>SUMIFS(敌方阵容!$F$2:$F$258,敌方阵容!$A$2:$A$258,B22,敌方阵容!$D$2:$D$258,"门客")</f>
        <v>1</v>
      </c>
      <c r="M22" s="3">
        <f>SUMIFS(敌方阵容!$F$2:$F$258,敌方阵容!$A$2:$A$258,B22,敌方阵容!$D$2:$D$258,"护院")</f>
        <v>1500</v>
      </c>
      <c r="N22" s="3">
        <f>COUNTIF(任务掉落明细!$B$2:$B$290,B22)</f>
        <v>3</v>
      </c>
      <c r="O22" s="3">
        <f>COUNTIFS(任务掉落明细!$B$2:$B$290,B22,任务掉落明细!$X$2:$X$290,1)</f>
        <v>1</v>
      </c>
      <c r="P22" s="3">
        <f>COUNTIFS(任务掉落明细!$B$2:$B$290,B22,任务掉落明细!$X$2:$X$290,"&lt;1")</f>
        <v>2</v>
      </c>
      <c r="Q22" s="2" t="inlineStr">
        <is>
          <t>个人任务</t>
        </is>
      </c>
      <c r="R22" s="2" t="n"/>
      <c r="S22" s="2" t="n">
        <v>5</v>
      </c>
      <c r="T22" s="2" t="inlineStr">
        <is>
          <t xml:space="preserve">北方的蛮族首领大胡子单于对中原广阔的土地已经虎视眈眈了许久，终于时机成熟他带领着他那强大的军队踏上了侵略中原的征程，眼看一场腥风血雨的浩劫即将席卷而来，可中原的各大庄主还浑然不知，这时蛮族军队中的一个打杂的坐不住了，他名叫蒲巴乙，这位小伙子长得十分帅气，因为父亲是胡人母亲是汉人的关系，所以他没有蛮族人粗陋的习俗，但他也并非自愿投军的。
话说那日他为了参加"村有好男儿"的比赛正在山坡上练歌，刚唱了一句就被人一棍子打晕了，醒来后他发现他和村里的许多壮丁已经被抓到军营里了，他们被强征入伍，随军出征在军队中干杂活。当他想到中原即将生灵涂炭，就再也坐不住了，他想去通知中原的庄主们让他们对即将到来的战争做好准备，于是他偷了匹马乘着夜色逃出了军营，向着中原狂奔而去。
</t>
        </is>
      </c>
      <c r="U22" s="2" t="n">
        <v>10</v>
      </c>
      <c r="V22" s="2" t="n">
        <v>100</v>
      </c>
      <c r="W22" s="4" t="n">
        <v>0.5</v>
      </c>
      <c r="X22" s="2" t="inlineStr">
        <is>
          <t>银两×50000</t>
        </is>
      </c>
      <c r="Y22" s="2" t="inlineStr">
        <is>
          <t>文系技能宝箱×1；触发18.0000%；蒲巴乙门客卡×1；触发10.0000%</t>
        </is>
      </c>
      <c r="Z22" s="2" t="n">
        <v>1000</v>
      </c>
      <c r="AA22" s="2" t="inlineStr">
        <is>
          <t>按配置导入</t>
        </is>
      </c>
      <c r="AB22" s="2" t="n"/>
      <c r="AC22" s="2" t="inlineStr">
        <is>
          <t>data/mission_templates.yaml:L1046</t>
        </is>
      </c>
      <c r="AD22" s="2" t="inlineStr">
        <is>
          <t>{}</t>
        </is>
      </c>
      <c r="AE22" s="2" t="inlineStr">
        <is>
          <t>{"level":10,"guest_level":100,"guest_bonus":0.5}</t>
        </is>
      </c>
      <c r="AF22" s="2" t="inlineStr">
        <is>
          <t>{"key":"manzu_ruqin","name":"蛮族入侵","difficulty":"advanced","description":"北方的蛮族首领大胡子单于对中原广阔的土地已经虎视眈眈了许久，终于时机成熟他带领着他那强大的军队踏上了侵略中原的征程，眼看一场腥风血雨的浩劫即将席卷而来，可中原的各大庄主还浑然不知，这时蛮族军队中的一个打杂的坐不住了，他名叫蒲巴乙，这位小伙子长得十分帅气，因为父亲是胡人母亲是汉人的关系，所以他没有蛮族人粗陋的习俗，但他也并非自愿投军的。\n\n话说那日他为了参加\"村有好男儿\"的比赛正在山坡上练歌，刚唱了一句就被人一棍子打晕了，醒来后他发现他和村里的许多壮丁已经被抓到军营里了，他们被强征入伍，随军出征在军队中干杂活。当他想到中原即将生灵涂炭，就再也坐不住了，他想去通知中原的庄主们让他们对即将到来的战争做好准备，于是他偷了匹马乘着夜色逃出了军营，向着中原狂奔而去。\n","battle_type":"task1","is_defense":true,"enemy_guests":[{"key":"task_barbarian_chanyu","label":"单于"}],"enemy_technology":{"level":10,"guest_level":100,"guest_bonus":0.5},"enemy_troops":{"qiang_wang":1500},"drop_table":{"silver":50000,"civil_skill_book_box":0.18,"pubayi_guest_card":0.1},"daily_limit":3}</t>
        </is>
      </c>
      <c r="AG22" s="2" t="n">
        <v>10</v>
      </c>
      <c r="AH22" s="2" t="inlineStr">
        <is>
          <t>挑战者庄园</t>
        </is>
      </c>
    </row>
    <row r="23">
      <c r="A23" s="2" t="n">
        <v>22</v>
      </c>
      <c r="B23" s="2" t="inlineStr">
        <is>
          <t>zhuiji_manzu</t>
        </is>
      </c>
      <c r="C23" s="2" t="inlineStr">
        <is>
          <t>追击蛮族</t>
        </is>
      </c>
      <c r="D23" s="2" t="inlineStr">
        <is>
          <t>高级</t>
        </is>
      </c>
      <c r="E23" s="2" t="inlineStr">
        <is>
          <t>task1</t>
        </is>
      </c>
      <c r="F23" s="2" t="inlineStr">
        <is>
          <t>否</t>
        </is>
      </c>
      <c r="G23" s="2" t="inlineStr">
        <is>
          <t>否</t>
        </is>
      </c>
      <c r="H23" s="2" t="n">
        <v>3</v>
      </c>
      <c r="I23" s="2" t="n">
        <v>1800</v>
      </c>
      <c r="J23" s="2" t="inlineStr">
        <is>
          <t>每日开放</t>
        </is>
      </c>
      <c r="K23" s="2" t="inlineStr">
        <is>
          <t>无</t>
        </is>
      </c>
      <c r="L23" s="3">
        <f>SUMIFS(敌方阵容!$F$2:$F$258,敌方阵容!$A$2:$A$258,B23,敌方阵容!$D$2:$D$258,"门客")</f>
        <v>1</v>
      </c>
      <c r="M23" s="3">
        <f>SUMIFS(敌方阵容!$F$2:$F$258,敌方阵容!$A$2:$A$258,B23,敌方阵容!$D$2:$D$258,"护院")</f>
        <v>1000</v>
      </c>
      <c r="N23" s="3">
        <f>COUNTIF(任务掉落明细!$B$2:$B$290,B23)</f>
        <v>4</v>
      </c>
      <c r="O23" s="3">
        <f>COUNTIFS(任务掉落明细!$B$2:$B$290,B23,任务掉落明细!$X$2:$X$290,1)</f>
        <v>1</v>
      </c>
      <c r="P23" s="3">
        <f>COUNTIFS(任务掉落明细!$B$2:$B$290,B23,任务掉落明细!$X$2:$X$290,"&lt;1")</f>
        <v>3</v>
      </c>
      <c r="Q23" s="2" t="inlineStr">
        <is>
          <t>个人任务</t>
        </is>
      </c>
      <c r="R23" s="2" t="n"/>
      <c r="S23" s="2" t="n">
        <v>5</v>
      </c>
      <c r="T23" s="2" t="inlineStr">
        <is>
          <t xml:space="preserve">在蛮族入侵时，小伙子蒲巴乙为拯救中原的人们，使他们避免成为蛮族铁蹄下的冤魂，他偷偷溜出军营骑着马向着中原狂奔而去，经过七天七夜的日夜兼程，最后连马都累死在了半路上，终于他赶在蛮族军队到来之前向庄主们发出了蛮族准备入侵的讯息，各地的庄主得到了讯息之后，立即停止了互相征战，准备联手抗击蛮族，他们准备了周密的计划准备给大胡子单于来个"瓮中捉鳖"。
很快蛮族的军队开始了攻城略地，一路上都十分顺利，其间只遭到了庄主们象征性的抵抗，这种轻而易举就取得胜利的状况开始让蛮族的军队放松了戒心，大胡子单于也开始幻想着在关内放牧的情景，然而他们不知道他们正一步步走进庄主们给他们布下的天罗地网。
终于一天夜里领主们趁着夜色对蛮族军营发动了偷袭，毫无提防的蛮族士兵还没反应过来就已经被打得溃不成军，纷纷丢盔弃甲，落荒而逃。大胡子单于更是丢盔弃甲，落荒而逃，现在是抉择的时候了，到底是穷寇莫追，还是追击蛮族让他们再也不敢踏入中原半步呢？一切都由你决定！
</t>
        </is>
      </c>
      <c r="U23" s="2" t="n">
        <v>10</v>
      </c>
      <c r="V23" s="2" t="n">
        <v>100</v>
      </c>
      <c r="W23" s="4" t="n">
        <v>0.26</v>
      </c>
      <c r="X23" s="2" t="inlineStr">
        <is>
          <t>银两×40000</t>
        </is>
      </c>
      <c r="Y23" s="2" t="inlineStr">
        <is>
          <t>经验菠萝×10；触发80.0000%；塞外装备箱×1；触发24.0000%；《龙吟破阵》秘术×1；触发0.6000%</t>
        </is>
      </c>
      <c r="Z23" s="2" t="n">
        <v>1000</v>
      </c>
      <c r="AA23" s="2" t="inlineStr">
        <is>
          <t>按配置导入</t>
        </is>
      </c>
      <c r="AB23" s="2" t="n"/>
      <c r="AC23" s="2" t="inlineStr">
        <is>
          <t>data/mission_templates.yaml:L1075</t>
        </is>
      </c>
      <c r="AD23" s="2" t="inlineStr">
        <is>
          <t>{}</t>
        </is>
      </c>
      <c r="AE23" s="2" t="inlineStr">
        <is>
          <t>{"level":10,"guest_level":100,"guest_bonus":0.26}</t>
        </is>
      </c>
      <c r="AF23" s="2" t="inlineStr">
        <is>
          <t>{"key":"zhuiji_manzu","name":"追击蛮族","difficulty":"advanced","description":"在蛮族入侵时，小伙子蒲巴乙为拯救中原的人们，使他们避免成为蛮族铁蹄下的冤魂，他偷偷溜出军营骑着马向着中原狂奔而去，经过七天七夜的日夜兼程，最后连马都累死在了半路上，终于他赶在蛮族军队到来之前向庄主们发出了蛮族准备入侵的讯息，各地的庄主得到了讯息之后，立即停止了互相征战，准备联手抗击蛮族，他们准备了周密的计划准备给大胡子单于来个\"瓮中捉鳖\"。\n\n很快蛮族的军队开始了攻城略地，一路上都十分顺利，其间只遭到了庄主们象征性的抵抗，这种轻而易举就取得胜利的状况开始让蛮族的军队放松了戒心，大胡子单于也开始幻想着在关内放牧的情景，然而他们不知道他们正一步步走进庄主们给他们布下的天罗地网。\n\n终于一天夜里领主们趁着夜色对蛮族军营发动了偷袭，毫无提防的蛮族士兵还没反应过来就已经被打得溃不成军，纷纷丢盔弃甲，落荒而逃。大胡子单于更是丢盔弃甲，落荒而逃，现在是抉择的时候了，到底是穷寇莫追，还是追击蛮族让他们再也不敢踏入中原半步呢？一切都由你决定！\n","battle_type":"task1","enemy_guests":[{"key":"task_barbarian_chanyu","label":"单于"}],"enemy_troops":{"qiang_wang":1000},"enemy_technology":{"level":10,"guest_level":100,"guest_bonus":0.26},"drop_table":{"silver":40000,"experience_pineapple":{"chance":0.8,"count":10},"saiwai_equipment_box":0.24,"book_dragon_roar":0.006},"daily_limit":3}</t>
        </is>
      </c>
      <c r="AG23" s="2" t="n">
        <v>10</v>
      </c>
      <c r="AH23" s="2" t="inlineStr">
        <is>
          <t>挑战者庄园</t>
        </is>
      </c>
    </row>
    <row r="24">
      <c r="A24" s="2" t="n">
        <v>23</v>
      </c>
      <c r="B24" s="2" t="inlineStr">
        <is>
          <t>liangshanbo_zhuyingtai</t>
        </is>
      </c>
      <c r="C24" s="2" t="inlineStr">
        <is>
          <t>梁山伯与祝英台</t>
        </is>
      </c>
      <c r="D24" s="2" t="inlineStr">
        <is>
          <t>中级</t>
        </is>
      </c>
      <c r="E24" s="2" t="inlineStr">
        <is>
          <t>task1</t>
        </is>
      </c>
      <c r="F24" s="2" t="inlineStr">
        <is>
          <t>否</t>
        </is>
      </c>
      <c r="G24" s="2" t="inlineStr">
        <is>
          <t>否</t>
        </is>
      </c>
      <c r="H24" s="2" t="n">
        <v>3</v>
      </c>
      <c r="I24" s="2" t="n">
        <v>1800</v>
      </c>
      <c r="J24" s="2" t="inlineStr">
        <is>
          <t>周一、周三、周五、周六、周日</t>
        </is>
      </c>
      <c r="K24" s="2" t="inlineStr">
        <is>
          <t>无</t>
        </is>
      </c>
      <c r="L24" s="3">
        <f>SUMIFS(敌方阵容!$F$2:$F$258,敌方阵容!$A$2:$A$258,B24,敌方阵容!$D$2:$D$258,"门客")</f>
        <v>1</v>
      </c>
      <c r="M24" s="3">
        <f>SUMIFS(敌方阵容!$F$2:$F$258,敌方阵容!$A$2:$A$258,B24,敌方阵容!$D$2:$D$258,"护院")</f>
        <v>600</v>
      </c>
      <c r="N24" s="3">
        <f>COUNTIF(任务掉落明细!$B$2:$B$290,B24)</f>
        <v>11</v>
      </c>
      <c r="O24" s="3">
        <f>COUNTIFS(任务掉落明细!$B$2:$B$290,B24,任务掉落明细!$X$2:$X$290,1)</f>
        <v>2</v>
      </c>
      <c r="P24" s="3">
        <f>COUNTIFS(任务掉落明细!$B$2:$B$290,B24,任务掉落明细!$X$2:$X$290,"&lt;1")</f>
        <v>9</v>
      </c>
      <c r="Q24" s="2" t="inlineStr">
        <is>
          <t>个人任务</t>
        </is>
      </c>
      <c r="R24" s="2" t="n"/>
      <c r="S24" s="2" t="n">
        <v>5</v>
      </c>
      <c r="T24" s="2" t="inlineStr">
        <is>
          <t xml:space="preserve">红罗山书院里，三好学生梁山伯与女扮男装求学的祝英台在上学途中偶然相遇，二人一见如故，当下投名结义。三载同窗，情意在书声与山色间日渐深厚；待到英台学成归家，山伯一路相送十八里，英台屡借草木禽鸟暗寄芳心，山伯却迟迟未解。直到祝家厅前，英台换回红妆、手奉香茗，山伯方知“九弟即九妹”，二人遂私订终身。
奈何祝家已受北马庄恶霸马文才蛊惑，应下婚约。待山伯依约前来议婚，只换得英台一腔泪语，道是姻缘已晚。山伯素来为人端方，交游甚广，诸多义士闻讯赶来，誓要助这对有情人冲破门第与礼法。他们细细勘定迎亲路线，在沿途埋下伏兵，又备足暗器，只待花轿启行时奋力抢亲。一场满载义气与正心的夺亲之战，即将打响。
</t>
        </is>
      </c>
      <c r="U24" s="2" t="n">
        <v>5</v>
      </c>
      <c r="V24" s="2" t="n">
        <v>60</v>
      </c>
      <c r="W24" s="4" t="n">
        <v>0.16</v>
      </c>
      <c r="X24" s="2" t="inlineStr">
        <is>
          <t>银两×10000；好人卡×1</t>
        </is>
      </c>
      <c r="Y24" s="2" t="inlineStr">
        <is>
          <t>随机池nichang_random_piece（霓裳羽衣、霓裳舞鞋、霓裳剑）×1；触发10.0000%；八卦刀×1；触发10.0000%；义气腰牌×1；触发6.0000%；竹简×1；触发5.0000%；墨玉砚×1；触发5.0000%；玄铁戒×1；触发7.0000%；流云佩×1；触发7.0000%</t>
        </is>
      </c>
      <c r="Z24" s="2" t="n">
        <v>1000</v>
      </c>
      <c r="AA24" s="2" t="inlineStr">
        <is>
          <t>按配置导入</t>
        </is>
      </c>
      <c r="AB24" s="2" t="n"/>
      <c r="AC24" s="2" t="inlineStr">
        <is>
          <t>data/mission_templates.yaml:L1108</t>
        </is>
      </c>
      <c r="AD24" s="2" t="inlineStr">
        <is>
          <t>{}</t>
        </is>
      </c>
      <c r="AE24" s="2" t="inlineStr">
        <is>
          <t>{"level":5,"guest_level":60,"guest_bonus":0.16}</t>
        </is>
      </c>
      <c r="AF24" s="2" t="inlineStr">
        <is>
          <t>{"key":"liangshanbo_zhuyingtai","name":"梁山伯与祝英台","difficulty":"intermediate","available_weekdays":[1,3,5,6,7],"description":"红罗山书院里，三好学生梁山伯与女扮男装求学的祝英台在上学途中偶然相遇，二人一见如故，当下投名结义。三载同窗，情意在书声与山色间日渐深厚；待到英台学成归家，山伯一路相送十八里，英台屡借草木禽鸟暗寄芳心，山伯却迟迟未解。直到祝家厅前，英台换回红妆、手奉香茗，山伯方知“九弟即九妹”，二人遂私订终身。\n\n奈何祝家已受北马庄恶霸马文才蛊惑，应下婚约。待山伯依约前来议婚，只换得英台一腔泪语，道是姻缘已晚。山伯素来为人端方，交游甚广，诸多义士闻讯赶来，誓要助这对有情人冲破门第与礼法。他们细细勘定迎亲路线，在沿途埋下伏兵，又备足暗器，只待花轿启行时奋力抢亲。一场满载义气与正心的夺亲之战，即将打响。\n","battle_type":"task1","enemy_guests":[{"key":"orig_ma_wencai","label":"马文才","skills":["stratagem_burst"]}],"enemy_troops":{"qiang_wang":200,"arrow_god":200,"dao_sheng":200},"enemy_technology":{"level":5,"guest_level":60,"guest_bonus":0.16},"drop_table":{"silver":10000,"haorenka":1,"nichang_random_piece":{"chance":0.1,"choices":["equip_nichangyuyi","equip_nichangwuxie","equip_nichangjian"]},"equip_baguadao":0.1,"equip_yiqiyaopai":0.06,"equip_zhujian":0.05,"equip_moyuyan":0.05,"equip_xuantiejie":0.07,"equip_liuyunpei":0.07},"probability_drop_table":{"equip_nichangyuyi":1,"equip_nichangwuxie":1,"equip_nichangjian":1},"base_travel_time":1800,"daily_limit":3}</t>
        </is>
      </c>
      <c r="AG24" s="2" t="n">
        <v>10</v>
      </c>
      <c r="AH24" s="2" t="inlineStr">
        <is>
          <t>挑战者庄园</t>
        </is>
      </c>
    </row>
    <row r="25">
      <c r="A25" s="2" t="n">
        <v>24</v>
      </c>
      <c r="B25" s="2" t="inlineStr">
        <is>
          <t>biyou_candeng</t>
        </is>
      </c>
      <c r="C25" s="2" t="inlineStr">
        <is>
          <t>封神之战：碧游残灯</t>
        </is>
      </c>
      <c r="D25" s="2" t="inlineStr">
        <is>
          <t>高级</t>
        </is>
      </c>
      <c r="E25" s="2" t="inlineStr">
        <is>
          <t>task1</t>
        </is>
      </c>
      <c r="F25" s="2" t="inlineStr">
        <is>
          <t>否</t>
        </is>
      </c>
      <c r="G25" s="2" t="inlineStr">
        <is>
          <t>否</t>
        </is>
      </c>
      <c r="H25" s="2" t="n">
        <v>3</v>
      </c>
      <c r="I25" s="2" t="n">
        <v>1800</v>
      </c>
      <c r="J25" s="2" t="inlineStr">
        <is>
          <t>每日开放</t>
        </is>
      </c>
      <c r="K25" s="2" t="inlineStr">
        <is>
          <t>无</t>
        </is>
      </c>
      <c r="L25" s="3">
        <f>SUMIFS(敌方阵容!$F$2:$F$258,敌方阵容!$A$2:$A$258,B25,敌方阵容!$D$2:$D$258,"门客")</f>
        <v>6</v>
      </c>
      <c r="M25" s="3">
        <f>SUMIFS(敌方阵容!$F$2:$F$258,敌方阵容!$A$2:$A$258,B25,敌方阵容!$D$2:$D$258,"护院")</f>
        <v>1850</v>
      </c>
      <c r="N25" s="3">
        <f>COUNTIF(任务掉落明细!$B$2:$B$290,B25)</f>
        <v>12</v>
      </c>
      <c r="O25" s="3">
        <f>COUNTIFS(任务掉落明细!$B$2:$B$290,B25,任务掉落明细!$X$2:$X$290,1)</f>
        <v>1</v>
      </c>
      <c r="P25" s="3">
        <f>COUNTIFS(任务掉落明细!$B$2:$B$290,B25,任务掉落明细!$X$2:$X$290,"&lt;1")</f>
        <v>11</v>
      </c>
      <c r="Q25" s="2" t="inlineStr">
        <is>
          <t>个人任务</t>
        </is>
      </c>
      <c r="R25" s="2" t="n"/>
      <c r="S25" s="2" t="n">
        <v>5</v>
      </c>
      <c r="T25" s="2" t="inlineStr">
        <is>
          <t xml:space="preserve">万仙阵外，截教败局已现。碧游宫阵旗折断，残灯将熄，周营与玉虚门人已封住阵门，准备将阵中余众一并清算。此时，一盏未灭的碧游残灯越过仙门禁制，落入庄园。灯火中传来截教残魂的求援：不是求逆转天命，也不是求替截教洗去旧罪，而是求庄园主入阵夺回第一面万仙阵旗，让尚未入榜、尚未作恶的门人有机会活着离开。
庄园门客踏入阵门，从周营清剿军、玉虚巡阵者与失控剑痕之间杀出一条路。阵门之上，清算符诏仍在一笔一笔抹去榜外残名；阵门之下，碧游残灯只剩最后一线火光。若此战得胜，截教反攻便从这一点残火开始。
</t>
        </is>
      </c>
      <c r="U25" s="2" t="n">
        <v>10</v>
      </c>
      <c r="V25" s="2" t="n">
        <v>88</v>
      </c>
      <c r="W25" s="4" t="n">
        <v>0.34</v>
      </c>
      <c r="X25" s="2" t="inlineStr">
        <is>
          <t>银两×60000</t>
        </is>
      </c>
      <c r="Y25" s="2" t="inlineStr">
        <is>
          <t>经验菠萝×8；触发65.0000%；《绝处逢生》秘术×1；触发5.0000%；八卦镜×1；触发6.0000%；万仙阵旗残片×1；触发35.0000%；随机池equip_xiaowei_set（校尉头盔、校尉铠甲、校尉长靴、校尉长剑）×1；触发35.0000%；随机池equip_huxian_set（狐仙袍、狐仙鞋、狐仙剑）×1；触发10.0000%</t>
        </is>
      </c>
      <c r="Z25" s="2" t="n">
        <v>1000</v>
      </c>
      <c r="AA25" s="2" t="inlineStr">
        <is>
          <t>按配置导入</t>
        </is>
      </c>
      <c r="AB25" s="2" t="n"/>
      <c r="AC25" s="2" t="inlineStr">
        <is>
          <t>data/mission_templates.yaml:L1158</t>
        </is>
      </c>
      <c r="AD25" s="2" t="inlineStr">
        <is>
          <t>{}</t>
        </is>
      </c>
      <c r="AE25" s="2" t="inlineStr">
        <is>
          <t>{"level":10,"guest_level":88,"guest_bonus":0.34}</t>
        </is>
      </c>
      <c r="AF25" s="2" t="inlineStr">
        <is>
          <t>{"key":"biyou_candeng","name":"封神之战：碧游残灯","difficulty":"advanced","description":"万仙阵外，截教败局已现。碧游宫阵旗折断，残灯将熄，周营与玉虚门人已封住阵门，准备将阵中余众一并清算。此时，一盏未灭的碧游残灯越过仙门禁制，落入庄园。灯火中传来截教残魂的求援：不是求逆转天命，也不是求替截教洗去旧罪，而是求庄园主入阵夺回第一面万仙阵旗，让尚未入榜、尚未作恶的门人有机会活着离开。\n\n庄园门客踏入阵门，从周营清剿军、玉虚巡阵者与失控剑痕之间杀出一条路。阵门之上，清算符诏仍在一笔一笔抹去榜外残名；阵门之下，碧游残灯只剩最后一线火光。若此战得胜，截教反攻便从这一点残火开始。\n","battle_type":"task1","enemy_guests":["task_wanxian_nangong_lie","task_wanxian_lu_xuanqing","task_wanxian_baihe_fushi","task_wanxian_zhuxian_canfeng","task_wanxian_yuzhu","task_wanxian_qingsuan_fuzhao"],"enemy_troops":{"dao_sheng":700,"qiang_wang":650,"arrow_god":500},"enemy_technology":{"level":10,"guest_level":88,"guest_bonus":0.34},"drop_table":{"silver":60000,"experience_pineapple":{"chance":0.65,"count":8},"book_last_chance_revival":0.05,"equip_baguajing":0.06,"wanyin_flag_fragment":{"chance":0.35,"count":1},"equip_xiaowei_set":{"chance":0.35,"choices":["equip_xiaoweitoukui","equip_xiaoweikaijia","equip_xiaoweichangxue","equip_xiaoweichangjian"]},"equip_huxian_set":{"chance":0.1,"choices":["equip_huxianpao","equip_huxianxie","equip_huxianjian"]}},"base_travel_time":1800,"daily_limit":3}</t>
        </is>
      </c>
      <c r="AG25" s="2" t="n">
        <v>10</v>
      </c>
      <c r="AH25" s="2" t="inlineStr">
        <is>
          <t>挑战者庄园</t>
        </is>
      </c>
    </row>
    <row r="26">
      <c r="A26" s="2" t="n">
        <v>25</v>
      </c>
      <c r="B26" s="2" t="inlineStr">
        <is>
          <t>shier_xianyin</t>
        </is>
      </c>
      <c r="C26" s="2" t="inlineStr">
        <is>
          <t>封神之战：十二仙印</t>
        </is>
      </c>
      <c r="D26" s="2" t="inlineStr">
        <is>
          <t>高级</t>
        </is>
      </c>
      <c r="E26" s="2" t="inlineStr">
        <is>
          <t>task1</t>
        </is>
      </c>
      <c r="F26" s="2" t="inlineStr">
        <is>
          <t>否</t>
        </is>
      </c>
      <c r="G26" s="2" t="inlineStr">
        <is>
          <t>否</t>
        </is>
      </c>
      <c r="H26" s="2" t="n">
        <v>2</v>
      </c>
      <c r="I26" s="2" t="n">
        <v>1800</v>
      </c>
      <c r="J26" s="2" t="inlineStr">
        <is>
          <t>每日开放</t>
        </is>
      </c>
      <c r="K26" s="2" t="inlineStr">
        <is>
          <t>万仙阵旗残片×1</t>
        </is>
      </c>
      <c r="L26" s="3">
        <f>SUMIFS(敌方阵容!$F$2:$F$258,敌方阵容!$A$2:$A$258,B26,敌方阵容!$D$2:$D$258,"门客")</f>
        <v>8</v>
      </c>
      <c r="M26" s="3">
        <f>SUMIFS(敌方阵容!$F$2:$F$258,敌方阵容!$A$2:$A$258,B26,敌方阵容!$D$2:$D$258,"护院")</f>
        <v>2900</v>
      </c>
      <c r="N26" s="3">
        <f>COUNTIF(任务掉落明细!$B$2:$B$290,B26)</f>
        <v>6</v>
      </c>
      <c r="O26" s="3">
        <f>COUNTIFS(任务掉落明细!$B$2:$B$290,B26,任务掉落明细!$X$2:$X$290,1)</f>
        <v>1</v>
      </c>
      <c r="P26" s="3">
        <f>COUNTIFS(任务掉落明细!$B$2:$B$290,B26,任务掉落明细!$X$2:$X$290,"&lt;1")</f>
        <v>5</v>
      </c>
      <c r="Q26" s="2" t="inlineStr">
        <is>
          <t>个人任务</t>
        </is>
      </c>
      <c r="R26" s="2" t="n"/>
      <c r="S26" s="2" t="n">
        <v>5</v>
      </c>
      <c r="T26" s="2" t="inlineStr">
        <is>
          <t xml:space="preserve">阵旗重燃后，万仙阵中层忽然降下十二道玉虚仙印。它们不是仙人本尊，却承载着阐教诸仙的法宝、道统与杀伐意志。哪吒杀星开路，杨戬玄功镇身，太乙神火焚阵，广成番天印压断截教气运。凡庄园主之令入阵相助截教者，皆被天命识作乱榜异数。
若十二印合拢，截教残部将被重新压回死局；若仙印破碎，万仙阵中层便会重开，截教败兵也将第一次从逃亡转为反攻。此战不问天命宽恕，只问仙印能否挡住人间兵锋。
</t>
        </is>
      </c>
      <c r="U26" s="2" t="n">
        <v>10</v>
      </c>
      <c r="V26" s="2" t="n">
        <v>94</v>
      </c>
      <c r="W26" s="4" t="n">
        <v>0.46</v>
      </c>
      <c r="X26" s="2" t="inlineStr">
        <is>
          <t>银两×80000</t>
        </is>
      </c>
      <c r="Y26" s="2" t="inlineStr">
        <is>
          <t>经验菠萝×12；触发70.0000%；《五雷降世》秘术×1；触发4.8000%；《瞬狱杀阵》秘术×1；触发4.8000%；太清玉册×1；触发0.9600%；玉虚碎印×1；触发25.0000%</t>
        </is>
      </c>
      <c r="Z26" s="2" t="n">
        <v>1000</v>
      </c>
      <c r="AA26" s="2" t="inlineStr">
        <is>
          <t>按配置导入</t>
        </is>
      </c>
      <c r="AB26" s="2" t="n"/>
      <c r="AC26" s="2" t="inlineStr">
        <is>
          <t>data/mission_templates.yaml:L1212</t>
        </is>
      </c>
      <c r="AD26" s="2" t="inlineStr">
        <is>
          <t>{"wanyin_flag_fragment":1}</t>
        </is>
      </c>
      <c r="AE26" s="2" t="inlineStr">
        <is>
          <t>{"level":10,"guest_level":94,"guest_bonus":0.46}</t>
        </is>
      </c>
      <c r="AF26" s="2" t="inlineStr">
        <is>
          <t>{"key":"shier_xianyin","name":"封神之战：十二仙印","difficulty":"advanced","description":"阵旗重燃后，万仙阵中层忽然降下十二道玉虚仙印。它们不是仙人本尊，却承载着阐教诸仙的法宝、道统与杀伐意志。哪吒杀星开路，杨戬玄功镇身，太乙神火焚阵，广成番天印压断截教气运。凡庄园主之令入阵相助截教者，皆被天命识作乱榜异数。\n\n若十二印合拢，截教残部将被重新压回死局；若仙印破碎，万仙阵中层便会重开，截教败兵也将第一次从逃亡转为反攻。此战不问天命宽恕，只问仙印能否挡住人间兵锋。\n","battle_type":"task1","entry_cost":{"wanyin_flag_fragment":1},"enemy_guests":["task_wanxian_nezha","task_wanxian_yangjian","task_wanxian_taiyi","task_wanxian_guangchengzi","task_wanxian_chijingzi","task_wanxian_cihang","task_wanxian_juliusun","task_wanxian_shier_xianyin"],"enemy_troops":{"jian_sheng":850,"arrow_god":800,"qiang_wang":750,"quan_sheng":500},"enemy_technology":{"level":10,"guest_level":94,"guest_bonus":0.46},"drop_table":{"silver":80000,"experience_pineapple":{"chance":0.7,"count":12},"book_five_thunder_descent":0.048,"book_hell_instant_formation":0.048,"equip_taiqingyuce":0.0096,"yuxu_broken_seal":{"chance":0.25,"count":1}},"base_travel_time":1800,"daily_limit":2}</t>
        </is>
      </c>
      <c r="AG26" s="2" t="n">
        <v>10</v>
      </c>
      <c r="AH26" s="2" t="inlineStr">
        <is>
          <t>挑战者庄园</t>
        </is>
      </c>
    </row>
    <row r="27">
      <c r="A27" s="2" t="n">
        <v>26</v>
      </c>
      <c r="B27" s="2" t="inlineStr">
        <is>
          <t>fengbang_tianmen</t>
        </is>
      </c>
      <c r="C27" s="2" t="inlineStr">
        <is>
          <t>封神之战：封榜天门</t>
        </is>
      </c>
      <c r="D27" s="2" t="inlineStr">
        <is>
          <t>高级</t>
        </is>
      </c>
      <c r="E27" s="2" t="inlineStr">
        <is>
          <t>task1</t>
        </is>
      </c>
      <c r="F27" s="2" t="inlineStr">
        <is>
          <t>否</t>
        </is>
      </c>
      <c r="G27" s="2" t="inlineStr">
        <is>
          <t>否</t>
        </is>
      </c>
      <c r="H27" s="2" t="n">
        <v>1</v>
      </c>
      <c r="I27" s="2" t="n">
        <v>1800</v>
      </c>
      <c r="J27" s="2" t="inlineStr">
        <is>
          <t>每日开放</t>
        </is>
      </c>
      <c r="K27" s="2" t="inlineStr">
        <is>
          <t>玉虚碎印×1</t>
        </is>
      </c>
      <c r="L27" s="3">
        <f>SUMIFS(敌方阵容!$F$2:$F$258,敌方阵容!$A$2:$A$258,B27,敌方阵容!$D$2:$D$258,"门客")</f>
        <v>6</v>
      </c>
      <c r="M27" s="3">
        <f>SUMIFS(敌方阵容!$F$2:$F$258,敌方阵容!$A$2:$A$258,B27,敌方阵容!$D$2:$D$258,"护院")</f>
        <v>4500</v>
      </c>
      <c r="N27" s="3">
        <f>COUNTIF(任务掉落明细!$B$2:$B$290,B27)</f>
        <v>20</v>
      </c>
      <c r="O27" s="3">
        <f>COUNTIFS(任务掉落明细!$B$2:$B$290,B27,任务掉落明细!$X$2:$X$290,1)</f>
        <v>1</v>
      </c>
      <c r="P27" s="3">
        <f>COUNTIFS(任务掉落明细!$B$2:$B$290,B27,任务掉落明细!$X$2:$X$290,"&lt;1")</f>
        <v>19</v>
      </c>
      <c r="Q27" s="2" t="inlineStr">
        <is>
          <t>个人任务</t>
        </is>
      </c>
      <c r="R27" s="2" t="n"/>
      <c r="S27" s="2" t="n">
        <v>5</v>
      </c>
      <c r="T27" s="2" t="inlineStr">
        <is>
          <t xml:space="preserve">十二仙印破碎后，封神榜裂开一页，天门显现。姜子牙持榜而立，燃灯道人点起过去佛灯，打神鞭化为天罚，榜上神名也从金光中逐一醒来。此战已不是救援，而是夺榜改命。封榜天门前，清算将落，截教最后一页榜外残命悬于一线。
庄园主率门客直面封神榜、打神鞭与玉虚天罚，要证明一件事：天命可以定胜负，却不能把所有失败者都抹成灰烬。若此战得胜，封神大势仍会落下，但碧游残火将不再被天命彻底抹去。
</t>
        </is>
      </c>
      <c r="U27" s="2" t="n">
        <v>10</v>
      </c>
      <c r="V27" s="2" t="n">
        <v>100</v>
      </c>
      <c r="W27" s="4" t="n">
        <v>0.62</v>
      </c>
      <c r="X27" s="2" t="inlineStr">
        <is>
          <t>银两×100000</t>
        </is>
      </c>
      <c r="Y27" s="2" t="inlineStr">
        <is>
          <t>经验菠萝×15；触发80.0000%；《龙吟破阵》秘术×1；触发2.4000%；《五雷降世》秘术×1；触发4.8000%；《绝处逢生》秘术×1；触发7.2000%；八卦镜×1；触发8.0000%；太清玉册×1；触发1.2000%；封神榜×1；触发0.6000%；封神装备箱×1；触发8.0000%；随机池blueprint_top_blue（青龙盔图纸、青龙甲图纸、青龙靴图纸、青龙刀图纸）×1；触发45.0000%；随机池blueprint_top_purple（麒麟盔图纸、麒麟甲图纸、麒麟靴图纸、麒麟刀图纸）×1；触发25.0000%；随机池blueprint_top_orange（飞鸢图纸、赤霄机凤图纸、墨家机关人图纸）×1；触发3.0000%</t>
        </is>
      </c>
      <c r="Z27" s="2" t="n">
        <v>1000</v>
      </c>
      <c r="AA27" s="2" t="inlineStr">
        <is>
          <t>按配置导入</t>
        </is>
      </c>
      <c r="AB27" s="2" t="n"/>
      <c r="AC27" s="2" t="inlineStr">
        <is>
          <t>data/mission_templates.yaml:L1259</t>
        </is>
      </c>
      <c r="AD27" s="2" t="inlineStr">
        <is>
          <t>{"yuxu_broken_seal":1}</t>
        </is>
      </c>
      <c r="AE27" s="2" t="inlineStr">
        <is>
          <t>{"level":10,"guest_level":100,"guest_bonus":0.62}</t>
        </is>
      </c>
      <c r="AF27" s="2" t="inlineStr">
        <is>
          <t>{"key":"fengbang_tianmen","name":"封神之战：封榜天门","difficulty":"advanced","description":"十二仙印破碎后，封神榜裂开一页，天门显现。姜子牙持榜而立，燃灯道人点起过去佛灯，打神鞭化为天罚，榜上神名也从金光中逐一醒来。此战已不是救援，而是夺榜改命。封榜天门前，清算将落，截教最后一页榜外残命悬于一线。\n\n庄园主率门客直面封神榜、打神鞭与玉虚天罚，要证明一件事：天命可以定胜负，却不能把所有失败者都抹成灰烬。若此战得胜，封神大势仍会落下，但碧游残火将不再被天命彻底抹去。\n","battle_type":"task1","entry_cost":{"yuxu_broken_seal":1},"enemy_guests":["task_wanxian_randeng","task_wanxian_nanji_xianweng","task_wanxian_jiang_ziya","task_wanxian_dashenbian","task_wanxian_bangshangming","task_wanxian_yuxu_tianfa"],"enemy_troops":{"dao_sheng":1000,"jian_sheng":1000,"arrow_god":900,"qiang_wang":900,"quan_sheng":700},"enemy_technology":{"level":10,"guest_level":100,"guest_bonus":0.62},"drop_table":{"silver":100000,"experience_pineapple":{"chance":0.8,"count":15},"book_dragon_roar":0.024,"book_five_thunder_descent":0.048,"book_last_chance_revival":0.072,"equip_baguajing":0.08,"equip_taiqingyuce":0.012,"equip_fengshenbang":0.006,"fengshen_equipment_box":0.08,"blueprint_top_blue":{"chance":0.45,"choices":["blueprint_qinglongkui","blueprint_qinglongjia","blueprint_qinglongxue","blueprint_qinglongdao"]},"blueprint_top_purple":{"chance":0.25,"choices":["blueprint_qilinkui","blueprint_qilinjia","blueprint_qilinxue","blueprint_qilindao"]},"blueprint_top_orange":{"chance":0.03,"choices":["blueprint_feiyuan","blueprint_chixiaojifeng","blueprint_mojiajiguanren"]}},"base_travel_time":1800,"daily_limit":1}</t>
        </is>
      </c>
      <c r="AG27" s="2" t="n">
        <v>10</v>
      </c>
      <c r="AH27" s="2" t="inlineStr">
        <is>
          <t>挑战者庄园</t>
        </is>
      </c>
    </row>
    <row r="28">
      <c r="A28" s="2" t="n">
        <v>27</v>
      </c>
      <c r="B28" s="2" t="inlineStr">
        <is>
          <t>zhuolu_zhongyuan</t>
        </is>
      </c>
      <c r="C28" s="2" t="inlineStr">
        <is>
          <t>逐鹿中原</t>
        </is>
      </c>
      <c r="D28" s="2" t="inlineStr">
        <is>
          <t>高级</t>
        </is>
      </c>
      <c r="E28" s="2" t="inlineStr">
        <is>
          <t>task1</t>
        </is>
      </c>
      <c r="F28" s="2" t="inlineStr">
        <is>
          <t>否</t>
        </is>
      </c>
      <c r="G28" s="2" t="inlineStr">
        <is>
          <t>否</t>
        </is>
      </c>
      <c r="H28" s="2" t="n">
        <v>1</v>
      </c>
      <c r="I28" s="2" t="n">
        <v>1800</v>
      </c>
      <c r="J28" s="2" t="inlineStr">
        <is>
          <t>每日开放</t>
        </is>
      </c>
      <c r="K28" s="2" t="inlineStr">
        <is>
          <t>无</t>
        </is>
      </c>
      <c r="L28" s="3">
        <f>SUMIFS(敌方阵容!$F$2:$F$258,敌方阵容!$A$2:$A$258,B28,敌方阵容!$D$2:$D$258,"门客")</f>
        <v>6</v>
      </c>
      <c r="M28" s="3">
        <f>SUMIFS(敌方阵容!$F$2:$F$258,敌方阵容!$A$2:$A$258,B28,敌方阵容!$D$2:$D$258,"护院")</f>
        <v>4800</v>
      </c>
      <c r="N28" s="3">
        <f>COUNTIF(任务掉落明细!$B$2:$B$290,B28)</f>
        <v>20</v>
      </c>
      <c r="O28" s="3">
        <f>COUNTIFS(任务掉落明细!$B$2:$B$290,B28,任务掉落明细!$X$2:$X$290,1)</f>
        <v>1</v>
      </c>
      <c r="P28" s="3">
        <f>COUNTIFS(任务掉落明细!$B$2:$B$290,B28,任务掉落明细!$X$2:$X$290,"&lt;1")</f>
        <v>19</v>
      </c>
      <c r="Q28" s="2" t="inlineStr">
        <is>
          <t>个人任务</t>
        </is>
      </c>
      <c r="R28" s="2" t="n"/>
      <c r="S28" s="2" t="n">
        <v>5</v>
      </c>
      <c r="T28" s="2" t="inlineStr">
        <is>
          <t xml:space="preserve">封榜天门之后，封神榜归位，天命暂定。但中原龙脉承受封神余威，竟引动上古涿鹿之战的兵主命格。九黎战旗自地脉升起，蚩尤率风伯、雨师重开涿鹿战局，欲以兵锋再问中原归属。
轩辕剑光在梦中示警：此战若败，中原龙脉将被九黎战旗夺走，人间秩序也会重新落入上古兵争。庄园主须率门客入阵，与蚩尤正面逐鹿，镇住中原气运。
</t>
        </is>
      </c>
      <c r="U28" s="2" t="n">
        <v>10</v>
      </c>
      <c r="V28" s="2" t="n">
        <v>100</v>
      </c>
      <c r="W28" s="4" t="n">
        <v>0.62</v>
      </c>
      <c r="X28" s="2" t="inlineStr">
        <is>
          <t>银两×100000</t>
        </is>
      </c>
      <c r="Y28" s="2" t="inlineStr">
        <is>
          <t>经验西瓜×4；触发70.0000%；《嗜血狂怒》秘术×1；触发6.0000%；《困兽犹斗》秘术×1；触发6.0000%；《破狱狂刀》秘术×1；触发4.8000%；《倾城一击》秘术×1；触发4.8000%；山河社稷图×1；触发1.2000%；周天星盘×1；触发1.2000%；轩辕剑×1；触发0.6000%；随机池blueprint_top_blue（青龙盔图纸、青龙甲图纸、青龙靴图纸、青龙刀图纸）×1；触发45.0000%；随机池blueprint_top_purple（麒麟盔图纸、麒麟甲图纸、麒麟靴图纸、麒麟刀图纸）×1；触发25.0000%；随机池blueprint_top_orange（飞鸢图纸、赤霄机凤图纸、墨家机关人图纸）×1；触发3.0000%</t>
        </is>
      </c>
      <c r="Z28" s="2" t="n">
        <v>1000</v>
      </c>
      <c r="AA28" s="2" t="inlineStr">
        <is>
          <t>按配置导入</t>
        </is>
      </c>
      <c r="AB28" s="2" t="n"/>
      <c r="AC28" s="2" t="inlineStr">
        <is>
          <t>data/mission_templates.yaml:L1326</t>
        </is>
      </c>
      <c r="AD28" s="2" t="inlineStr">
        <is>
          <t>{}</t>
        </is>
      </c>
      <c r="AE28" s="2" t="inlineStr">
        <is>
          <t>{"level":10,"guest_level":100,"guest_bonus":0.62}</t>
        </is>
      </c>
      <c r="AF28" s="2" t="inlineStr">
        <is>
          <t>{"key":"zhuolu_zhongyuan","name":"逐鹿中原","difficulty":"advanced","description":"封榜天门之后，封神榜归位，天命暂定。但中原龙脉承受封神余威，竟引动上古涿鹿之战的兵主命格。九黎战旗自地脉升起，蚩尤率风伯、雨师重开涿鹿战局，欲以兵锋再问中原归属。\n\n轩辕剑光在梦中示警：此战若败，中原龙脉将被九黎战旗夺走，人间秩序也会重新落入上古兵争。庄园主须率门客入阵，与蚩尤正面逐鹿，镇住中原气运。\n","battle_type":"task1","enemy_guests":["task_zhuolu_chiyou","task_zhuolu_fengbo","task_zhuolu_yushi","task_zhuolu_shitieshou","task_zhuolu_shitieshou","task_zhuolu_shitieshou"],"enemy_troops":{"dao_sheng":1000,"qiang_wang":1000,"jian_sheng":1000,"quan_sheng":900,"arrow_god":900},"enemy_technology":{"level":10,"guest_level":100,"guest_bonus":0.62},"drop_table":{"silver":100000,"experience_watermelon":{"chance":0.7,"count":4},"book_bloodthirsty_fury":0.06,"book_desperate_beast":0.06,"book_prison_break_blade":0.048,"book_city_felling_strike":0.048,"equip_shanheshejitu":0.012,"equip_zhoutianxingpan":0.012,"equip_xuanyuanjian":0.006,"blueprint_top_blue":{"chance":0.45,"choices":["blueprint_qinglongkui","blueprint_qinglongjia","blueprint_qinglongxue","blueprint_qinglongdao"]},"blueprint_top_purple":{"chance":0.25,"choices":["blueprint_qilinkui","blueprint_qilinjia","blueprint_qilinxue","blueprint_qilindao"]},"blueprint_top_orange":{"chance":0.03,"choices":["blueprint_feiyuan","blueprint_chixiaojifeng","blueprint_mojiajiguanren"]}},"base_travel_time":1800,"daily_limit":1}</t>
        </is>
      </c>
      <c r="AG28" s="2" t="n">
        <v>10</v>
      </c>
      <c r="AH28" s="2" t="inlineStr">
        <is>
          <t>挑战者庄园</t>
        </is>
      </c>
    </row>
    <row r="29">
      <c r="A29" s="2" t="n">
        <v>28</v>
      </c>
      <c r="B29" s="2" t="inlineStr">
        <is>
          <t>guandu_zhizhan</t>
        </is>
      </c>
      <c r="C29" s="2" t="inlineStr">
        <is>
          <t>官渡之战</t>
        </is>
      </c>
      <c r="D29" s="2" t="inlineStr">
        <is>
          <t>高级</t>
        </is>
      </c>
      <c r="E29" s="2" t="inlineStr">
        <is>
          <t>task1</t>
        </is>
      </c>
      <c r="F29" s="2" t="inlineStr">
        <is>
          <t>否</t>
        </is>
      </c>
      <c r="G29" s="2" t="inlineStr">
        <is>
          <t>否</t>
        </is>
      </c>
      <c r="H29" s="2" t="n">
        <v>1</v>
      </c>
      <c r="I29" s="2" t="n">
        <v>2400</v>
      </c>
      <c r="J29" s="2" t="inlineStr">
        <is>
          <t>每日开放</t>
        </is>
      </c>
      <c r="K29" s="2" t="inlineStr">
        <is>
          <t>无</t>
        </is>
      </c>
      <c r="L29" s="3">
        <f>SUMIFS(敌方阵容!$F$2:$F$258,敌方阵容!$A$2:$A$258,B29,敌方阵容!$D$2:$D$258,"门客")</f>
        <v>1</v>
      </c>
      <c r="M29" s="3">
        <f>SUMIFS(敌方阵容!$F$2:$F$258,敌方阵容!$A$2:$A$258,B29,敌方阵容!$D$2:$D$258,"护院")</f>
        <v>6200</v>
      </c>
      <c r="N29" s="3">
        <f>COUNTIF(任务掉落明细!$B$2:$B$290,B29)</f>
        <v>9</v>
      </c>
      <c r="O29" s="3">
        <f>COUNTIFS(任务掉落明细!$B$2:$B$290,B29,任务掉落明细!$X$2:$X$290,1)</f>
        <v>1</v>
      </c>
      <c r="P29" s="3">
        <f>COUNTIFS(任务掉落明细!$B$2:$B$290,B29,任务掉落明细!$X$2:$X$290,"&lt;1")</f>
        <v>8</v>
      </c>
      <c r="Q29" s="2" t="inlineStr">
        <is>
          <t>个人任务</t>
        </is>
      </c>
      <c r="R29" s="2" t="n"/>
      <c r="S29" s="2" t="n">
        <v>5</v>
      </c>
      <c r="T29" s="2" t="inlineStr">
        <is>
          <t xml:space="preserve">袁绍拥河北四州之众，粮甲号称百万，正于官渡压境。曹军粮道危急，乌巢成为决定胜负的最后一线生机。
此战不再是群雄混战，庄园主必须率军直面袁绍本人，在河北军势最盛之时击溃这位四世三公之后，夺下官渡最后的胜局。战后可从袁军遗库中寻得多件橙色装备。
</t>
        </is>
      </c>
      <c r="U29" s="2" t="n">
        <v>10</v>
      </c>
      <c r="V29" s="2" t="n">
        <v>100</v>
      </c>
      <c r="W29" s="4" t="n">
        <v>0.68</v>
      </c>
      <c r="X29" s="2" t="inlineStr">
        <is>
          <t>银两×120000</t>
        </is>
      </c>
      <c r="Y29" s="2" t="inlineStr">
        <is>
          <t>经验西瓜×5；触发75.0000%；太虚帝冠×1；触发1.2000%；混沌龙袍×1；触发1.2000%；长生剑×1；触发0.9600%；盘龙棍×1；触发0.9600%；乾坤神弓×1；触发0.9600%；屠巫剑×1；触发0.6000%；江湖令×1；触发1.2000%</t>
        </is>
      </c>
      <c r="Z29" s="2" t="n">
        <v>1000</v>
      </c>
      <c r="AA29" s="2" t="inlineStr">
        <is>
          <t>按配置导入</t>
        </is>
      </c>
      <c r="AB29" s="2" t="n"/>
      <c r="AC29" s="2" t="inlineStr">
        <is>
          <t>data/mission_templates.yaml:L1391</t>
        </is>
      </c>
      <c r="AD29" s="2" t="inlineStr">
        <is>
          <t>{}</t>
        </is>
      </c>
      <c r="AE29" s="2" t="inlineStr">
        <is>
          <t>{"level":10,"guest_level":100,"guest_bonus":0.68,"guest_skills":["stratagem_burst"]}</t>
        </is>
      </c>
      <c r="AF29" s="2" t="inlineStr">
        <is>
          <t>{"key":"guandu_zhizhan","name":"官渡之战","difficulty":"advanced","description":"袁绍拥河北四州之众，粮甲号称百万，正于官渡压境。曹军粮道危急，乌巢成为决定胜负的最后一线生机。\n\n此战不再是群雄混战，庄园主必须率军直面袁绍本人，在河北军势最盛之时击溃这位四世三公之后，夺下官渡最后的胜局。战后可从袁军遗库中寻得多件橙色装备。\n","battle_type":"task1","enemy_guests":[{"key":"task_guandu_yuanshao","label":"袁绍"}],"enemy_troops":{"dao_sheng":1400,"qiang_wang":1400,"jian_sheng":1200,"quan_sheng":1000,"arrow_god":1200},"enemy_technology":{"level":10,"guest_level":100,"guest_bonus":0.68,"guest_skills":["stratagem_burst"]},"drop_table":{"silver":120000,"experience_watermelon":{"chance":0.75,"count":5},"equip_taixudiguan":0.012,"equip_hundunlongpao":0.012,"equip_changshengjian":0.0096,"equip_panlonggun":0.0096,"equip_qiankunshengong":0.0096,"equip_tuwujian":0.006,"equip_jianghuling":0.012},"base_travel_time":2400,"daily_limit":1}</t>
        </is>
      </c>
      <c r="AG29" s="2" t="n">
        <v>10</v>
      </c>
      <c r="AH29" s="2" t="inlineStr">
        <is>
          <t>挑战者庄园</t>
        </is>
      </c>
    </row>
    <row r="30">
      <c r="A30" s="2" t="n">
        <v>29</v>
      </c>
      <c r="B30" s="2" t="inlineStr">
        <is>
          <t>huashan_lunjian_advanced</t>
        </is>
      </c>
      <c r="C30" s="2" t="inlineStr">
        <is>
          <t>华山论剑</t>
        </is>
      </c>
      <c r="D30" s="2" t="inlineStr">
        <is>
          <t>高级</t>
        </is>
      </c>
      <c r="E30" s="2" t="inlineStr">
        <is>
          <t>task1</t>
        </is>
      </c>
      <c r="F30" s="2" t="inlineStr">
        <is>
          <t>否</t>
        </is>
      </c>
      <c r="G30" s="2" t="inlineStr">
        <is>
          <t>是</t>
        </is>
      </c>
      <c r="H30" s="2" t="n">
        <v>1</v>
      </c>
      <c r="I30" s="2" t="n">
        <v>2400</v>
      </c>
      <c r="J30" s="2" t="inlineStr">
        <is>
          <t>每日开放</t>
        </is>
      </c>
      <c r="K30" s="2" t="inlineStr">
        <is>
          <t>无</t>
        </is>
      </c>
      <c r="L30" s="3">
        <f>SUMIFS(敌方阵容!$F$2:$F$258,敌方阵容!$A$2:$A$258,B30,敌方阵容!$D$2:$D$258,"门客")</f>
        <v>9</v>
      </c>
      <c r="M30" s="3">
        <f>SUMIFS(敌方阵容!$F$2:$F$258,敌方阵容!$A$2:$A$258,B30,敌方阵容!$D$2:$D$258,"护院")</f>
        <v>0</v>
      </c>
      <c r="N30" s="3">
        <f>COUNTIF(任务掉落明细!$B$2:$B$290,B30)</f>
        <v>2</v>
      </c>
      <c r="O30" s="3">
        <f>COUNTIFS(任务掉落明细!$B$2:$B$290,B30,任务掉落明细!$X$2:$X$290,1)</f>
        <v>2</v>
      </c>
      <c r="P30" s="3">
        <f>COUNTIFS(任务掉落明细!$B$2:$B$290,B30,任务掉落明细!$X$2:$X$290,"&lt;1")</f>
        <v>0</v>
      </c>
      <c r="Q30" s="2" t="inlineStr">
        <is>
          <t>个人任务</t>
        </is>
      </c>
      <c r="R30" s="2" t="n"/>
      <c r="S30" s="2" t="n">
        <v>5</v>
      </c>
      <c r="T30" s="2" t="inlineStr">
        <is>
          <t xml:space="preserve">天下风云出我辈，一入江湖岁月催。皇图霸业谈笑中，不胜人生一场醉。
一张没有落款的论剑帖，自华山传入江湖。有人说，发帖之人要在绝顶重排天下高手座次；有人说，山巅藏着一坛开封即能忘忧的陈年好酒；还有人信誓旦旦地表示，自己只是路过，绝不是专程来抢宝箱的。消息传开后，闭关的出关了，隐姓埋名的改回本名了，连多年不肯下山的老前辈也开始认真挑选登山鞋。
华山九重关，每一重都由一位绝顶高手镇守。扫地僧守心，张三丰守意，独孤求败守剑，东方不败守影；石破天、黄裳、阿青、逍遥子与王重阳也已在峰顶等候。这里没有客套寒暄，也没有凭年龄论资排辈，想在江湖留下名字，便把手中兵刃亮出来说话。
此战只许门客登场。庄园主若能连破九关，便可登上华山绝顶，取走封存已久的武林宝箱。至于箱中是震动江湖的神兵奇珍，还是某位醉仙留下的压箱底玩意儿，只有最后站着的人，才有资格亲手打开。
</t>
        </is>
      </c>
      <c r="U30" s="2" t="n">
        <v>10</v>
      </c>
      <c r="V30" s="2" t="n">
        <v>100</v>
      </c>
      <c r="W30" s="4" t="n">
        <v>0.68</v>
      </c>
      <c r="X30" s="2" t="inlineStr">
        <is>
          <t>银两×120000；武林宝箱×1</t>
        </is>
      </c>
      <c r="Y30" s="2" t="inlineStr">
        <is>
          <t>无</t>
        </is>
      </c>
      <c r="Z30" s="2" t="n">
        <v>1100</v>
      </c>
      <c r="AA30" s="2" t="inlineStr">
        <is>
          <t>按配置导入</t>
        </is>
      </c>
      <c r="AB30" s="2" t="n"/>
      <c r="AC30" s="2" t="inlineStr">
        <is>
          <t>data/mission_templates.yaml:L1437</t>
        </is>
      </c>
      <c r="AD30" s="2" t="inlineStr">
        <is>
          <t>{}</t>
        </is>
      </c>
      <c r="AE30" s="2" t="inlineStr">
        <is>
          <t>{"level":10,"guest_level":100,"guest_bonus":0.68}</t>
        </is>
      </c>
      <c r="AF30" s="2" t="inlineStr">
        <is>
          <t>{"key":"huashan_lunjian_advanced","name":"华山论剑","display_order":1100,"difficulty":"advanced","description":"天下风云出我辈，一入江湖岁月催。皇图霸业谈笑中，不胜人生一场醉。\n\n一张没有落款的论剑帖，自华山传入江湖。有人说，发帖之人要在绝顶重排天下高手座次；有人说，山巅藏着一坛开封即能忘忧的陈年好酒；还有人信誓旦旦地表示，自己只是路过，绝不是专程来抢宝箱的。消息传开后，闭关的出关了，隐姓埋名的改回本名了，连多年不肯下山的老前辈也开始认真挑选登山鞋。\n\n华山九重关，每一重都由一位绝顶高手镇守。扫地僧守心，张三丰守意，独孤求败守剑，东方不败守影；石破天、黄裳、阿青、逍遥子与王重阳也已在峰顶等候。这里没有客套寒暄，也没有凭年龄论资排辈，想在江湖留下名字，便把手中兵刃亮出来说话。\n\n此战只许门客登场。庄园主若能连破九关，便可登上华山绝顶，取走封存已久的武林宝箱。至于箱中是震动江湖的神兵奇珍，还是某位醉仙留下的压箱底玩意儿，只有最后站着的人，才有资格亲手打开。\n","battle_type":"task1","guest_only":true,"enemy_guests":[{"key":"hero_sao_di_seng","label":"扫地僧","skills":["iron_wall_heart","last_chance_revival"]},{"key":"hero_zhang_sanfeng","label":"张三丰","skills":["taiyi_wind","draw_enemy_blades"]},{"key":"hero_dugu_qiubai","label":"独孤求败","skills":["fatal_chain_sword","prison_break_blade"]},{"key":"hero_dongfang_bubai","label":"东方不败","skills":["flower_rain","meteor_pierce_moon"]},{"key":"hero_shi_zhongjian","label":"石破天","skills":["dragon_roar","desperate_beast"]},{"key":"task_huashan_huang_shang","label":"黄裳"},{"key":"hero_a_qing","label":"阿青","skills":["city_felling_strike","meteor_pierce_moon"]},{"key":"hero_xiaoyao_zi","label":"逍遥子","skills":["taiyi_wind","soul_erode"]},{"key":"hero_wang_chongyang","label":"王重阳","skills":["thunder_nine_heavens","comrade_command"]}],"enemy_technology":{"level":10,"guest_level":100,"guest_bonus":0.68},"drop_table":{"silver":120000,"huashan_wulin_chest":1},"base_travel_time":2400,"daily_limit":1}</t>
        </is>
      </c>
      <c r="AG30" s="2" t="n">
        <v>10</v>
      </c>
      <c r="AH30" s="2" t="inlineStr">
        <is>
          <t>挑战者庄园</t>
        </is>
      </c>
    </row>
    <row r="31">
      <c r="A31" s="2" t="n">
        <v>30</v>
      </c>
      <c r="B31" s="2" t="inlineStr">
        <is>
          <t>sishui_huaxiong_chengwei</t>
        </is>
      </c>
      <c r="C31" s="2" t="inlineStr">
        <is>
          <t>飞将浮沉录：汜水关华雄逞威</t>
        </is>
      </c>
      <c r="D31" s="2" t="inlineStr">
        <is>
          <t>高级</t>
        </is>
      </c>
      <c r="E31" s="2" t="inlineStr">
        <is>
          <t>task1</t>
        </is>
      </c>
      <c r="F31" s="2" t="inlineStr">
        <is>
          <t>否</t>
        </is>
      </c>
      <c r="G31" s="2" t="inlineStr">
        <is>
          <t>否</t>
        </is>
      </c>
      <c r="H31" s="2" t="n">
        <v>1</v>
      </c>
      <c r="I31" s="2" t="n">
        <v>2400</v>
      </c>
      <c r="J31" s="2" t="inlineStr">
        <is>
          <t>每日开放</t>
        </is>
      </c>
      <c r="K31" s="2" t="inlineStr">
        <is>
          <t>无</t>
        </is>
      </c>
      <c r="L31" s="3">
        <f>SUMIFS(敌方阵容!$F$2:$F$258,敌方阵容!$A$2:$A$258,B31,敌方阵容!$D$2:$D$258,"门客")</f>
        <v>1</v>
      </c>
      <c r="M31" s="3">
        <f>SUMIFS(敌方阵容!$F$2:$F$258,敌方阵容!$A$2:$A$258,B31,敌方阵容!$D$2:$D$258,"护院")</f>
        <v>3200</v>
      </c>
      <c r="N31" s="3">
        <f>COUNTIF(任务掉落明细!$B$2:$B$290,B31)</f>
        <v>7</v>
      </c>
      <c r="O31" s="3">
        <f>COUNTIFS(任务掉落明细!$B$2:$B$290,B31,任务掉落明细!$X$2:$X$290,1)</f>
        <v>2</v>
      </c>
      <c r="P31" s="3">
        <f>COUNTIFS(任务掉落明细!$B$2:$B$290,B31,任务掉落明细!$X$2:$X$290,"&lt;1")</f>
        <v>5</v>
      </c>
      <c r="Q31" s="2" t="inlineStr">
        <is>
          <t>个人任务</t>
        </is>
      </c>
      <c r="R31" s="2" t="n"/>
      <c r="S31" s="2" t="n">
        <v>5</v>
      </c>
      <c r="T31" s="2" t="inlineStr">
        <is>
          <t xml:space="preserve">汜水关的酒还温着，华雄已经把联军先锋的名册划掉了一大半。他站在关楼上敲着大斧，逢人便问“还有谁”，问得守军都开始替对面捏汗——毕竟再这样下去，联军可能要先输掉士气，再输掉晚饭。
庄园主必须带门客杀穿西凉军，给这位“汜水关话事人”一个正式答复。击败华雄后，夺走军帐中的汜水关战报；那张薄薄的纸，记录着虎牢关布防，也记录着华雄从“逞威”到“闭嘴”的全过程。
</t>
        </is>
      </c>
      <c r="U31" s="2" t="n">
        <v>10</v>
      </c>
      <c r="V31" s="2" t="n">
        <v>92</v>
      </c>
      <c r="W31" s="4" t="n">
        <v>0.58</v>
      </c>
      <c r="X31" s="2" t="inlineStr">
        <is>
          <t>银两×90000；汜水关战报×1</t>
        </is>
      </c>
      <c r="Y31" s="2" t="inlineStr">
        <is>
          <t>经验西瓜×5；触发85.0000%；随机池sishui_equipment_pool（破阵枪、穿云弓、龙纹玉佩）×1；触发10.0000%；茱萸叶×1；触发0.5000%</t>
        </is>
      </c>
      <c r="Z31" s="2" t="n">
        <v>1001</v>
      </c>
      <c r="AA31" s="2" t="inlineStr">
        <is>
          <t>按配置导入</t>
        </is>
      </c>
      <c r="AB31" s="2" t="n"/>
      <c r="AC31" s="2" t="inlineStr">
        <is>
          <t>data/mission_templates.yaml:L1511</t>
        </is>
      </c>
      <c r="AD31" s="2" t="inlineStr">
        <is>
          <t>{}</t>
        </is>
      </c>
      <c r="AE31" s="2" t="inlineStr">
        <is>
          <t>{"level":10,"guest_level":92,"guest_bonus":0.58}</t>
        </is>
      </c>
      <c r="AF31" s="2" t="inlineStr">
        <is>
          <t>{"key":"sishui_huaxiong_chengwei","name":"飞将浮沉录：汜水关华雄逞威","display_order":1001,"difficulty":"advanced","description":"汜水关的酒还温着，华雄已经把联军先锋的名册划掉了一大半。他站在关楼上敲着大斧，逢人便问“还有谁”，问得守军都开始替对面捏汗——毕竟再这样下去，联军可能要先输掉士气，再输掉晚饭。\n\n庄园主必须带门客杀穿西凉军，给这位“汜水关话事人”一个正式答复。击败华雄后，夺走军帐中的汜水关战报；那张薄薄的纸，记录着虎牢关布防，也记录着华雄从“逞威”到“闭嘴”的全过程。\n","battle_type":"task1","enemy_guests":[{"key":"task_sishui_huaxiong","label":"华雄"}],"enemy_troops":{"dao_sheng":1200,"qiang_wang":1100,"arrow_god":900},"enemy_technology":{"level":10,"guest_level":92,"guest_bonus":0.58},"drop_table":{"silver":90000,"experience_watermelon":{"chance":0.85,"count":5},"sishui_equipment_pool":{"chance":0.1,"count":1,"choices":["equip_pozhenqiang","equip_chuanyungong","equip_longwenyupei"]},"equip_zhuyuye":0.005,"sishui_battle_report":1},"base_travel_time":2400,"daily_limit":1}</t>
        </is>
      </c>
      <c r="AG31" s="2" t="n">
        <v>10</v>
      </c>
      <c r="AH31" s="2" t="inlineStr">
        <is>
          <t>挑战者庄园</t>
        </is>
      </c>
    </row>
    <row r="32">
      <c r="A32" s="2" t="n">
        <v>31</v>
      </c>
      <c r="B32" s="2" t="inlineStr">
        <is>
          <t>hulao_qunying_zhan_lvbu</t>
        </is>
      </c>
      <c r="C32" s="2" t="inlineStr">
        <is>
          <t>飞将浮沉录：虎牢关群英战吕布</t>
        </is>
      </c>
      <c r="D32" s="2" t="inlineStr">
        <is>
          <t>高级</t>
        </is>
      </c>
      <c r="E32" s="2" t="inlineStr">
        <is>
          <t>task1</t>
        </is>
      </c>
      <c r="F32" s="2" t="inlineStr">
        <is>
          <t>否</t>
        </is>
      </c>
      <c r="G32" s="2" t="inlineStr">
        <is>
          <t>否</t>
        </is>
      </c>
      <c r="H32" s="2" t="n">
        <v>1</v>
      </c>
      <c r="I32" s="2" t="n">
        <v>2400</v>
      </c>
      <c r="J32" s="2" t="inlineStr">
        <is>
          <t>每日开放</t>
        </is>
      </c>
      <c r="K32" s="2" t="inlineStr">
        <is>
          <t>汜水关战报×1</t>
        </is>
      </c>
      <c r="L32" s="3">
        <f>SUMIFS(敌方阵容!$F$2:$F$258,敌方阵容!$A$2:$A$258,B32,敌方阵容!$D$2:$D$258,"门客")</f>
        <v>1</v>
      </c>
      <c r="M32" s="3">
        <f>SUMIFS(敌方阵容!$F$2:$F$258,敌方阵容!$A$2:$A$258,B32,敌方阵容!$D$2:$D$258,"护院")</f>
        <v>6600</v>
      </c>
      <c r="N32" s="3">
        <f>COUNTIF(任务掉落明细!$B$2:$B$290,B32)</f>
        <v>6</v>
      </c>
      <c r="O32" s="3">
        <f>COUNTIFS(任务掉落明细!$B$2:$B$290,B32,任务掉落明细!$X$2:$X$290,1)</f>
        <v>2</v>
      </c>
      <c r="P32" s="3">
        <f>COUNTIFS(任务掉落明细!$B$2:$B$290,B32,任务掉落明细!$X$2:$X$290,"&lt;1")</f>
        <v>4</v>
      </c>
      <c r="Q32" s="2" t="inlineStr">
        <is>
          <t>个人任务</t>
        </is>
      </c>
      <c r="R32" s="2" t="n"/>
      <c r="S32" s="2" t="n">
        <v>5</v>
      </c>
      <c r="T32" s="2" t="inlineStr">
        <is>
          <t xml:space="preserve">汜水关的战报还没捂热，虎牢关的战鼓已经震得杯中茶水自己站了起来。吕布骑赤兔、执方天画戟，单骑出阵便把诸侯联军的气势砍成了好几段；有人提议讲道理，有人提议先撤退，最后大家一致决定——还是派最能打的上去试试。
进入此关需要消耗一份「汜水关战报」。庄园主须在群英合围中正面击破吕布，并从战场遗物里搜寻方天画戟、龙鳞战甲与赤兔马的踪迹。若能活着离开，还要记得把虎牢关战旗带走——它将是下一场麻烦的入场券。
</t>
        </is>
      </c>
      <c r="U32" s="2" t="n">
        <v>10</v>
      </c>
      <c r="V32" s="2" t="n">
        <v>100</v>
      </c>
      <c r="W32" s="4" t="n">
        <v>0.72</v>
      </c>
      <c r="X32" s="2" t="inlineStr">
        <is>
          <t>银两×110000；虎牢关战旗×1</t>
        </is>
      </c>
      <c r="Y32" s="2" t="inlineStr">
        <is>
          <t>经验西瓜×5；触发75.0000%；方天画戟×1；触发0.9600%；龙鳞战甲×1；触发0.7200%；赤兔马×1；触发0.6000%</t>
        </is>
      </c>
      <c r="Z32" s="2" t="n">
        <v>1002</v>
      </c>
      <c r="AA32" s="2" t="inlineStr">
        <is>
          <t>按配置导入</t>
        </is>
      </c>
      <c r="AB32" s="2" t="n"/>
      <c r="AC32" s="2" t="inlineStr">
        <is>
          <t>data/mission_templates.yaml:L1556</t>
        </is>
      </c>
      <c r="AD32" s="2" t="inlineStr">
        <is>
          <t>{"sishui_battle_report":1}</t>
        </is>
      </c>
      <c r="AE32" s="2" t="inlineStr">
        <is>
          <t>{"level":10,"guest_level":100,"guest_bonus":0.72,"guest_skills":["dragon_roar"]}</t>
        </is>
      </c>
      <c r="AF32" s="2" t="inlineStr">
        <is>
          <t>{"key":"hulao_qunying_zhan_lvbu","name":"飞将浮沉录：虎牢关群英战吕布","display_order":1002,"difficulty":"advanced","description":"汜水关的战报还没捂热，虎牢关的战鼓已经震得杯中茶水自己站了起来。吕布骑赤兔、执方天画戟，单骑出阵便把诸侯联军的气势砍成了好几段；有人提议讲道理，有人提议先撤退，最后大家一致决定——还是派最能打的上去试试。\n\n进入此关需要消耗一份「汜水关战报」。庄园主须在群英合围中正面击破吕布，并从战场遗物里搜寻方天画戟、龙鳞战甲与赤兔马的踪迹。若能活着离开，还要记得把虎牢关战旗带走——它将是下一场麻烦的入场券。\n","battle_type":"task1","entry_cost":{"sishui_battle_report":1},"enemy_guests":[{"key":"task_hulao_lvbu","label":"吕布"}],"enemy_troops":{"dao_sheng":1500,"qiang_wang":1500,"jian_sheng":1300,"quan_sheng":1000,"arrow_god":1300},"enemy_technology":{"level":10,"guest_level":100,"guest_bonus":0.72,"guest_skills":["dragon_roar"]},"drop_table":{"silver":110000,"experience_watermelon":{"chance":0.75,"count":5},"hulao_war_banner":1,"equip_fangtianhuaji":0.0096,"equip_longlinzhanjia":0.0072,"equip_chituma":0.006},"base_travel_time":2400,"daily_limit":1}</t>
        </is>
      </c>
      <c r="AG32" s="2" t="n">
        <v>10</v>
      </c>
      <c r="AH32" s="2" t="inlineStr">
        <is>
          <t>挑战者庄园</t>
        </is>
      </c>
    </row>
    <row r="33">
      <c r="A33" s="2" t="n">
        <v>32</v>
      </c>
      <c r="B33" s="2" t="inlineStr">
        <is>
          <t>baimenlou_mingyun_jueze</t>
        </is>
      </c>
      <c r="C33" s="2" t="inlineStr">
        <is>
          <t>飞将浮沉录：白门楼命运抉择</t>
        </is>
      </c>
      <c r="D33" s="2" t="inlineStr">
        <is>
          <t>高级</t>
        </is>
      </c>
      <c r="E33" s="2" t="inlineStr">
        <is>
          <t>task1</t>
        </is>
      </c>
      <c r="F33" s="2" t="inlineStr">
        <is>
          <t>否</t>
        </is>
      </c>
      <c r="G33" s="2" t="inlineStr">
        <is>
          <t>否</t>
        </is>
      </c>
      <c r="H33" s="2" t="n">
        <v>1</v>
      </c>
      <c r="I33" s="2" t="n">
        <v>2700</v>
      </c>
      <c r="J33" s="2" t="inlineStr">
        <is>
          <t>每日开放</t>
        </is>
      </c>
      <c r="K33" s="2" t="inlineStr">
        <is>
          <t>虎牢关战旗×1</t>
        </is>
      </c>
      <c r="L33" s="3">
        <f>SUMIFS(敌方阵容!$F$2:$F$258,敌方阵容!$A$2:$A$258,B33,敌方阵容!$D$2:$D$258,"门客")</f>
        <v>5</v>
      </c>
      <c r="M33" s="3">
        <f>SUMIFS(敌方阵容!$F$2:$F$258,敌方阵容!$A$2:$A$258,B33,敌方阵容!$D$2:$D$258,"护院")</f>
        <v>7800</v>
      </c>
      <c r="N33" s="3">
        <f>COUNTIF(任务掉落明细!$B$2:$B$290,B33)</f>
        <v>11</v>
      </c>
      <c r="O33" s="3">
        <f>COUNTIFS(任务掉落明细!$B$2:$B$290,B33,任务掉落明细!$X$2:$X$290,1)</f>
        <v>1</v>
      </c>
      <c r="P33" s="3">
        <f>COUNTIFS(任务掉落明细!$B$2:$B$290,B33,任务掉落明细!$X$2:$X$290,"&lt;1")</f>
        <v>10</v>
      </c>
      <c r="Q33" s="2" t="inlineStr">
        <is>
          <t>个人任务</t>
        </is>
      </c>
      <c r="R33" s="2" t="n"/>
      <c r="S33" s="2" t="n">
        <v>5</v>
      </c>
      <c r="T33" s="2" t="inlineStr">
        <is>
          <t xml:space="preserve">虎牢关战旗染血之后，曹军围住下邳，白门楼成了吕布最后的落脚处。高顺在整军，张辽在寻找退路，陈宫在推演一条不必投降的路，臧霸守着最后的旧部；而吕布仍相信，只要再给他一次冲阵的机会，天下就还没有真正决定谁会输。
然而江湖传闻，白门楼风声最紧时，总有一张没有落款的招贤帖在暗中流转。若它最终落到有缘人手中，史书上那句“吕布死于白门楼”未必还能照抄，城楼之下或许会多出一位改旗易帜的绝世猛将；只是新东家能不能压住他的脾气，就要看庄园主自己的本事了。
进入此关需要消耗一面「虎牢关战旗」。庄园主须击破吕布、高顺、张辽、陈宫与臧霸的合围，替这段乱世故事写下最后一笔。
</t>
        </is>
      </c>
      <c r="U33" s="2" t="n">
        <v>10</v>
      </c>
      <c r="V33" s="2" t="n">
        <v>100</v>
      </c>
      <c r="W33" s="4" t="n">
        <v>0.8</v>
      </c>
      <c r="X33" s="2" t="inlineStr">
        <is>
          <t>银两×180000</t>
        </is>
      </c>
      <c r="Y33" s="2" t="inlineStr">
        <is>
          <t>经验西瓜×8；触发90.0000%；吕布招募卷轴×1；触发5.0000%；超级门客易容卡×1；触发1.0000%；貂蝉招募卷轴×1；触发2.0000%；盘龙棍×1；触发0.9600%；破军战甲×1；触发2.0000%；天机冠×1；触发2.5000%；《龙吟破阵》秘术×1；触发3.6000%；《奇策突袭》秘术×1；触发3.6000%；《破狱狂刀》秘术×1；触发3.6000%</t>
        </is>
      </c>
      <c r="Z33" s="2" t="n">
        <v>1003</v>
      </c>
      <c r="AA33" s="2" t="inlineStr">
        <is>
          <t>按配置导入</t>
        </is>
      </c>
      <c r="AB33" s="2" t="n"/>
      <c r="AC33" s="2" t="inlineStr">
        <is>
          <t>data/mission_templates.yaml:L1602</t>
        </is>
      </c>
      <c r="AD33" s="2" t="inlineStr">
        <is>
          <t>{"hulao_war_banner":1}</t>
        </is>
      </c>
      <c r="AE33" s="2" t="inlineStr">
        <is>
          <t>{"level":10,"guest_level":100,"guest_bonus":0.8}</t>
        </is>
      </c>
      <c r="AF33" s="2" t="inlineStr">
        <is>
          <t>{"key":"baimenlou_mingyun_jueze","name":"飞将浮沉录：白门楼命运抉择","display_order":1003,"difficulty":"advanced","description":"虎牢关战旗染血之后，曹军围住下邳，白门楼成了吕布最后的落脚处。高顺在整军，张辽在寻找退路，陈宫在推演一条不必投降的路，臧霸守着最后的旧部；而吕布仍相信，只要再给他一次冲阵的机会，天下就还没有真正决定谁会输。\n\n然而江湖传闻，白门楼风声最紧时，总有一张没有落款的招贤帖在暗中流转。若它最终落到有缘人手中，史书上那句“吕布死于白门楼”未必还能照抄，城楼之下或许会多出一位改旗易帜的绝世猛将；只是新东家能不能压住他的脾气，就要看庄园主自己的本事了。\n\n进入此关需要消耗一面「虎牢关战旗」。庄园主须击破吕布、高顺、张辽、陈宫与臧霸的合围，替这段乱世故事写下最后一笔。\n","battle_type":"task1","entry_cost":{"hulao_war_banner":1},"enemy_guests":[{"key":"task_baimenlou_lvbu","label":"吕布"},{"key":"task_baimenlou_gaoshun","label":"高顺"},{"key":"task_baimenlou_zhangliao","label":"张辽"},{"key":"task_baimenlou_chengong","label":"陈宫"},{"key":"task_baimenlou_zangba","label":"臧霸"}],"enemy_troops":{"dao_sheng":1800,"qiang_wang":1700,"jian_sheng":1600,"quan_sheng":1200,"arrow_god":1500},"enemy_technology":{"level":10,"guest_level":100,"guest_bonus":0.8},"drop_table":{"silver":180000,"experience_watermelon":{"chance":0.9,"count":8},"lvbu_guest_scroll":0.05,"super_guest_disguise_card":0.01,"diaochan_guest_scroll":0.02,"equip_panlonggun":0.0096,"equip_pojunzhanjia":0.02,"equip_tianjiguan":0.025,"book_dragon_roar":0.036,"book_stratagem_burst":0.036,"book_prison_break_blade":0.036},"base_travel_time":2700,"daily_limit":1}</t>
        </is>
      </c>
      <c r="AG33" s="2" t="n">
        <v>10</v>
      </c>
      <c r="AH33" s="2" t="inlineStr">
        <is>
          <t>挑战者庄园</t>
        </is>
      </c>
    </row>
    <row r="34">
      <c r="A34" s="2" t="n">
        <v>33</v>
      </c>
      <c r="B34" s="2" t="inlineStr">
        <is>
          <t>guild_patrol_alpha</t>
        </is>
      </c>
      <c r="C34" s="2" t="inlineStr">
        <is>
          <t>夜袭乌鳞寨</t>
        </is>
      </c>
      <c r="D34" s="2" t="inlineStr">
        <is>
          <t>初级</t>
        </is>
      </c>
      <c r="E34" s="2" t="inlineStr">
        <is>
          <t>troop</t>
        </is>
      </c>
      <c r="F34" s="2" t="inlineStr">
        <is>
          <t>否</t>
        </is>
      </c>
      <c r="G34" s="2" t="inlineStr">
        <is>
          <t>否</t>
        </is>
      </c>
      <c r="H34" s="2" t="n"/>
      <c r="I34" s="2" t="n">
        <v>1500</v>
      </c>
      <c r="J34" s="2" t="inlineStr">
        <is>
          <t>每日开放</t>
        </is>
      </c>
      <c r="K34" s="2" t="inlineStr">
        <is>
          <t>无</t>
        </is>
      </c>
      <c r="L34" s="3">
        <f>SUMIFS(敌方阵容!$F$2:$F$258,敌方阵容!$A$2:$A$258,B34,敌方阵容!$D$2:$D$258,"门客")</f>
        <v>12</v>
      </c>
      <c r="M34" s="3">
        <f>SUMIFS(敌方阵容!$F$2:$F$258,敌方阵容!$A$2:$A$258,B34,敌方阵容!$D$2:$D$258,"护院")</f>
        <v>2610</v>
      </c>
      <c r="N34" s="3">
        <f>COUNTIF(任务掉落明细!$B$2:$B$290,B34)</f>
        <v>1</v>
      </c>
      <c r="O34" s="3">
        <f>COUNTIFS(任务掉落明细!$B$2:$B$290,B34,任务掉落明细!$X$2:$X$290,1)</f>
        <v>1</v>
      </c>
      <c r="P34" s="3">
        <f>COUNTIFS(任务掉落明细!$B$2:$B$290,B34,任务掉落明细!$X$2:$X$290,"&lt;1")</f>
        <v>0</v>
      </c>
      <c r="Q34" s="2" t="inlineStr">
        <is>
          <t>帮会任务</t>
        </is>
      </c>
      <c r="R34" s="2" t="n">
        <v>3</v>
      </c>
      <c r="S34" s="2" t="n"/>
      <c r="T34" s="2" t="inlineStr">
        <is>
          <t xml:space="preserve">近来北郊商道一入子夜便灯火尽灭，往返车队不是失了骡马，便是天明后只剩翻倒车辙。帮中弟子顺着断箭、碎缰和半截焦木一路摸到山坳，才看见乌鳞寨早把谷口修成了连环哨卡，拒马、暗哨与巡夜火把一层压着一层。
寨中人白日敛迹，夜里却轮番下山掠货，惯会先放小股人手引人追击，再借山路弯口突然合围。若想把这条商线重新打通，不能只顾着往前压，还得有人盯住两翼伏兵，免得主力刚进谷口，退路便先被人摸黑截断。
</t>
        </is>
      </c>
      <c r="U34" s="2" t="n">
        <v>7</v>
      </c>
      <c r="V34" s="2" t="n">
        <v>88</v>
      </c>
      <c r="W34" s="4" t="n">
        <v>0.36</v>
      </c>
      <c r="X34" s="2" t="inlineStr">
        <is>
          <t>红宝石×96（帮会仓库）</t>
        </is>
      </c>
      <c r="Y34" s="2" t="inlineStr">
        <is>
          <t>无</t>
        </is>
      </c>
      <c r="Z34" s="2" t="n">
        <v>10</v>
      </c>
      <c r="AA34" s="2" t="inlineStr">
        <is>
          <t>是</t>
        </is>
      </c>
      <c r="AB34" s="2" t="n">
        <v>10</v>
      </c>
      <c r="AC34" s="2" t="inlineStr">
        <is>
          <t>data/guild_mission_templates.yaml:L9</t>
        </is>
      </c>
      <c r="AD34" s="2" t="inlineStr">
        <is>
          <t>{}</t>
        </is>
      </c>
      <c r="AE34" s="2" t="inlineStr">
        <is>
          <t>{"level":7,"guest_level":88,"guest_bonus":0.36}</t>
        </is>
      </c>
      <c r="AF34" s="2" t="inlineStr">
        <is>
          <t>{"key":"guild_patrol_alpha","name":"夜袭乌鳞寨","description":"近来北郊商道一入子夜便灯火尽灭，往返车队不是失了骡马，便是天明后只剩翻倒车辙。帮中弟子顺着断箭、碎缰和半截焦木一路摸到山坳，才看见乌鳞寨早把谷口修成了连环哨卡，拒马、暗哨与巡夜火把一层压着一层。\n\n寨中人白日敛迹，夜里却轮番下山掠货，惯会先放小股人手引人追击，再借山路弯口突然合围。若想把这条商线重新打通，不能只顾着往前压，还得有人盯住两翼伏兵，免得主力刚进谷口，退路便先被人摸黑截断。\n","difficulty":"junior","task_type":"troop","base_duration_seconds":1500,"ruby_reward":96,"weekly_limit":3,"recommended_guest_count":10,"allow_troops":true,"enemy_guests":[{"template_key":"guild_wulinzhai_zhai_zhu"},{"template_key":"guild_wulinzhai_junshi"},{"template_key":"guild_wulinzhai_night_watch"},{"template_key":"guild_wulinzhai_blade_ambusher"},{"template_key":"guild_wulinzhai_blade_ambusher"},{"template_key":"guild_wulinzhai_blade_ambusher"},{"template_key":"guild_wulinzhai_torch_archer"},{"template_key":"guild_wulinzhai_torch_archer"},{"template_key":"guild_wulinzhai_torch_archer"},{"template_key":"guild_wulinzhai_path_scout"},{"template_key":"guild_wulinzhai_minion"},{"template_key":"guild_wulinzhai_minion"}],"enemy_troops":{"qiang_hao":760,"jian_hao":700,"fast_archer":650,"dao_jie":500},"enemy_technology":{"level":7,"guest_level":88,"guest_bonus":0.36},"is_active":true,"sort_weight":10}</t>
        </is>
      </c>
      <c r="AG34" s="2" t="n"/>
      <c r="AH34" s="2" t="inlineStr">
        <is>
          <t>帮会仓库</t>
        </is>
      </c>
    </row>
    <row r="35">
      <c r="A35" s="2" t="n">
        <v>34</v>
      </c>
      <c r="B35" s="2" t="inlineStr">
        <is>
          <t>guild_supply_escort</t>
        </is>
      </c>
      <c r="C35" s="2" t="inlineStr">
        <is>
          <t>血旗镖局风云</t>
        </is>
      </c>
      <c r="D35" s="2" t="inlineStr">
        <is>
          <t>中级</t>
        </is>
      </c>
      <c r="E35" s="2" t="inlineStr">
        <is>
          <t>troop</t>
        </is>
      </c>
      <c r="F35" s="2" t="inlineStr">
        <is>
          <t>否</t>
        </is>
      </c>
      <c r="G35" s="2" t="inlineStr">
        <is>
          <t>否</t>
        </is>
      </c>
      <c r="H35" s="2" t="n"/>
      <c r="I35" s="2" t="n">
        <v>2100</v>
      </c>
      <c r="J35" s="2" t="inlineStr">
        <is>
          <t>每日开放</t>
        </is>
      </c>
      <c r="K35" s="2" t="inlineStr">
        <is>
          <t>无</t>
        </is>
      </c>
      <c r="L35" s="3">
        <f>SUMIFS(敌方阵容!$F$2:$F$258,敌方阵容!$A$2:$A$258,B35,敌方阵容!$D$2:$D$258,"门客")</f>
        <v>16</v>
      </c>
      <c r="M35" s="3">
        <f>SUMIFS(敌方阵容!$F$2:$F$258,敌方阵容!$A$2:$A$258,B35,敌方阵容!$D$2:$D$258,"护院")</f>
        <v>4100</v>
      </c>
      <c r="N35" s="3">
        <f>COUNTIF(任务掉落明细!$B$2:$B$290,B35)</f>
        <v>1</v>
      </c>
      <c r="O35" s="3">
        <f>COUNTIFS(任务掉落明细!$B$2:$B$290,B35,任务掉落明细!$X$2:$X$290,1)</f>
        <v>1</v>
      </c>
      <c r="P35" s="3">
        <f>COUNTIFS(任务掉落明细!$B$2:$B$290,B35,任务掉落明细!$X$2:$X$290,"&lt;1")</f>
        <v>0</v>
      </c>
      <c r="Q35" s="2" t="inlineStr">
        <is>
          <t>帮会任务</t>
        </is>
      </c>
      <c r="R35" s="2" t="n">
        <v>3</v>
      </c>
      <c r="S35" s="2" t="n"/>
      <c r="T35" s="2" t="inlineStr">
        <is>
          <t xml:space="preserve">血旗镖局表面替各路商号押送金银药材，暗地里却替人收账、截货、买命，沿河几个渡口最近都挂上了他们的旗。凡是不肯交路银的商队，不是半夜改道，就是第二天只剩散落河滩的箱板和染血车帘，连船家都开始装聋作哑，不敢多问一句。
探子送回的消息说，这支人马不像寻常匪帮，各车之间号令极严，前阵短弓压路，中段刀枪护箱，尾队还留着专门断后的老手。真打起来，他们未必急着和你硬换，只会边退边拖，把人一步步拽进最窄最乱的那段河道。
</t>
        </is>
      </c>
      <c r="U35" s="2" t="n">
        <v>10</v>
      </c>
      <c r="V35" s="2" t="n">
        <v>102</v>
      </c>
      <c r="W35" s="4" t="n">
        <v>0.62</v>
      </c>
      <c r="X35" s="2" t="inlineStr">
        <is>
          <t>红宝石×168（帮会仓库）</t>
        </is>
      </c>
      <c r="Y35" s="2" t="inlineStr">
        <is>
          <t>无</t>
        </is>
      </c>
      <c r="Z35" s="2" t="n">
        <v>20</v>
      </c>
      <c r="AA35" s="2" t="inlineStr">
        <is>
          <t>是</t>
        </is>
      </c>
      <c r="AB35" s="2" t="n">
        <v>14</v>
      </c>
      <c r="AC35" s="2" t="inlineStr">
        <is>
          <t>data/guild_mission_templates.yaml:L47</t>
        </is>
      </c>
      <c r="AD35" s="2" t="inlineStr">
        <is>
          <t>{}</t>
        </is>
      </c>
      <c r="AE35" s="2" t="inlineStr">
        <is>
          <t>{"level":10,"guest_level":102,"guest_bonus":0.62}</t>
        </is>
      </c>
      <c r="AF35" s="2" t="inlineStr">
        <is>
          <t>{"key":"guild_supply_escort","name":"血旗镖局风云","description":"血旗镖局表面替各路商号押送金银药材，暗地里却替人收账、截货、买命，沿河几个渡口最近都挂上了他们的旗。凡是不肯交路银的商队，不是半夜改道，就是第二天只剩散落河滩的箱板和染血车帘，连船家都开始装聋作哑，不敢多问一句。\n\n探子送回的消息说，这支人马不像寻常匪帮，各车之间号令极严，前阵短弓压路，中段刀枪护箱，尾队还留着专门断后的老手。真打起来，他们未必急着和你硬换，只会边退边拖，把人一步步拽进最窄最乱的那段河道。\n","difficulty":"intermediate","task_type":"troop","base_duration_seconds":2100,"ruby_reward":168,"weekly_limit":3,"recommended_guest_count":14,"allow_troops":true,"enemy_guests":[{"template_key":"guild_bloodflag_head_escort"},{"template_key":"guild_bloodflag_deputy_escort"},{"template_key":"guild_bloodflag_rearguard_veteran"},{"template_key":"guild_bloodflag_blade_guard"},{"template_key":"guild_bloodflag_blade_guard"},{"template_key":"guild_bloodflag_blade_guard"},{"template_key":"guild_bloodflag_blade_guard"},{"template_key":"guild_bloodflag_bow_guard"},{"template_key":"guild_bloodflag_bow_guard"},{"template_key":"guild_bloodflag_bow_guard"},{"template_key":"guild_bloodflag_bow_guard"},{"template_key":"guild_bloodflag_pathfinder"},{"template_key":"guild_bloodflag_pathfinder"},{"template_key":"guild_bloodflag_escort_master"},{"template_key":"guild_bloodflag_escort_master"},{"template_key":"guild_bloodflag_escort_master"}],"enemy_troops":{"qiang_ba":1180,"jian_hao":980,"divine_archer":1080,"quan_wang":860},"enemy_technology":{"level":10,"guest_level":102,"guest_bonus":0.62},"is_active":true,"sort_weight":20}</t>
        </is>
      </c>
      <c r="AG35" s="2" t="n"/>
      <c r="AH35" s="2" t="inlineStr">
        <is>
          <t>帮会仓库</t>
        </is>
      </c>
    </row>
    <row r="36">
      <c r="A36" s="2" t="n">
        <v>35</v>
      </c>
      <c r="B36" s="2" t="inlineStr">
        <is>
          <t>guild_blackwind_assault</t>
        </is>
      </c>
      <c r="C36" s="2" t="inlineStr">
        <is>
          <t>黑风关总攻</t>
        </is>
      </c>
      <c r="D36" s="2" t="inlineStr">
        <is>
          <t>高级</t>
        </is>
      </c>
      <c r="E36" s="2" t="inlineStr">
        <is>
          <t>troop</t>
        </is>
      </c>
      <c r="F36" s="2" t="inlineStr">
        <is>
          <t>否</t>
        </is>
      </c>
      <c r="G36" s="2" t="inlineStr">
        <is>
          <t>否</t>
        </is>
      </c>
      <c r="H36" s="2" t="n"/>
      <c r="I36" s="2" t="n">
        <v>3000</v>
      </c>
      <c r="J36" s="2" t="inlineStr">
        <is>
          <t>每日开放</t>
        </is>
      </c>
      <c r="K36" s="2" t="inlineStr">
        <is>
          <t>无</t>
        </is>
      </c>
      <c r="L36" s="3">
        <f>SUMIFS(敌方阵容!$F$2:$F$258,敌方阵容!$A$2:$A$258,B36,敌方阵容!$D$2:$D$258,"门客")</f>
        <v>22</v>
      </c>
      <c r="M36" s="3">
        <f>SUMIFS(敌方阵容!$F$2:$F$258,敌方阵容!$A$2:$A$258,B36,敌方阵容!$D$2:$D$258,"护院")</f>
        <v>6680</v>
      </c>
      <c r="N36" s="3">
        <f>COUNTIF(任务掉落明细!$B$2:$B$290,B36)</f>
        <v>1</v>
      </c>
      <c r="O36" s="3">
        <f>COUNTIFS(任务掉落明细!$B$2:$B$290,B36,任务掉落明细!$X$2:$X$290,1)</f>
        <v>1</v>
      </c>
      <c r="P36" s="3">
        <f>COUNTIFS(任务掉落明细!$B$2:$B$290,B36,任务掉落明细!$X$2:$X$290,"&lt;1")</f>
        <v>0</v>
      </c>
      <c r="Q36" s="2" t="inlineStr">
        <is>
          <t>帮会任务</t>
        </is>
      </c>
      <c r="R36" s="2" t="n">
        <v>3</v>
      </c>
      <c r="S36" s="2" t="n"/>
      <c r="T36" s="2" t="inlineStr">
        <is>
          <t xml:space="preserve">黑风关原是旧时军镇咽喉，多年废弃后反被各路亡命和旧军头子修成了铁桶。关前壕沟是新翻的，拒马、滚木和石垒顺着山口一层层铺开，城头昼夜轮火不熄；前几次探路的人才看见墙影里箭光一闪，山道上就已经响起调兵铜哨。
更麻烦的是，关内粮械齐备，轮守之人熟悉军阵，能把外墙、甬道和内寨连成一口气。若真要把黑风关从地图上抹去，便不是冲开一道门那么简单，而是要顶着连番反扑一路杀到关楼，把还在运转的整座堡寨硬生生拆开。
</t>
        </is>
      </c>
      <c r="U36" s="2" t="n">
        <v>12</v>
      </c>
      <c r="V36" s="2" t="n">
        <v>108</v>
      </c>
      <c r="W36" s="4" t="n">
        <v>0.96</v>
      </c>
      <c r="X36" s="2" t="inlineStr">
        <is>
          <t>红宝石×288（帮会仓库）</t>
        </is>
      </c>
      <c r="Y36" s="2" t="inlineStr">
        <is>
          <t>无</t>
        </is>
      </c>
      <c r="Z36" s="2" t="n">
        <v>30</v>
      </c>
      <c r="AA36" s="2" t="inlineStr">
        <is>
          <t>是</t>
        </is>
      </c>
      <c r="AB36" s="2" t="n">
        <v>18</v>
      </c>
      <c r="AC36" s="2" t="inlineStr">
        <is>
          <t>data/guild_mission_templates.yaml:L89</t>
        </is>
      </c>
      <c r="AD36" s="2" t="inlineStr">
        <is>
          <t>{}</t>
        </is>
      </c>
      <c r="AE36" s="2" t="inlineStr">
        <is>
          <t>{"level":12,"guest_level":108,"guest_bonus":0.96}</t>
        </is>
      </c>
      <c r="AF36" s="2" t="inlineStr">
        <is>
          <t>{"key":"guild_blackwind_assault","name":"黑风关总攻","description":"黑风关原是旧时军镇咽喉，多年废弃后反被各路亡命和旧军头子修成了铁桶。关前壕沟是新翻的，拒马、滚木和石垒顺着山口一层层铺开，城头昼夜轮火不熄；前几次探路的人才看见墙影里箭光一闪，山道上就已经响起调兵铜哨。\n\n更麻烦的是，关内粮械齐备，轮守之人熟悉军阵，能把外墙、甬道和内寨连成一口气。若真要把黑风关从地图上抹去，便不是冲开一道门那么简单，而是要顶着连番反扑一路杀到关楼，把还在运转的整座堡寨硬生生拆开。\n","difficulty":"advanced","task_type":"troop","base_duration_seconds":3000,"ruby_reward":288,"weekly_limit":3,"recommended_guest_count":18,"allow_troops":true,"enemy_guests":[{"template_key":"guild_blackwind_gate_general"},{"template_key":"guild_blackwind_gate_overseer"},{"template_key":"guild_blackwind_iron_guard"},{"template_key":"guild_blackwind_iron_guard"},{"template_key":"guild_blackwind_iron_guard"},{"template_key":"guild_blackwind_bow_captain"},{"template_key":"guild_blackwind_bow_captain"},{"template_key":"guild_blackwind_bow_captain"},{"template_key":"guild_blackwind_assault_blade"},{"template_key":"guild_blackwind_assault_blade"},{"template_key":"guild_blackwind_assault_blade"},{"template_key":"guild_blackwind_assault_blade"},{"template_key":"guild_blackwind_assault_blade"},{"template_key":"guild_blackwind_patrol_captain"},{"template_key":"guild_blackwind_patrol_captain"},{"template_key":"guild_blackwind_guard_soldier"},{"template_key":"guild_blackwind_guard_soldier"},{"template_key":"guild_blackwind_guard_soldier"},{"template_key":"guild_blackwind_spear_soldier"},{"template_key":"guild_blackwind_spear_soldier"},{"template_key":"guild_blackwind_spear_soldier"},{"template_key":"guild_blackwind_spear_soldier"}],"enemy_troops":{"qiang_wang":1700,"jian_sheng":1450,"arrow_god":1620,"quan_sheng":980,"dao_sheng":930},"enemy_technology":{"level":12,"guest_level":108,"guest_bonus":0.96},"is_active":true,"sort_weight":30}</t>
        </is>
      </c>
      <c r="AG36" s="2" t="n"/>
      <c r="AH36" s="2" t="inlineStr">
        <is>
          <t>帮会仓库</t>
        </is>
      </c>
    </row>
  </sheetData>
  <autoFilter ref="A1:AH36"/>
  <pageMargins left="0.75" right="0.75" top="1" bottom="1" header="0.5" footer="0.5"/>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D2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36" customWidth="1" min="2" max="2"/>
    <col width="34" customWidth="1" min="3" max="3"/>
    <col width="10" customWidth="1" min="4" max="4"/>
    <col width="14" customWidth="1" min="5" max="5"/>
    <col width="12" customWidth="1" min="6" max="6"/>
    <col width="12" customWidth="1" min="7" max="7"/>
    <col width="12" customWidth="1" min="8" max="8"/>
    <col width="17" customWidth="1" min="9" max="9"/>
    <col width="28" customWidth="1" min="10" max="10"/>
    <col width="35" customWidth="1" min="11" max="11"/>
    <col width="20" customWidth="1" min="12" max="12"/>
    <col width="38" customWidth="1" min="13" max="13"/>
    <col width="38" customWidth="1" min="14" max="14"/>
    <col width="30" customWidth="1" min="15" max="15"/>
    <col width="18" customWidth="1" min="16" max="16"/>
    <col width="18" customWidth="1" min="17" max="17"/>
    <col width="24" customWidth="1" min="18" max="18"/>
    <col width="12" customWidth="1" min="19" max="19"/>
    <col width="14" customWidth="1" min="20" max="20"/>
    <col width="16" customWidth="1" min="21" max="21"/>
    <col width="90" customWidth="1" min="22" max="22"/>
    <col width="18" customWidth="1" min="23" max="23"/>
    <col width="24" customWidth="1" min="24" max="24"/>
    <col width="24" customWidth="1" min="25" max="25"/>
    <col width="16" customWidth="1" min="26" max="26"/>
    <col width="22" customWidth="1" min="27" max="27"/>
    <col width="20" customWidth="1" min="28" max="28"/>
    <col width="65" customWidth="1" min="29" max="29"/>
    <col width="80" customWidth="1" min="30" max="30"/>
  </cols>
  <sheetData>
    <row r="1" ht="32" customHeight="1">
      <c r="A1" s="1" t="inlineStr">
        <is>
          <t>序号</t>
        </is>
      </c>
      <c r="B1" s="1" t="inlineStr">
        <is>
          <t>任务key</t>
        </is>
      </c>
      <c r="C1" s="1" t="inlineStr">
        <is>
          <t>任务名称</t>
        </is>
      </c>
      <c r="D1" s="1" t="inlineStr">
        <is>
          <t>难度</t>
        </is>
      </c>
      <c r="E1" s="1" t="inlineStr">
        <is>
          <t>战斗类型</t>
        </is>
      </c>
      <c r="F1" s="1" t="inlineStr">
        <is>
          <t>防守任务</t>
        </is>
      </c>
      <c r="G1" s="1" t="inlineStr">
        <is>
          <t>仅门客</t>
        </is>
      </c>
      <c r="H1" s="1" t="inlineStr">
        <is>
          <t>每日次数</t>
        </is>
      </c>
      <c r="I1" s="1" t="inlineStr">
        <is>
          <t>配置基础耗时秒</t>
        </is>
      </c>
      <c r="J1" s="1" t="inlineStr">
        <is>
          <t>开放星期</t>
        </is>
      </c>
      <c r="K1" s="1" t="inlineStr">
        <is>
          <t>进入消耗</t>
        </is>
      </c>
      <c r="L1" s="1" t="inlineStr">
        <is>
          <t>掉落类型</t>
        </is>
      </c>
      <c r="M1" s="1" t="inlineStr">
        <is>
          <t>掉落配置key</t>
        </is>
      </c>
      <c r="N1" s="1" t="inlineStr">
        <is>
          <t>实际掉落key</t>
        </is>
      </c>
      <c r="O1" s="1" t="inlineStr">
        <is>
          <t>实际掉落名称</t>
        </is>
      </c>
      <c r="P1" s="1" t="inlineStr">
        <is>
          <t>物品类型</t>
        </is>
      </c>
      <c r="Q1" s="1" t="inlineStr">
        <is>
          <t>稀有度</t>
        </is>
      </c>
      <c r="R1" s="1" t="inlineStr">
        <is>
          <t>掉落/随机池触发概率</t>
        </is>
      </c>
      <c r="S1" s="1" t="inlineStr">
        <is>
          <t>数量</t>
        </is>
      </c>
      <c r="T1" s="1" t="inlineStr">
        <is>
          <t>池内权重</t>
        </is>
      </c>
      <c r="U1" s="1" t="inlineStr">
        <is>
          <t>是否选择池</t>
        </is>
      </c>
      <c r="V1" s="1" t="inlineStr">
        <is>
          <t>原始配置</t>
        </is>
      </c>
      <c r="W1" s="1" t="inlineStr">
        <is>
          <t>池内权重合计</t>
        </is>
      </c>
      <c r="X1" s="1" t="inlineStr">
        <is>
          <t>单项实际掉落概率</t>
        </is>
      </c>
      <c r="Y1" s="1" t="inlineStr">
        <is>
          <t>单次胜利期望数量</t>
        </is>
      </c>
      <c r="Z1" s="1" t="inlineStr">
        <is>
          <t>任务分类</t>
        </is>
      </c>
      <c r="AA1" s="1" t="inlineStr">
        <is>
          <t>每周次数(帮会)</t>
        </is>
      </c>
      <c r="AB1" s="1" t="inlineStr">
        <is>
          <t>奖励接收方</t>
        </is>
      </c>
      <c r="AC1" s="1" t="inlineStr">
        <is>
          <t>发奖条件</t>
        </is>
      </c>
      <c r="AD1" s="1" t="inlineStr">
        <is>
          <t>数据来源</t>
        </is>
      </c>
    </row>
    <row r="2">
      <c r="A2" s="2" t="n">
        <v>1</v>
      </c>
      <c r="B2" s="2" t="inlineStr">
        <is>
          <t>mid_autumn_moon_palace_trial</t>
        </is>
      </c>
      <c r="C2" s="2" t="inlineStr">
        <is>
          <t>广寒宫试炼</t>
        </is>
      </c>
      <c r="D2" s="2" t="inlineStr">
        <is>
          <t>中级</t>
        </is>
      </c>
      <c r="E2" s="2" t="inlineStr">
        <is>
          <t>task1</t>
        </is>
      </c>
      <c r="F2" s="2" t="inlineStr">
        <is>
          <t>否</t>
        </is>
      </c>
      <c r="G2" s="2" t="inlineStr">
        <is>
          <t>否</t>
        </is>
      </c>
      <c r="H2" s="2" t="n">
        <v>3</v>
      </c>
      <c r="I2" s="2" t="n">
        <v>1800</v>
      </c>
      <c r="J2" s="2" t="inlineStr">
        <is>
          <t>周二、周四、周六、周日</t>
        </is>
      </c>
      <c r="K2" s="2" t="inlineStr">
        <is>
          <t>无</t>
        </is>
      </c>
      <c r="L2" s="2" t="inlineStr">
        <is>
          <t>固定掉落</t>
        </is>
      </c>
      <c r="M2" s="2" t="inlineStr">
        <is>
          <t>silver</t>
        </is>
      </c>
      <c r="N2" s="2" t="inlineStr">
        <is>
          <t>silver</t>
        </is>
      </c>
      <c r="O2" s="2" t="inlineStr">
        <is>
          <t>银两</t>
        </is>
      </c>
      <c r="P2" s="2" t="inlineStr">
        <is>
          <t>资源</t>
        </is>
      </c>
      <c r="Q2" s="2" t="inlineStr">
        <is>
          <t>资源</t>
        </is>
      </c>
      <c r="R2" s="5" t="n">
        <v>1</v>
      </c>
      <c r="S2" s="2" t="n">
        <v>40000</v>
      </c>
      <c r="T2" s="2" t="n"/>
      <c r="U2" s="2" t="inlineStr">
        <is>
          <t>否</t>
        </is>
      </c>
      <c r="V2" s="2" t="inlineStr">
        <is>
          <t>40000</t>
        </is>
      </c>
      <c r="W2" s="2" t="n"/>
      <c r="X2" s="5">
        <f>R2</f>
        <v>1</v>
      </c>
      <c r="Y2" s="6">
        <f>X2*S2</f>
        <v>40000</v>
      </c>
      <c r="Z2" s="2" t="inlineStr">
        <is>
          <t>个人任务</t>
        </is>
      </c>
      <c r="AA2" s="2" t="n"/>
      <c r="AB2" s="2" t="inlineStr">
        <is>
          <t>挑战者庄园</t>
        </is>
      </c>
      <c r="AC2" s="2" t="inlineStr">
        <is>
          <t>玩家进攻胜利（attacker），非撤退，返程结算发放</t>
        </is>
      </c>
      <c r="AD2" s="2" t="inlineStr">
        <is>
          <t>data/mission_templates.yaml:L139:drop_table.silver</t>
        </is>
      </c>
    </row>
    <row r="3">
      <c r="A3" s="2" t="n">
        <v>1</v>
      </c>
      <c r="B3" s="2" t="inlineStr">
        <is>
          <t>mid_autumn_moon_palace_trial</t>
        </is>
      </c>
      <c r="C3" s="2" t="inlineStr">
        <is>
          <t>广寒宫试炼</t>
        </is>
      </c>
      <c r="D3" s="2" t="inlineStr">
        <is>
          <t>中级</t>
        </is>
      </c>
      <c r="E3" s="2" t="inlineStr">
        <is>
          <t>task1</t>
        </is>
      </c>
      <c r="F3" s="2" t="inlineStr">
        <is>
          <t>否</t>
        </is>
      </c>
      <c r="G3" s="2" t="inlineStr">
        <is>
          <t>否</t>
        </is>
      </c>
      <c r="H3" s="2" t="n">
        <v>3</v>
      </c>
      <c r="I3" s="2" t="n">
        <v>1800</v>
      </c>
      <c r="J3" s="2" t="inlineStr">
        <is>
          <t>周二、周四、周六、周日</t>
        </is>
      </c>
      <c r="K3" s="2" t="inlineStr">
        <is>
          <t>无</t>
        </is>
      </c>
      <c r="L3" s="2" t="inlineStr">
        <is>
          <t>固定掉落</t>
        </is>
      </c>
      <c r="M3" s="2" t="inlineStr">
        <is>
          <t>mid_autumn_mooncake</t>
        </is>
      </c>
      <c r="N3" s="2" t="inlineStr">
        <is>
          <t>mid_autumn_mooncake</t>
        </is>
      </c>
      <c r="O3" s="2" t="inlineStr">
        <is>
          <t>月饼</t>
        </is>
      </c>
      <c r="P3" s="2" t="inlineStr">
        <is>
          <t>宝箱</t>
        </is>
      </c>
      <c r="Q3" s="2" t="inlineStr">
        <is>
          <t>优秀/绿</t>
        </is>
      </c>
      <c r="R3" s="5" t="n">
        <v>1</v>
      </c>
      <c r="S3" s="2" t="n">
        <v>1</v>
      </c>
      <c r="T3" s="2" t="n"/>
      <c r="U3" s="2" t="inlineStr">
        <is>
          <t>否</t>
        </is>
      </c>
      <c r="V3" s="2" t="inlineStr">
        <is>
          <t>1</t>
        </is>
      </c>
      <c r="W3" s="2" t="n"/>
      <c r="X3" s="5">
        <f>R3</f>
        <v>1</v>
      </c>
      <c r="Y3" s="6">
        <f>X3*S3</f>
        <v>1</v>
      </c>
      <c r="Z3" s="2" t="inlineStr">
        <is>
          <t>个人任务</t>
        </is>
      </c>
      <c r="AA3" s="2" t="n"/>
      <c r="AB3" s="2" t="inlineStr">
        <is>
          <t>挑战者庄园</t>
        </is>
      </c>
      <c r="AC3" s="2" t="inlineStr">
        <is>
          <t>玩家进攻胜利（attacker），非撤退，返程结算发放</t>
        </is>
      </c>
      <c r="AD3" s="2" t="inlineStr">
        <is>
          <t>data/mission_templates.yaml:L139:drop_table.mid_autumn_mooncake</t>
        </is>
      </c>
    </row>
    <row r="4">
      <c r="A4" s="2" t="n">
        <v>1</v>
      </c>
      <c r="B4" s="2" t="inlineStr">
        <is>
          <t>mid_autumn_moon_palace_trial</t>
        </is>
      </c>
      <c r="C4" s="2" t="inlineStr">
        <is>
          <t>广寒宫试炼</t>
        </is>
      </c>
      <c r="D4" s="2" t="inlineStr">
        <is>
          <t>中级</t>
        </is>
      </c>
      <c r="E4" s="2" t="inlineStr">
        <is>
          <t>task1</t>
        </is>
      </c>
      <c r="F4" s="2" t="inlineStr">
        <is>
          <t>否</t>
        </is>
      </c>
      <c r="G4" s="2" t="inlineStr">
        <is>
          <t>否</t>
        </is>
      </c>
      <c r="H4" s="2" t="n">
        <v>3</v>
      </c>
      <c r="I4" s="2" t="n">
        <v>1800</v>
      </c>
      <c r="J4" s="2" t="inlineStr">
        <is>
          <t>周二、周四、周六、周日</t>
        </is>
      </c>
      <c r="K4" s="2" t="inlineStr">
        <is>
          <t>无</t>
        </is>
      </c>
      <c r="L4" s="2" t="inlineStr">
        <is>
          <t>随机池掉落</t>
        </is>
      </c>
      <c r="M4" s="2" t="inlineStr">
        <is>
          <t>mid_autumn_mooncake_bonus_1</t>
        </is>
      </c>
      <c r="N4" s="2" t="inlineStr">
        <is>
          <t>mid_autumn_mooncake</t>
        </is>
      </c>
      <c r="O4" s="2" t="inlineStr">
        <is>
          <t>月饼</t>
        </is>
      </c>
      <c r="P4" s="2" t="inlineStr">
        <is>
          <t>宝箱</t>
        </is>
      </c>
      <c r="Q4" s="2" t="inlineStr">
        <is>
          <t>优秀/绿</t>
        </is>
      </c>
      <c r="R4" s="5" t="n">
        <v>0.55</v>
      </c>
      <c r="S4" s="2" t="n">
        <v>1</v>
      </c>
      <c r="T4" s="2" t="n">
        <v>1</v>
      </c>
      <c r="U4" s="2" t="inlineStr">
        <is>
          <t>是</t>
        </is>
      </c>
      <c r="V4" s="2" t="inlineStr">
        <is>
          <t>{"chance":0.55,"count":1,"choices":["mid_autumn_mooncake"]}</t>
        </is>
      </c>
      <c r="W4" s="3">
        <f>SUM(T4:T4)</f>
        <v>1</v>
      </c>
      <c r="X4" s="5">
        <f>R4*T4/W4</f>
        <v>0.55</v>
      </c>
      <c r="Y4" s="6">
        <f>X4*S4</f>
        <v>0.55</v>
      </c>
      <c r="Z4" s="2" t="inlineStr">
        <is>
          <t>个人任务</t>
        </is>
      </c>
      <c r="AA4" s="2" t="n"/>
      <c r="AB4" s="2" t="inlineStr">
        <is>
          <t>挑战者庄园</t>
        </is>
      </c>
      <c r="AC4" s="2" t="inlineStr">
        <is>
          <t>玩家进攻胜利（attacker），非撤退，返程结算发放</t>
        </is>
      </c>
      <c r="AD4" s="2" t="inlineStr">
        <is>
          <t>data/mission_templates.yaml:L139:drop_table.mid_autumn_mooncake_bonus_1</t>
        </is>
      </c>
    </row>
    <row r="5">
      <c r="A5" s="2" t="n">
        <v>1</v>
      </c>
      <c r="B5" s="2" t="inlineStr">
        <is>
          <t>mid_autumn_moon_palace_trial</t>
        </is>
      </c>
      <c r="C5" s="2" t="inlineStr">
        <is>
          <t>广寒宫试炼</t>
        </is>
      </c>
      <c r="D5" s="2" t="inlineStr">
        <is>
          <t>中级</t>
        </is>
      </c>
      <c r="E5" s="2" t="inlineStr">
        <is>
          <t>task1</t>
        </is>
      </c>
      <c r="F5" s="2" t="inlineStr">
        <is>
          <t>否</t>
        </is>
      </c>
      <c r="G5" s="2" t="inlineStr">
        <is>
          <t>否</t>
        </is>
      </c>
      <c r="H5" s="2" t="n">
        <v>3</v>
      </c>
      <c r="I5" s="2" t="n">
        <v>1800</v>
      </c>
      <c r="J5" s="2" t="inlineStr">
        <is>
          <t>周二、周四、周六、周日</t>
        </is>
      </c>
      <c r="K5" s="2" t="inlineStr">
        <is>
          <t>无</t>
        </is>
      </c>
      <c r="L5" s="2" t="inlineStr">
        <is>
          <t>随机池掉落</t>
        </is>
      </c>
      <c r="M5" s="2" t="inlineStr">
        <is>
          <t>mid_autumn_mooncake_bonus_2</t>
        </is>
      </c>
      <c r="N5" s="2" t="inlineStr">
        <is>
          <t>mid_autumn_mooncake</t>
        </is>
      </c>
      <c r="O5" s="2" t="inlineStr">
        <is>
          <t>月饼</t>
        </is>
      </c>
      <c r="P5" s="2" t="inlineStr">
        <is>
          <t>宝箱</t>
        </is>
      </c>
      <c r="Q5" s="2" t="inlineStr">
        <is>
          <t>优秀/绿</t>
        </is>
      </c>
      <c r="R5" s="5" t="n">
        <v>0.25</v>
      </c>
      <c r="S5" s="2" t="n">
        <v>2</v>
      </c>
      <c r="T5" s="2" t="n">
        <v>1</v>
      </c>
      <c r="U5" s="2" t="inlineStr">
        <is>
          <t>是</t>
        </is>
      </c>
      <c r="V5" s="2" t="inlineStr">
        <is>
          <t>{"chance":0.25,"count":2,"choices":["mid_autumn_mooncake"]}</t>
        </is>
      </c>
      <c r="W5" s="3">
        <f>SUM(T5:T5)</f>
        <v>1</v>
      </c>
      <c r="X5" s="5">
        <f>R5*T5/W5</f>
        <v>0.25</v>
      </c>
      <c r="Y5" s="6">
        <f>X5*S5</f>
        <v>0.5</v>
      </c>
      <c r="Z5" s="2" t="inlineStr">
        <is>
          <t>个人任务</t>
        </is>
      </c>
      <c r="AA5" s="2" t="n"/>
      <c r="AB5" s="2" t="inlineStr">
        <is>
          <t>挑战者庄园</t>
        </is>
      </c>
      <c r="AC5" s="2" t="inlineStr">
        <is>
          <t>玩家进攻胜利（attacker），非撤退，返程结算发放</t>
        </is>
      </c>
      <c r="AD5" s="2" t="inlineStr">
        <is>
          <t>data/mission_templates.yaml:L139:drop_table.mid_autumn_mooncake_bonus_2</t>
        </is>
      </c>
    </row>
    <row r="6">
      <c r="A6" s="2" t="n">
        <v>1</v>
      </c>
      <c r="B6" s="2" t="inlineStr">
        <is>
          <t>mid_autumn_moon_palace_trial</t>
        </is>
      </c>
      <c r="C6" s="2" t="inlineStr">
        <is>
          <t>广寒宫试炼</t>
        </is>
      </c>
      <c r="D6" s="2" t="inlineStr">
        <is>
          <t>中级</t>
        </is>
      </c>
      <c r="E6" s="2" t="inlineStr">
        <is>
          <t>task1</t>
        </is>
      </c>
      <c r="F6" s="2" t="inlineStr">
        <is>
          <t>否</t>
        </is>
      </c>
      <c r="G6" s="2" t="inlineStr">
        <is>
          <t>否</t>
        </is>
      </c>
      <c r="H6" s="2" t="n">
        <v>3</v>
      </c>
      <c r="I6" s="2" t="n">
        <v>1800</v>
      </c>
      <c r="J6" s="2" t="inlineStr">
        <is>
          <t>周二、周四、周六、周日</t>
        </is>
      </c>
      <c r="K6" s="2" t="inlineStr">
        <is>
          <t>无</t>
        </is>
      </c>
      <c r="L6" s="2" t="inlineStr">
        <is>
          <t>随机池掉落</t>
        </is>
      </c>
      <c r="M6" s="2" t="inlineStr">
        <is>
          <t>mid_autumn_mooncake_bonus_4</t>
        </is>
      </c>
      <c r="N6" s="2" t="inlineStr">
        <is>
          <t>mid_autumn_mooncake</t>
        </is>
      </c>
      <c r="O6" s="2" t="inlineStr">
        <is>
          <t>月饼</t>
        </is>
      </c>
      <c r="P6" s="2" t="inlineStr">
        <is>
          <t>宝箱</t>
        </is>
      </c>
      <c r="Q6" s="2" t="inlineStr">
        <is>
          <t>优秀/绿</t>
        </is>
      </c>
      <c r="R6" s="5" t="n">
        <v>0.08</v>
      </c>
      <c r="S6" s="2" t="n">
        <v>4</v>
      </c>
      <c r="T6" s="2" t="n">
        <v>1</v>
      </c>
      <c r="U6" s="2" t="inlineStr">
        <is>
          <t>是</t>
        </is>
      </c>
      <c r="V6" s="2" t="inlineStr">
        <is>
          <t>{"chance":0.08,"count":4,"choices":["mid_autumn_mooncake"]}</t>
        </is>
      </c>
      <c r="W6" s="3">
        <f>SUM(T6:T6)</f>
        <v>1</v>
      </c>
      <c r="X6" s="5">
        <f>R6*T6/W6</f>
        <v>0.08</v>
      </c>
      <c r="Y6" s="6">
        <f>X6*S6</f>
        <v>0.32</v>
      </c>
      <c r="Z6" s="2" t="inlineStr">
        <is>
          <t>个人任务</t>
        </is>
      </c>
      <c r="AA6" s="2" t="n"/>
      <c r="AB6" s="2" t="inlineStr">
        <is>
          <t>挑战者庄园</t>
        </is>
      </c>
      <c r="AC6" s="2" t="inlineStr">
        <is>
          <t>玩家进攻胜利（attacker），非撤退，返程结算发放</t>
        </is>
      </c>
      <c r="AD6" s="2" t="inlineStr">
        <is>
          <t>data/mission_templates.yaml:L139:drop_table.mid_autumn_mooncake_bonus_4</t>
        </is>
      </c>
    </row>
    <row r="7">
      <c r="A7" s="2" t="n">
        <v>1</v>
      </c>
      <c r="B7" s="2" t="inlineStr">
        <is>
          <t>mid_autumn_moon_palace_trial</t>
        </is>
      </c>
      <c r="C7" s="2" t="inlineStr">
        <is>
          <t>广寒宫试炼</t>
        </is>
      </c>
      <c r="D7" s="2" t="inlineStr">
        <is>
          <t>中级</t>
        </is>
      </c>
      <c r="E7" s="2" t="inlineStr">
        <is>
          <t>task1</t>
        </is>
      </c>
      <c r="F7" s="2" t="inlineStr">
        <is>
          <t>否</t>
        </is>
      </c>
      <c r="G7" s="2" t="inlineStr">
        <is>
          <t>否</t>
        </is>
      </c>
      <c r="H7" s="2" t="n">
        <v>3</v>
      </c>
      <c r="I7" s="2" t="n">
        <v>1800</v>
      </c>
      <c r="J7" s="2" t="inlineStr">
        <is>
          <t>周二、周四、周六、周日</t>
        </is>
      </c>
      <c r="K7" s="2" t="inlineStr">
        <is>
          <t>无</t>
        </is>
      </c>
      <c r="L7" s="2" t="inlineStr">
        <is>
          <t>随机池掉落</t>
        </is>
      </c>
      <c r="M7" s="2" t="inlineStr">
        <is>
          <t>mid_autumn_mooncake_bonus_10</t>
        </is>
      </c>
      <c r="N7" s="2" t="inlineStr">
        <is>
          <t>mid_autumn_mooncake</t>
        </is>
      </c>
      <c r="O7" s="2" t="inlineStr">
        <is>
          <t>月饼</t>
        </is>
      </c>
      <c r="P7" s="2" t="inlineStr">
        <is>
          <t>宝箱</t>
        </is>
      </c>
      <c r="Q7" s="2" t="inlineStr">
        <is>
          <t>优秀/绿</t>
        </is>
      </c>
      <c r="R7" s="5" t="n">
        <v>0.015</v>
      </c>
      <c r="S7" s="2" t="n">
        <v>10</v>
      </c>
      <c r="T7" s="2" t="n">
        <v>1</v>
      </c>
      <c r="U7" s="2" t="inlineStr">
        <is>
          <t>是</t>
        </is>
      </c>
      <c r="V7" s="2" t="inlineStr">
        <is>
          <t>{"chance":0.015,"count":10,"choices":["mid_autumn_mooncake"]}</t>
        </is>
      </c>
      <c r="W7" s="3">
        <f>SUM(T7:T7)</f>
        <v>1</v>
      </c>
      <c r="X7" s="5">
        <f>R7*T7/W7</f>
        <v>0.015</v>
      </c>
      <c r="Y7" s="6">
        <f>X7*S7</f>
        <v>0.15</v>
      </c>
      <c r="Z7" s="2" t="inlineStr">
        <is>
          <t>个人任务</t>
        </is>
      </c>
      <c r="AA7" s="2" t="n"/>
      <c r="AB7" s="2" t="inlineStr">
        <is>
          <t>挑战者庄园</t>
        </is>
      </c>
      <c r="AC7" s="2" t="inlineStr">
        <is>
          <t>玩家进攻胜利（attacker），非撤退，返程结算发放</t>
        </is>
      </c>
      <c r="AD7" s="2" t="inlineStr">
        <is>
          <t>data/mission_templates.yaml:L139:drop_table.mid_autumn_mooncake_bonus_10</t>
        </is>
      </c>
    </row>
    <row r="8">
      <c r="A8" s="2" t="n">
        <v>1</v>
      </c>
      <c r="B8" s="2" t="inlineStr">
        <is>
          <t>mid_autumn_moon_palace_trial</t>
        </is>
      </c>
      <c r="C8" s="2" t="inlineStr">
        <is>
          <t>广寒宫试炼</t>
        </is>
      </c>
      <c r="D8" s="2" t="inlineStr">
        <is>
          <t>中级</t>
        </is>
      </c>
      <c r="E8" s="2" t="inlineStr">
        <is>
          <t>task1</t>
        </is>
      </c>
      <c r="F8" s="2" t="inlineStr">
        <is>
          <t>否</t>
        </is>
      </c>
      <c r="G8" s="2" t="inlineStr">
        <is>
          <t>否</t>
        </is>
      </c>
      <c r="H8" s="2" t="n">
        <v>3</v>
      </c>
      <c r="I8" s="2" t="n">
        <v>1800</v>
      </c>
      <c r="J8" s="2" t="inlineStr">
        <is>
          <t>周二、周四、周六、周日</t>
        </is>
      </c>
      <c r="K8" s="2" t="inlineStr">
        <is>
          <t>无</t>
        </is>
      </c>
      <c r="L8" s="2" t="inlineStr">
        <is>
          <t>概率掉落</t>
        </is>
      </c>
      <c r="M8" s="2" t="inlineStr">
        <is>
          <t>jade_rabbit_summon_scroll</t>
        </is>
      </c>
      <c r="N8" s="2" t="inlineStr">
        <is>
          <t>jade_rabbit_summon_scroll</t>
        </is>
      </c>
      <c r="O8" s="2" t="inlineStr">
        <is>
          <t>玉兔召唤卷轴</t>
        </is>
      </c>
      <c r="P8" s="2" t="inlineStr">
        <is>
          <t>道具</t>
        </is>
      </c>
      <c r="Q8" s="2" t="inlineStr">
        <is>
          <t>优秀/绿</t>
        </is>
      </c>
      <c r="R8" s="5" t="n">
        <v>0.08</v>
      </c>
      <c r="S8" s="2" t="n">
        <v>1</v>
      </c>
      <c r="T8" s="2" t="n"/>
      <c r="U8" s="2" t="inlineStr">
        <is>
          <t>否</t>
        </is>
      </c>
      <c r="V8" s="2" t="inlineStr">
        <is>
          <t>{"chance":0.08,"count":1}</t>
        </is>
      </c>
      <c r="W8" s="2" t="n"/>
      <c r="X8" s="5">
        <f>R8</f>
        <v>0.08</v>
      </c>
      <c r="Y8" s="6">
        <f>X8*S8</f>
        <v>0.08</v>
      </c>
      <c r="Z8" s="2" t="inlineStr">
        <is>
          <t>个人任务</t>
        </is>
      </c>
      <c r="AA8" s="2" t="n"/>
      <c r="AB8" s="2" t="inlineStr">
        <is>
          <t>挑战者庄园</t>
        </is>
      </c>
      <c r="AC8" s="2" t="inlineStr">
        <is>
          <t>玩家进攻胜利（attacker），非撤退，返程结算发放</t>
        </is>
      </c>
      <c r="AD8" s="2" t="inlineStr">
        <is>
          <t>data/mission_templates.yaml:L139:drop_table.jade_rabbit_summon_scroll</t>
        </is>
      </c>
    </row>
    <row r="9">
      <c r="A9" s="2" t="n">
        <v>1</v>
      </c>
      <c r="B9" s="2" t="inlineStr">
        <is>
          <t>mid_autumn_moon_palace_trial</t>
        </is>
      </c>
      <c r="C9" s="2" t="inlineStr">
        <is>
          <t>广寒宫试炼</t>
        </is>
      </c>
      <c r="D9" s="2" t="inlineStr">
        <is>
          <t>中级</t>
        </is>
      </c>
      <c r="E9" s="2" t="inlineStr">
        <is>
          <t>task1</t>
        </is>
      </c>
      <c r="F9" s="2" t="inlineStr">
        <is>
          <t>否</t>
        </is>
      </c>
      <c r="G9" s="2" t="inlineStr">
        <is>
          <t>否</t>
        </is>
      </c>
      <c r="H9" s="2" t="n">
        <v>3</v>
      </c>
      <c r="I9" s="2" t="n">
        <v>1800</v>
      </c>
      <c r="J9" s="2" t="inlineStr">
        <is>
          <t>周二、周四、周六、周日</t>
        </is>
      </c>
      <c r="K9" s="2" t="inlineStr">
        <is>
          <t>无</t>
        </is>
      </c>
      <c r="L9" s="2" t="inlineStr">
        <is>
          <t>概率掉落</t>
        </is>
      </c>
      <c r="M9" s="2" t="inlineStr">
        <is>
          <t>wu_gang_summon_scroll</t>
        </is>
      </c>
      <c r="N9" s="2" t="inlineStr">
        <is>
          <t>wu_gang_summon_scroll</t>
        </is>
      </c>
      <c r="O9" s="2" t="inlineStr">
        <is>
          <t>吴刚召唤卷轴</t>
        </is>
      </c>
      <c r="P9" s="2" t="inlineStr">
        <is>
          <t>道具</t>
        </is>
      </c>
      <c r="Q9" s="2" t="inlineStr">
        <is>
          <t>稀有/蓝</t>
        </is>
      </c>
      <c r="R9" s="5" t="n">
        <v>0.05</v>
      </c>
      <c r="S9" s="2" t="n">
        <v>1</v>
      </c>
      <c r="T9" s="2" t="n"/>
      <c r="U9" s="2" t="inlineStr">
        <is>
          <t>否</t>
        </is>
      </c>
      <c r="V9" s="2" t="inlineStr">
        <is>
          <t>{"chance":0.05,"count":1}</t>
        </is>
      </c>
      <c r="W9" s="2" t="n"/>
      <c r="X9" s="5">
        <f>R9</f>
        <v>0.05</v>
      </c>
      <c r="Y9" s="6">
        <f>X9*S9</f>
        <v>0.05</v>
      </c>
      <c r="Z9" s="2" t="inlineStr">
        <is>
          <t>个人任务</t>
        </is>
      </c>
      <c r="AA9" s="2" t="n"/>
      <c r="AB9" s="2" t="inlineStr">
        <is>
          <t>挑战者庄园</t>
        </is>
      </c>
      <c r="AC9" s="2" t="inlineStr">
        <is>
          <t>玩家进攻胜利（attacker），非撤退，返程结算发放</t>
        </is>
      </c>
      <c r="AD9" s="2" t="inlineStr">
        <is>
          <t>data/mission_templates.yaml:L139:drop_table.wu_gang_summon_scroll</t>
        </is>
      </c>
    </row>
    <row r="10">
      <c r="A10" s="2" t="n">
        <v>1</v>
      </c>
      <c r="B10" s="2" t="inlineStr">
        <is>
          <t>mid_autumn_moon_palace_trial</t>
        </is>
      </c>
      <c r="C10" s="2" t="inlineStr">
        <is>
          <t>广寒宫试炼</t>
        </is>
      </c>
      <c r="D10" s="2" t="inlineStr">
        <is>
          <t>中级</t>
        </is>
      </c>
      <c r="E10" s="2" t="inlineStr">
        <is>
          <t>task1</t>
        </is>
      </c>
      <c r="F10" s="2" t="inlineStr">
        <is>
          <t>否</t>
        </is>
      </c>
      <c r="G10" s="2" t="inlineStr">
        <is>
          <t>否</t>
        </is>
      </c>
      <c r="H10" s="2" t="n">
        <v>3</v>
      </c>
      <c r="I10" s="2" t="n">
        <v>1800</v>
      </c>
      <c r="J10" s="2" t="inlineStr">
        <is>
          <t>周二、周四、周六、周日</t>
        </is>
      </c>
      <c r="K10" s="2" t="inlineStr">
        <is>
          <t>无</t>
        </is>
      </c>
      <c r="L10" s="2" t="inlineStr">
        <is>
          <t>概率掉落</t>
        </is>
      </c>
      <c r="M10" s="2" t="inlineStr">
        <is>
          <t>chang_e_summon_scroll</t>
        </is>
      </c>
      <c r="N10" s="2" t="inlineStr">
        <is>
          <t>chang_e_summon_scroll</t>
        </is>
      </c>
      <c r="O10" s="2" t="inlineStr">
        <is>
          <t>嫦娥召唤卷轴</t>
        </is>
      </c>
      <c r="P10" s="2" t="inlineStr">
        <is>
          <t>道具</t>
        </is>
      </c>
      <c r="Q10" s="2" t="inlineStr">
        <is>
          <t>史诗/紫</t>
        </is>
      </c>
      <c r="R10" s="5" t="n">
        <v>0.03</v>
      </c>
      <c r="S10" s="2" t="n">
        <v>1</v>
      </c>
      <c r="T10" s="2" t="n"/>
      <c r="U10" s="2" t="inlineStr">
        <is>
          <t>否</t>
        </is>
      </c>
      <c r="V10" s="2" t="inlineStr">
        <is>
          <t>{"chance":0.03,"count":1}</t>
        </is>
      </c>
      <c r="W10" s="2" t="n"/>
      <c r="X10" s="5">
        <f>R10</f>
        <v>0.03</v>
      </c>
      <c r="Y10" s="6">
        <f>X10*S10</f>
        <v>0.03</v>
      </c>
      <c r="Z10" s="2" t="inlineStr">
        <is>
          <t>个人任务</t>
        </is>
      </c>
      <c r="AA10" s="2" t="n"/>
      <c r="AB10" s="2" t="inlineStr">
        <is>
          <t>挑战者庄园</t>
        </is>
      </c>
      <c r="AC10" s="2" t="inlineStr">
        <is>
          <t>玩家进攻胜利（attacker），非撤退，返程结算发放</t>
        </is>
      </c>
      <c r="AD10" s="2" t="inlineStr">
        <is>
          <t>data/mission_templates.yaml:L139:drop_table.chang_e_summon_scroll</t>
        </is>
      </c>
    </row>
    <row r="11">
      <c r="A11" s="2" t="n">
        <v>2</v>
      </c>
      <c r="B11" s="2" t="inlineStr">
        <is>
          <t>kasukabe_daisakusen</t>
        </is>
      </c>
      <c r="C11" s="2" t="inlineStr">
        <is>
          <t>春日部大作战</t>
        </is>
      </c>
      <c r="D11" s="2" t="inlineStr">
        <is>
          <t>中级</t>
        </is>
      </c>
      <c r="E11" s="2" t="inlineStr">
        <is>
          <t>task1</t>
        </is>
      </c>
      <c r="F11" s="2" t="inlineStr">
        <is>
          <t>否</t>
        </is>
      </c>
      <c r="G11" s="2" t="inlineStr">
        <is>
          <t>否</t>
        </is>
      </c>
      <c r="H11" s="2" t="n">
        <v>3</v>
      </c>
      <c r="I11" s="2" t="n">
        <v>1800</v>
      </c>
      <c r="J11" s="2" t="inlineStr">
        <is>
          <t>周二、周四、周六、周日</t>
        </is>
      </c>
      <c r="K11" s="2" t="inlineStr">
        <is>
          <t>无</t>
        </is>
      </c>
      <c r="L11" s="2" t="inlineStr">
        <is>
          <t>固定掉落</t>
        </is>
      </c>
      <c r="M11" s="2" t="inlineStr">
        <is>
          <t>silver</t>
        </is>
      </c>
      <c r="N11" s="2" t="inlineStr">
        <is>
          <t>silver</t>
        </is>
      </c>
      <c r="O11" s="2" t="inlineStr">
        <is>
          <t>银两</t>
        </is>
      </c>
      <c r="P11" s="2" t="inlineStr">
        <is>
          <t>资源</t>
        </is>
      </c>
      <c r="Q11" s="2" t="inlineStr">
        <is>
          <t>资源</t>
        </is>
      </c>
      <c r="R11" s="5" t="n">
        <v>1</v>
      </c>
      <c r="S11" s="2" t="n">
        <v>40000</v>
      </c>
      <c r="T11" s="2" t="n"/>
      <c r="U11" s="2" t="inlineStr">
        <is>
          <t>否</t>
        </is>
      </c>
      <c r="V11" s="2" t="inlineStr">
        <is>
          <t>40000</t>
        </is>
      </c>
      <c r="W11" s="2" t="n"/>
      <c r="X11" s="5">
        <f>R11</f>
        <v>1</v>
      </c>
      <c r="Y11" s="6">
        <f>X11*S11</f>
        <v>40000</v>
      </c>
      <c r="Z11" s="2" t="inlineStr">
        <is>
          <t>个人任务</t>
        </is>
      </c>
      <c r="AA11" s="2" t="n"/>
      <c r="AB11" s="2" t="inlineStr">
        <is>
          <t>挑战者庄园</t>
        </is>
      </c>
      <c r="AC11" s="2" t="inlineStr">
        <is>
          <t>玩家进攻胜利（attacker），非撤退，返程结算发放</t>
        </is>
      </c>
      <c r="AD11" s="2" t="inlineStr">
        <is>
          <t>data/mission_templates.yaml:L206:drop_table.silver</t>
        </is>
      </c>
    </row>
    <row r="12">
      <c r="A12" s="2" t="n">
        <v>2</v>
      </c>
      <c r="B12" s="2" t="inlineStr">
        <is>
          <t>kasukabe_daisakusen</t>
        </is>
      </c>
      <c r="C12" s="2" t="inlineStr">
        <is>
          <t>春日部大作战</t>
        </is>
      </c>
      <c r="D12" s="2" t="inlineStr">
        <is>
          <t>中级</t>
        </is>
      </c>
      <c r="E12" s="2" t="inlineStr">
        <is>
          <t>task1</t>
        </is>
      </c>
      <c r="F12" s="2" t="inlineStr">
        <is>
          <t>否</t>
        </is>
      </c>
      <c r="G12" s="2" t="inlineStr">
        <is>
          <t>否</t>
        </is>
      </c>
      <c r="H12" s="2" t="n">
        <v>3</v>
      </c>
      <c r="I12" s="2" t="n">
        <v>1800</v>
      </c>
      <c r="J12" s="2" t="inlineStr">
        <is>
          <t>周二、周四、周六、周日</t>
        </is>
      </c>
      <c r="K12" s="2" t="inlineStr">
        <is>
          <t>无</t>
        </is>
      </c>
      <c r="L12" s="2" t="inlineStr">
        <is>
          <t>固定掉落</t>
        </is>
      </c>
      <c r="M12" s="2" t="inlineStr">
        <is>
          <t>kasukabe_crayon</t>
        </is>
      </c>
      <c r="N12" s="2" t="inlineStr">
        <is>
          <t>kasukabe_crayon</t>
        </is>
      </c>
      <c r="O12" s="2" t="inlineStr">
        <is>
          <t>小新的蜡笔</t>
        </is>
      </c>
      <c r="P12" s="2" t="inlineStr">
        <is>
          <t>道具</t>
        </is>
      </c>
      <c r="Q12" s="2" t="inlineStr">
        <is>
          <t>稀有/蓝</t>
        </is>
      </c>
      <c r="R12" s="5" t="n">
        <v>1</v>
      </c>
      <c r="S12" s="2" t="n">
        <v>1</v>
      </c>
      <c r="T12" s="2" t="n"/>
      <c r="U12" s="2" t="inlineStr">
        <is>
          <t>否</t>
        </is>
      </c>
      <c r="V12" s="2" t="inlineStr">
        <is>
          <t>1</t>
        </is>
      </c>
      <c r="W12" s="2" t="n"/>
      <c r="X12" s="5">
        <f>R12</f>
        <v>1</v>
      </c>
      <c r="Y12" s="6">
        <f>X12*S12</f>
        <v>1</v>
      </c>
      <c r="Z12" s="2" t="inlineStr">
        <is>
          <t>个人任务</t>
        </is>
      </c>
      <c r="AA12" s="2" t="n"/>
      <c r="AB12" s="2" t="inlineStr">
        <is>
          <t>挑战者庄园</t>
        </is>
      </c>
      <c r="AC12" s="2" t="inlineStr">
        <is>
          <t>玩家进攻胜利（attacker），非撤退，返程结算发放</t>
        </is>
      </c>
      <c r="AD12" s="2" t="inlineStr">
        <is>
          <t>data/mission_templates.yaml:L206:drop_table.kasukabe_crayon</t>
        </is>
      </c>
    </row>
    <row r="13">
      <c r="A13" s="2" t="n">
        <v>2</v>
      </c>
      <c r="B13" s="2" t="inlineStr">
        <is>
          <t>kasukabe_daisakusen</t>
        </is>
      </c>
      <c r="C13" s="2" t="inlineStr">
        <is>
          <t>春日部大作战</t>
        </is>
      </c>
      <c r="D13" s="2" t="inlineStr">
        <is>
          <t>中级</t>
        </is>
      </c>
      <c r="E13" s="2" t="inlineStr">
        <is>
          <t>task1</t>
        </is>
      </c>
      <c r="F13" s="2" t="inlineStr">
        <is>
          <t>否</t>
        </is>
      </c>
      <c r="G13" s="2" t="inlineStr">
        <is>
          <t>否</t>
        </is>
      </c>
      <c r="H13" s="2" t="n">
        <v>3</v>
      </c>
      <c r="I13" s="2" t="n">
        <v>1800</v>
      </c>
      <c r="J13" s="2" t="inlineStr">
        <is>
          <t>周二、周四、周六、周日</t>
        </is>
      </c>
      <c r="K13" s="2" t="inlineStr">
        <is>
          <t>无</t>
        </is>
      </c>
      <c r="L13" s="2" t="inlineStr">
        <is>
          <t>随机池掉落</t>
        </is>
      </c>
      <c r="M13" s="2" t="inlineStr">
        <is>
          <t>kasukabe_crayon_bonus_1</t>
        </is>
      </c>
      <c r="N13" s="2" t="inlineStr">
        <is>
          <t>kasukabe_crayon</t>
        </is>
      </c>
      <c r="O13" s="2" t="inlineStr">
        <is>
          <t>小新的蜡笔</t>
        </is>
      </c>
      <c r="P13" s="2" t="inlineStr">
        <is>
          <t>道具</t>
        </is>
      </c>
      <c r="Q13" s="2" t="inlineStr">
        <is>
          <t>稀有/蓝</t>
        </is>
      </c>
      <c r="R13" s="5" t="n">
        <v>0.55</v>
      </c>
      <c r="S13" s="2" t="n">
        <v>1</v>
      </c>
      <c r="T13" s="2" t="n">
        <v>1</v>
      </c>
      <c r="U13" s="2" t="inlineStr">
        <is>
          <t>是</t>
        </is>
      </c>
      <c r="V13" s="2" t="inlineStr">
        <is>
          <t>{"chance":0.55,"count":1,"choices":["kasukabe_crayon"]}</t>
        </is>
      </c>
      <c r="W13" s="3">
        <f>SUM(T13:T13)</f>
        <v>1</v>
      </c>
      <c r="X13" s="5">
        <f>R13*T13/W13</f>
        <v>0.55</v>
      </c>
      <c r="Y13" s="6">
        <f>X13*S13</f>
        <v>0.55</v>
      </c>
      <c r="Z13" s="2" t="inlineStr">
        <is>
          <t>个人任务</t>
        </is>
      </c>
      <c r="AA13" s="2" t="n"/>
      <c r="AB13" s="2" t="inlineStr">
        <is>
          <t>挑战者庄园</t>
        </is>
      </c>
      <c r="AC13" s="2" t="inlineStr">
        <is>
          <t>玩家进攻胜利（attacker），非撤退，返程结算发放</t>
        </is>
      </c>
      <c r="AD13" s="2" t="inlineStr">
        <is>
          <t>data/mission_templates.yaml:L206:drop_table.kasukabe_crayon_bonus_1</t>
        </is>
      </c>
    </row>
    <row r="14">
      <c r="A14" s="2" t="n">
        <v>2</v>
      </c>
      <c r="B14" s="2" t="inlineStr">
        <is>
          <t>kasukabe_daisakusen</t>
        </is>
      </c>
      <c r="C14" s="2" t="inlineStr">
        <is>
          <t>春日部大作战</t>
        </is>
      </c>
      <c r="D14" s="2" t="inlineStr">
        <is>
          <t>中级</t>
        </is>
      </c>
      <c r="E14" s="2" t="inlineStr">
        <is>
          <t>task1</t>
        </is>
      </c>
      <c r="F14" s="2" t="inlineStr">
        <is>
          <t>否</t>
        </is>
      </c>
      <c r="G14" s="2" t="inlineStr">
        <is>
          <t>否</t>
        </is>
      </c>
      <c r="H14" s="2" t="n">
        <v>3</v>
      </c>
      <c r="I14" s="2" t="n">
        <v>1800</v>
      </c>
      <c r="J14" s="2" t="inlineStr">
        <is>
          <t>周二、周四、周六、周日</t>
        </is>
      </c>
      <c r="K14" s="2" t="inlineStr">
        <is>
          <t>无</t>
        </is>
      </c>
      <c r="L14" s="2" t="inlineStr">
        <is>
          <t>随机池掉落</t>
        </is>
      </c>
      <c r="M14" s="2" t="inlineStr">
        <is>
          <t>kasukabe_crayon_bonus_2</t>
        </is>
      </c>
      <c r="N14" s="2" t="inlineStr">
        <is>
          <t>kasukabe_crayon</t>
        </is>
      </c>
      <c r="O14" s="2" t="inlineStr">
        <is>
          <t>小新的蜡笔</t>
        </is>
      </c>
      <c r="P14" s="2" t="inlineStr">
        <is>
          <t>道具</t>
        </is>
      </c>
      <c r="Q14" s="2" t="inlineStr">
        <is>
          <t>稀有/蓝</t>
        </is>
      </c>
      <c r="R14" s="5" t="n">
        <v>0.25</v>
      </c>
      <c r="S14" s="2" t="n">
        <v>2</v>
      </c>
      <c r="T14" s="2" t="n">
        <v>1</v>
      </c>
      <c r="U14" s="2" t="inlineStr">
        <is>
          <t>是</t>
        </is>
      </c>
      <c r="V14" s="2" t="inlineStr">
        <is>
          <t>{"chance":0.25,"count":2,"choices":["kasukabe_crayon"]}</t>
        </is>
      </c>
      <c r="W14" s="3">
        <f>SUM(T14:T14)</f>
        <v>1</v>
      </c>
      <c r="X14" s="5">
        <f>R14*T14/W14</f>
        <v>0.25</v>
      </c>
      <c r="Y14" s="6">
        <f>X14*S14</f>
        <v>0.5</v>
      </c>
      <c r="Z14" s="2" t="inlineStr">
        <is>
          <t>个人任务</t>
        </is>
      </c>
      <c r="AA14" s="2" t="n"/>
      <c r="AB14" s="2" t="inlineStr">
        <is>
          <t>挑战者庄园</t>
        </is>
      </c>
      <c r="AC14" s="2" t="inlineStr">
        <is>
          <t>玩家进攻胜利（attacker），非撤退，返程结算发放</t>
        </is>
      </c>
      <c r="AD14" s="2" t="inlineStr">
        <is>
          <t>data/mission_templates.yaml:L206:drop_table.kasukabe_crayon_bonus_2</t>
        </is>
      </c>
    </row>
    <row r="15">
      <c r="A15" s="2" t="n">
        <v>2</v>
      </c>
      <c r="B15" s="2" t="inlineStr">
        <is>
          <t>kasukabe_daisakusen</t>
        </is>
      </c>
      <c r="C15" s="2" t="inlineStr">
        <is>
          <t>春日部大作战</t>
        </is>
      </c>
      <c r="D15" s="2" t="inlineStr">
        <is>
          <t>中级</t>
        </is>
      </c>
      <c r="E15" s="2" t="inlineStr">
        <is>
          <t>task1</t>
        </is>
      </c>
      <c r="F15" s="2" t="inlineStr">
        <is>
          <t>否</t>
        </is>
      </c>
      <c r="G15" s="2" t="inlineStr">
        <is>
          <t>否</t>
        </is>
      </c>
      <c r="H15" s="2" t="n">
        <v>3</v>
      </c>
      <c r="I15" s="2" t="n">
        <v>1800</v>
      </c>
      <c r="J15" s="2" t="inlineStr">
        <is>
          <t>周二、周四、周六、周日</t>
        </is>
      </c>
      <c r="K15" s="2" t="inlineStr">
        <is>
          <t>无</t>
        </is>
      </c>
      <c r="L15" s="2" t="inlineStr">
        <is>
          <t>随机池掉落</t>
        </is>
      </c>
      <c r="M15" s="2" t="inlineStr">
        <is>
          <t>kasukabe_crayon_bonus_4</t>
        </is>
      </c>
      <c r="N15" s="2" t="inlineStr">
        <is>
          <t>kasukabe_crayon</t>
        </is>
      </c>
      <c r="O15" s="2" t="inlineStr">
        <is>
          <t>小新的蜡笔</t>
        </is>
      </c>
      <c r="P15" s="2" t="inlineStr">
        <is>
          <t>道具</t>
        </is>
      </c>
      <c r="Q15" s="2" t="inlineStr">
        <is>
          <t>稀有/蓝</t>
        </is>
      </c>
      <c r="R15" s="5" t="n">
        <v>0.08</v>
      </c>
      <c r="S15" s="2" t="n">
        <v>4</v>
      </c>
      <c r="T15" s="2" t="n">
        <v>1</v>
      </c>
      <c r="U15" s="2" t="inlineStr">
        <is>
          <t>是</t>
        </is>
      </c>
      <c r="V15" s="2" t="inlineStr">
        <is>
          <t>{"chance":0.08,"count":4,"choices":["kasukabe_crayon"]}</t>
        </is>
      </c>
      <c r="W15" s="3">
        <f>SUM(T15:T15)</f>
        <v>1</v>
      </c>
      <c r="X15" s="5">
        <f>R15*T15/W15</f>
        <v>0.08</v>
      </c>
      <c r="Y15" s="6">
        <f>X15*S15</f>
        <v>0.32</v>
      </c>
      <c r="Z15" s="2" t="inlineStr">
        <is>
          <t>个人任务</t>
        </is>
      </c>
      <c r="AA15" s="2" t="n"/>
      <c r="AB15" s="2" t="inlineStr">
        <is>
          <t>挑战者庄园</t>
        </is>
      </c>
      <c r="AC15" s="2" t="inlineStr">
        <is>
          <t>玩家进攻胜利（attacker），非撤退，返程结算发放</t>
        </is>
      </c>
      <c r="AD15" s="2" t="inlineStr">
        <is>
          <t>data/mission_templates.yaml:L206:drop_table.kasukabe_crayon_bonus_4</t>
        </is>
      </c>
    </row>
    <row r="16">
      <c r="A16" s="2" t="n">
        <v>2</v>
      </c>
      <c r="B16" s="2" t="inlineStr">
        <is>
          <t>kasukabe_daisakusen</t>
        </is>
      </c>
      <c r="C16" s="2" t="inlineStr">
        <is>
          <t>春日部大作战</t>
        </is>
      </c>
      <c r="D16" s="2" t="inlineStr">
        <is>
          <t>中级</t>
        </is>
      </c>
      <c r="E16" s="2" t="inlineStr">
        <is>
          <t>task1</t>
        </is>
      </c>
      <c r="F16" s="2" t="inlineStr">
        <is>
          <t>否</t>
        </is>
      </c>
      <c r="G16" s="2" t="inlineStr">
        <is>
          <t>否</t>
        </is>
      </c>
      <c r="H16" s="2" t="n">
        <v>3</v>
      </c>
      <c r="I16" s="2" t="n">
        <v>1800</v>
      </c>
      <c r="J16" s="2" t="inlineStr">
        <is>
          <t>周二、周四、周六、周日</t>
        </is>
      </c>
      <c r="K16" s="2" t="inlineStr">
        <is>
          <t>无</t>
        </is>
      </c>
      <c r="L16" s="2" t="inlineStr">
        <is>
          <t>随机池掉落</t>
        </is>
      </c>
      <c r="M16" s="2" t="inlineStr">
        <is>
          <t>kasukabe_crayon_bonus_10</t>
        </is>
      </c>
      <c r="N16" s="2" t="inlineStr">
        <is>
          <t>kasukabe_crayon</t>
        </is>
      </c>
      <c r="O16" s="2" t="inlineStr">
        <is>
          <t>小新的蜡笔</t>
        </is>
      </c>
      <c r="P16" s="2" t="inlineStr">
        <is>
          <t>道具</t>
        </is>
      </c>
      <c r="Q16" s="2" t="inlineStr">
        <is>
          <t>稀有/蓝</t>
        </is>
      </c>
      <c r="R16" s="5" t="n">
        <v>0.015</v>
      </c>
      <c r="S16" s="2" t="n">
        <v>10</v>
      </c>
      <c r="T16" s="2" t="n">
        <v>1</v>
      </c>
      <c r="U16" s="2" t="inlineStr">
        <is>
          <t>是</t>
        </is>
      </c>
      <c r="V16" s="2" t="inlineStr">
        <is>
          <t>{"chance":0.015,"count":10,"choices":["kasukabe_crayon"]}</t>
        </is>
      </c>
      <c r="W16" s="3">
        <f>SUM(T16:T16)</f>
        <v>1</v>
      </c>
      <c r="X16" s="5">
        <f>R16*T16/W16</f>
        <v>0.015</v>
      </c>
      <c r="Y16" s="6">
        <f>X16*S16</f>
        <v>0.15</v>
      </c>
      <c r="Z16" s="2" t="inlineStr">
        <is>
          <t>个人任务</t>
        </is>
      </c>
      <c r="AA16" s="2" t="n"/>
      <c r="AB16" s="2" t="inlineStr">
        <is>
          <t>挑战者庄园</t>
        </is>
      </c>
      <c r="AC16" s="2" t="inlineStr">
        <is>
          <t>玩家进攻胜利（attacker），非撤退，返程结算发放</t>
        </is>
      </c>
      <c r="AD16" s="2" t="inlineStr">
        <is>
          <t>data/mission_templates.yaml:L206:drop_table.kasukabe_crayon_bonus_10</t>
        </is>
      </c>
    </row>
    <row r="17">
      <c r="A17" s="2" t="n">
        <v>2</v>
      </c>
      <c r="B17" s="2" t="inlineStr">
        <is>
          <t>kasukabe_daisakusen</t>
        </is>
      </c>
      <c r="C17" s="2" t="inlineStr">
        <is>
          <t>春日部大作战</t>
        </is>
      </c>
      <c r="D17" s="2" t="inlineStr">
        <is>
          <t>中级</t>
        </is>
      </c>
      <c r="E17" s="2" t="inlineStr">
        <is>
          <t>task1</t>
        </is>
      </c>
      <c r="F17" s="2" t="inlineStr">
        <is>
          <t>否</t>
        </is>
      </c>
      <c r="G17" s="2" t="inlineStr">
        <is>
          <t>否</t>
        </is>
      </c>
      <c r="H17" s="2" t="n">
        <v>3</v>
      </c>
      <c r="I17" s="2" t="n">
        <v>1800</v>
      </c>
      <c r="J17" s="2" t="inlineStr">
        <is>
          <t>周二、周四、周六、周日</t>
        </is>
      </c>
      <c r="K17" s="2" t="inlineStr">
        <is>
          <t>无</t>
        </is>
      </c>
      <c r="L17" s="2" t="inlineStr">
        <is>
          <t>概率掉落</t>
        </is>
      </c>
      <c r="M17" s="2" t="inlineStr">
        <is>
          <t>experience_pineapple</t>
        </is>
      </c>
      <c r="N17" s="2" t="inlineStr">
        <is>
          <t>experience_pineapple</t>
        </is>
      </c>
      <c r="O17" s="2" t="inlineStr">
        <is>
          <t>经验菠萝</t>
        </is>
      </c>
      <c r="P17" s="2" t="inlineStr">
        <is>
          <t>经验道具</t>
        </is>
      </c>
      <c r="Q17" s="2" t="inlineStr">
        <is>
          <t>稀有/蓝</t>
        </is>
      </c>
      <c r="R17" s="5" t="n">
        <v>0.35</v>
      </c>
      <c r="S17" s="2" t="n">
        <v>3</v>
      </c>
      <c r="T17" s="2" t="n"/>
      <c r="U17" s="2" t="inlineStr">
        <is>
          <t>否</t>
        </is>
      </c>
      <c r="V17" s="2" t="inlineStr">
        <is>
          <t>{"chance":0.35,"count":3}</t>
        </is>
      </c>
      <c r="W17" s="2" t="n"/>
      <c r="X17" s="5">
        <f>R17</f>
        <v>0.35</v>
      </c>
      <c r="Y17" s="6">
        <f>X17*S17</f>
        <v>1.0499999999999998</v>
      </c>
      <c r="Z17" s="2" t="inlineStr">
        <is>
          <t>个人任务</t>
        </is>
      </c>
      <c r="AA17" s="2" t="n"/>
      <c r="AB17" s="2" t="inlineStr">
        <is>
          <t>挑战者庄园</t>
        </is>
      </c>
      <c r="AC17" s="2" t="inlineStr">
        <is>
          <t>玩家进攻胜利（attacker），非撤退，返程结算发放</t>
        </is>
      </c>
      <c r="AD17" s="2" t="inlineStr">
        <is>
          <t>data/mission_templates.yaml:L206:drop_table.experience_pineapple</t>
        </is>
      </c>
    </row>
    <row r="18">
      <c r="A18" s="2" t="n">
        <v>2</v>
      </c>
      <c r="B18" s="2" t="inlineStr">
        <is>
          <t>kasukabe_daisakusen</t>
        </is>
      </c>
      <c r="C18" s="2" t="inlineStr">
        <is>
          <t>春日部大作战</t>
        </is>
      </c>
      <c r="D18" s="2" t="inlineStr">
        <is>
          <t>中级</t>
        </is>
      </c>
      <c r="E18" s="2" t="inlineStr">
        <is>
          <t>task1</t>
        </is>
      </c>
      <c r="F18" s="2" t="inlineStr">
        <is>
          <t>否</t>
        </is>
      </c>
      <c r="G18" s="2" t="inlineStr">
        <is>
          <t>否</t>
        </is>
      </c>
      <c r="H18" s="2" t="n">
        <v>3</v>
      </c>
      <c r="I18" s="2" t="n">
        <v>1800</v>
      </c>
      <c r="J18" s="2" t="inlineStr">
        <is>
          <t>周二、周四、周六、周日</t>
        </is>
      </c>
      <c r="K18" s="2" t="inlineStr">
        <is>
          <t>无</t>
        </is>
      </c>
      <c r="L18" s="2" t="inlineStr">
        <is>
          <t>概率掉落</t>
        </is>
      </c>
      <c r="M18" s="2" t="inlineStr">
        <is>
          <t>experience_watermelon</t>
        </is>
      </c>
      <c r="N18" s="2" t="inlineStr">
        <is>
          <t>experience_watermelon</t>
        </is>
      </c>
      <c r="O18" s="2" t="inlineStr">
        <is>
          <t>经验西瓜</t>
        </is>
      </c>
      <c r="P18" s="2" t="inlineStr">
        <is>
          <t>经验道具</t>
        </is>
      </c>
      <c r="Q18" s="2" t="inlineStr">
        <is>
          <t>史诗/紫</t>
        </is>
      </c>
      <c r="R18" s="5" t="n">
        <v>0.05</v>
      </c>
      <c r="S18" s="2" t="n">
        <v>1</v>
      </c>
      <c r="T18" s="2" t="n"/>
      <c r="U18" s="2" t="inlineStr">
        <is>
          <t>否</t>
        </is>
      </c>
      <c r="V18" s="2" t="inlineStr">
        <is>
          <t>{"chance":0.05,"count":1}</t>
        </is>
      </c>
      <c r="W18" s="2" t="n"/>
      <c r="X18" s="5">
        <f>R18</f>
        <v>0.05</v>
      </c>
      <c r="Y18" s="6">
        <f>X18*S18</f>
        <v>0.05</v>
      </c>
      <c r="Z18" s="2" t="inlineStr">
        <is>
          <t>个人任务</t>
        </is>
      </c>
      <c r="AA18" s="2" t="n"/>
      <c r="AB18" s="2" t="inlineStr">
        <is>
          <t>挑战者庄园</t>
        </is>
      </c>
      <c r="AC18" s="2" t="inlineStr">
        <is>
          <t>玩家进攻胜利（attacker），非撤退，返程结算发放</t>
        </is>
      </c>
      <c r="AD18" s="2" t="inlineStr">
        <is>
          <t>data/mission_templates.yaml:L206:drop_table.experience_watermelon</t>
        </is>
      </c>
    </row>
    <row r="19">
      <c r="A19" s="2" t="n">
        <v>2</v>
      </c>
      <c r="B19" s="2" t="inlineStr">
        <is>
          <t>kasukabe_daisakusen</t>
        </is>
      </c>
      <c r="C19" s="2" t="inlineStr">
        <is>
          <t>春日部大作战</t>
        </is>
      </c>
      <c r="D19" s="2" t="inlineStr">
        <is>
          <t>中级</t>
        </is>
      </c>
      <c r="E19" s="2" t="inlineStr">
        <is>
          <t>task1</t>
        </is>
      </c>
      <c r="F19" s="2" t="inlineStr">
        <is>
          <t>否</t>
        </is>
      </c>
      <c r="G19" s="2" t="inlineStr">
        <is>
          <t>否</t>
        </is>
      </c>
      <c r="H19" s="2" t="n">
        <v>3</v>
      </c>
      <c r="I19" s="2" t="n">
        <v>1800</v>
      </c>
      <c r="J19" s="2" t="inlineStr">
        <is>
          <t>周二、周四、周六、周日</t>
        </is>
      </c>
      <c r="K19" s="2" t="inlineStr">
        <is>
          <t>无</t>
        </is>
      </c>
      <c r="L19" s="2" t="inlineStr">
        <is>
          <t>概率掉落</t>
        </is>
      </c>
      <c r="M19" s="2" t="inlineStr">
        <is>
          <t>buxuedan</t>
        </is>
      </c>
      <c r="N19" s="2" t="inlineStr">
        <is>
          <t>buxuedan</t>
        </is>
      </c>
      <c r="O19" s="2" t="inlineStr">
        <is>
          <t>补血丹</t>
        </is>
      </c>
      <c r="P19" s="2" t="inlineStr">
        <is>
          <t>药品</t>
        </is>
      </c>
      <c r="Q19" s="2" t="inlineStr">
        <is>
          <t>普通/白</t>
        </is>
      </c>
      <c r="R19" s="5" t="n">
        <v>0.45</v>
      </c>
      <c r="S19" s="2" t="n">
        <v>6</v>
      </c>
      <c r="T19" s="2" t="n"/>
      <c r="U19" s="2" t="inlineStr">
        <is>
          <t>否</t>
        </is>
      </c>
      <c r="V19" s="2" t="inlineStr">
        <is>
          <t>{"chance":0.45,"count":6}</t>
        </is>
      </c>
      <c r="W19" s="2" t="n"/>
      <c r="X19" s="5">
        <f>R19</f>
        <v>0.45</v>
      </c>
      <c r="Y19" s="6">
        <f>X19*S19</f>
        <v>2.7</v>
      </c>
      <c r="Z19" s="2" t="inlineStr">
        <is>
          <t>个人任务</t>
        </is>
      </c>
      <c r="AA19" s="2" t="n"/>
      <c r="AB19" s="2" t="inlineStr">
        <is>
          <t>挑战者庄园</t>
        </is>
      </c>
      <c r="AC19" s="2" t="inlineStr">
        <is>
          <t>玩家进攻胜利（attacker），非撤退，返程结算发放</t>
        </is>
      </c>
      <c r="AD19" s="2" t="inlineStr">
        <is>
          <t>data/mission_templates.yaml:L206:drop_table.buxuedan</t>
        </is>
      </c>
    </row>
    <row r="20">
      <c r="A20" s="2" t="n">
        <v>2</v>
      </c>
      <c r="B20" s="2" t="inlineStr">
        <is>
          <t>kasukabe_daisakusen</t>
        </is>
      </c>
      <c r="C20" s="2" t="inlineStr">
        <is>
          <t>春日部大作战</t>
        </is>
      </c>
      <c r="D20" s="2" t="inlineStr">
        <is>
          <t>中级</t>
        </is>
      </c>
      <c r="E20" s="2" t="inlineStr">
        <is>
          <t>task1</t>
        </is>
      </c>
      <c r="F20" s="2" t="inlineStr">
        <is>
          <t>否</t>
        </is>
      </c>
      <c r="G20" s="2" t="inlineStr">
        <is>
          <t>否</t>
        </is>
      </c>
      <c r="H20" s="2" t="n">
        <v>3</v>
      </c>
      <c r="I20" s="2" t="n">
        <v>1800</v>
      </c>
      <c r="J20" s="2" t="inlineStr">
        <is>
          <t>周二、周四、周六、周日</t>
        </is>
      </c>
      <c r="K20" s="2" t="inlineStr">
        <is>
          <t>无</t>
        </is>
      </c>
      <c r="L20" s="2" t="inlineStr">
        <is>
          <t>概率掉落</t>
        </is>
      </c>
      <c r="M20" s="2" t="inlineStr">
        <is>
          <t>fangdajing</t>
        </is>
      </c>
      <c r="N20" s="2" t="inlineStr">
        <is>
          <t>fangdajing</t>
        </is>
      </c>
      <c r="O20" s="2" t="inlineStr">
        <is>
          <t>放大镜</t>
        </is>
      </c>
      <c r="P20" s="2" t="inlineStr">
        <is>
          <t>道具</t>
        </is>
      </c>
      <c r="Q20" s="2" t="inlineStr">
        <is>
          <t>优秀/绿</t>
        </is>
      </c>
      <c r="R20" s="5" t="n">
        <v>0.18</v>
      </c>
      <c r="S20" s="2" t="n">
        <v>2</v>
      </c>
      <c r="T20" s="2" t="n"/>
      <c r="U20" s="2" t="inlineStr">
        <is>
          <t>否</t>
        </is>
      </c>
      <c r="V20" s="2" t="inlineStr">
        <is>
          <t>{"chance":0.18,"count":2}</t>
        </is>
      </c>
      <c r="W20" s="2" t="n"/>
      <c r="X20" s="5">
        <f>R20</f>
        <v>0.18</v>
      </c>
      <c r="Y20" s="6">
        <f>X20*S20</f>
        <v>0.36</v>
      </c>
      <c r="Z20" s="2" t="inlineStr">
        <is>
          <t>个人任务</t>
        </is>
      </c>
      <c r="AA20" s="2" t="n"/>
      <c r="AB20" s="2" t="inlineStr">
        <is>
          <t>挑战者庄园</t>
        </is>
      </c>
      <c r="AC20" s="2" t="inlineStr">
        <is>
          <t>玩家进攻胜利（attacker），非撤退，返程结算发放</t>
        </is>
      </c>
      <c r="AD20" s="2" t="inlineStr">
        <is>
          <t>data/mission_templates.yaml:L206:drop_table.fangdajing</t>
        </is>
      </c>
    </row>
    <row r="21">
      <c r="A21" s="2" t="n">
        <v>2</v>
      </c>
      <c r="B21" s="2" t="inlineStr">
        <is>
          <t>kasukabe_daisakusen</t>
        </is>
      </c>
      <c r="C21" s="2" t="inlineStr">
        <is>
          <t>春日部大作战</t>
        </is>
      </c>
      <c r="D21" s="2" t="inlineStr">
        <is>
          <t>中级</t>
        </is>
      </c>
      <c r="E21" s="2" t="inlineStr">
        <is>
          <t>task1</t>
        </is>
      </c>
      <c r="F21" s="2" t="inlineStr">
        <is>
          <t>否</t>
        </is>
      </c>
      <c r="G21" s="2" t="inlineStr">
        <is>
          <t>否</t>
        </is>
      </c>
      <c r="H21" s="2" t="n">
        <v>3</v>
      </c>
      <c r="I21" s="2" t="n">
        <v>1800</v>
      </c>
      <c r="J21" s="2" t="inlineStr">
        <is>
          <t>周二、周四、周六、周日</t>
        </is>
      </c>
      <c r="K21" s="2" t="inlineStr">
        <is>
          <t>无</t>
        </is>
      </c>
      <c r="L21" s="2" t="inlineStr">
        <is>
          <t>概率掉落</t>
        </is>
      </c>
      <c r="M21" s="2" t="inlineStr">
        <is>
          <t>mission_card</t>
        </is>
      </c>
      <c r="N21" s="2" t="inlineStr">
        <is>
          <t>mission_card</t>
        </is>
      </c>
      <c r="O21" s="2" t="inlineStr">
        <is>
          <t>任务卡</t>
        </is>
      </c>
      <c r="P21" s="2" t="inlineStr">
        <is>
          <t>道具</t>
        </is>
      </c>
      <c r="Q21" s="2" t="inlineStr">
        <is>
          <t>稀有/蓝</t>
        </is>
      </c>
      <c r="R21" s="5" t="n">
        <v>0.08</v>
      </c>
      <c r="S21" s="2" t="n">
        <v>1</v>
      </c>
      <c r="T21" s="2" t="n"/>
      <c r="U21" s="2" t="inlineStr">
        <is>
          <t>否</t>
        </is>
      </c>
      <c r="V21" s="2" t="inlineStr">
        <is>
          <t>{"chance":0.08,"count":1}</t>
        </is>
      </c>
      <c r="W21" s="2" t="n"/>
      <c r="X21" s="5">
        <f>R21</f>
        <v>0.08</v>
      </c>
      <c r="Y21" s="6">
        <f>X21*S21</f>
        <v>0.08</v>
      </c>
      <c r="Z21" s="2" t="inlineStr">
        <is>
          <t>个人任务</t>
        </is>
      </c>
      <c r="AA21" s="2" t="n"/>
      <c r="AB21" s="2" t="inlineStr">
        <is>
          <t>挑战者庄园</t>
        </is>
      </c>
      <c r="AC21" s="2" t="inlineStr">
        <is>
          <t>玩家进攻胜利（attacker），非撤退，返程结算发放</t>
        </is>
      </c>
      <c r="AD21" s="2" t="inlineStr">
        <is>
          <t>data/mission_templates.yaml:L206:drop_table.mission_card</t>
        </is>
      </c>
    </row>
    <row r="22">
      <c r="A22" s="2" t="n">
        <v>2</v>
      </c>
      <c r="B22" s="2" t="inlineStr">
        <is>
          <t>kasukabe_daisakusen</t>
        </is>
      </c>
      <c r="C22" s="2" t="inlineStr">
        <is>
          <t>春日部大作战</t>
        </is>
      </c>
      <c r="D22" s="2" t="inlineStr">
        <is>
          <t>中级</t>
        </is>
      </c>
      <c r="E22" s="2" t="inlineStr">
        <is>
          <t>task1</t>
        </is>
      </c>
      <c r="F22" s="2" t="inlineStr">
        <is>
          <t>否</t>
        </is>
      </c>
      <c r="G22" s="2" t="inlineStr">
        <is>
          <t>否</t>
        </is>
      </c>
      <c r="H22" s="2" t="n">
        <v>3</v>
      </c>
      <c r="I22" s="2" t="n">
        <v>1800</v>
      </c>
      <c r="J22" s="2" t="inlineStr">
        <is>
          <t>周二、周四、周六、周日</t>
        </is>
      </c>
      <c r="K22" s="2" t="inlineStr">
        <is>
          <t>无</t>
        </is>
      </c>
      <c r="L22" s="2" t="inlineStr">
        <is>
          <t>概率掉落</t>
        </is>
      </c>
      <c r="M22" s="2" t="inlineStr">
        <is>
          <t>equip_action_mask</t>
        </is>
      </c>
      <c r="N22" s="2" t="inlineStr">
        <is>
          <t>equip_action_mask</t>
        </is>
      </c>
      <c r="O22" s="2" t="inlineStr">
        <is>
          <t>动感超人面具</t>
        </is>
      </c>
      <c r="P22" s="2" t="inlineStr">
        <is>
          <t>头盔</t>
        </is>
      </c>
      <c r="Q22" s="2" t="inlineStr">
        <is>
          <t>稀有/蓝</t>
        </is>
      </c>
      <c r="R22" s="5" t="n">
        <v>0.1</v>
      </c>
      <c r="S22" s="2" t="n">
        <v>1</v>
      </c>
      <c r="T22" s="2" t="n"/>
      <c r="U22" s="2" t="inlineStr">
        <is>
          <t>否</t>
        </is>
      </c>
      <c r="V22" s="2" t="inlineStr">
        <is>
          <t>0.1</t>
        </is>
      </c>
      <c r="W22" s="2" t="n"/>
      <c r="X22" s="5">
        <f>R22</f>
        <v>0.1</v>
      </c>
      <c r="Y22" s="6">
        <f>X22*S22</f>
        <v>0.1</v>
      </c>
      <c r="Z22" s="2" t="inlineStr">
        <is>
          <t>个人任务</t>
        </is>
      </c>
      <c r="AA22" s="2" t="n"/>
      <c r="AB22" s="2" t="inlineStr">
        <is>
          <t>挑战者庄园</t>
        </is>
      </c>
      <c r="AC22" s="2" t="inlineStr">
        <is>
          <t>玩家进攻胜利（attacker），非撤退，返程结算发放</t>
        </is>
      </c>
      <c r="AD22" s="2" t="inlineStr">
        <is>
          <t>data/mission_templates.yaml:L206:drop_table.equip_action_mask</t>
        </is>
      </c>
    </row>
    <row r="23">
      <c r="A23" s="2" t="n">
        <v>2</v>
      </c>
      <c r="B23" s="2" t="inlineStr">
        <is>
          <t>kasukabe_daisakusen</t>
        </is>
      </c>
      <c r="C23" s="2" t="inlineStr">
        <is>
          <t>春日部大作战</t>
        </is>
      </c>
      <c r="D23" s="2" t="inlineStr">
        <is>
          <t>中级</t>
        </is>
      </c>
      <c r="E23" s="2" t="inlineStr">
        <is>
          <t>task1</t>
        </is>
      </c>
      <c r="F23" s="2" t="inlineStr">
        <is>
          <t>否</t>
        </is>
      </c>
      <c r="G23" s="2" t="inlineStr">
        <is>
          <t>否</t>
        </is>
      </c>
      <c r="H23" s="2" t="n">
        <v>3</v>
      </c>
      <c r="I23" s="2" t="n">
        <v>1800</v>
      </c>
      <c r="J23" s="2" t="inlineStr">
        <is>
          <t>周二、周四、周六、周日</t>
        </is>
      </c>
      <c r="K23" s="2" t="inlineStr">
        <is>
          <t>无</t>
        </is>
      </c>
      <c r="L23" s="2" t="inlineStr">
        <is>
          <t>概率掉落</t>
        </is>
      </c>
      <c r="M23" s="2" t="inlineStr">
        <is>
          <t>equip_shiro_leash</t>
        </is>
      </c>
      <c r="N23" s="2" t="inlineStr">
        <is>
          <t>equip_shiro_leash</t>
        </is>
      </c>
      <c r="O23" s="2" t="inlineStr">
        <is>
          <t>小白的散步绳</t>
        </is>
      </c>
      <c r="P23" s="2" t="inlineStr">
        <is>
          <t>饰品</t>
        </is>
      </c>
      <c r="Q23" s="2" t="inlineStr">
        <is>
          <t>稀有/蓝</t>
        </is>
      </c>
      <c r="R23" s="5" t="n">
        <v>0.1</v>
      </c>
      <c r="S23" s="2" t="n">
        <v>1</v>
      </c>
      <c r="T23" s="2" t="n"/>
      <c r="U23" s="2" t="inlineStr">
        <is>
          <t>否</t>
        </is>
      </c>
      <c r="V23" s="2" t="inlineStr">
        <is>
          <t>0.1</t>
        </is>
      </c>
      <c r="W23" s="2" t="n"/>
      <c r="X23" s="5">
        <f>R23</f>
        <v>0.1</v>
      </c>
      <c r="Y23" s="6">
        <f>X23*S23</f>
        <v>0.1</v>
      </c>
      <c r="Z23" s="2" t="inlineStr">
        <is>
          <t>个人任务</t>
        </is>
      </c>
      <c r="AA23" s="2" t="n"/>
      <c r="AB23" s="2" t="inlineStr">
        <is>
          <t>挑战者庄园</t>
        </is>
      </c>
      <c r="AC23" s="2" t="inlineStr">
        <is>
          <t>玩家进攻胜利（attacker），非撤退，返程结算发放</t>
        </is>
      </c>
      <c r="AD23" s="2" t="inlineStr">
        <is>
          <t>data/mission_templates.yaml:L206:drop_table.equip_shiro_leash</t>
        </is>
      </c>
    </row>
    <row r="24">
      <c r="A24" s="2" t="n">
        <v>2</v>
      </c>
      <c r="B24" s="2" t="inlineStr">
        <is>
          <t>kasukabe_daisakusen</t>
        </is>
      </c>
      <c r="C24" s="2" t="inlineStr">
        <is>
          <t>春日部大作战</t>
        </is>
      </c>
      <c r="D24" s="2" t="inlineStr">
        <is>
          <t>中级</t>
        </is>
      </c>
      <c r="E24" s="2" t="inlineStr">
        <is>
          <t>task1</t>
        </is>
      </c>
      <c r="F24" s="2" t="inlineStr">
        <is>
          <t>否</t>
        </is>
      </c>
      <c r="G24" s="2" t="inlineStr">
        <is>
          <t>否</t>
        </is>
      </c>
      <c r="H24" s="2" t="n">
        <v>3</v>
      </c>
      <c r="I24" s="2" t="n">
        <v>1800</v>
      </c>
      <c r="J24" s="2" t="inlineStr">
        <is>
          <t>周二、周四、周六、周日</t>
        </is>
      </c>
      <c r="K24" s="2" t="inlineStr">
        <is>
          <t>无</t>
        </is>
      </c>
      <c r="L24" s="2" t="inlineStr">
        <is>
          <t>概率掉落</t>
        </is>
      </c>
      <c r="M24" s="2" t="inlineStr">
        <is>
          <t>equip_kasukabe_satchel</t>
        </is>
      </c>
      <c r="N24" s="2" t="inlineStr">
        <is>
          <t>equip_kasukabe_satchel</t>
        </is>
      </c>
      <c r="O24" s="2" t="inlineStr">
        <is>
          <t>春日部小书包</t>
        </is>
      </c>
      <c r="P24" s="2" t="inlineStr">
        <is>
          <t>护甲</t>
        </is>
      </c>
      <c r="Q24" s="2" t="inlineStr">
        <is>
          <t>稀有/蓝</t>
        </is>
      </c>
      <c r="R24" s="5" t="n">
        <v>0.08</v>
      </c>
      <c r="S24" s="2" t="n">
        <v>1</v>
      </c>
      <c r="T24" s="2" t="n"/>
      <c r="U24" s="2" t="inlineStr">
        <is>
          <t>否</t>
        </is>
      </c>
      <c r="V24" s="2" t="inlineStr">
        <is>
          <t>0.08</t>
        </is>
      </c>
      <c r="W24" s="2" t="n"/>
      <c r="X24" s="5">
        <f>R24</f>
        <v>0.08</v>
      </c>
      <c r="Y24" s="6">
        <f>X24*S24</f>
        <v>0.08</v>
      </c>
      <c r="Z24" s="2" t="inlineStr">
        <is>
          <t>个人任务</t>
        </is>
      </c>
      <c r="AA24" s="2" t="n"/>
      <c r="AB24" s="2" t="inlineStr">
        <is>
          <t>挑战者庄园</t>
        </is>
      </c>
      <c r="AC24" s="2" t="inlineStr">
        <is>
          <t>玩家进攻胜利（attacker），非撤退，返程结算发放</t>
        </is>
      </c>
      <c r="AD24" s="2" t="inlineStr">
        <is>
          <t>data/mission_templates.yaml:L206:drop_table.equip_kasukabe_satchel</t>
        </is>
      </c>
    </row>
    <row r="25">
      <c r="A25" s="2" t="n">
        <v>2</v>
      </c>
      <c r="B25" s="2" t="inlineStr">
        <is>
          <t>kasukabe_daisakusen</t>
        </is>
      </c>
      <c r="C25" s="2" t="inlineStr">
        <is>
          <t>春日部大作战</t>
        </is>
      </c>
      <c r="D25" s="2" t="inlineStr">
        <is>
          <t>中级</t>
        </is>
      </c>
      <c r="E25" s="2" t="inlineStr">
        <is>
          <t>task1</t>
        </is>
      </c>
      <c r="F25" s="2" t="inlineStr">
        <is>
          <t>否</t>
        </is>
      </c>
      <c r="G25" s="2" t="inlineStr">
        <is>
          <t>否</t>
        </is>
      </c>
      <c r="H25" s="2" t="n">
        <v>3</v>
      </c>
      <c r="I25" s="2" t="n">
        <v>1800</v>
      </c>
      <c r="J25" s="2" t="inlineStr">
        <is>
          <t>周二、周四、周六、周日</t>
        </is>
      </c>
      <c r="K25" s="2" t="inlineStr">
        <is>
          <t>无</t>
        </is>
      </c>
      <c r="L25" s="2" t="inlineStr">
        <is>
          <t>概率掉落</t>
        </is>
      </c>
      <c r="M25" s="2" t="inlineStr">
        <is>
          <t>equip_action_beam_glove</t>
        </is>
      </c>
      <c r="N25" s="2" t="inlineStr">
        <is>
          <t>equip_action_beam_glove</t>
        </is>
      </c>
      <c r="O25" s="2" t="inlineStr">
        <is>
          <t>动感光波手套</t>
        </is>
      </c>
      <c r="P25" s="2" t="inlineStr">
        <is>
          <t>武器</t>
        </is>
      </c>
      <c r="Q25" s="2" t="inlineStr">
        <is>
          <t>稀有/蓝</t>
        </is>
      </c>
      <c r="R25" s="5" t="n">
        <v>0.06</v>
      </c>
      <c r="S25" s="2" t="n">
        <v>1</v>
      </c>
      <c r="T25" s="2" t="n"/>
      <c r="U25" s="2" t="inlineStr">
        <is>
          <t>否</t>
        </is>
      </c>
      <c r="V25" s="2" t="inlineStr">
        <is>
          <t>0.06</t>
        </is>
      </c>
      <c r="W25" s="2" t="n"/>
      <c r="X25" s="5">
        <f>R25</f>
        <v>0.06</v>
      </c>
      <c r="Y25" s="6">
        <f>X25*S25</f>
        <v>0.06</v>
      </c>
      <c r="Z25" s="2" t="inlineStr">
        <is>
          <t>个人任务</t>
        </is>
      </c>
      <c r="AA25" s="2" t="n"/>
      <c r="AB25" s="2" t="inlineStr">
        <is>
          <t>挑战者庄园</t>
        </is>
      </c>
      <c r="AC25" s="2" t="inlineStr">
        <is>
          <t>玩家进攻胜利（attacker），非撤退，返程结算发放</t>
        </is>
      </c>
      <c r="AD25" s="2" t="inlineStr">
        <is>
          <t>data/mission_templates.yaml:L206:drop_table.equip_action_beam_glove</t>
        </is>
      </c>
    </row>
    <row r="26">
      <c r="A26" s="2" t="n">
        <v>2</v>
      </c>
      <c r="B26" s="2" t="inlineStr">
        <is>
          <t>kasukabe_daisakusen</t>
        </is>
      </c>
      <c r="C26" s="2" t="inlineStr">
        <is>
          <t>春日部大作战</t>
        </is>
      </c>
      <c r="D26" s="2" t="inlineStr">
        <is>
          <t>中级</t>
        </is>
      </c>
      <c r="E26" s="2" t="inlineStr">
        <is>
          <t>task1</t>
        </is>
      </c>
      <c r="F26" s="2" t="inlineStr">
        <is>
          <t>否</t>
        </is>
      </c>
      <c r="G26" s="2" t="inlineStr">
        <is>
          <t>否</t>
        </is>
      </c>
      <c r="H26" s="2" t="n">
        <v>3</v>
      </c>
      <c r="I26" s="2" t="n">
        <v>1800</v>
      </c>
      <c r="J26" s="2" t="inlineStr">
        <is>
          <t>周二、周四、周六、周日</t>
        </is>
      </c>
      <c r="K26" s="2" t="inlineStr">
        <is>
          <t>无</t>
        </is>
      </c>
      <c r="L26" s="2" t="inlineStr">
        <is>
          <t>概率掉落</t>
        </is>
      </c>
      <c r="M26" s="2" t="inlineStr">
        <is>
          <t>equip_nohara_pan</t>
        </is>
      </c>
      <c r="N26" s="2" t="inlineStr">
        <is>
          <t>equip_nohara_pan</t>
        </is>
      </c>
      <c r="O26" s="2" t="inlineStr">
        <is>
          <t>野原家的平底锅</t>
        </is>
      </c>
      <c r="P26" s="2" t="inlineStr">
        <is>
          <t>武器</t>
        </is>
      </c>
      <c r="Q26" s="2" t="inlineStr">
        <is>
          <t>稀有/蓝</t>
        </is>
      </c>
      <c r="R26" s="5" t="n">
        <v>0.05</v>
      </c>
      <c r="S26" s="2" t="n">
        <v>1</v>
      </c>
      <c r="T26" s="2" t="n"/>
      <c r="U26" s="2" t="inlineStr">
        <is>
          <t>否</t>
        </is>
      </c>
      <c r="V26" s="2" t="inlineStr">
        <is>
          <t>0.05</t>
        </is>
      </c>
      <c r="W26" s="2" t="n"/>
      <c r="X26" s="5">
        <f>R26</f>
        <v>0.05</v>
      </c>
      <c r="Y26" s="6">
        <f>X26*S26</f>
        <v>0.05</v>
      </c>
      <c r="Z26" s="2" t="inlineStr">
        <is>
          <t>个人任务</t>
        </is>
      </c>
      <c r="AA26" s="2" t="n"/>
      <c r="AB26" s="2" t="inlineStr">
        <is>
          <t>挑战者庄园</t>
        </is>
      </c>
      <c r="AC26" s="2" t="inlineStr">
        <is>
          <t>玩家进攻胜利（attacker），非撤退，返程结算发放</t>
        </is>
      </c>
      <c r="AD26" s="2" t="inlineStr">
        <is>
          <t>data/mission_templates.yaml:L206:drop_table.equip_nohara_pan</t>
        </is>
      </c>
    </row>
    <row r="27">
      <c r="A27" s="2" t="n">
        <v>3</v>
      </c>
      <c r="B27" s="2" t="inlineStr">
        <is>
          <t>huashan_lunjian</t>
        </is>
      </c>
      <c r="C27" s="2" t="inlineStr">
        <is>
          <t>华山论贱</t>
        </is>
      </c>
      <c r="D27" s="2" t="inlineStr">
        <is>
          <t>初级</t>
        </is>
      </c>
      <c r="E27" s="2" t="inlineStr">
        <is>
          <t>task1</t>
        </is>
      </c>
      <c r="F27" s="2" t="inlineStr">
        <is>
          <t>否</t>
        </is>
      </c>
      <c r="G27" s="2" t="inlineStr">
        <is>
          <t>是</t>
        </is>
      </c>
      <c r="H27" s="2" t="n">
        <v>3</v>
      </c>
      <c r="I27" s="2" t="n">
        <v>1800</v>
      </c>
      <c r="J27" s="2" t="inlineStr">
        <is>
          <t>每日开放</t>
        </is>
      </c>
      <c r="K27" s="2" t="inlineStr">
        <is>
          <t>无</t>
        </is>
      </c>
      <c r="L27" s="2" t="inlineStr">
        <is>
          <t>固定掉落</t>
        </is>
      </c>
      <c r="M27" s="2" t="inlineStr">
        <is>
          <t>silver</t>
        </is>
      </c>
      <c r="N27" s="2" t="inlineStr">
        <is>
          <t>silver</t>
        </is>
      </c>
      <c r="O27" s="2" t="inlineStr">
        <is>
          <t>银两</t>
        </is>
      </c>
      <c r="P27" s="2" t="inlineStr">
        <is>
          <t>资源</t>
        </is>
      </c>
      <c r="Q27" s="2" t="inlineStr">
        <is>
          <t>资源</t>
        </is>
      </c>
      <c r="R27" s="5" t="n">
        <v>1</v>
      </c>
      <c r="S27" s="2" t="n">
        <v>8000</v>
      </c>
      <c r="T27" s="2" t="n"/>
      <c r="U27" s="2" t="inlineStr">
        <is>
          <t>否</t>
        </is>
      </c>
      <c r="V27" s="2" t="inlineStr">
        <is>
          <t>8000</t>
        </is>
      </c>
      <c r="W27" s="2" t="n"/>
      <c r="X27" s="5">
        <f>R27</f>
        <v>1</v>
      </c>
      <c r="Y27" s="6">
        <f>X27*S27</f>
        <v>8000</v>
      </c>
      <c r="Z27" s="2" t="inlineStr">
        <is>
          <t>个人任务</t>
        </is>
      </c>
      <c r="AA27" s="2" t="n"/>
      <c r="AB27" s="2" t="inlineStr">
        <is>
          <t>挑战者庄园</t>
        </is>
      </c>
      <c r="AC27" s="2" t="inlineStr">
        <is>
          <t>玩家进攻胜利（attacker），非撤退，返程结算发放</t>
        </is>
      </c>
      <c r="AD27" s="2" t="inlineStr">
        <is>
          <t>data/mission_templates.yaml:L287:drop_table.silver</t>
        </is>
      </c>
    </row>
    <row r="28">
      <c r="A28" s="2" t="n">
        <v>3</v>
      </c>
      <c r="B28" s="2" t="inlineStr">
        <is>
          <t>huashan_lunjian</t>
        </is>
      </c>
      <c r="C28" s="2" t="inlineStr">
        <is>
          <t>华山论贱</t>
        </is>
      </c>
      <c r="D28" s="2" t="inlineStr">
        <is>
          <t>初级</t>
        </is>
      </c>
      <c r="E28" s="2" t="inlineStr">
        <is>
          <t>task1</t>
        </is>
      </c>
      <c r="F28" s="2" t="inlineStr">
        <is>
          <t>否</t>
        </is>
      </c>
      <c r="G28" s="2" t="inlineStr">
        <is>
          <t>是</t>
        </is>
      </c>
      <c r="H28" s="2" t="n">
        <v>3</v>
      </c>
      <c r="I28" s="2" t="n">
        <v>1800</v>
      </c>
      <c r="J28" s="2" t="inlineStr">
        <is>
          <t>每日开放</t>
        </is>
      </c>
      <c r="K28" s="2" t="inlineStr">
        <is>
          <t>无</t>
        </is>
      </c>
      <c r="L28" s="2" t="inlineStr">
        <is>
          <t>概率掉落</t>
        </is>
      </c>
      <c r="M28" s="2" t="inlineStr">
        <is>
          <t>book_thunder_control</t>
        </is>
      </c>
      <c r="N28" s="2" t="inlineStr">
        <is>
          <t>book_thunder_control</t>
        </is>
      </c>
      <c r="O28" s="2" t="inlineStr">
        <is>
          <t>《驭雷术》秘术</t>
        </is>
      </c>
      <c r="P28" s="2" t="inlineStr">
        <is>
          <t>技能书</t>
        </is>
      </c>
      <c r="Q28" s="2" t="inlineStr">
        <is>
          <t>优秀/绿</t>
        </is>
      </c>
      <c r="R28" s="5" t="n">
        <v>0.05</v>
      </c>
      <c r="S28" s="2" t="n">
        <v>1</v>
      </c>
      <c r="T28" s="2" t="n"/>
      <c r="U28" s="2" t="inlineStr">
        <is>
          <t>否</t>
        </is>
      </c>
      <c r="V28" s="2" t="inlineStr">
        <is>
          <t>0.05</t>
        </is>
      </c>
      <c r="W28" s="2" t="n"/>
      <c r="X28" s="5">
        <f>R28</f>
        <v>0.05</v>
      </c>
      <c r="Y28" s="6">
        <f>X28*S28</f>
        <v>0.05</v>
      </c>
      <c r="Z28" s="2" t="inlineStr">
        <is>
          <t>个人任务</t>
        </is>
      </c>
      <c r="AA28" s="2" t="n"/>
      <c r="AB28" s="2" t="inlineStr">
        <is>
          <t>挑战者庄园</t>
        </is>
      </c>
      <c r="AC28" s="2" t="inlineStr">
        <is>
          <t>玩家进攻胜利（attacker），非撤退，返程结算发放</t>
        </is>
      </c>
      <c r="AD28" s="2" t="inlineStr">
        <is>
          <t>data/mission_templates.yaml:L287:drop_table.book_thunder_control</t>
        </is>
      </c>
    </row>
    <row r="29">
      <c r="A29" s="2" t="n">
        <v>3</v>
      </c>
      <c r="B29" s="2" t="inlineStr">
        <is>
          <t>huashan_lunjian</t>
        </is>
      </c>
      <c r="C29" s="2" t="inlineStr">
        <is>
          <t>华山论贱</t>
        </is>
      </c>
      <c r="D29" s="2" t="inlineStr">
        <is>
          <t>初级</t>
        </is>
      </c>
      <c r="E29" s="2" t="inlineStr">
        <is>
          <t>task1</t>
        </is>
      </c>
      <c r="F29" s="2" t="inlineStr">
        <is>
          <t>否</t>
        </is>
      </c>
      <c r="G29" s="2" t="inlineStr">
        <is>
          <t>是</t>
        </is>
      </c>
      <c r="H29" s="2" t="n">
        <v>3</v>
      </c>
      <c r="I29" s="2" t="n">
        <v>1800</v>
      </c>
      <c r="J29" s="2" t="inlineStr">
        <is>
          <t>每日开放</t>
        </is>
      </c>
      <c r="K29" s="2" t="inlineStr">
        <is>
          <t>无</t>
        </is>
      </c>
      <c r="L29" s="2" t="inlineStr">
        <is>
          <t>随机池掉落</t>
        </is>
      </c>
      <c r="M29" s="2" t="inlineStr">
        <is>
          <t>huashan_equipment_pool</t>
        </is>
      </c>
      <c r="N29" s="2" t="inlineStr">
        <is>
          <t>equip_shushengzhesan</t>
        </is>
      </c>
      <c r="O29" s="2" t="inlineStr">
        <is>
          <t>书生折扇</t>
        </is>
      </c>
      <c r="P29" s="2" t="inlineStr">
        <is>
          <t>武器</t>
        </is>
      </c>
      <c r="Q29" s="2" t="inlineStr">
        <is>
          <t>优秀/绿</t>
        </is>
      </c>
      <c r="R29" s="5" t="n">
        <v>0.6</v>
      </c>
      <c r="S29" s="2" t="n">
        <v>1</v>
      </c>
      <c r="T29" s="2" t="n">
        <v>1</v>
      </c>
      <c r="U29" s="2" t="inlineStr">
        <is>
          <t>是</t>
        </is>
      </c>
      <c r="V29" s="2" t="inlineStr">
        <is>
          <t>{"chance":0.6,"count":1,"choices":["equip_shushengzhesan","equip_yanlingmao"]}</t>
        </is>
      </c>
      <c r="W29" s="3">
        <f>SUM(T29:T30)</f>
        <v>2</v>
      </c>
      <c r="X29" s="5">
        <f>R29*T29/W29</f>
        <v>0.3</v>
      </c>
      <c r="Y29" s="6">
        <f>X29*S29</f>
        <v>0.3</v>
      </c>
      <c r="Z29" s="2" t="inlineStr">
        <is>
          <t>个人任务</t>
        </is>
      </c>
      <c r="AA29" s="2" t="n"/>
      <c r="AB29" s="2" t="inlineStr">
        <is>
          <t>挑战者庄园</t>
        </is>
      </c>
      <c r="AC29" s="2" t="inlineStr">
        <is>
          <t>玩家进攻胜利（attacker），非撤退，返程结算发放</t>
        </is>
      </c>
      <c r="AD29" s="2" t="inlineStr">
        <is>
          <t>data/mission_templates.yaml:L287:drop_table.huashan_equipment_pool</t>
        </is>
      </c>
    </row>
    <row r="30">
      <c r="A30" s="2" t="n">
        <v>3</v>
      </c>
      <c r="B30" s="2" t="inlineStr">
        <is>
          <t>huashan_lunjian</t>
        </is>
      </c>
      <c r="C30" s="2" t="inlineStr">
        <is>
          <t>华山论贱</t>
        </is>
      </c>
      <c r="D30" s="2" t="inlineStr">
        <is>
          <t>初级</t>
        </is>
      </c>
      <c r="E30" s="2" t="inlineStr">
        <is>
          <t>task1</t>
        </is>
      </c>
      <c r="F30" s="2" t="inlineStr">
        <is>
          <t>否</t>
        </is>
      </c>
      <c r="G30" s="2" t="inlineStr">
        <is>
          <t>是</t>
        </is>
      </c>
      <c r="H30" s="2" t="n">
        <v>3</v>
      </c>
      <c r="I30" s="2" t="n">
        <v>1800</v>
      </c>
      <c r="J30" s="2" t="inlineStr">
        <is>
          <t>每日开放</t>
        </is>
      </c>
      <c r="K30" s="2" t="inlineStr">
        <is>
          <t>无</t>
        </is>
      </c>
      <c r="L30" s="2" t="inlineStr">
        <is>
          <t>随机池掉落</t>
        </is>
      </c>
      <c r="M30" s="2" t="inlineStr">
        <is>
          <t>huashan_equipment_pool</t>
        </is>
      </c>
      <c r="N30" s="2" t="inlineStr">
        <is>
          <t>equip_yanlingmao</t>
        </is>
      </c>
      <c r="O30" s="2" t="inlineStr">
        <is>
          <t>雁翎帽</t>
        </is>
      </c>
      <c r="P30" s="2" t="inlineStr">
        <is>
          <t>头盔</t>
        </is>
      </c>
      <c r="Q30" s="2" t="inlineStr">
        <is>
          <t>优秀/绿</t>
        </is>
      </c>
      <c r="R30" s="5" t="n">
        <v>0.6</v>
      </c>
      <c r="S30" s="2" t="n">
        <v>1</v>
      </c>
      <c r="T30" s="2" t="n">
        <v>1</v>
      </c>
      <c r="U30" s="2" t="inlineStr">
        <is>
          <t>是</t>
        </is>
      </c>
      <c r="V30" s="2" t="inlineStr">
        <is>
          <t>{"chance":0.6,"count":1,"choices":["equip_shushengzhesan","equip_yanlingmao"]}</t>
        </is>
      </c>
      <c r="W30" s="3">
        <f>SUM(T29:T30)</f>
        <v>2</v>
      </c>
      <c r="X30" s="5">
        <f>R30*T30/W30</f>
        <v>0.3</v>
      </c>
      <c r="Y30" s="6">
        <f>X30*S30</f>
        <v>0.3</v>
      </c>
      <c r="Z30" s="2" t="inlineStr">
        <is>
          <t>个人任务</t>
        </is>
      </c>
      <c r="AA30" s="2" t="n"/>
      <c r="AB30" s="2" t="inlineStr">
        <is>
          <t>挑战者庄园</t>
        </is>
      </c>
      <c r="AC30" s="2" t="inlineStr">
        <is>
          <t>玩家进攻胜利（attacker），非撤退，返程结算发放</t>
        </is>
      </c>
      <c r="AD30" s="2" t="inlineStr">
        <is>
          <t>data/mission_templates.yaml:L287:drop_table.huashan_equipment_pool</t>
        </is>
      </c>
    </row>
    <row r="31">
      <c r="A31" s="2" t="n">
        <v>4</v>
      </c>
      <c r="B31" s="2" t="inlineStr">
        <is>
          <t>wagangzhai_nixi</t>
        </is>
      </c>
      <c r="C31" s="2" t="inlineStr">
        <is>
          <t>瓦岗寨的逆袭</t>
        </is>
      </c>
      <c r="D31" s="2" t="inlineStr">
        <is>
          <t>中级</t>
        </is>
      </c>
      <c r="E31" s="2" t="inlineStr">
        <is>
          <t>task1</t>
        </is>
      </c>
      <c r="F31" s="2" t="inlineStr">
        <is>
          <t>是</t>
        </is>
      </c>
      <c r="G31" s="2" t="inlineStr">
        <is>
          <t>否</t>
        </is>
      </c>
      <c r="H31" s="2" t="n">
        <v>3</v>
      </c>
      <c r="I31" s="2" t="n">
        <v>1800</v>
      </c>
      <c r="J31" s="2" t="inlineStr">
        <is>
          <t>每日开放</t>
        </is>
      </c>
      <c r="K31" s="2" t="inlineStr">
        <is>
          <t>无</t>
        </is>
      </c>
      <c r="L31" s="2" t="inlineStr">
        <is>
          <t>固定掉落</t>
        </is>
      </c>
      <c r="M31" s="2" t="inlineStr">
        <is>
          <t>silver</t>
        </is>
      </c>
      <c r="N31" s="2" t="inlineStr">
        <is>
          <t>silver</t>
        </is>
      </c>
      <c r="O31" s="2" t="inlineStr">
        <is>
          <t>银两</t>
        </is>
      </c>
      <c r="P31" s="2" t="inlineStr">
        <is>
          <t>资源</t>
        </is>
      </c>
      <c r="Q31" s="2" t="inlineStr">
        <is>
          <t>资源</t>
        </is>
      </c>
      <c r="R31" s="5" t="n">
        <v>1</v>
      </c>
      <c r="S31" s="2" t="n">
        <v>40000</v>
      </c>
      <c r="T31" s="2" t="n"/>
      <c r="U31" s="2" t="inlineStr">
        <is>
          <t>否</t>
        </is>
      </c>
      <c r="V31" s="2" t="inlineStr">
        <is>
          <t>40000</t>
        </is>
      </c>
      <c r="W31" s="2" t="n"/>
      <c r="X31" s="5">
        <f>R31</f>
        <v>1</v>
      </c>
      <c r="Y31" s="6">
        <f>X31*S31</f>
        <v>40000</v>
      </c>
      <c r="Z31" s="2" t="inlineStr">
        <is>
          <t>个人任务</t>
        </is>
      </c>
      <c r="AA31" s="2" t="n"/>
      <c r="AB31" s="2" t="inlineStr">
        <is>
          <t>挑战者庄园</t>
        </is>
      </c>
      <c r="AC31" s="2" t="inlineStr">
        <is>
          <t>玩家防守胜利（defender），非撤退，返程结算发放</t>
        </is>
      </c>
      <c r="AD31" s="2" t="inlineStr">
        <is>
          <t>data/mission_templates.yaml:L326:drop_table.silver</t>
        </is>
      </c>
    </row>
    <row r="32">
      <c r="A32" s="2" t="n">
        <v>4</v>
      </c>
      <c r="B32" s="2" t="inlineStr">
        <is>
          <t>wagangzhai_nixi</t>
        </is>
      </c>
      <c r="C32" s="2" t="inlineStr">
        <is>
          <t>瓦岗寨的逆袭</t>
        </is>
      </c>
      <c r="D32" s="2" t="inlineStr">
        <is>
          <t>中级</t>
        </is>
      </c>
      <c r="E32" s="2" t="inlineStr">
        <is>
          <t>task1</t>
        </is>
      </c>
      <c r="F32" s="2" t="inlineStr">
        <is>
          <t>是</t>
        </is>
      </c>
      <c r="G32" s="2" t="inlineStr">
        <is>
          <t>否</t>
        </is>
      </c>
      <c r="H32" s="2" t="n">
        <v>3</v>
      </c>
      <c r="I32" s="2" t="n">
        <v>1800</v>
      </c>
      <c r="J32" s="2" t="inlineStr">
        <is>
          <t>每日开放</t>
        </is>
      </c>
      <c r="K32" s="2" t="inlineStr">
        <is>
          <t>无</t>
        </is>
      </c>
      <c r="L32" s="2" t="inlineStr">
        <is>
          <t>概率掉落</t>
        </is>
      </c>
      <c r="M32" s="2" t="inlineStr">
        <is>
          <t>book_ice_curse</t>
        </is>
      </c>
      <c r="N32" s="2" t="inlineStr">
        <is>
          <t>book_ice_curse</t>
        </is>
      </c>
      <c r="O32" s="2" t="inlineStr">
        <is>
          <t>《寒冰咒》秘术</t>
        </is>
      </c>
      <c r="P32" s="2" t="inlineStr">
        <is>
          <t>技能书</t>
        </is>
      </c>
      <c r="Q32" s="2" t="inlineStr">
        <is>
          <t>优秀/绿</t>
        </is>
      </c>
      <c r="R32" s="5" t="n">
        <v>0.2</v>
      </c>
      <c r="S32" s="2" t="n">
        <v>1</v>
      </c>
      <c r="T32" s="2" t="n"/>
      <c r="U32" s="2" t="inlineStr">
        <is>
          <t>否</t>
        </is>
      </c>
      <c r="V32" s="2" t="inlineStr">
        <is>
          <t>0.2</t>
        </is>
      </c>
      <c r="W32" s="2" t="n"/>
      <c r="X32" s="5">
        <f>R32</f>
        <v>0.2</v>
      </c>
      <c r="Y32" s="6">
        <f>X32*S32</f>
        <v>0.2</v>
      </c>
      <c r="Z32" s="2" t="inlineStr">
        <is>
          <t>个人任务</t>
        </is>
      </c>
      <c r="AA32" s="2" t="n"/>
      <c r="AB32" s="2" t="inlineStr">
        <is>
          <t>挑战者庄园</t>
        </is>
      </c>
      <c r="AC32" s="2" t="inlineStr">
        <is>
          <t>玩家防守胜利（defender），非撤退，返程结算发放</t>
        </is>
      </c>
      <c r="AD32" s="2" t="inlineStr">
        <is>
          <t>data/mission_templates.yaml:L326:drop_table.book_ice_curse</t>
        </is>
      </c>
    </row>
    <row r="33">
      <c r="A33" s="2" t="n">
        <v>4</v>
      </c>
      <c r="B33" s="2" t="inlineStr">
        <is>
          <t>wagangzhai_nixi</t>
        </is>
      </c>
      <c r="C33" s="2" t="inlineStr">
        <is>
          <t>瓦岗寨的逆袭</t>
        </is>
      </c>
      <c r="D33" s="2" t="inlineStr">
        <is>
          <t>中级</t>
        </is>
      </c>
      <c r="E33" s="2" t="inlineStr">
        <is>
          <t>task1</t>
        </is>
      </c>
      <c r="F33" s="2" t="inlineStr">
        <is>
          <t>是</t>
        </is>
      </c>
      <c r="G33" s="2" t="inlineStr">
        <is>
          <t>否</t>
        </is>
      </c>
      <c r="H33" s="2" t="n">
        <v>3</v>
      </c>
      <c r="I33" s="2" t="n">
        <v>1800</v>
      </c>
      <c r="J33" s="2" t="inlineStr">
        <is>
          <t>每日开放</t>
        </is>
      </c>
      <c r="K33" s="2" t="inlineStr">
        <is>
          <t>无</t>
        </is>
      </c>
      <c r="L33" s="2" t="inlineStr">
        <is>
          <t>概率掉落</t>
        </is>
      </c>
      <c r="M33" s="2" t="inlineStr">
        <is>
          <t>book_fatal_chain_sword</t>
        </is>
      </c>
      <c r="N33" s="2" t="inlineStr">
        <is>
          <t>book_fatal_chain_sword</t>
        </is>
      </c>
      <c r="O33" s="2" t="inlineStr">
        <is>
          <t>《夺命连环剑》秘术</t>
        </is>
      </c>
      <c r="P33" s="2" t="inlineStr">
        <is>
          <t>技能书</t>
        </is>
      </c>
      <c r="Q33" s="2" t="inlineStr">
        <is>
          <t>稀有/蓝</t>
        </is>
      </c>
      <c r="R33" s="5" t="n">
        <v>0.04</v>
      </c>
      <c r="S33" s="2" t="n">
        <v>1</v>
      </c>
      <c r="T33" s="2" t="n"/>
      <c r="U33" s="2" t="inlineStr">
        <is>
          <t>否</t>
        </is>
      </c>
      <c r="V33" s="2" t="inlineStr">
        <is>
          <t>0.04</t>
        </is>
      </c>
      <c r="W33" s="2" t="n"/>
      <c r="X33" s="5">
        <f>R33</f>
        <v>0.04</v>
      </c>
      <c r="Y33" s="6">
        <f>X33*S33</f>
        <v>0.04</v>
      </c>
      <c r="Z33" s="2" t="inlineStr">
        <is>
          <t>个人任务</t>
        </is>
      </c>
      <c r="AA33" s="2" t="n"/>
      <c r="AB33" s="2" t="inlineStr">
        <is>
          <t>挑战者庄园</t>
        </is>
      </c>
      <c r="AC33" s="2" t="inlineStr">
        <is>
          <t>玩家防守胜利（defender），非撤退，返程结算发放</t>
        </is>
      </c>
      <c r="AD33" s="2" t="inlineStr">
        <is>
          <t>data/mission_templates.yaml:L326:drop_table.book_fatal_chain_sword</t>
        </is>
      </c>
    </row>
    <row r="34">
      <c r="A34" s="2" t="n">
        <v>4</v>
      </c>
      <c r="B34" s="2" t="inlineStr">
        <is>
          <t>wagangzhai_nixi</t>
        </is>
      </c>
      <c r="C34" s="2" t="inlineStr">
        <is>
          <t>瓦岗寨的逆袭</t>
        </is>
      </c>
      <c r="D34" s="2" t="inlineStr">
        <is>
          <t>中级</t>
        </is>
      </c>
      <c r="E34" s="2" t="inlineStr">
        <is>
          <t>task1</t>
        </is>
      </c>
      <c r="F34" s="2" t="inlineStr">
        <is>
          <t>是</t>
        </is>
      </c>
      <c r="G34" s="2" t="inlineStr">
        <is>
          <t>否</t>
        </is>
      </c>
      <c r="H34" s="2" t="n">
        <v>3</v>
      </c>
      <c r="I34" s="2" t="n">
        <v>1800</v>
      </c>
      <c r="J34" s="2" t="inlineStr">
        <is>
          <t>每日开放</t>
        </is>
      </c>
      <c r="K34" s="2" t="inlineStr">
        <is>
          <t>无</t>
        </is>
      </c>
      <c r="L34" s="2" t="inlineStr">
        <is>
          <t>概率掉落</t>
        </is>
      </c>
      <c r="M34" s="2" t="inlineStr">
        <is>
          <t>experience_pineapple</t>
        </is>
      </c>
      <c r="N34" s="2" t="inlineStr">
        <is>
          <t>experience_pineapple</t>
        </is>
      </c>
      <c r="O34" s="2" t="inlineStr">
        <is>
          <t>经验菠萝</t>
        </is>
      </c>
      <c r="P34" s="2" t="inlineStr">
        <is>
          <t>经验道具</t>
        </is>
      </c>
      <c r="Q34" s="2" t="inlineStr">
        <is>
          <t>稀有/蓝</t>
        </is>
      </c>
      <c r="R34" s="5" t="n">
        <v>0.3</v>
      </c>
      <c r="S34" s="2" t="n">
        <v>5</v>
      </c>
      <c r="T34" s="2" t="n"/>
      <c r="U34" s="2" t="inlineStr">
        <is>
          <t>否</t>
        </is>
      </c>
      <c r="V34" s="2" t="inlineStr">
        <is>
          <t>{"chance":0.3,"count":5}</t>
        </is>
      </c>
      <c r="W34" s="2" t="n"/>
      <c r="X34" s="5">
        <f>R34</f>
        <v>0.3</v>
      </c>
      <c r="Y34" s="6">
        <f>X34*S34</f>
        <v>1.5</v>
      </c>
      <c r="Z34" s="2" t="inlineStr">
        <is>
          <t>个人任务</t>
        </is>
      </c>
      <c r="AA34" s="2" t="n"/>
      <c r="AB34" s="2" t="inlineStr">
        <is>
          <t>挑战者庄园</t>
        </is>
      </c>
      <c r="AC34" s="2" t="inlineStr">
        <is>
          <t>玩家防守胜利（defender），非撤退，返程结算发放</t>
        </is>
      </c>
      <c r="AD34" s="2" t="inlineStr">
        <is>
          <t>data/mission_templates.yaml:L326:drop_table.experience_pineapple</t>
        </is>
      </c>
    </row>
    <row r="35">
      <c r="A35" s="2" t="n">
        <v>4</v>
      </c>
      <c r="B35" s="2" t="inlineStr">
        <is>
          <t>wagangzhai_nixi</t>
        </is>
      </c>
      <c r="C35" s="2" t="inlineStr">
        <is>
          <t>瓦岗寨的逆袭</t>
        </is>
      </c>
      <c r="D35" s="2" t="inlineStr">
        <is>
          <t>中级</t>
        </is>
      </c>
      <c r="E35" s="2" t="inlineStr">
        <is>
          <t>task1</t>
        </is>
      </c>
      <c r="F35" s="2" t="inlineStr">
        <is>
          <t>是</t>
        </is>
      </c>
      <c r="G35" s="2" t="inlineStr">
        <is>
          <t>否</t>
        </is>
      </c>
      <c r="H35" s="2" t="n">
        <v>3</v>
      </c>
      <c r="I35" s="2" t="n">
        <v>1800</v>
      </c>
      <c r="J35" s="2" t="inlineStr">
        <is>
          <t>每日开放</t>
        </is>
      </c>
      <c r="K35" s="2" t="inlineStr">
        <is>
          <t>无</t>
        </is>
      </c>
      <c r="L35" s="2" t="inlineStr">
        <is>
          <t>概率掉落</t>
        </is>
      </c>
      <c r="M35" s="2" t="inlineStr">
        <is>
          <t>equip_feiyunzui</t>
        </is>
      </c>
      <c r="N35" s="2" t="inlineStr">
        <is>
          <t>equip_feiyunzui</t>
        </is>
      </c>
      <c r="O35" s="2" t="inlineStr">
        <is>
          <t>飞云锥</t>
        </is>
      </c>
      <c r="P35" s="2" t="inlineStr">
        <is>
          <t>坐骑</t>
        </is>
      </c>
      <c r="Q35" s="2" t="inlineStr">
        <is>
          <t>稀有/蓝</t>
        </is>
      </c>
      <c r="R35" s="5" t="n">
        <v>0.1</v>
      </c>
      <c r="S35" s="2" t="n">
        <v>1</v>
      </c>
      <c r="T35" s="2" t="n"/>
      <c r="U35" s="2" t="inlineStr">
        <is>
          <t>否</t>
        </is>
      </c>
      <c r="V35" s="2" t="inlineStr">
        <is>
          <t>0.1</t>
        </is>
      </c>
      <c r="W35" s="2" t="n"/>
      <c r="X35" s="5">
        <f>R35</f>
        <v>0.1</v>
      </c>
      <c r="Y35" s="6">
        <f>X35*S35</f>
        <v>0.1</v>
      </c>
      <c r="Z35" s="2" t="inlineStr">
        <is>
          <t>个人任务</t>
        </is>
      </c>
      <c r="AA35" s="2" t="n"/>
      <c r="AB35" s="2" t="inlineStr">
        <is>
          <t>挑战者庄园</t>
        </is>
      </c>
      <c r="AC35" s="2" t="inlineStr">
        <is>
          <t>玩家防守胜利（defender），非撤退，返程结算发放</t>
        </is>
      </c>
      <c r="AD35" s="2" t="inlineStr">
        <is>
          <t>data/mission_templates.yaml:L326:drop_table.equip_feiyunzui</t>
        </is>
      </c>
    </row>
    <row r="36">
      <c r="A36" s="2" t="n">
        <v>4</v>
      </c>
      <c r="B36" s="2" t="inlineStr">
        <is>
          <t>wagangzhai_nixi</t>
        </is>
      </c>
      <c r="C36" s="2" t="inlineStr">
        <is>
          <t>瓦岗寨的逆袭</t>
        </is>
      </c>
      <c r="D36" s="2" t="inlineStr">
        <is>
          <t>中级</t>
        </is>
      </c>
      <c r="E36" s="2" t="inlineStr">
        <is>
          <t>task1</t>
        </is>
      </c>
      <c r="F36" s="2" t="inlineStr">
        <is>
          <t>是</t>
        </is>
      </c>
      <c r="G36" s="2" t="inlineStr">
        <is>
          <t>否</t>
        </is>
      </c>
      <c r="H36" s="2" t="n">
        <v>3</v>
      </c>
      <c r="I36" s="2" t="n">
        <v>1800</v>
      </c>
      <c r="J36" s="2" t="inlineStr">
        <is>
          <t>每日开放</t>
        </is>
      </c>
      <c r="K36" s="2" t="inlineStr">
        <is>
          <t>无</t>
        </is>
      </c>
      <c r="L36" s="2" t="inlineStr">
        <is>
          <t>概率掉落</t>
        </is>
      </c>
      <c r="M36" s="2" t="inlineStr">
        <is>
          <t>equip_tiehufu</t>
        </is>
      </c>
      <c r="N36" s="2" t="inlineStr">
        <is>
          <t>equip_tiehufu</t>
        </is>
      </c>
      <c r="O36" s="2" t="inlineStr">
        <is>
          <t>铁护符</t>
        </is>
      </c>
      <c r="P36" s="2" t="inlineStr">
        <is>
          <t>饰品</t>
        </is>
      </c>
      <c r="Q36" s="2" t="inlineStr">
        <is>
          <t>优秀/绿</t>
        </is>
      </c>
      <c r="R36" s="5" t="n">
        <v>0.06</v>
      </c>
      <c r="S36" s="2" t="n">
        <v>1</v>
      </c>
      <c r="T36" s="2" t="n"/>
      <c r="U36" s="2" t="inlineStr">
        <is>
          <t>否</t>
        </is>
      </c>
      <c r="V36" s="2" t="inlineStr">
        <is>
          <t>0.06</t>
        </is>
      </c>
      <c r="W36" s="2" t="n"/>
      <c r="X36" s="5">
        <f>R36</f>
        <v>0.06</v>
      </c>
      <c r="Y36" s="6">
        <f>X36*S36</f>
        <v>0.06</v>
      </c>
      <c r="Z36" s="2" t="inlineStr">
        <is>
          <t>个人任务</t>
        </is>
      </c>
      <c r="AA36" s="2" t="n"/>
      <c r="AB36" s="2" t="inlineStr">
        <is>
          <t>挑战者庄园</t>
        </is>
      </c>
      <c r="AC36" s="2" t="inlineStr">
        <is>
          <t>玩家防守胜利（defender），非撤退，返程结算发放</t>
        </is>
      </c>
      <c r="AD36" s="2" t="inlineStr">
        <is>
          <t>data/mission_templates.yaml:L326:drop_table.equip_tiehufu</t>
        </is>
      </c>
    </row>
    <row r="37">
      <c r="A37" s="2" t="n">
        <v>4</v>
      </c>
      <c r="B37" s="2" t="inlineStr">
        <is>
          <t>wagangzhai_nixi</t>
        </is>
      </c>
      <c r="C37" s="2" t="inlineStr">
        <is>
          <t>瓦岗寨的逆袭</t>
        </is>
      </c>
      <c r="D37" s="2" t="inlineStr">
        <is>
          <t>中级</t>
        </is>
      </c>
      <c r="E37" s="2" t="inlineStr">
        <is>
          <t>task1</t>
        </is>
      </c>
      <c r="F37" s="2" t="inlineStr">
        <is>
          <t>是</t>
        </is>
      </c>
      <c r="G37" s="2" t="inlineStr">
        <is>
          <t>否</t>
        </is>
      </c>
      <c r="H37" s="2" t="n">
        <v>3</v>
      </c>
      <c r="I37" s="2" t="n">
        <v>1800</v>
      </c>
      <c r="J37" s="2" t="inlineStr">
        <is>
          <t>每日开放</t>
        </is>
      </c>
      <c r="K37" s="2" t="inlineStr">
        <is>
          <t>无</t>
        </is>
      </c>
      <c r="L37" s="2" t="inlineStr">
        <is>
          <t>概率掉落</t>
        </is>
      </c>
      <c r="M37" s="2" t="inlineStr">
        <is>
          <t>equip_yiqiyaopai</t>
        </is>
      </c>
      <c r="N37" s="2" t="inlineStr">
        <is>
          <t>equip_yiqiyaopai</t>
        </is>
      </c>
      <c r="O37" s="2" t="inlineStr">
        <is>
          <t>义气腰牌</t>
        </is>
      </c>
      <c r="P37" s="2" t="inlineStr">
        <is>
          <t>饰品</t>
        </is>
      </c>
      <c r="Q37" s="2" t="inlineStr">
        <is>
          <t>优秀/绿</t>
        </is>
      </c>
      <c r="R37" s="5" t="n">
        <v>0.05</v>
      </c>
      <c r="S37" s="2" t="n">
        <v>1</v>
      </c>
      <c r="T37" s="2" t="n"/>
      <c r="U37" s="2" t="inlineStr">
        <is>
          <t>否</t>
        </is>
      </c>
      <c r="V37" s="2" t="inlineStr">
        <is>
          <t>0.05</t>
        </is>
      </c>
      <c r="W37" s="2" t="n"/>
      <c r="X37" s="5">
        <f>R37</f>
        <v>0.05</v>
      </c>
      <c r="Y37" s="6">
        <f>X37*S37</f>
        <v>0.05</v>
      </c>
      <c r="Z37" s="2" t="inlineStr">
        <is>
          <t>个人任务</t>
        </is>
      </c>
      <c r="AA37" s="2" t="n"/>
      <c r="AB37" s="2" t="inlineStr">
        <is>
          <t>挑战者庄园</t>
        </is>
      </c>
      <c r="AC37" s="2" t="inlineStr">
        <is>
          <t>玩家防守胜利（defender），非撤退，返程结算发放</t>
        </is>
      </c>
      <c r="AD37" s="2" t="inlineStr">
        <is>
          <t>data/mission_templates.yaml:L326:drop_table.equip_yiqiyaopai</t>
        </is>
      </c>
    </row>
    <row r="38">
      <c r="A38" s="2" t="n">
        <v>4</v>
      </c>
      <c r="B38" s="2" t="inlineStr">
        <is>
          <t>wagangzhai_nixi</t>
        </is>
      </c>
      <c r="C38" s="2" t="inlineStr">
        <is>
          <t>瓦岗寨的逆袭</t>
        </is>
      </c>
      <c r="D38" s="2" t="inlineStr">
        <is>
          <t>中级</t>
        </is>
      </c>
      <c r="E38" s="2" t="inlineStr">
        <is>
          <t>task1</t>
        </is>
      </c>
      <c r="F38" s="2" t="inlineStr">
        <is>
          <t>是</t>
        </is>
      </c>
      <c r="G38" s="2" t="inlineStr">
        <is>
          <t>否</t>
        </is>
      </c>
      <c r="H38" s="2" t="n">
        <v>3</v>
      </c>
      <c r="I38" s="2" t="n">
        <v>1800</v>
      </c>
      <c r="J38" s="2" t="inlineStr">
        <is>
          <t>每日开放</t>
        </is>
      </c>
      <c r="K38" s="2" t="inlineStr">
        <is>
          <t>无</t>
        </is>
      </c>
      <c r="L38" s="2" t="inlineStr">
        <is>
          <t>概率掉落</t>
        </is>
      </c>
      <c r="M38" s="2" t="inlineStr">
        <is>
          <t>equip_xuantiekui</t>
        </is>
      </c>
      <c r="N38" s="2" t="inlineStr">
        <is>
          <t>equip_xuantiekui</t>
        </is>
      </c>
      <c r="O38" s="2" t="inlineStr">
        <is>
          <t>玄铁盔</t>
        </is>
      </c>
      <c r="P38" s="2" t="inlineStr">
        <is>
          <t>头盔</t>
        </is>
      </c>
      <c r="Q38" s="2" t="inlineStr">
        <is>
          <t>稀有/蓝</t>
        </is>
      </c>
      <c r="R38" s="5" t="n">
        <v>0.07000000000000001</v>
      </c>
      <c r="S38" s="2" t="n">
        <v>1</v>
      </c>
      <c r="T38" s="2" t="n"/>
      <c r="U38" s="2" t="inlineStr">
        <is>
          <t>否</t>
        </is>
      </c>
      <c r="V38" s="2" t="inlineStr">
        <is>
          <t>0.07</t>
        </is>
      </c>
      <c r="W38" s="2" t="n"/>
      <c r="X38" s="5">
        <f>R38</f>
        <v>0.07</v>
      </c>
      <c r="Y38" s="6">
        <f>X38*S38</f>
        <v>0.07</v>
      </c>
      <c r="Z38" s="2" t="inlineStr">
        <is>
          <t>个人任务</t>
        </is>
      </c>
      <c r="AA38" s="2" t="n"/>
      <c r="AB38" s="2" t="inlineStr">
        <is>
          <t>挑战者庄园</t>
        </is>
      </c>
      <c r="AC38" s="2" t="inlineStr">
        <is>
          <t>玩家防守胜利（defender），非撤退，返程结算发放</t>
        </is>
      </c>
      <c r="AD38" s="2" t="inlineStr">
        <is>
          <t>data/mission_templates.yaml:L326:drop_table.equip_xuantiekui</t>
        </is>
      </c>
    </row>
    <row r="39">
      <c r="A39" s="2" t="n">
        <v>4</v>
      </c>
      <c r="B39" s="2" t="inlineStr">
        <is>
          <t>wagangzhai_nixi</t>
        </is>
      </c>
      <c r="C39" s="2" t="inlineStr">
        <is>
          <t>瓦岗寨的逆袭</t>
        </is>
      </c>
      <c r="D39" s="2" t="inlineStr">
        <is>
          <t>中级</t>
        </is>
      </c>
      <c r="E39" s="2" t="inlineStr">
        <is>
          <t>task1</t>
        </is>
      </c>
      <c r="F39" s="2" t="inlineStr">
        <is>
          <t>是</t>
        </is>
      </c>
      <c r="G39" s="2" t="inlineStr">
        <is>
          <t>否</t>
        </is>
      </c>
      <c r="H39" s="2" t="n">
        <v>3</v>
      </c>
      <c r="I39" s="2" t="n">
        <v>1800</v>
      </c>
      <c r="J39" s="2" t="inlineStr">
        <is>
          <t>每日开放</t>
        </is>
      </c>
      <c r="K39" s="2" t="inlineStr">
        <is>
          <t>无</t>
        </is>
      </c>
      <c r="L39" s="2" t="inlineStr">
        <is>
          <t>概率掉落</t>
        </is>
      </c>
      <c r="M39" s="2" t="inlineStr">
        <is>
          <t>equip_hantiekui</t>
        </is>
      </c>
      <c r="N39" s="2" t="inlineStr">
        <is>
          <t>equip_hantiekui</t>
        </is>
      </c>
      <c r="O39" s="2" t="inlineStr">
        <is>
          <t>寒铁盔</t>
        </is>
      </c>
      <c r="P39" s="2" t="inlineStr">
        <is>
          <t>头盔</t>
        </is>
      </c>
      <c r="Q39" s="2" t="inlineStr">
        <is>
          <t>稀有/蓝</t>
        </is>
      </c>
      <c r="R39" s="5" t="n">
        <v>0.06</v>
      </c>
      <c r="S39" s="2" t="n">
        <v>1</v>
      </c>
      <c r="T39" s="2" t="n"/>
      <c r="U39" s="2" t="inlineStr">
        <is>
          <t>否</t>
        </is>
      </c>
      <c r="V39" s="2" t="inlineStr">
        <is>
          <t>0.06</t>
        </is>
      </c>
      <c r="W39" s="2" t="n"/>
      <c r="X39" s="5">
        <f>R39</f>
        <v>0.06</v>
      </c>
      <c r="Y39" s="6">
        <f>X39*S39</f>
        <v>0.06</v>
      </c>
      <c r="Z39" s="2" t="inlineStr">
        <is>
          <t>个人任务</t>
        </is>
      </c>
      <c r="AA39" s="2" t="n"/>
      <c r="AB39" s="2" t="inlineStr">
        <is>
          <t>挑战者庄园</t>
        </is>
      </c>
      <c r="AC39" s="2" t="inlineStr">
        <is>
          <t>玩家防守胜利（defender），非撤退，返程结算发放</t>
        </is>
      </c>
      <c r="AD39" s="2" t="inlineStr">
        <is>
          <t>data/mission_templates.yaml:L326:drop_table.equip_hantiekui</t>
        </is>
      </c>
    </row>
    <row r="40">
      <c r="A40" s="2" t="n">
        <v>4</v>
      </c>
      <c r="B40" s="2" t="inlineStr">
        <is>
          <t>wagangzhai_nixi</t>
        </is>
      </c>
      <c r="C40" s="2" t="inlineStr">
        <is>
          <t>瓦岗寨的逆袭</t>
        </is>
      </c>
      <c r="D40" s="2" t="inlineStr">
        <is>
          <t>中级</t>
        </is>
      </c>
      <c r="E40" s="2" t="inlineStr">
        <is>
          <t>task1</t>
        </is>
      </c>
      <c r="F40" s="2" t="inlineStr">
        <is>
          <t>是</t>
        </is>
      </c>
      <c r="G40" s="2" t="inlineStr">
        <is>
          <t>否</t>
        </is>
      </c>
      <c r="H40" s="2" t="n">
        <v>3</v>
      </c>
      <c r="I40" s="2" t="n">
        <v>1800</v>
      </c>
      <c r="J40" s="2" t="inlineStr">
        <is>
          <t>每日开放</t>
        </is>
      </c>
      <c r="K40" s="2" t="inlineStr">
        <is>
          <t>无</t>
        </is>
      </c>
      <c r="L40" s="2" t="inlineStr">
        <is>
          <t>概率掉落</t>
        </is>
      </c>
      <c r="M40" s="2" t="inlineStr">
        <is>
          <t>equip_wujinjia</t>
        </is>
      </c>
      <c r="N40" s="2" t="inlineStr">
        <is>
          <t>equip_wujinjia</t>
        </is>
      </c>
      <c r="O40" s="2" t="inlineStr">
        <is>
          <t>乌金甲</t>
        </is>
      </c>
      <c r="P40" s="2" t="inlineStr">
        <is>
          <t>护甲</t>
        </is>
      </c>
      <c r="Q40" s="2" t="inlineStr">
        <is>
          <t>稀有/蓝</t>
        </is>
      </c>
      <c r="R40" s="5" t="n">
        <v>0.06</v>
      </c>
      <c r="S40" s="2" t="n">
        <v>1</v>
      </c>
      <c r="T40" s="2" t="n"/>
      <c r="U40" s="2" t="inlineStr">
        <is>
          <t>否</t>
        </is>
      </c>
      <c r="V40" s="2" t="inlineStr">
        <is>
          <t>0.06</t>
        </is>
      </c>
      <c r="W40" s="2" t="n"/>
      <c r="X40" s="5">
        <f>R40</f>
        <v>0.06</v>
      </c>
      <c r="Y40" s="6">
        <f>X40*S40</f>
        <v>0.06</v>
      </c>
      <c r="Z40" s="2" t="inlineStr">
        <is>
          <t>个人任务</t>
        </is>
      </c>
      <c r="AA40" s="2" t="n"/>
      <c r="AB40" s="2" t="inlineStr">
        <is>
          <t>挑战者庄园</t>
        </is>
      </c>
      <c r="AC40" s="2" t="inlineStr">
        <is>
          <t>玩家防守胜利（defender），非撤退，返程结算发放</t>
        </is>
      </c>
      <c r="AD40" s="2" t="inlineStr">
        <is>
          <t>data/mission_templates.yaml:L326:drop_table.equip_wujinjia</t>
        </is>
      </c>
    </row>
    <row r="41">
      <c r="A41" s="2" t="n">
        <v>4</v>
      </c>
      <c r="B41" s="2" t="inlineStr">
        <is>
          <t>wagangzhai_nixi</t>
        </is>
      </c>
      <c r="C41" s="2" t="inlineStr">
        <is>
          <t>瓦岗寨的逆袭</t>
        </is>
      </c>
      <c r="D41" s="2" t="inlineStr">
        <is>
          <t>中级</t>
        </is>
      </c>
      <c r="E41" s="2" t="inlineStr">
        <is>
          <t>task1</t>
        </is>
      </c>
      <c r="F41" s="2" t="inlineStr">
        <is>
          <t>是</t>
        </is>
      </c>
      <c r="G41" s="2" t="inlineStr">
        <is>
          <t>否</t>
        </is>
      </c>
      <c r="H41" s="2" t="n">
        <v>3</v>
      </c>
      <c r="I41" s="2" t="n">
        <v>1800</v>
      </c>
      <c r="J41" s="2" t="inlineStr">
        <is>
          <t>每日开放</t>
        </is>
      </c>
      <c r="K41" s="2" t="inlineStr">
        <is>
          <t>无</t>
        </is>
      </c>
      <c r="L41" s="2" t="inlineStr">
        <is>
          <t>概率掉落</t>
        </is>
      </c>
      <c r="M41" s="2" t="inlineStr">
        <is>
          <t>equip_linwenzhanjia</t>
        </is>
      </c>
      <c r="N41" s="2" t="inlineStr">
        <is>
          <t>equip_linwenzhanjia</t>
        </is>
      </c>
      <c r="O41" s="2" t="inlineStr">
        <is>
          <t>鳞纹战甲</t>
        </is>
      </c>
      <c r="P41" s="2" t="inlineStr">
        <is>
          <t>护甲</t>
        </is>
      </c>
      <c r="Q41" s="2" t="inlineStr">
        <is>
          <t>稀有/蓝</t>
        </is>
      </c>
      <c r="R41" s="5" t="n">
        <v>0.05</v>
      </c>
      <c r="S41" s="2" t="n">
        <v>1</v>
      </c>
      <c r="T41" s="2" t="n"/>
      <c r="U41" s="2" t="inlineStr">
        <is>
          <t>否</t>
        </is>
      </c>
      <c r="V41" s="2" t="inlineStr">
        <is>
          <t>0.05</t>
        </is>
      </c>
      <c r="W41" s="2" t="n"/>
      <c r="X41" s="5">
        <f>R41</f>
        <v>0.05</v>
      </c>
      <c r="Y41" s="6">
        <f>X41*S41</f>
        <v>0.05</v>
      </c>
      <c r="Z41" s="2" t="inlineStr">
        <is>
          <t>个人任务</t>
        </is>
      </c>
      <c r="AA41" s="2" t="n"/>
      <c r="AB41" s="2" t="inlineStr">
        <is>
          <t>挑战者庄园</t>
        </is>
      </c>
      <c r="AC41" s="2" t="inlineStr">
        <is>
          <t>玩家防守胜利（defender），非撤退，返程结算发放</t>
        </is>
      </c>
      <c r="AD41" s="2" t="inlineStr">
        <is>
          <t>data/mission_templates.yaml:L326:drop_table.equip_linwenzhanjia</t>
        </is>
      </c>
    </row>
    <row r="42">
      <c r="A42" s="2" t="n">
        <v>5</v>
      </c>
      <c r="B42" s="2" t="inlineStr">
        <is>
          <t>jingyanggang</t>
        </is>
      </c>
      <c r="C42" s="2" t="inlineStr">
        <is>
          <t>景阳冈</t>
        </is>
      </c>
      <c r="D42" s="2" t="inlineStr">
        <is>
          <t>初级</t>
        </is>
      </c>
      <c r="E42" s="2" t="inlineStr">
        <is>
          <t>task1</t>
        </is>
      </c>
      <c r="F42" s="2" t="inlineStr">
        <is>
          <t>否</t>
        </is>
      </c>
      <c r="G42" s="2" t="inlineStr">
        <is>
          <t>是</t>
        </is>
      </c>
      <c r="H42" s="2" t="n">
        <v>3</v>
      </c>
      <c r="I42" s="2" t="n">
        <v>1800</v>
      </c>
      <c r="J42" s="2" t="inlineStr">
        <is>
          <t>每日开放</t>
        </is>
      </c>
      <c r="K42" s="2" t="inlineStr">
        <is>
          <t>无</t>
        </is>
      </c>
      <c r="L42" s="2" t="inlineStr">
        <is>
          <t>固定掉落</t>
        </is>
      </c>
      <c r="M42" s="2" t="inlineStr">
        <is>
          <t>silver</t>
        </is>
      </c>
      <c r="N42" s="2" t="inlineStr">
        <is>
          <t>silver</t>
        </is>
      </c>
      <c r="O42" s="2" t="inlineStr">
        <is>
          <t>银两</t>
        </is>
      </c>
      <c r="P42" s="2" t="inlineStr">
        <is>
          <t>资源</t>
        </is>
      </c>
      <c r="Q42" s="2" t="inlineStr">
        <is>
          <t>资源</t>
        </is>
      </c>
      <c r="R42" s="5" t="n">
        <v>1</v>
      </c>
      <c r="S42" s="2" t="n">
        <v>7000</v>
      </c>
      <c r="T42" s="2" t="n"/>
      <c r="U42" s="2" t="inlineStr">
        <is>
          <t>否</t>
        </is>
      </c>
      <c r="V42" s="2" t="inlineStr">
        <is>
          <t>7000</t>
        </is>
      </c>
      <c r="W42" s="2" t="n"/>
      <c r="X42" s="5">
        <f>R42</f>
        <v>1</v>
      </c>
      <c r="Y42" s="6">
        <f>X42*S42</f>
        <v>7000</v>
      </c>
      <c r="Z42" s="2" t="inlineStr">
        <is>
          <t>个人任务</t>
        </is>
      </c>
      <c r="AA42" s="2" t="n"/>
      <c r="AB42" s="2" t="inlineStr">
        <is>
          <t>挑战者庄园</t>
        </is>
      </c>
      <c r="AC42" s="2" t="inlineStr">
        <is>
          <t>玩家进攻胜利（attacker），非撤退，返程结算发放</t>
        </is>
      </c>
      <c r="AD42" s="2" t="inlineStr">
        <is>
          <t>data/mission_templates.yaml:L379:drop_table.silver</t>
        </is>
      </c>
    </row>
    <row r="43">
      <c r="A43" s="2" t="n">
        <v>5</v>
      </c>
      <c r="B43" s="2" t="inlineStr">
        <is>
          <t>jingyanggang</t>
        </is>
      </c>
      <c r="C43" s="2" t="inlineStr">
        <is>
          <t>景阳冈</t>
        </is>
      </c>
      <c r="D43" s="2" t="inlineStr">
        <is>
          <t>初级</t>
        </is>
      </c>
      <c r="E43" s="2" t="inlineStr">
        <is>
          <t>task1</t>
        </is>
      </c>
      <c r="F43" s="2" t="inlineStr">
        <is>
          <t>否</t>
        </is>
      </c>
      <c r="G43" s="2" t="inlineStr">
        <is>
          <t>是</t>
        </is>
      </c>
      <c r="H43" s="2" t="n">
        <v>3</v>
      </c>
      <c r="I43" s="2" t="n">
        <v>1800</v>
      </c>
      <c r="J43" s="2" t="inlineStr">
        <is>
          <t>每日开放</t>
        </is>
      </c>
      <c r="K43" s="2" t="inlineStr">
        <is>
          <t>无</t>
        </is>
      </c>
      <c r="L43" s="2" t="inlineStr">
        <is>
          <t>随机池掉落</t>
        </is>
      </c>
      <c r="M43" s="2" t="inlineStr">
        <is>
          <t>jingyang_equipment_pool</t>
        </is>
      </c>
      <c r="N43" s="2" t="inlineStr">
        <is>
          <t>equip_hupixue</t>
        </is>
      </c>
      <c r="O43" s="2" t="inlineStr">
        <is>
          <t>虎皮靴</t>
        </is>
      </c>
      <c r="P43" s="2" t="inlineStr">
        <is>
          <t>鞋子</t>
        </is>
      </c>
      <c r="Q43" s="2" t="inlineStr">
        <is>
          <t>优秀/绿</t>
        </is>
      </c>
      <c r="R43" s="5" t="n">
        <v>0.5</v>
      </c>
      <c r="S43" s="2" t="n">
        <v>1</v>
      </c>
      <c r="T43" s="2" t="n">
        <v>1</v>
      </c>
      <c r="U43" s="2" t="inlineStr">
        <is>
          <t>是</t>
        </is>
      </c>
      <c r="V43" s="2" t="inlineStr">
        <is>
          <t>{"chance":0.5,"count":1,"choices":["equip_hupixue","equip_huwenkui"]}</t>
        </is>
      </c>
      <c r="W43" s="3">
        <f>SUM(T43:T44)</f>
        <v>2</v>
      </c>
      <c r="X43" s="5">
        <f>R43*T43/W43</f>
        <v>0.25</v>
      </c>
      <c r="Y43" s="6">
        <f>X43*S43</f>
        <v>0.25</v>
      </c>
      <c r="Z43" s="2" t="inlineStr">
        <is>
          <t>个人任务</t>
        </is>
      </c>
      <c r="AA43" s="2" t="n"/>
      <c r="AB43" s="2" t="inlineStr">
        <is>
          <t>挑战者庄园</t>
        </is>
      </c>
      <c r="AC43" s="2" t="inlineStr">
        <is>
          <t>玩家进攻胜利（attacker），非撤退，返程结算发放</t>
        </is>
      </c>
      <c r="AD43" s="2" t="inlineStr">
        <is>
          <t>data/mission_templates.yaml:L379:drop_table.jingyang_equipment_pool</t>
        </is>
      </c>
    </row>
    <row r="44">
      <c r="A44" s="2" t="n">
        <v>5</v>
      </c>
      <c r="B44" s="2" t="inlineStr">
        <is>
          <t>jingyanggang</t>
        </is>
      </c>
      <c r="C44" s="2" t="inlineStr">
        <is>
          <t>景阳冈</t>
        </is>
      </c>
      <c r="D44" s="2" t="inlineStr">
        <is>
          <t>初级</t>
        </is>
      </c>
      <c r="E44" s="2" t="inlineStr">
        <is>
          <t>task1</t>
        </is>
      </c>
      <c r="F44" s="2" t="inlineStr">
        <is>
          <t>否</t>
        </is>
      </c>
      <c r="G44" s="2" t="inlineStr">
        <is>
          <t>是</t>
        </is>
      </c>
      <c r="H44" s="2" t="n">
        <v>3</v>
      </c>
      <c r="I44" s="2" t="n">
        <v>1800</v>
      </c>
      <c r="J44" s="2" t="inlineStr">
        <is>
          <t>每日开放</t>
        </is>
      </c>
      <c r="K44" s="2" t="inlineStr">
        <is>
          <t>无</t>
        </is>
      </c>
      <c r="L44" s="2" t="inlineStr">
        <is>
          <t>随机池掉落</t>
        </is>
      </c>
      <c r="M44" s="2" t="inlineStr">
        <is>
          <t>jingyang_equipment_pool</t>
        </is>
      </c>
      <c r="N44" s="2" t="inlineStr">
        <is>
          <t>equip_huwenkui</t>
        </is>
      </c>
      <c r="O44" s="2" t="inlineStr">
        <is>
          <t>虎纹盔</t>
        </is>
      </c>
      <c r="P44" s="2" t="inlineStr">
        <is>
          <t>头盔</t>
        </is>
      </c>
      <c r="Q44" s="2" t="inlineStr">
        <is>
          <t>优秀/绿</t>
        </is>
      </c>
      <c r="R44" s="5" t="n">
        <v>0.5</v>
      </c>
      <c r="S44" s="2" t="n">
        <v>1</v>
      </c>
      <c r="T44" s="2" t="n">
        <v>1</v>
      </c>
      <c r="U44" s="2" t="inlineStr">
        <is>
          <t>是</t>
        </is>
      </c>
      <c r="V44" s="2" t="inlineStr">
        <is>
          <t>{"chance":0.5,"count":1,"choices":["equip_hupixue","equip_huwenkui"]}</t>
        </is>
      </c>
      <c r="W44" s="3">
        <f>SUM(T43:T44)</f>
        <v>2</v>
      </c>
      <c r="X44" s="5">
        <f>R44*T44/W44</f>
        <v>0.25</v>
      </c>
      <c r="Y44" s="6">
        <f>X44*S44</f>
        <v>0.25</v>
      </c>
      <c r="Z44" s="2" t="inlineStr">
        <is>
          <t>个人任务</t>
        </is>
      </c>
      <c r="AA44" s="2" t="n"/>
      <c r="AB44" s="2" t="inlineStr">
        <is>
          <t>挑战者庄园</t>
        </is>
      </c>
      <c r="AC44" s="2" t="inlineStr">
        <is>
          <t>玩家进攻胜利（attacker），非撤退，返程结算发放</t>
        </is>
      </c>
      <c r="AD44" s="2" t="inlineStr">
        <is>
          <t>data/mission_templates.yaml:L379:drop_table.jingyang_equipment_pool</t>
        </is>
      </c>
    </row>
    <row r="45">
      <c r="A45" s="2" t="n">
        <v>6</v>
      </c>
      <c r="B45" s="2" t="inlineStr">
        <is>
          <t>wulongshan</t>
        </is>
      </c>
      <c r="C45" s="2" t="inlineStr">
        <is>
          <t>乌龙山</t>
        </is>
      </c>
      <c r="D45" s="2" t="inlineStr">
        <is>
          <t>初级</t>
        </is>
      </c>
      <c r="E45" s="2" t="inlineStr">
        <is>
          <t>task1</t>
        </is>
      </c>
      <c r="F45" s="2" t="inlineStr">
        <is>
          <t>否</t>
        </is>
      </c>
      <c r="G45" s="2" t="inlineStr">
        <is>
          <t>否</t>
        </is>
      </c>
      <c r="H45" s="2" t="n">
        <v>3</v>
      </c>
      <c r="I45" s="2" t="n">
        <v>1800</v>
      </c>
      <c r="J45" s="2" t="inlineStr">
        <is>
          <t>每日开放</t>
        </is>
      </c>
      <c r="K45" s="2" t="inlineStr">
        <is>
          <t>无</t>
        </is>
      </c>
      <c r="L45" s="2" t="inlineStr">
        <is>
          <t>固定掉落</t>
        </is>
      </c>
      <c r="M45" s="2" t="inlineStr">
        <is>
          <t>silver</t>
        </is>
      </c>
      <c r="N45" s="2" t="inlineStr">
        <is>
          <t>silver</t>
        </is>
      </c>
      <c r="O45" s="2" t="inlineStr">
        <is>
          <t>银两</t>
        </is>
      </c>
      <c r="P45" s="2" t="inlineStr">
        <is>
          <t>资源</t>
        </is>
      </c>
      <c r="Q45" s="2" t="inlineStr">
        <is>
          <t>资源</t>
        </is>
      </c>
      <c r="R45" s="5" t="n">
        <v>1</v>
      </c>
      <c r="S45" s="2" t="n">
        <v>15000</v>
      </c>
      <c r="T45" s="2" t="n"/>
      <c r="U45" s="2" t="inlineStr">
        <is>
          <t>否</t>
        </is>
      </c>
      <c r="V45" s="2" t="inlineStr">
        <is>
          <t>15000</t>
        </is>
      </c>
      <c r="W45" s="2" t="n"/>
      <c r="X45" s="5">
        <f>R45</f>
        <v>1</v>
      </c>
      <c r="Y45" s="6">
        <f>X45*S45</f>
        <v>15000</v>
      </c>
      <c r="Z45" s="2" t="inlineStr">
        <is>
          <t>个人任务</t>
        </is>
      </c>
      <c r="AA45" s="2" t="n"/>
      <c r="AB45" s="2" t="inlineStr">
        <is>
          <t>挑战者庄园</t>
        </is>
      </c>
      <c r="AC45" s="2" t="inlineStr">
        <is>
          <t>玩家进攻胜利（attacker），非撤退，返程结算发放</t>
        </is>
      </c>
      <c r="AD45" s="2" t="inlineStr">
        <is>
          <t>data/mission_templates.yaml:L408:drop_table.silver</t>
        </is>
      </c>
    </row>
    <row r="46">
      <c r="A46" s="2" t="n">
        <v>6</v>
      </c>
      <c r="B46" s="2" t="inlineStr">
        <is>
          <t>wulongshan</t>
        </is>
      </c>
      <c r="C46" s="2" t="inlineStr">
        <is>
          <t>乌龙山</t>
        </is>
      </c>
      <c r="D46" s="2" t="inlineStr">
        <is>
          <t>初级</t>
        </is>
      </c>
      <c r="E46" s="2" t="inlineStr">
        <is>
          <t>task1</t>
        </is>
      </c>
      <c r="F46" s="2" t="inlineStr">
        <is>
          <t>否</t>
        </is>
      </c>
      <c r="G46" s="2" t="inlineStr">
        <is>
          <t>否</t>
        </is>
      </c>
      <c r="H46" s="2" t="n">
        <v>3</v>
      </c>
      <c r="I46" s="2" t="n">
        <v>1800</v>
      </c>
      <c r="J46" s="2" t="inlineStr">
        <is>
          <t>每日开放</t>
        </is>
      </c>
      <c r="K46" s="2" t="inlineStr">
        <is>
          <t>无</t>
        </is>
      </c>
      <c r="L46" s="2" t="inlineStr">
        <is>
          <t>概率掉落</t>
        </is>
      </c>
      <c r="M46" s="2" t="inlineStr">
        <is>
          <t>book_dragon_break_curse</t>
        </is>
      </c>
      <c r="N46" s="2" t="inlineStr">
        <is>
          <t>book_dragon_break_curse</t>
        </is>
      </c>
      <c r="O46" s="2" t="inlineStr">
        <is>
          <t>《破龙咒》秘术</t>
        </is>
      </c>
      <c r="P46" s="2" t="inlineStr">
        <is>
          <t>技能书</t>
        </is>
      </c>
      <c r="Q46" s="2" t="inlineStr">
        <is>
          <t>优秀/绿</t>
        </is>
      </c>
      <c r="R46" s="5" t="n">
        <v>0.05</v>
      </c>
      <c r="S46" s="2" t="n">
        <v>1</v>
      </c>
      <c r="T46" s="2" t="n"/>
      <c r="U46" s="2" t="inlineStr">
        <is>
          <t>否</t>
        </is>
      </c>
      <c r="V46" s="2" t="inlineStr">
        <is>
          <t>0.05</t>
        </is>
      </c>
      <c r="W46" s="2" t="n"/>
      <c r="X46" s="5">
        <f>R46</f>
        <v>0.05</v>
      </c>
      <c r="Y46" s="6">
        <f>X46*S46</f>
        <v>0.05</v>
      </c>
      <c r="Z46" s="2" t="inlineStr">
        <is>
          <t>个人任务</t>
        </is>
      </c>
      <c r="AA46" s="2" t="n"/>
      <c r="AB46" s="2" t="inlineStr">
        <is>
          <t>挑战者庄园</t>
        </is>
      </c>
      <c r="AC46" s="2" t="inlineStr">
        <is>
          <t>玩家进攻胜利（attacker），非撤退，返程结算发放</t>
        </is>
      </c>
      <c r="AD46" s="2" t="inlineStr">
        <is>
          <t>data/mission_templates.yaml:L408:drop_table.book_dragon_break_curse</t>
        </is>
      </c>
    </row>
    <row r="47">
      <c r="A47" s="2" t="n">
        <v>6</v>
      </c>
      <c r="B47" s="2" t="inlineStr">
        <is>
          <t>wulongshan</t>
        </is>
      </c>
      <c r="C47" s="2" t="inlineStr">
        <is>
          <t>乌龙山</t>
        </is>
      </c>
      <c r="D47" s="2" t="inlineStr">
        <is>
          <t>初级</t>
        </is>
      </c>
      <c r="E47" s="2" t="inlineStr">
        <is>
          <t>task1</t>
        </is>
      </c>
      <c r="F47" s="2" t="inlineStr">
        <is>
          <t>否</t>
        </is>
      </c>
      <c r="G47" s="2" t="inlineStr">
        <is>
          <t>否</t>
        </is>
      </c>
      <c r="H47" s="2" t="n">
        <v>3</v>
      </c>
      <c r="I47" s="2" t="n">
        <v>1800</v>
      </c>
      <c r="J47" s="2" t="inlineStr">
        <is>
          <t>每日开放</t>
        </is>
      </c>
      <c r="K47" s="2" t="inlineStr">
        <is>
          <t>无</t>
        </is>
      </c>
      <c r="L47" s="2" t="inlineStr">
        <is>
          <t>随机池掉落</t>
        </is>
      </c>
      <c r="M47" s="2" t="inlineStr">
        <is>
          <t>wulong_equipment_pool</t>
        </is>
      </c>
      <c r="N47" s="2" t="inlineStr">
        <is>
          <t>equip_baoutoukui</t>
        </is>
      </c>
      <c r="O47" s="2" t="inlineStr">
        <is>
          <t>豹头盔</t>
        </is>
      </c>
      <c r="P47" s="2" t="inlineStr">
        <is>
          <t>头盔</t>
        </is>
      </c>
      <c r="Q47" s="2" t="inlineStr">
        <is>
          <t>优秀/绿</t>
        </is>
      </c>
      <c r="R47" s="5" t="n">
        <v>0.7</v>
      </c>
      <c r="S47" s="2" t="n">
        <v>1</v>
      </c>
      <c r="T47" s="2" t="n">
        <v>1</v>
      </c>
      <c r="U47" s="2" t="inlineStr">
        <is>
          <t>是</t>
        </is>
      </c>
      <c r="V47" s="2" t="inlineStr">
        <is>
          <t>{"chance":0.7,"count":1,"choices":["equip_baoutoukui","equip_tiegugun","equip_youxiaxue","equip_mengguma"]}</t>
        </is>
      </c>
      <c r="W47" s="3">
        <f>SUM(T47:T50)</f>
        <v>4</v>
      </c>
      <c r="X47" s="5">
        <f>R47*T47/W47</f>
        <v>0.175</v>
      </c>
      <c r="Y47" s="6">
        <f>X47*S47</f>
        <v>0.175</v>
      </c>
      <c r="Z47" s="2" t="inlineStr">
        <is>
          <t>个人任务</t>
        </is>
      </c>
      <c r="AA47" s="2" t="n"/>
      <c r="AB47" s="2" t="inlineStr">
        <is>
          <t>挑战者庄园</t>
        </is>
      </c>
      <c r="AC47" s="2" t="inlineStr">
        <is>
          <t>玩家进攻胜利（attacker），非撤退，返程结算发放</t>
        </is>
      </c>
      <c r="AD47" s="2" t="inlineStr">
        <is>
          <t>data/mission_templates.yaml:L408:drop_table.wulong_equipment_pool</t>
        </is>
      </c>
    </row>
    <row r="48">
      <c r="A48" s="2" t="n">
        <v>6</v>
      </c>
      <c r="B48" s="2" t="inlineStr">
        <is>
          <t>wulongshan</t>
        </is>
      </c>
      <c r="C48" s="2" t="inlineStr">
        <is>
          <t>乌龙山</t>
        </is>
      </c>
      <c r="D48" s="2" t="inlineStr">
        <is>
          <t>初级</t>
        </is>
      </c>
      <c r="E48" s="2" t="inlineStr">
        <is>
          <t>task1</t>
        </is>
      </c>
      <c r="F48" s="2" t="inlineStr">
        <is>
          <t>否</t>
        </is>
      </c>
      <c r="G48" s="2" t="inlineStr">
        <is>
          <t>否</t>
        </is>
      </c>
      <c r="H48" s="2" t="n">
        <v>3</v>
      </c>
      <c r="I48" s="2" t="n">
        <v>1800</v>
      </c>
      <c r="J48" s="2" t="inlineStr">
        <is>
          <t>每日开放</t>
        </is>
      </c>
      <c r="K48" s="2" t="inlineStr">
        <is>
          <t>无</t>
        </is>
      </c>
      <c r="L48" s="2" t="inlineStr">
        <is>
          <t>随机池掉落</t>
        </is>
      </c>
      <c r="M48" s="2" t="inlineStr">
        <is>
          <t>wulong_equipment_pool</t>
        </is>
      </c>
      <c r="N48" s="2" t="inlineStr">
        <is>
          <t>equip_tiegugun</t>
        </is>
      </c>
      <c r="O48" s="2" t="inlineStr">
        <is>
          <t>铁骨棍</t>
        </is>
      </c>
      <c r="P48" s="2" t="inlineStr">
        <is>
          <t>武器</t>
        </is>
      </c>
      <c r="Q48" s="2" t="inlineStr">
        <is>
          <t>优秀/绿</t>
        </is>
      </c>
      <c r="R48" s="5" t="n">
        <v>0.7</v>
      </c>
      <c r="S48" s="2" t="n">
        <v>1</v>
      </c>
      <c r="T48" s="2" t="n">
        <v>1</v>
      </c>
      <c r="U48" s="2" t="inlineStr">
        <is>
          <t>是</t>
        </is>
      </c>
      <c r="V48" s="2" t="inlineStr">
        <is>
          <t>{"chance":0.7,"count":1,"choices":["equip_baoutoukui","equip_tiegugun","equip_youxiaxue","equip_mengguma"]}</t>
        </is>
      </c>
      <c r="W48" s="3">
        <f>SUM(T47:T50)</f>
        <v>4</v>
      </c>
      <c r="X48" s="5">
        <f>R48*T48/W48</f>
        <v>0.175</v>
      </c>
      <c r="Y48" s="6">
        <f>X48*S48</f>
        <v>0.175</v>
      </c>
      <c r="Z48" s="2" t="inlineStr">
        <is>
          <t>个人任务</t>
        </is>
      </c>
      <c r="AA48" s="2" t="n"/>
      <c r="AB48" s="2" t="inlineStr">
        <is>
          <t>挑战者庄园</t>
        </is>
      </c>
      <c r="AC48" s="2" t="inlineStr">
        <is>
          <t>玩家进攻胜利（attacker），非撤退，返程结算发放</t>
        </is>
      </c>
      <c r="AD48" s="2" t="inlineStr">
        <is>
          <t>data/mission_templates.yaml:L408:drop_table.wulong_equipment_pool</t>
        </is>
      </c>
    </row>
    <row r="49">
      <c r="A49" s="2" t="n">
        <v>6</v>
      </c>
      <c r="B49" s="2" t="inlineStr">
        <is>
          <t>wulongshan</t>
        </is>
      </c>
      <c r="C49" s="2" t="inlineStr">
        <is>
          <t>乌龙山</t>
        </is>
      </c>
      <c r="D49" s="2" t="inlineStr">
        <is>
          <t>初级</t>
        </is>
      </c>
      <c r="E49" s="2" t="inlineStr">
        <is>
          <t>task1</t>
        </is>
      </c>
      <c r="F49" s="2" t="inlineStr">
        <is>
          <t>否</t>
        </is>
      </c>
      <c r="G49" s="2" t="inlineStr">
        <is>
          <t>否</t>
        </is>
      </c>
      <c r="H49" s="2" t="n">
        <v>3</v>
      </c>
      <c r="I49" s="2" t="n">
        <v>1800</v>
      </c>
      <c r="J49" s="2" t="inlineStr">
        <is>
          <t>每日开放</t>
        </is>
      </c>
      <c r="K49" s="2" t="inlineStr">
        <is>
          <t>无</t>
        </is>
      </c>
      <c r="L49" s="2" t="inlineStr">
        <is>
          <t>随机池掉落</t>
        </is>
      </c>
      <c r="M49" s="2" t="inlineStr">
        <is>
          <t>wulong_equipment_pool</t>
        </is>
      </c>
      <c r="N49" s="2" t="inlineStr">
        <is>
          <t>equip_youxiaxue</t>
        </is>
      </c>
      <c r="O49" s="2" t="inlineStr">
        <is>
          <t>游侠靴</t>
        </is>
      </c>
      <c r="P49" s="2" t="inlineStr">
        <is>
          <t>鞋子</t>
        </is>
      </c>
      <c r="Q49" s="2" t="inlineStr">
        <is>
          <t>优秀/绿</t>
        </is>
      </c>
      <c r="R49" s="5" t="n">
        <v>0.7</v>
      </c>
      <c r="S49" s="2" t="n">
        <v>1</v>
      </c>
      <c r="T49" s="2" t="n">
        <v>1</v>
      </c>
      <c r="U49" s="2" t="inlineStr">
        <is>
          <t>是</t>
        </is>
      </c>
      <c r="V49" s="2" t="inlineStr">
        <is>
          <t>{"chance":0.7,"count":1,"choices":["equip_baoutoukui","equip_tiegugun","equip_youxiaxue","equip_mengguma"]}</t>
        </is>
      </c>
      <c r="W49" s="3">
        <f>SUM(T47:T50)</f>
        <v>4</v>
      </c>
      <c r="X49" s="5">
        <f>R49*T49/W49</f>
        <v>0.175</v>
      </c>
      <c r="Y49" s="6">
        <f>X49*S49</f>
        <v>0.175</v>
      </c>
      <c r="Z49" s="2" t="inlineStr">
        <is>
          <t>个人任务</t>
        </is>
      </c>
      <c r="AA49" s="2" t="n"/>
      <c r="AB49" s="2" t="inlineStr">
        <is>
          <t>挑战者庄园</t>
        </is>
      </c>
      <c r="AC49" s="2" t="inlineStr">
        <is>
          <t>玩家进攻胜利（attacker），非撤退，返程结算发放</t>
        </is>
      </c>
      <c r="AD49" s="2" t="inlineStr">
        <is>
          <t>data/mission_templates.yaml:L408:drop_table.wulong_equipment_pool</t>
        </is>
      </c>
    </row>
    <row r="50">
      <c r="A50" s="2" t="n">
        <v>6</v>
      </c>
      <c r="B50" s="2" t="inlineStr">
        <is>
          <t>wulongshan</t>
        </is>
      </c>
      <c r="C50" s="2" t="inlineStr">
        <is>
          <t>乌龙山</t>
        </is>
      </c>
      <c r="D50" s="2" t="inlineStr">
        <is>
          <t>初级</t>
        </is>
      </c>
      <c r="E50" s="2" t="inlineStr">
        <is>
          <t>task1</t>
        </is>
      </c>
      <c r="F50" s="2" t="inlineStr">
        <is>
          <t>否</t>
        </is>
      </c>
      <c r="G50" s="2" t="inlineStr">
        <is>
          <t>否</t>
        </is>
      </c>
      <c r="H50" s="2" t="n">
        <v>3</v>
      </c>
      <c r="I50" s="2" t="n">
        <v>1800</v>
      </c>
      <c r="J50" s="2" t="inlineStr">
        <is>
          <t>每日开放</t>
        </is>
      </c>
      <c r="K50" s="2" t="inlineStr">
        <is>
          <t>无</t>
        </is>
      </c>
      <c r="L50" s="2" t="inlineStr">
        <is>
          <t>随机池掉落</t>
        </is>
      </c>
      <c r="M50" s="2" t="inlineStr">
        <is>
          <t>wulong_equipment_pool</t>
        </is>
      </c>
      <c r="N50" s="2" t="inlineStr">
        <is>
          <t>equip_mengguma</t>
        </is>
      </c>
      <c r="O50" s="2" t="inlineStr">
        <is>
          <t>蒙古马</t>
        </is>
      </c>
      <c r="P50" s="2" t="inlineStr">
        <is>
          <t>坐骑</t>
        </is>
      </c>
      <c r="Q50" s="2" t="inlineStr">
        <is>
          <t>优秀/绿</t>
        </is>
      </c>
      <c r="R50" s="5" t="n">
        <v>0.7</v>
      </c>
      <c r="S50" s="2" t="n">
        <v>1</v>
      </c>
      <c r="T50" s="2" t="n">
        <v>1</v>
      </c>
      <c r="U50" s="2" t="inlineStr">
        <is>
          <t>是</t>
        </is>
      </c>
      <c r="V50" s="2" t="inlineStr">
        <is>
          <t>{"chance":0.7,"count":1,"choices":["equip_baoutoukui","equip_tiegugun","equip_youxiaxue","equip_mengguma"]}</t>
        </is>
      </c>
      <c r="W50" s="3">
        <f>SUM(T47:T50)</f>
        <v>4</v>
      </c>
      <c r="X50" s="5">
        <f>R50*T50/W50</f>
        <v>0.175</v>
      </c>
      <c r="Y50" s="6">
        <f>X50*S50</f>
        <v>0.175</v>
      </c>
      <c r="Z50" s="2" t="inlineStr">
        <is>
          <t>个人任务</t>
        </is>
      </c>
      <c r="AA50" s="2" t="n"/>
      <c r="AB50" s="2" t="inlineStr">
        <is>
          <t>挑战者庄园</t>
        </is>
      </c>
      <c r="AC50" s="2" t="inlineStr">
        <is>
          <t>玩家进攻胜利（attacker），非撤退，返程结算发放</t>
        </is>
      </c>
      <c r="AD50" s="2" t="inlineStr">
        <is>
          <t>data/mission_templates.yaml:L408:drop_table.wulong_equipment_pool</t>
        </is>
      </c>
    </row>
    <row r="51">
      <c r="A51" s="2" t="n">
        <v>7</v>
      </c>
      <c r="B51" s="2" t="inlineStr">
        <is>
          <t>wagangzhai</t>
        </is>
      </c>
      <c r="C51" s="2" t="inlineStr">
        <is>
          <t>瓦岗寨</t>
        </is>
      </c>
      <c r="D51" s="2" t="inlineStr">
        <is>
          <t>初级</t>
        </is>
      </c>
      <c r="E51" s="2" t="inlineStr">
        <is>
          <t>task1</t>
        </is>
      </c>
      <c r="F51" s="2" t="inlineStr">
        <is>
          <t>否</t>
        </is>
      </c>
      <c r="G51" s="2" t="inlineStr">
        <is>
          <t>否</t>
        </is>
      </c>
      <c r="H51" s="2" t="n">
        <v>3</v>
      </c>
      <c r="I51" s="2" t="n">
        <v>1800</v>
      </c>
      <c r="J51" s="2" t="inlineStr">
        <is>
          <t>每日开放</t>
        </is>
      </c>
      <c r="K51" s="2" t="inlineStr">
        <is>
          <t>无</t>
        </is>
      </c>
      <c r="L51" s="2" t="inlineStr">
        <is>
          <t>固定掉落</t>
        </is>
      </c>
      <c r="M51" s="2" t="inlineStr">
        <is>
          <t>silver</t>
        </is>
      </c>
      <c r="N51" s="2" t="inlineStr">
        <is>
          <t>silver</t>
        </is>
      </c>
      <c r="O51" s="2" t="inlineStr">
        <is>
          <t>银两</t>
        </is>
      </c>
      <c r="P51" s="2" t="inlineStr">
        <is>
          <t>资源</t>
        </is>
      </c>
      <c r="Q51" s="2" t="inlineStr">
        <is>
          <t>资源</t>
        </is>
      </c>
      <c r="R51" s="5" t="n">
        <v>1</v>
      </c>
      <c r="S51" s="2" t="n">
        <v>20000</v>
      </c>
      <c r="T51" s="2" t="n"/>
      <c r="U51" s="2" t="inlineStr">
        <is>
          <t>否</t>
        </is>
      </c>
      <c r="V51" s="2" t="inlineStr">
        <is>
          <t>20000</t>
        </is>
      </c>
      <c r="W51" s="2" t="n"/>
      <c r="X51" s="5">
        <f>R51</f>
        <v>1</v>
      </c>
      <c r="Y51" s="6">
        <f>X51*S51</f>
        <v>20000</v>
      </c>
      <c r="Z51" s="2" t="inlineStr">
        <is>
          <t>个人任务</t>
        </is>
      </c>
      <c r="AA51" s="2" t="n"/>
      <c r="AB51" s="2" t="inlineStr">
        <is>
          <t>挑战者庄园</t>
        </is>
      </c>
      <c r="AC51" s="2" t="inlineStr">
        <is>
          <t>玩家进攻胜利（attacker），非撤退，返程结算发放</t>
        </is>
      </c>
      <c r="AD51" s="2" t="inlineStr">
        <is>
          <t>data/mission_templates.yaml:L444:drop_table.silver</t>
        </is>
      </c>
    </row>
    <row r="52">
      <c r="A52" s="2" t="n">
        <v>7</v>
      </c>
      <c r="B52" s="2" t="inlineStr">
        <is>
          <t>wagangzhai</t>
        </is>
      </c>
      <c r="C52" s="2" t="inlineStr">
        <is>
          <t>瓦岗寨</t>
        </is>
      </c>
      <c r="D52" s="2" t="inlineStr">
        <is>
          <t>初级</t>
        </is>
      </c>
      <c r="E52" s="2" t="inlineStr">
        <is>
          <t>task1</t>
        </is>
      </c>
      <c r="F52" s="2" t="inlineStr">
        <is>
          <t>否</t>
        </is>
      </c>
      <c r="G52" s="2" t="inlineStr">
        <is>
          <t>否</t>
        </is>
      </c>
      <c r="H52" s="2" t="n">
        <v>3</v>
      </c>
      <c r="I52" s="2" t="n">
        <v>1800</v>
      </c>
      <c r="J52" s="2" t="inlineStr">
        <is>
          <t>每日开放</t>
        </is>
      </c>
      <c r="K52" s="2" t="inlineStr">
        <is>
          <t>无</t>
        </is>
      </c>
      <c r="L52" s="2" t="inlineStr">
        <is>
          <t>随机池掉落</t>
        </is>
      </c>
      <c r="M52" s="2" t="inlineStr">
        <is>
          <t>wagang_equipment_pool</t>
        </is>
      </c>
      <c r="N52" s="2" t="inlineStr">
        <is>
          <t>equip_suozijia</t>
        </is>
      </c>
      <c r="O52" s="2" t="inlineStr">
        <is>
          <t>锁子甲</t>
        </is>
      </c>
      <c r="P52" s="2" t="inlineStr">
        <is>
          <t>护甲</t>
        </is>
      </c>
      <c r="Q52" s="2" t="inlineStr">
        <is>
          <t>优秀/绿</t>
        </is>
      </c>
      <c r="R52" s="5" t="n">
        <v>0.75</v>
      </c>
      <c r="S52" s="2" t="n">
        <v>1</v>
      </c>
      <c r="T52" s="2" t="n">
        <v>1</v>
      </c>
      <c r="U52" s="2" t="inlineStr">
        <is>
          <t>是</t>
        </is>
      </c>
      <c r="V52" s="2" t="inlineStr">
        <is>
          <t>{"chance":0.75,"count":1,"choices":["equip_suozijia","equip_shanwenjia","equip_tiexianjia","equip_pofengji","equip_tongshanchui","equip_tiehufu","equip_yiqiyaopai","equip_xiliangma","equip_chibiao"]}</t>
        </is>
      </c>
      <c r="W52" s="3">
        <f>SUM(T52:T60)</f>
        <v>9</v>
      </c>
      <c r="X52" s="5">
        <f>R52*T52/W52</f>
        <v>0.08333333333333333</v>
      </c>
      <c r="Y52" s="6">
        <f>X52*S52</f>
        <v>0.08333333333333333</v>
      </c>
      <c r="Z52" s="2" t="inlineStr">
        <is>
          <t>个人任务</t>
        </is>
      </c>
      <c r="AA52" s="2" t="n"/>
      <c r="AB52" s="2" t="inlineStr">
        <is>
          <t>挑战者庄园</t>
        </is>
      </c>
      <c r="AC52" s="2" t="inlineStr">
        <is>
          <t>玩家进攻胜利（attacker），非撤退，返程结算发放</t>
        </is>
      </c>
      <c r="AD52" s="2" t="inlineStr">
        <is>
          <t>data/mission_templates.yaml:L444:drop_table.wagang_equipment_pool</t>
        </is>
      </c>
    </row>
    <row r="53">
      <c r="A53" s="2" t="n">
        <v>7</v>
      </c>
      <c r="B53" s="2" t="inlineStr">
        <is>
          <t>wagangzhai</t>
        </is>
      </c>
      <c r="C53" s="2" t="inlineStr">
        <is>
          <t>瓦岗寨</t>
        </is>
      </c>
      <c r="D53" s="2" t="inlineStr">
        <is>
          <t>初级</t>
        </is>
      </c>
      <c r="E53" s="2" t="inlineStr">
        <is>
          <t>task1</t>
        </is>
      </c>
      <c r="F53" s="2" t="inlineStr">
        <is>
          <t>否</t>
        </is>
      </c>
      <c r="G53" s="2" t="inlineStr">
        <is>
          <t>否</t>
        </is>
      </c>
      <c r="H53" s="2" t="n">
        <v>3</v>
      </c>
      <c r="I53" s="2" t="n">
        <v>1800</v>
      </c>
      <c r="J53" s="2" t="inlineStr">
        <is>
          <t>每日开放</t>
        </is>
      </c>
      <c r="K53" s="2" t="inlineStr">
        <is>
          <t>无</t>
        </is>
      </c>
      <c r="L53" s="2" t="inlineStr">
        <is>
          <t>随机池掉落</t>
        </is>
      </c>
      <c r="M53" s="2" t="inlineStr">
        <is>
          <t>wagang_equipment_pool</t>
        </is>
      </c>
      <c r="N53" s="2" t="inlineStr">
        <is>
          <t>equip_shanwenjia</t>
        </is>
      </c>
      <c r="O53" s="2" t="inlineStr">
        <is>
          <t>山纹甲</t>
        </is>
      </c>
      <c r="P53" s="2" t="inlineStr">
        <is>
          <t>护甲</t>
        </is>
      </c>
      <c r="Q53" s="2" t="inlineStr">
        <is>
          <t>优秀/绿</t>
        </is>
      </c>
      <c r="R53" s="5" t="n">
        <v>0.75</v>
      </c>
      <c r="S53" s="2" t="n">
        <v>1</v>
      </c>
      <c r="T53" s="2" t="n">
        <v>1</v>
      </c>
      <c r="U53" s="2" t="inlineStr">
        <is>
          <t>是</t>
        </is>
      </c>
      <c r="V53" s="2" t="inlineStr">
        <is>
          <t>{"chance":0.75,"count":1,"choices":["equip_suozijia","equip_shanwenjia","equip_tiexianjia","equip_pofengji","equip_tongshanchui","equip_tiehufu","equip_yiqiyaopai","equip_xiliangma","equip_chibiao"]}</t>
        </is>
      </c>
      <c r="W53" s="3">
        <f>SUM(T52:T60)</f>
        <v>9</v>
      </c>
      <c r="X53" s="5">
        <f>R53*T53/W53</f>
        <v>0.08333333333333333</v>
      </c>
      <c r="Y53" s="6">
        <f>X53*S53</f>
        <v>0.08333333333333333</v>
      </c>
      <c r="Z53" s="2" t="inlineStr">
        <is>
          <t>个人任务</t>
        </is>
      </c>
      <c r="AA53" s="2" t="n"/>
      <c r="AB53" s="2" t="inlineStr">
        <is>
          <t>挑战者庄园</t>
        </is>
      </c>
      <c r="AC53" s="2" t="inlineStr">
        <is>
          <t>玩家进攻胜利（attacker），非撤退，返程结算发放</t>
        </is>
      </c>
      <c r="AD53" s="2" t="inlineStr">
        <is>
          <t>data/mission_templates.yaml:L444:drop_table.wagang_equipment_pool</t>
        </is>
      </c>
    </row>
    <row r="54">
      <c r="A54" s="2" t="n">
        <v>7</v>
      </c>
      <c r="B54" s="2" t="inlineStr">
        <is>
          <t>wagangzhai</t>
        </is>
      </c>
      <c r="C54" s="2" t="inlineStr">
        <is>
          <t>瓦岗寨</t>
        </is>
      </c>
      <c r="D54" s="2" t="inlineStr">
        <is>
          <t>初级</t>
        </is>
      </c>
      <c r="E54" s="2" t="inlineStr">
        <is>
          <t>task1</t>
        </is>
      </c>
      <c r="F54" s="2" t="inlineStr">
        <is>
          <t>否</t>
        </is>
      </c>
      <c r="G54" s="2" t="inlineStr">
        <is>
          <t>否</t>
        </is>
      </c>
      <c r="H54" s="2" t="n">
        <v>3</v>
      </c>
      <c r="I54" s="2" t="n">
        <v>1800</v>
      </c>
      <c r="J54" s="2" t="inlineStr">
        <is>
          <t>每日开放</t>
        </is>
      </c>
      <c r="K54" s="2" t="inlineStr">
        <is>
          <t>无</t>
        </is>
      </c>
      <c r="L54" s="2" t="inlineStr">
        <is>
          <t>随机池掉落</t>
        </is>
      </c>
      <c r="M54" s="2" t="inlineStr">
        <is>
          <t>wagang_equipment_pool</t>
        </is>
      </c>
      <c r="N54" s="2" t="inlineStr">
        <is>
          <t>equip_tiexianjia</t>
        </is>
      </c>
      <c r="O54" s="2" t="inlineStr">
        <is>
          <t>铁线甲</t>
        </is>
      </c>
      <c r="P54" s="2" t="inlineStr">
        <is>
          <t>护甲</t>
        </is>
      </c>
      <c r="Q54" s="2" t="inlineStr">
        <is>
          <t>优秀/绿</t>
        </is>
      </c>
      <c r="R54" s="5" t="n">
        <v>0.75</v>
      </c>
      <c r="S54" s="2" t="n">
        <v>1</v>
      </c>
      <c r="T54" s="2" t="n">
        <v>1</v>
      </c>
      <c r="U54" s="2" t="inlineStr">
        <is>
          <t>是</t>
        </is>
      </c>
      <c r="V54" s="2" t="inlineStr">
        <is>
          <t>{"chance":0.75,"count":1,"choices":["equip_suozijia","equip_shanwenjia","equip_tiexianjia","equip_pofengji","equip_tongshanchui","equip_tiehufu","equip_yiqiyaopai","equip_xiliangma","equip_chibiao"]}</t>
        </is>
      </c>
      <c r="W54" s="3">
        <f>SUM(T52:T60)</f>
        <v>9</v>
      </c>
      <c r="X54" s="5">
        <f>R54*T54/W54</f>
        <v>0.08333333333333333</v>
      </c>
      <c r="Y54" s="6">
        <f>X54*S54</f>
        <v>0.08333333333333333</v>
      </c>
      <c r="Z54" s="2" t="inlineStr">
        <is>
          <t>个人任务</t>
        </is>
      </c>
      <c r="AA54" s="2" t="n"/>
      <c r="AB54" s="2" t="inlineStr">
        <is>
          <t>挑战者庄园</t>
        </is>
      </c>
      <c r="AC54" s="2" t="inlineStr">
        <is>
          <t>玩家进攻胜利（attacker），非撤退，返程结算发放</t>
        </is>
      </c>
      <c r="AD54" s="2" t="inlineStr">
        <is>
          <t>data/mission_templates.yaml:L444:drop_table.wagang_equipment_pool</t>
        </is>
      </c>
    </row>
    <row r="55">
      <c r="A55" s="2" t="n">
        <v>7</v>
      </c>
      <c r="B55" s="2" t="inlineStr">
        <is>
          <t>wagangzhai</t>
        </is>
      </c>
      <c r="C55" s="2" t="inlineStr">
        <is>
          <t>瓦岗寨</t>
        </is>
      </c>
      <c r="D55" s="2" t="inlineStr">
        <is>
          <t>初级</t>
        </is>
      </c>
      <c r="E55" s="2" t="inlineStr">
        <is>
          <t>task1</t>
        </is>
      </c>
      <c r="F55" s="2" t="inlineStr">
        <is>
          <t>否</t>
        </is>
      </c>
      <c r="G55" s="2" t="inlineStr">
        <is>
          <t>否</t>
        </is>
      </c>
      <c r="H55" s="2" t="n">
        <v>3</v>
      </c>
      <c r="I55" s="2" t="n">
        <v>1800</v>
      </c>
      <c r="J55" s="2" t="inlineStr">
        <is>
          <t>每日开放</t>
        </is>
      </c>
      <c r="K55" s="2" t="inlineStr">
        <is>
          <t>无</t>
        </is>
      </c>
      <c r="L55" s="2" t="inlineStr">
        <is>
          <t>随机池掉落</t>
        </is>
      </c>
      <c r="M55" s="2" t="inlineStr">
        <is>
          <t>wagang_equipment_pool</t>
        </is>
      </c>
      <c r="N55" s="2" t="inlineStr">
        <is>
          <t>equip_pofengji</t>
        </is>
      </c>
      <c r="O55" s="2" t="inlineStr">
        <is>
          <t>破风戟</t>
        </is>
      </c>
      <c r="P55" s="2" t="inlineStr">
        <is>
          <t>武器</t>
        </is>
      </c>
      <c r="Q55" s="2" t="inlineStr">
        <is>
          <t>优秀/绿</t>
        </is>
      </c>
      <c r="R55" s="5" t="n">
        <v>0.75</v>
      </c>
      <c r="S55" s="2" t="n">
        <v>1</v>
      </c>
      <c r="T55" s="2" t="n">
        <v>1</v>
      </c>
      <c r="U55" s="2" t="inlineStr">
        <is>
          <t>是</t>
        </is>
      </c>
      <c r="V55" s="2" t="inlineStr">
        <is>
          <t>{"chance":0.75,"count":1,"choices":["equip_suozijia","equip_shanwenjia","equip_tiexianjia","equip_pofengji","equip_tongshanchui","equip_tiehufu","equip_yiqiyaopai","equip_xiliangma","equip_chibiao"]}</t>
        </is>
      </c>
      <c r="W55" s="3">
        <f>SUM(T52:T60)</f>
        <v>9</v>
      </c>
      <c r="X55" s="5">
        <f>R55*T55/W55</f>
        <v>0.08333333333333333</v>
      </c>
      <c r="Y55" s="6">
        <f>X55*S55</f>
        <v>0.08333333333333333</v>
      </c>
      <c r="Z55" s="2" t="inlineStr">
        <is>
          <t>个人任务</t>
        </is>
      </c>
      <c r="AA55" s="2" t="n"/>
      <c r="AB55" s="2" t="inlineStr">
        <is>
          <t>挑战者庄园</t>
        </is>
      </c>
      <c r="AC55" s="2" t="inlineStr">
        <is>
          <t>玩家进攻胜利（attacker），非撤退，返程结算发放</t>
        </is>
      </c>
      <c r="AD55" s="2" t="inlineStr">
        <is>
          <t>data/mission_templates.yaml:L444:drop_table.wagang_equipment_pool</t>
        </is>
      </c>
    </row>
    <row r="56">
      <c r="A56" s="2" t="n">
        <v>7</v>
      </c>
      <c r="B56" s="2" t="inlineStr">
        <is>
          <t>wagangzhai</t>
        </is>
      </c>
      <c r="C56" s="2" t="inlineStr">
        <is>
          <t>瓦岗寨</t>
        </is>
      </c>
      <c r="D56" s="2" t="inlineStr">
        <is>
          <t>初级</t>
        </is>
      </c>
      <c r="E56" s="2" t="inlineStr">
        <is>
          <t>task1</t>
        </is>
      </c>
      <c r="F56" s="2" t="inlineStr">
        <is>
          <t>否</t>
        </is>
      </c>
      <c r="G56" s="2" t="inlineStr">
        <is>
          <t>否</t>
        </is>
      </c>
      <c r="H56" s="2" t="n">
        <v>3</v>
      </c>
      <c r="I56" s="2" t="n">
        <v>1800</v>
      </c>
      <c r="J56" s="2" t="inlineStr">
        <is>
          <t>每日开放</t>
        </is>
      </c>
      <c r="K56" s="2" t="inlineStr">
        <is>
          <t>无</t>
        </is>
      </c>
      <c r="L56" s="2" t="inlineStr">
        <is>
          <t>随机池掉落</t>
        </is>
      </c>
      <c r="M56" s="2" t="inlineStr">
        <is>
          <t>wagang_equipment_pool</t>
        </is>
      </c>
      <c r="N56" s="2" t="inlineStr">
        <is>
          <t>equip_tongshanchui</t>
        </is>
      </c>
      <c r="O56" s="2" t="inlineStr">
        <is>
          <t>铜山锤</t>
        </is>
      </c>
      <c r="P56" s="2" t="inlineStr">
        <is>
          <t>武器</t>
        </is>
      </c>
      <c r="Q56" s="2" t="inlineStr">
        <is>
          <t>优秀/绿</t>
        </is>
      </c>
      <c r="R56" s="5" t="n">
        <v>0.75</v>
      </c>
      <c r="S56" s="2" t="n">
        <v>1</v>
      </c>
      <c r="T56" s="2" t="n">
        <v>1</v>
      </c>
      <c r="U56" s="2" t="inlineStr">
        <is>
          <t>是</t>
        </is>
      </c>
      <c r="V56" s="2" t="inlineStr">
        <is>
          <t>{"chance":0.75,"count":1,"choices":["equip_suozijia","equip_shanwenjia","equip_tiexianjia","equip_pofengji","equip_tongshanchui","equip_tiehufu","equip_yiqiyaopai","equip_xiliangma","equip_chibiao"]}</t>
        </is>
      </c>
      <c r="W56" s="3">
        <f>SUM(T52:T60)</f>
        <v>9</v>
      </c>
      <c r="X56" s="5">
        <f>R56*T56/W56</f>
        <v>0.08333333333333333</v>
      </c>
      <c r="Y56" s="6">
        <f>X56*S56</f>
        <v>0.08333333333333333</v>
      </c>
      <c r="Z56" s="2" t="inlineStr">
        <is>
          <t>个人任务</t>
        </is>
      </c>
      <c r="AA56" s="2" t="n"/>
      <c r="AB56" s="2" t="inlineStr">
        <is>
          <t>挑战者庄园</t>
        </is>
      </c>
      <c r="AC56" s="2" t="inlineStr">
        <is>
          <t>玩家进攻胜利（attacker），非撤退，返程结算发放</t>
        </is>
      </c>
      <c r="AD56" s="2" t="inlineStr">
        <is>
          <t>data/mission_templates.yaml:L444:drop_table.wagang_equipment_pool</t>
        </is>
      </c>
    </row>
    <row r="57">
      <c r="A57" s="2" t="n">
        <v>7</v>
      </c>
      <c r="B57" s="2" t="inlineStr">
        <is>
          <t>wagangzhai</t>
        </is>
      </c>
      <c r="C57" s="2" t="inlineStr">
        <is>
          <t>瓦岗寨</t>
        </is>
      </c>
      <c r="D57" s="2" t="inlineStr">
        <is>
          <t>初级</t>
        </is>
      </c>
      <c r="E57" s="2" t="inlineStr">
        <is>
          <t>task1</t>
        </is>
      </c>
      <c r="F57" s="2" t="inlineStr">
        <is>
          <t>否</t>
        </is>
      </c>
      <c r="G57" s="2" t="inlineStr">
        <is>
          <t>否</t>
        </is>
      </c>
      <c r="H57" s="2" t="n">
        <v>3</v>
      </c>
      <c r="I57" s="2" t="n">
        <v>1800</v>
      </c>
      <c r="J57" s="2" t="inlineStr">
        <is>
          <t>每日开放</t>
        </is>
      </c>
      <c r="K57" s="2" t="inlineStr">
        <is>
          <t>无</t>
        </is>
      </c>
      <c r="L57" s="2" t="inlineStr">
        <is>
          <t>随机池掉落</t>
        </is>
      </c>
      <c r="M57" s="2" t="inlineStr">
        <is>
          <t>wagang_equipment_pool</t>
        </is>
      </c>
      <c r="N57" s="2" t="inlineStr">
        <is>
          <t>equip_tiehufu</t>
        </is>
      </c>
      <c r="O57" s="2" t="inlineStr">
        <is>
          <t>铁护符</t>
        </is>
      </c>
      <c r="P57" s="2" t="inlineStr">
        <is>
          <t>饰品</t>
        </is>
      </c>
      <c r="Q57" s="2" t="inlineStr">
        <is>
          <t>优秀/绿</t>
        </is>
      </c>
      <c r="R57" s="5" t="n">
        <v>0.75</v>
      </c>
      <c r="S57" s="2" t="n">
        <v>1</v>
      </c>
      <c r="T57" s="2" t="n">
        <v>1</v>
      </c>
      <c r="U57" s="2" t="inlineStr">
        <is>
          <t>是</t>
        </is>
      </c>
      <c r="V57" s="2" t="inlineStr">
        <is>
          <t>{"chance":0.75,"count":1,"choices":["equip_suozijia","equip_shanwenjia","equip_tiexianjia","equip_pofengji","equip_tongshanchui","equip_tiehufu","equip_yiqiyaopai","equip_xiliangma","equip_chibiao"]}</t>
        </is>
      </c>
      <c r="W57" s="3">
        <f>SUM(T52:T60)</f>
        <v>9</v>
      </c>
      <c r="X57" s="5">
        <f>R57*T57/W57</f>
        <v>0.08333333333333333</v>
      </c>
      <c r="Y57" s="6">
        <f>X57*S57</f>
        <v>0.08333333333333333</v>
      </c>
      <c r="Z57" s="2" t="inlineStr">
        <is>
          <t>个人任务</t>
        </is>
      </c>
      <c r="AA57" s="2" t="n"/>
      <c r="AB57" s="2" t="inlineStr">
        <is>
          <t>挑战者庄园</t>
        </is>
      </c>
      <c r="AC57" s="2" t="inlineStr">
        <is>
          <t>玩家进攻胜利（attacker），非撤退，返程结算发放</t>
        </is>
      </c>
      <c r="AD57" s="2" t="inlineStr">
        <is>
          <t>data/mission_templates.yaml:L444:drop_table.wagang_equipment_pool</t>
        </is>
      </c>
    </row>
    <row r="58">
      <c r="A58" s="2" t="n">
        <v>7</v>
      </c>
      <c r="B58" s="2" t="inlineStr">
        <is>
          <t>wagangzhai</t>
        </is>
      </c>
      <c r="C58" s="2" t="inlineStr">
        <is>
          <t>瓦岗寨</t>
        </is>
      </c>
      <c r="D58" s="2" t="inlineStr">
        <is>
          <t>初级</t>
        </is>
      </c>
      <c r="E58" s="2" t="inlineStr">
        <is>
          <t>task1</t>
        </is>
      </c>
      <c r="F58" s="2" t="inlineStr">
        <is>
          <t>否</t>
        </is>
      </c>
      <c r="G58" s="2" t="inlineStr">
        <is>
          <t>否</t>
        </is>
      </c>
      <c r="H58" s="2" t="n">
        <v>3</v>
      </c>
      <c r="I58" s="2" t="n">
        <v>1800</v>
      </c>
      <c r="J58" s="2" t="inlineStr">
        <is>
          <t>每日开放</t>
        </is>
      </c>
      <c r="K58" s="2" t="inlineStr">
        <is>
          <t>无</t>
        </is>
      </c>
      <c r="L58" s="2" t="inlineStr">
        <is>
          <t>随机池掉落</t>
        </is>
      </c>
      <c r="M58" s="2" t="inlineStr">
        <is>
          <t>wagang_equipment_pool</t>
        </is>
      </c>
      <c r="N58" s="2" t="inlineStr">
        <is>
          <t>equip_yiqiyaopai</t>
        </is>
      </c>
      <c r="O58" s="2" t="inlineStr">
        <is>
          <t>义气腰牌</t>
        </is>
      </c>
      <c r="P58" s="2" t="inlineStr">
        <is>
          <t>饰品</t>
        </is>
      </c>
      <c r="Q58" s="2" t="inlineStr">
        <is>
          <t>优秀/绿</t>
        </is>
      </c>
      <c r="R58" s="5" t="n">
        <v>0.75</v>
      </c>
      <c r="S58" s="2" t="n">
        <v>1</v>
      </c>
      <c r="T58" s="2" t="n">
        <v>1</v>
      </c>
      <c r="U58" s="2" t="inlineStr">
        <is>
          <t>是</t>
        </is>
      </c>
      <c r="V58" s="2" t="inlineStr">
        <is>
          <t>{"chance":0.75,"count":1,"choices":["equip_suozijia","equip_shanwenjia","equip_tiexianjia","equip_pofengji","equip_tongshanchui","equip_tiehufu","equip_yiqiyaopai","equip_xiliangma","equip_chibiao"]}</t>
        </is>
      </c>
      <c r="W58" s="3">
        <f>SUM(T52:T60)</f>
        <v>9</v>
      </c>
      <c r="X58" s="5">
        <f>R58*T58/W58</f>
        <v>0.08333333333333333</v>
      </c>
      <c r="Y58" s="6">
        <f>X58*S58</f>
        <v>0.08333333333333333</v>
      </c>
      <c r="Z58" s="2" t="inlineStr">
        <is>
          <t>个人任务</t>
        </is>
      </c>
      <c r="AA58" s="2" t="n"/>
      <c r="AB58" s="2" t="inlineStr">
        <is>
          <t>挑战者庄园</t>
        </is>
      </c>
      <c r="AC58" s="2" t="inlineStr">
        <is>
          <t>玩家进攻胜利（attacker），非撤退，返程结算发放</t>
        </is>
      </c>
      <c r="AD58" s="2" t="inlineStr">
        <is>
          <t>data/mission_templates.yaml:L444:drop_table.wagang_equipment_pool</t>
        </is>
      </c>
    </row>
    <row r="59">
      <c r="A59" s="2" t="n">
        <v>7</v>
      </c>
      <c r="B59" s="2" t="inlineStr">
        <is>
          <t>wagangzhai</t>
        </is>
      </c>
      <c r="C59" s="2" t="inlineStr">
        <is>
          <t>瓦岗寨</t>
        </is>
      </c>
      <c r="D59" s="2" t="inlineStr">
        <is>
          <t>初级</t>
        </is>
      </c>
      <c r="E59" s="2" t="inlineStr">
        <is>
          <t>task1</t>
        </is>
      </c>
      <c r="F59" s="2" t="inlineStr">
        <is>
          <t>否</t>
        </is>
      </c>
      <c r="G59" s="2" t="inlineStr">
        <is>
          <t>否</t>
        </is>
      </c>
      <c r="H59" s="2" t="n">
        <v>3</v>
      </c>
      <c r="I59" s="2" t="n">
        <v>1800</v>
      </c>
      <c r="J59" s="2" t="inlineStr">
        <is>
          <t>每日开放</t>
        </is>
      </c>
      <c r="K59" s="2" t="inlineStr">
        <is>
          <t>无</t>
        </is>
      </c>
      <c r="L59" s="2" t="inlineStr">
        <is>
          <t>随机池掉落</t>
        </is>
      </c>
      <c r="M59" s="2" t="inlineStr">
        <is>
          <t>wagang_equipment_pool</t>
        </is>
      </c>
      <c r="N59" s="2" t="inlineStr">
        <is>
          <t>equip_xiliangma</t>
        </is>
      </c>
      <c r="O59" s="2" t="inlineStr">
        <is>
          <t>西凉马</t>
        </is>
      </c>
      <c r="P59" s="2" t="inlineStr">
        <is>
          <t>坐骑</t>
        </is>
      </c>
      <c r="Q59" s="2" t="inlineStr">
        <is>
          <t>优秀/绿</t>
        </is>
      </c>
      <c r="R59" s="5" t="n">
        <v>0.75</v>
      </c>
      <c r="S59" s="2" t="n">
        <v>1</v>
      </c>
      <c r="T59" s="2" t="n">
        <v>1</v>
      </c>
      <c r="U59" s="2" t="inlineStr">
        <is>
          <t>是</t>
        </is>
      </c>
      <c r="V59" s="2" t="inlineStr">
        <is>
          <t>{"chance":0.75,"count":1,"choices":["equip_suozijia","equip_shanwenjia","equip_tiexianjia","equip_pofengji","equip_tongshanchui","equip_tiehufu","equip_yiqiyaopai","equip_xiliangma","equip_chibiao"]}</t>
        </is>
      </c>
      <c r="W59" s="3">
        <f>SUM(T52:T60)</f>
        <v>9</v>
      </c>
      <c r="X59" s="5">
        <f>R59*T59/W59</f>
        <v>0.08333333333333333</v>
      </c>
      <c r="Y59" s="6">
        <f>X59*S59</f>
        <v>0.08333333333333333</v>
      </c>
      <c r="Z59" s="2" t="inlineStr">
        <is>
          <t>个人任务</t>
        </is>
      </c>
      <c r="AA59" s="2" t="n"/>
      <c r="AB59" s="2" t="inlineStr">
        <is>
          <t>挑战者庄园</t>
        </is>
      </c>
      <c r="AC59" s="2" t="inlineStr">
        <is>
          <t>玩家进攻胜利（attacker），非撤退，返程结算发放</t>
        </is>
      </c>
      <c r="AD59" s="2" t="inlineStr">
        <is>
          <t>data/mission_templates.yaml:L444:drop_table.wagang_equipment_pool</t>
        </is>
      </c>
    </row>
    <row r="60">
      <c r="A60" s="2" t="n">
        <v>7</v>
      </c>
      <c r="B60" s="2" t="inlineStr">
        <is>
          <t>wagangzhai</t>
        </is>
      </c>
      <c r="C60" s="2" t="inlineStr">
        <is>
          <t>瓦岗寨</t>
        </is>
      </c>
      <c r="D60" s="2" t="inlineStr">
        <is>
          <t>初级</t>
        </is>
      </c>
      <c r="E60" s="2" t="inlineStr">
        <is>
          <t>task1</t>
        </is>
      </c>
      <c r="F60" s="2" t="inlineStr">
        <is>
          <t>否</t>
        </is>
      </c>
      <c r="G60" s="2" t="inlineStr">
        <is>
          <t>否</t>
        </is>
      </c>
      <c r="H60" s="2" t="n">
        <v>3</v>
      </c>
      <c r="I60" s="2" t="n">
        <v>1800</v>
      </c>
      <c r="J60" s="2" t="inlineStr">
        <is>
          <t>每日开放</t>
        </is>
      </c>
      <c r="K60" s="2" t="inlineStr">
        <is>
          <t>无</t>
        </is>
      </c>
      <c r="L60" s="2" t="inlineStr">
        <is>
          <t>随机池掉落</t>
        </is>
      </c>
      <c r="M60" s="2" t="inlineStr">
        <is>
          <t>wagang_equipment_pool</t>
        </is>
      </c>
      <c r="N60" s="2" t="inlineStr">
        <is>
          <t>equip_chibiao</t>
        </is>
      </c>
      <c r="O60" s="2" t="inlineStr">
        <is>
          <t>赤骠</t>
        </is>
      </c>
      <c r="P60" s="2" t="inlineStr">
        <is>
          <t>坐骑</t>
        </is>
      </c>
      <c r="Q60" s="2" t="inlineStr">
        <is>
          <t>优秀/绿</t>
        </is>
      </c>
      <c r="R60" s="5" t="n">
        <v>0.75</v>
      </c>
      <c r="S60" s="2" t="n">
        <v>1</v>
      </c>
      <c r="T60" s="2" t="n">
        <v>1</v>
      </c>
      <c r="U60" s="2" t="inlineStr">
        <is>
          <t>是</t>
        </is>
      </c>
      <c r="V60" s="2" t="inlineStr">
        <is>
          <t>{"chance":0.75,"count":1,"choices":["equip_suozijia","equip_shanwenjia","equip_tiexianjia","equip_pofengji","equip_tongshanchui","equip_tiehufu","equip_yiqiyaopai","equip_xiliangma","equip_chibiao"]}</t>
        </is>
      </c>
      <c r="W60" s="3">
        <f>SUM(T52:T60)</f>
        <v>9</v>
      </c>
      <c r="X60" s="5">
        <f>R60*T60/W60</f>
        <v>0.08333333333333333</v>
      </c>
      <c r="Y60" s="6">
        <f>X60*S60</f>
        <v>0.08333333333333333</v>
      </c>
      <c r="Z60" s="2" t="inlineStr">
        <is>
          <t>个人任务</t>
        </is>
      </c>
      <c r="AA60" s="2" t="n"/>
      <c r="AB60" s="2" t="inlineStr">
        <is>
          <t>挑战者庄园</t>
        </is>
      </c>
      <c r="AC60" s="2" t="inlineStr">
        <is>
          <t>玩家进攻胜利（attacker），非撤退，返程结算发放</t>
        </is>
      </c>
      <c r="AD60" s="2" t="inlineStr">
        <is>
          <t>data/mission_templates.yaml:L444:drop_table.wagang_equipment_pool</t>
        </is>
      </c>
    </row>
    <row r="61">
      <c r="A61" s="2" t="n">
        <v>8</v>
      </c>
      <c r="B61" s="2" t="inlineStr">
        <is>
          <t>fugui_shanzhuang</t>
        </is>
      </c>
      <c r="C61" s="2" t="inlineStr">
        <is>
          <t>富贵山庄</t>
        </is>
      </c>
      <c r="D61" s="2" t="inlineStr">
        <is>
          <t>初级</t>
        </is>
      </c>
      <c r="E61" s="2" t="inlineStr">
        <is>
          <t>task1</t>
        </is>
      </c>
      <c r="F61" s="2" t="inlineStr">
        <is>
          <t>否</t>
        </is>
      </c>
      <c r="G61" s="2" t="inlineStr">
        <is>
          <t>是</t>
        </is>
      </c>
      <c r="H61" s="2" t="n">
        <v>3</v>
      </c>
      <c r="I61" s="2" t="n">
        <v>1800</v>
      </c>
      <c r="J61" s="2" t="inlineStr">
        <is>
          <t>每日开放</t>
        </is>
      </c>
      <c r="K61" s="2" t="inlineStr">
        <is>
          <t>无</t>
        </is>
      </c>
      <c r="L61" s="2" t="inlineStr">
        <is>
          <t>固定掉落</t>
        </is>
      </c>
      <c r="M61" s="2" t="inlineStr">
        <is>
          <t>silver</t>
        </is>
      </c>
      <c r="N61" s="2" t="inlineStr">
        <is>
          <t>silver</t>
        </is>
      </c>
      <c r="O61" s="2" t="inlineStr">
        <is>
          <t>银两</t>
        </is>
      </c>
      <c r="P61" s="2" t="inlineStr">
        <is>
          <t>资源</t>
        </is>
      </c>
      <c r="Q61" s="2" t="inlineStr">
        <is>
          <t>资源</t>
        </is>
      </c>
      <c r="R61" s="5" t="n">
        <v>1</v>
      </c>
      <c r="S61" s="2" t="n">
        <v>14000</v>
      </c>
      <c r="T61" s="2" t="n"/>
      <c r="U61" s="2" t="inlineStr">
        <is>
          <t>否</t>
        </is>
      </c>
      <c r="V61" s="2" t="inlineStr">
        <is>
          <t>14000</t>
        </is>
      </c>
      <c r="W61" s="2" t="n"/>
      <c r="X61" s="5">
        <f>R61</f>
        <v>1</v>
      </c>
      <c r="Y61" s="6">
        <f>X61*S61</f>
        <v>14000</v>
      </c>
      <c r="Z61" s="2" t="inlineStr">
        <is>
          <t>个人任务</t>
        </is>
      </c>
      <c r="AA61" s="2" t="n"/>
      <c r="AB61" s="2" t="inlineStr">
        <is>
          <t>挑战者庄园</t>
        </is>
      </c>
      <c r="AC61" s="2" t="inlineStr">
        <is>
          <t>玩家进攻胜利（attacker），非撤退，返程结算发放</t>
        </is>
      </c>
      <c r="AD61" s="2" t="inlineStr">
        <is>
          <t>data/mission_templates.yaml:L482:drop_table.silver</t>
        </is>
      </c>
    </row>
    <row r="62">
      <c r="A62" s="2" t="n">
        <v>8</v>
      </c>
      <c r="B62" s="2" t="inlineStr">
        <is>
          <t>fugui_shanzhuang</t>
        </is>
      </c>
      <c r="C62" s="2" t="inlineStr">
        <is>
          <t>富贵山庄</t>
        </is>
      </c>
      <c r="D62" s="2" t="inlineStr">
        <is>
          <t>初级</t>
        </is>
      </c>
      <c r="E62" s="2" t="inlineStr">
        <is>
          <t>task1</t>
        </is>
      </c>
      <c r="F62" s="2" t="inlineStr">
        <is>
          <t>否</t>
        </is>
      </c>
      <c r="G62" s="2" t="inlineStr">
        <is>
          <t>是</t>
        </is>
      </c>
      <c r="H62" s="2" t="n">
        <v>3</v>
      </c>
      <c r="I62" s="2" t="n">
        <v>1800</v>
      </c>
      <c r="J62" s="2" t="inlineStr">
        <is>
          <t>每日开放</t>
        </is>
      </c>
      <c r="K62" s="2" t="inlineStr">
        <is>
          <t>无</t>
        </is>
      </c>
      <c r="L62" s="2" t="inlineStr">
        <is>
          <t>概率掉落</t>
        </is>
      </c>
      <c r="M62" s="2" t="inlineStr">
        <is>
          <t>book_steadfast_planning</t>
        </is>
      </c>
      <c r="N62" s="2" t="inlineStr">
        <is>
          <t>book_steadfast_planning</t>
        </is>
      </c>
      <c r="O62" s="2" t="inlineStr">
        <is>
          <t>《静水筹谋》秘术</t>
        </is>
      </c>
      <c r="P62" s="2" t="inlineStr">
        <is>
          <t>技能书</t>
        </is>
      </c>
      <c r="Q62" s="2" t="inlineStr">
        <is>
          <t>优秀/绿</t>
        </is>
      </c>
      <c r="R62" s="5" t="n">
        <v>0.05</v>
      </c>
      <c r="S62" s="2" t="n">
        <v>1</v>
      </c>
      <c r="T62" s="2" t="n"/>
      <c r="U62" s="2" t="inlineStr">
        <is>
          <t>否</t>
        </is>
      </c>
      <c r="V62" s="2" t="inlineStr">
        <is>
          <t>0.05</t>
        </is>
      </c>
      <c r="W62" s="2" t="n"/>
      <c r="X62" s="5">
        <f>R62</f>
        <v>0.05</v>
      </c>
      <c r="Y62" s="6">
        <f>X62*S62</f>
        <v>0.05</v>
      </c>
      <c r="Z62" s="2" t="inlineStr">
        <is>
          <t>个人任务</t>
        </is>
      </c>
      <c r="AA62" s="2" t="n"/>
      <c r="AB62" s="2" t="inlineStr">
        <is>
          <t>挑战者庄园</t>
        </is>
      </c>
      <c r="AC62" s="2" t="inlineStr">
        <is>
          <t>玩家进攻胜利（attacker），非撤退，返程结算发放</t>
        </is>
      </c>
      <c r="AD62" s="2" t="inlineStr">
        <is>
          <t>data/mission_templates.yaml:L482:drop_table.book_steadfast_planning</t>
        </is>
      </c>
    </row>
    <row r="63">
      <c r="A63" s="2" t="n">
        <v>8</v>
      </c>
      <c r="B63" s="2" t="inlineStr">
        <is>
          <t>fugui_shanzhuang</t>
        </is>
      </c>
      <c r="C63" s="2" t="inlineStr">
        <is>
          <t>富贵山庄</t>
        </is>
      </c>
      <c r="D63" s="2" t="inlineStr">
        <is>
          <t>初级</t>
        </is>
      </c>
      <c r="E63" s="2" t="inlineStr">
        <is>
          <t>task1</t>
        </is>
      </c>
      <c r="F63" s="2" t="inlineStr">
        <is>
          <t>否</t>
        </is>
      </c>
      <c r="G63" s="2" t="inlineStr">
        <is>
          <t>是</t>
        </is>
      </c>
      <c r="H63" s="2" t="n">
        <v>3</v>
      </c>
      <c r="I63" s="2" t="n">
        <v>1800</v>
      </c>
      <c r="J63" s="2" t="inlineStr">
        <is>
          <t>每日开放</t>
        </is>
      </c>
      <c r="K63" s="2" t="inlineStr">
        <is>
          <t>无</t>
        </is>
      </c>
      <c r="L63" s="2" t="inlineStr">
        <is>
          <t>随机池掉落</t>
        </is>
      </c>
      <c r="M63" s="2" t="inlineStr">
        <is>
          <t>fugui_equipment_pool</t>
        </is>
      </c>
      <c r="N63" s="2" t="inlineStr">
        <is>
          <t>equip_yupei</t>
        </is>
      </c>
      <c r="O63" s="2" t="inlineStr">
        <is>
          <t>玉佩</t>
        </is>
      </c>
      <c r="P63" s="2" t="inlineStr">
        <is>
          <t>饰品</t>
        </is>
      </c>
      <c r="Q63" s="2" t="inlineStr">
        <is>
          <t>优秀/绿</t>
        </is>
      </c>
      <c r="R63" s="5" t="n">
        <v>0.8</v>
      </c>
      <c r="S63" s="2" t="n">
        <v>1</v>
      </c>
      <c r="T63" s="2" t="n">
        <v>1</v>
      </c>
      <c r="U63" s="2" t="inlineStr">
        <is>
          <t>是</t>
        </is>
      </c>
      <c r="V63" s="2" t="inlineStr">
        <is>
          <t>{"chance":0.8,"count":1,"choices":["equip_yupei","equip_fudai","equip_zhujian","equip_moyuyan"]}</t>
        </is>
      </c>
      <c r="W63" s="3">
        <f>SUM(T63:T66)</f>
        <v>4</v>
      </c>
      <c r="X63" s="5">
        <f>R63*T63/W63</f>
        <v>0.2</v>
      </c>
      <c r="Y63" s="6">
        <f>X63*S63</f>
        <v>0.2</v>
      </c>
      <c r="Z63" s="2" t="inlineStr">
        <is>
          <t>个人任务</t>
        </is>
      </c>
      <c r="AA63" s="2" t="n"/>
      <c r="AB63" s="2" t="inlineStr">
        <is>
          <t>挑战者庄园</t>
        </is>
      </c>
      <c r="AC63" s="2" t="inlineStr">
        <is>
          <t>玩家进攻胜利（attacker），非撤退，返程结算发放</t>
        </is>
      </c>
      <c r="AD63" s="2" t="inlineStr">
        <is>
          <t>data/mission_templates.yaml:L482:drop_table.fugui_equipment_pool</t>
        </is>
      </c>
    </row>
    <row r="64">
      <c r="A64" s="2" t="n">
        <v>8</v>
      </c>
      <c r="B64" s="2" t="inlineStr">
        <is>
          <t>fugui_shanzhuang</t>
        </is>
      </c>
      <c r="C64" s="2" t="inlineStr">
        <is>
          <t>富贵山庄</t>
        </is>
      </c>
      <c r="D64" s="2" t="inlineStr">
        <is>
          <t>初级</t>
        </is>
      </c>
      <c r="E64" s="2" t="inlineStr">
        <is>
          <t>task1</t>
        </is>
      </c>
      <c r="F64" s="2" t="inlineStr">
        <is>
          <t>否</t>
        </is>
      </c>
      <c r="G64" s="2" t="inlineStr">
        <is>
          <t>是</t>
        </is>
      </c>
      <c r="H64" s="2" t="n">
        <v>3</v>
      </c>
      <c r="I64" s="2" t="n">
        <v>1800</v>
      </c>
      <c r="J64" s="2" t="inlineStr">
        <is>
          <t>每日开放</t>
        </is>
      </c>
      <c r="K64" s="2" t="inlineStr">
        <is>
          <t>无</t>
        </is>
      </c>
      <c r="L64" s="2" t="inlineStr">
        <is>
          <t>随机池掉落</t>
        </is>
      </c>
      <c r="M64" s="2" t="inlineStr">
        <is>
          <t>fugui_equipment_pool</t>
        </is>
      </c>
      <c r="N64" s="2" t="inlineStr">
        <is>
          <t>equip_fudai</t>
        </is>
      </c>
      <c r="O64" s="2" t="inlineStr">
        <is>
          <t>福袋</t>
        </is>
      </c>
      <c r="P64" s="2" t="inlineStr">
        <is>
          <t>饰品</t>
        </is>
      </c>
      <c r="Q64" s="2" t="inlineStr">
        <is>
          <t>优秀/绿</t>
        </is>
      </c>
      <c r="R64" s="5" t="n">
        <v>0.8</v>
      </c>
      <c r="S64" s="2" t="n">
        <v>1</v>
      </c>
      <c r="T64" s="2" t="n">
        <v>1</v>
      </c>
      <c r="U64" s="2" t="inlineStr">
        <is>
          <t>是</t>
        </is>
      </c>
      <c r="V64" s="2" t="inlineStr">
        <is>
          <t>{"chance":0.8,"count":1,"choices":["equip_yupei","equip_fudai","equip_zhujian","equip_moyuyan"]}</t>
        </is>
      </c>
      <c r="W64" s="3">
        <f>SUM(T63:T66)</f>
        <v>4</v>
      </c>
      <c r="X64" s="5">
        <f>R64*T64/W64</f>
        <v>0.2</v>
      </c>
      <c r="Y64" s="6">
        <f>X64*S64</f>
        <v>0.2</v>
      </c>
      <c r="Z64" s="2" t="inlineStr">
        <is>
          <t>个人任务</t>
        </is>
      </c>
      <c r="AA64" s="2" t="n"/>
      <c r="AB64" s="2" t="inlineStr">
        <is>
          <t>挑战者庄园</t>
        </is>
      </c>
      <c r="AC64" s="2" t="inlineStr">
        <is>
          <t>玩家进攻胜利（attacker），非撤退，返程结算发放</t>
        </is>
      </c>
      <c r="AD64" s="2" t="inlineStr">
        <is>
          <t>data/mission_templates.yaml:L482:drop_table.fugui_equipment_pool</t>
        </is>
      </c>
    </row>
    <row r="65">
      <c r="A65" s="2" t="n">
        <v>8</v>
      </c>
      <c r="B65" s="2" t="inlineStr">
        <is>
          <t>fugui_shanzhuang</t>
        </is>
      </c>
      <c r="C65" s="2" t="inlineStr">
        <is>
          <t>富贵山庄</t>
        </is>
      </c>
      <c r="D65" s="2" t="inlineStr">
        <is>
          <t>初级</t>
        </is>
      </c>
      <c r="E65" s="2" t="inlineStr">
        <is>
          <t>task1</t>
        </is>
      </c>
      <c r="F65" s="2" t="inlineStr">
        <is>
          <t>否</t>
        </is>
      </c>
      <c r="G65" s="2" t="inlineStr">
        <is>
          <t>是</t>
        </is>
      </c>
      <c r="H65" s="2" t="n">
        <v>3</v>
      </c>
      <c r="I65" s="2" t="n">
        <v>1800</v>
      </c>
      <c r="J65" s="2" t="inlineStr">
        <is>
          <t>每日开放</t>
        </is>
      </c>
      <c r="K65" s="2" t="inlineStr">
        <is>
          <t>无</t>
        </is>
      </c>
      <c r="L65" s="2" t="inlineStr">
        <is>
          <t>随机池掉落</t>
        </is>
      </c>
      <c r="M65" s="2" t="inlineStr">
        <is>
          <t>fugui_equipment_pool</t>
        </is>
      </c>
      <c r="N65" s="2" t="inlineStr">
        <is>
          <t>equip_zhujian</t>
        </is>
      </c>
      <c r="O65" s="2" t="inlineStr">
        <is>
          <t>竹简</t>
        </is>
      </c>
      <c r="P65" s="2" t="inlineStr">
        <is>
          <t>饰品</t>
        </is>
      </c>
      <c r="Q65" s="2" t="inlineStr">
        <is>
          <t>优秀/绿</t>
        </is>
      </c>
      <c r="R65" s="5" t="n">
        <v>0.8</v>
      </c>
      <c r="S65" s="2" t="n">
        <v>1</v>
      </c>
      <c r="T65" s="2" t="n">
        <v>1</v>
      </c>
      <c r="U65" s="2" t="inlineStr">
        <is>
          <t>是</t>
        </is>
      </c>
      <c r="V65" s="2" t="inlineStr">
        <is>
          <t>{"chance":0.8,"count":1,"choices":["equip_yupei","equip_fudai","equip_zhujian","equip_moyuyan"]}</t>
        </is>
      </c>
      <c r="W65" s="3">
        <f>SUM(T63:T66)</f>
        <v>4</v>
      </c>
      <c r="X65" s="5">
        <f>R65*T65/W65</f>
        <v>0.2</v>
      </c>
      <c r="Y65" s="6">
        <f>X65*S65</f>
        <v>0.2</v>
      </c>
      <c r="Z65" s="2" t="inlineStr">
        <is>
          <t>个人任务</t>
        </is>
      </c>
      <c r="AA65" s="2" t="n"/>
      <c r="AB65" s="2" t="inlineStr">
        <is>
          <t>挑战者庄园</t>
        </is>
      </c>
      <c r="AC65" s="2" t="inlineStr">
        <is>
          <t>玩家进攻胜利（attacker），非撤退，返程结算发放</t>
        </is>
      </c>
      <c r="AD65" s="2" t="inlineStr">
        <is>
          <t>data/mission_templates.yaml:L482:drop_table.fugui_equipment_pool</t>
        </is>
      </c>
    </row>
    <row r="66">
      <c r="A66" s="2" t="n">
        <v>8</v>
      </c>
      <c r="B66" s="2" t="inlineStr">
        <is>
          <t>fugui_shanzhuang</t>
        </is>
      </c>
      <c r="C66" s="2" t="inlineStr">
        <is>
          <t>富贵山庄</t>
        </is>
      </c>
      <c r="D66" s="2" t="inlineStr">
        <is>
          <t>初级</t>
        </is>
      </c>
      <c r="E66" s="2" t="inlineStr">
        <is>
          <t>task1</t>
        </is>
      </c>
      <c r="F66" s="2" t="inlineStr">
        <is>
          <t>否</t>
        </is>
      </c>
      <c r="G66" s="2" t="inlineStr">
        <is>
          <t>是</t>
        </is>
      </c>
      <c r="H66" s="2" t="n">
        <v>3</v>
      </c>
      <c r="I66" s="2" t="n">
        <v>1800</v>
      </c>
      <c r="J66" s="2" t="inlineStr">
        <is>
          <t>每日开放</t>
        </is>
      </c>
      <c r="K66" s="2" t="inlineStr">
        <is>
          <t>无</t>
        </is>
      </c>
      <c r="L66" s="2" t="inlineStr">
        <is>
          <t>随机池掉落</t>
        </is>
      </c>
      <c r="M66" s="2" t="inlineStr">
        <is>
          <t>fugui_equipment_pool</t>
        </is>
      </c>
      <c r="N66" s="2" t="inlineStr">
        <is>
          <t>equip_moyuyan</t>
        </is>
      </c>
      <c r="O66" s="2" t="inlineStr">
        <is>
          <t>墨玉砚</t>
        </is>
      </c>
      <c r="P66" s="2" t="inlineStr">
        <is>
          <t>饰品</t>
        </is>
      </c>
      <c r="Q66" s="2" t="inlineStr">
        <is>
          <t>优秀/绿</t>
        </is>
      </c>
      <c r="R66" s="5" t="n">
        <v>0.8</v>
      </c>
      <c r="S66" s="2" t="n">
        <v>1</v>
      </c>
      <c r="T66" s="2" t="n">
        <v>1</v>
      </c>
      <c r="U66" s="2" t="inlineStr">
        <is>
          <t>是</t>
        </is>
      </c>
      <c r="V66" s="2" t="inlineStr">
        <is>
          <t>{"chance":0.8,"count":1,"choices":["equip_yupei","equip_fudai","equip_zhujian","equip_moyuyan"]}</t>
        </is>
      </c>
      <c r="W66" s="3">
        <f>SUM(T63:T66)</f>
        <v>4</v>
      </c>
      <c r="X66" s="5">
        <f>R66*T66/W66</f>
        <v>0.2</v>
      </c>
      <c r="Y66" s="6">
        <f>X66*S66</f>
        <v>0.2</v>
      </c>
      <c r="Z66" s="2" t="inlineStr">
        <is>
          <t>个人任务</t>
        </is>
      </c>
      <c r="AA66" s="2" t="n"/>
      <c r="AB66" s="2" t="inlineStr">
        <is>
          <t>挑战者庄园</t>
        </is>
      </c>
      <c r="AC66" s="2" t="inlineStr">
        <is>
          <t>玩家进攻胜利（attacker），非撤退，返程结算发放</t>
        </is>
      </c>
      <c r="AD66" s="2" t="inlineStr">
        <is>
          <t>data/mission_templates.yaml:L482:drop_table.fugui_equipment_pool</t>
        </is>
      </c>
    </row>
    <row r="67">
      <c r="A67" s="2" t="n">
        <v>9</v>
      </c>
      <c r="B67" s="2" t="inlineStr">
        <is>
          <t>shizipo_heidian</t>
        </is>
      </c>
      <c r="C67" s="2" t="inlineStr">
        <is>
          <t>十字坡黑店</t>
        </is>
      </c>
      <c r="D67" s="2" t="inlineStr">
        <is>
          <t>中级</t>
        </is>
      </c>
      <c r="E67" s="2" t="inlineStr">
        <is>
          <t>task1</t>
        </is>
      </c>
      <c r="F67" s="2" t="inlineStr">
        <is>
          <t>否</t>
        </is>
      </c>
      <c r="G67" s="2" t="inlineStr">
        <is>
          <t>否</t>
        </is>
      </c>
      <c r="H67" s="2" t="n">
        <v>3</v>
      </c>
      <c r="I67" s="2" t="n">
        <v>1800</v>
      </c>
      <c r="J67" s="2" t="inlineStr">
        <is>
          <t>每日开放</t>
        </is>
      </c>
      <c r="K67" s="2" t="inlineStr">
        <is>
          <t>无</t>
        </is>
      </c>
      <c r="L67" s="2" t="inlineStr">
        <is>
          <t>固定掉落</t>
        </is>
      </c>
      <c r="M67" s="2" t="inlineStr">
        <is>
          <t>silver</t>
        </is>
      </c>
      <c r="N67" s="2" t="inlineStr">
        <is>
          <t>silver</t>
        </is>
      </c>
      <c r="O67" s="2" t="inlineStr">
        <is>
          <t>银两</t>
        </is>
      </c>
      <c r="P67" s="2" t="inlineStr">
        <is>
          <t>资源</t>
        </is>
      </c>
      <c r="Q67" s="2" t="inlineStr">
        <is>
          <t>资源</t>
        </is>
      </c>
      <c r="R67" s="5" t="n">
        <v>1</v>
      </c>
      <c r="S67" s="2" t="n">
        <v>30000</v>
      </c>
      <c r="T67" s="2" t="n"/>
      <c r="U67" s="2" t="inlineStr">
        <is>
          <t>否</t>
        </is>
      </c>
      <c r="V67" s="2" t="inlineStr">
        <is>
          <t>30000</t>
        </is>
      </c>
      <c r="W67" s="2" t="n"/>
      <c r="X67" s="5">
        <f>R67</f>
        <v>1</v>
      </c>
      <c r="Y67" s="6">
        <f>X67*S67</f>
        <v>30000</v>
      </c>
      <c r="Z67" s="2" t="inlineStr">
        <is>
          <t>个人任务</t>
        </is>
      </c>
      <c r="AA67" s="2" t="n"/>
      <c r="AB67" s="2" t="inlineStr">
        <is>
          <t>挑战者庄园</t>
        </is>
      </c>
      <c r="AC67" s="2" t="inlineStr">
        <is>
          <t>玩家进攻胜利（attacker），非撤退，返程结算发放</t>
        </is>
      </c>
      <c r="AD67" s="2" t="inlineStr">
        <is>
          <t>data/mission_templates.yaml:L514:drop_table.silver</t>
        </is>
      </c>
    </row>
    <row r="68">
      <c r="A68" s="2" t="n">
        <v>9</v>
      </c>
      <c r="B68" s="2" t="inlineStr">
        <is>
          <t>shizipo_heidian</t>
        </is>
      </c>
      <c r="C68" s="2" t="inlineStr">
        <is>
          <t>十字坡黑店</t>
        </is>
      </c>
      <c r="D68" s="2" t="inlineStr">
        <is>
          <t>中级</t>
        </is>
      </c>
      <c r="E68" s="2" t="inlineStr">
        <is>
          <t>task1</t>
        </is>
      </c>
      <c r="F68" s="2" t="inlineStr">
        <is>
          <t>否</t>
        </is>
      </c>
      <c r="G68" s="2" t="inlineStr">
        <is>
          <t>否</t>
        </is>
      </c>
      <c r="H68" s="2" t="n">
        <v>3</v>
      </c>
      <c r="I68" s="2" t="n">
        <v>1800</v>
      </c>
      <c r="J68" s="2" t="inlineStr">
        <is>
          <t>每日开放</t>
        </is>
      </c>
      <c r="K68" s="2" t="inlineStr">
        <is>
          <t>无</t>
        </is>
      </c>
      <c r="L68" s="2" t="inlineStr">
        <is>
          <t>随机池掉落</t>
        </is>
      </c>
      <c r="M68" s="2" t="inlineStr">
        <is>
          <t>shizipo_skill_book_random</t>
        </is>
      </c>
      <c r="N68" s="2" t="inlineStr">
        <is>
          <t>book_soul_erode</t>
        </is>
      </c>
      <c r="O68" s="2" t="inlineStr">
        <is>
          <t>《销魂蚀骨》秘术</t>
        </is>
      </c>
      <c r="P68" s="2" t="inlineStr">
        <is>
          <t>技能书</t>
        </is>
      </c>
      <c r="Q68" s="2" t="inlineStr">
        <is>
          <t>稀有/蓝</t>
        </is>
      </c>
      <c r="R68" s="5" t="n">
        <v>0.08</v>
      </c>
      <c r="S68" s="2" t="n">
        <v>1</v>
      </c>
      <c r="T68" s="2" t="n">
        <v>1</v>
      </c>
      <c r="U68" s="2" t="inlineStr">
        <is>
          <t>是</t>
        </is>
      </c>
      <c r="V68" s="2" t="inlineStr">
        <is>
          <t>{"chance":0.08,"choices":[{"item_key":"book_soul_erode","weight":1},{"item_key":"book_draw_enemy_blades","weight":1}]}</t>
        </is>
      </c>
      <c r="W68" s="3">
        <f>SUM(T68:T69)</f>
        <v>2</v>
      </c>
      <c r="X68" s="5">
        <f>R68*T68/W68</f>
        <v>0.04</v>
      </c>
      <c r="Y68" s="6">
        <f>X68*S68</f>
        <v>0.04</v>
      </c>
      <c r="Z68" s="2" t="inlineStr">
        <is>
          <t>个人任务</t>
        </is>
      </c>
      <c r="AA68" s="2" t="n"/>
      <c r="AB68" s="2" t="inlineStr">
        <is>
          <t>挑战者庄园</t>
        </is>
      </c>
      <c r="AC68" s="2" t="inlineStr">
        <is>
          <t>玩家进攻胜利（attacker），非撤退，返程结算发放</t>
        </is>
      </c>
      <c r="AD68" s="2" t="inlineStr">
        <is>
          <t>data/mission_templates.yaml:L514:drop_table.shizipo_skill_book_random</t>
        </is>
      </c>
    </row>
    <row r="69">
      <c r="A69" s="2" t="n">
        <v>9</v>
      </c>
      <c r="B69" s="2" t="inlineStr">
        <is>
          <t>shizipo_heidian</t>
        </is>
      </c>
      <c r="C69" s="2" t="inlineStr">
        <is>
          <t>十字坡黑店</t>
        </is>
      </c>
      <c r="D69" s="2" t="inlineStr">
        <is>
          <t>中级</t>
        </is>
      </c>
      <c r="E69" s="2" t="inlineStr">
        <is>
          <t>task1</t>
        </is>
      </c>
      <c r="F69" s="2" t="inlineStr">
        <is>
          <t>否</t>
        </is>
      </c>
      <c r="G69" s="2" t="inlineStr">
        <is>
          <t>否</t>
        </is>
      </c>
      <c r="H69" s="2" t="n">
        <v>3</v>
      </c>
      <c r="I69" s="2" t="n">
        <v>1800</v>
      </c>
      <c r="J69" s="2" t="inlineStr">
        <is>
          <t>每日开放</t>
        </is>
      </c>
      <c r="K69" s="2" t="inlineStr">
        <is>
          <t>无</t>
        </is>
      </c>
      <c r="L69" s="2" t="inlineStr">
        <is>
          <t>随机池掉落</t>
        </is>
      </c>
      <c r="M69" s="2" t="inlineStr">
        <is>
          <t>shizipo_skill_book_random</t>
        </is>
      </c>
      <c r="N69" s="2" t="inlineStr">
        <is>
          <t>book_draw_enemy_blades</t>
        </is>
      </c>
      <c r="O69" s="2" t="inlineStr">
        <is>
          <t>《招锋引敌》秘术</t>
        </is>
      </c>
      <c r="P69" s="2" t="inlineStr">
        <is>
          <t>技能书</t>
        </is>
      </c>
      <c r="Q69" s="2" t="inlineStr">
        <is>
          <t>稀有/蓝</t>
        </is>
      </c>
      <c r="R69" s="5" t="n">
        <v>0.08</v>
      </c>
      <c r="S69" s="2" t="n">
        <v>1</v>
      </c>
      <c r="T69" s="2" t="n">
        <v>1</v>
      </c>
      <c r="U69" s="2" t="inlineStr">
        <is>
          <t>是</t>
        </is>
      </c>
      <c r="V69" s="2" t="inlineStr">
        <is>
          <t>{"chance":0.08,"choices":[{"item_key":"book_soul_erode","weight":1},{"item_key":"book_draw_enemy_blades","weight":1}]}</t>
        </is>
      </c>
      <c r="W69" s="3">
        <f>SUM(T68:T69)</f>
        <v>2</v>
      </c>
      <c r="X69" s="5">
        <f>R69*T69/W69</f>
        <v>0.04</v>
      </c>
      <c r="Y69" s="6">
        <f>X69*S69</f>
        <v>0.04</v>
      </c>
      <c r="Z69" s="2" t="inlineStr">
        <is>
          <t>个人任务</t>
        </is>
      </c>
      <c r="AA69" s="2" t="n"/>
      <c r="AB69" s="2" t="inlineStr">
        <is>
          <t>挑战者庄园</t>
        </is>
      </c>
      <c r="AC69" s="2" t="inlineStr">
        <is>
          <t>玩家进攻胜利（attacker），非撤退，返程结算发放</t>
        </is>
      </c>
      <c r="AD69" s="2" t="inlineStr">
        <is>
          <t>data/mission_templates.yaml:L514:drop_table.shizipo_skill_book_random</t>
        </is>
      </c>
    </row>
    <row r="70">
      <c r="A70" s="2" t="n">
        <v>9</v>
      </c>
      <c r="B70" s="2" t="inlineStr">
        <is>
          <t>shizipo_heidian</t>
        </is>
      </c>
      <c r="C70" s="2" t="inlineStr">
        <is>
          <t>十字坡黑店</t>
        </is>
      </c>
      <c r="D70" s="2" t="inlineStr">
        <is>
          <t>中级</t>
        </is>
      </c>
      <c r="E70" s="2" t="inlineStr">
        <is>
          <t>task1</t>
        </is>
      </c>
      <c r="F70" s="2" t="inlineStr">
        <is>
          <t>否</t>
        </is>
      </c>
      <c r="G70" s="2" t="inlineStr">
        <is>
          <t>否</t>
        </is>
      </c>
      <c r="H70" s="2" t="n">
        <v>3</v>
      </c>
      <c r="I70" s="2" t="n">
        <v>1800</v>
      </c>
      <c r="J70" s="2" t="inlineStr">
        <is>
          <t>每日开放</t>
        </is>
      </c>
      <c r="K70" s="2" t="inlineStr">
        <is>
          <t>无</t>
        </is>
      </c>
      <c r="L70" s="2" t="inlineStr">
        <is>
          <t>概率掉落</t>
        </is>
      </c>
      <c r="M70" s="2" t="inlineStr">
        <is>
          <t>equip_hushenfu</t>
        </is>
      </c>
      <c r="N70" s="2" t="inlineStr">
        <is>
          <t>equip_hushenfu</t>
        </is>
      </c>
      <c r="O70" s="2" t="inlineStr">
        <is>
          <t>护身符</t>
        </is>
      </c>
      <c r="P70" s="2" t="inlineStr">
        <is>
          <t>饰品</t>
        </is>
      </c>
      <c r="Q70" s="2" t="inlineStr">
        <is>
          <t>优秀/绿</t>
        </is>
      </c>
      <c r="R70" s="5" t="n">
        <v>0.1</v>
      </c>
      <c r="S70" s="2" t="n">
        <v>1</v>
      </c>
      <c r="T70" s="2" t="n"/>
      <c r="U70" s="2" t="inlineStr">
        <is>
          <t>否</t>
        </is>
      </c>
      <c r="V70" s="2" t="inlineStr">
        <is>
          <t>0.1</t>
        </is>
      </c>
      <c r="W70" s="2" t="n"/>
      <c r="X70" s="5">
        <f>R70</f>
        <v>0.1</v>
      </c>
      <c r="Y70" s="6">
        <f>X70*S70</f>
        <v>0.1</v>
      </c>
      <c r="Z70" s="2" t="inlineStr">
        <is>
          <t>个人任务</t>
        </is>
      </c>
      <c r="AA70" s="2" t="n"/>
      <c r="AB70" s="2" t="inlineStr">
        <is>
          <t>挑战者庄园</t>
        </is>
      </c>
      <c r="AC70" s="2" t="inlineStr">
        <is>
          <t>玩家进攻胜利（attacker），非撤退，返程结算发放</t>
        </is>
      </c>
      <c r="AD70" s="2" t="inlineStr">
        <is>
          <t>data/mission_templates.yaml:L514:drop_table.equip_hushenfu</t>
        </is>
      </c>
    </row>
    <row r="71">
      <c r="A71" s="2" t="n">
        <v>9</v>
      </c>
      <c r="B71" s="2" t="inlineStr">
        <is>
          <t>shizipo_heidian</t>
        </is>
      </c>
      <c r="C71" s="2" t="inlineStr">
        <is>
          <t>十字坡黑店</t>
        </is>
      </c>
      <c r="D71" s="2" t="inlineStr">
        <is>
          <t>中级</t>
        </is>
      </c>
      <c r="E71" s="2" t="inlineStr">
        <is>
          <t>task1</t>
        </is>
      </c>
      <c r="F71" s="2" t="inlineStr">
        <is>
          <t>否</t>
        </is>
      </c>
      <c r="G71" s="2" t="inlineStr">
        <is>
          <t>否</t>
        </is>
      </c>
      <c r="H71" s="2" t="n">
        <v>3</v>
      </c>
      <c r="I71" s="2" t="n">
        <v>1800</v>
      </c>
      <c r="J71" s="2" t="inlineStr">
        <is>
          <t>每日开放</t>
        </is>
      </c>
      <c r="K71" s="2" t="inlineStr">
        <is>
          <t>无</t>
        </is>
      </c>
      <c r="L71" s="2" t="inlineStr">
        <is>
          <t>概率掉落</t>
        </is>
      </c>
      <c r="M71" s="2" t="inlineStr">
        <is>
          <t>equip_tongjing</t>
        </is>
      </c>
      <c r="N71" s="2" t="inlineStr">
        <is>
          <t>equip_tongjing</t>
        </is>
      </c>
      <c r="O71" s="2" t="inlineStr">
        <is>
          <t>铜镜</t>
        </is>
      </c>
      <c r="P71" s="2" t="inlineStr">
        <is>
          <t>饰品</t>
        </is>
      </c>
      <c r="Q71" s="2" t="inlineStr">
        <is>
          <t>优秀/绿</t>
        </is>
      </c>
      <c r="R71" s="5" t="n">
        <v>0.1</v>
      </c>
      <c r="S71" s="2" t="n">
        <v>1</v>
      </c>
      <c r="T71" s="2" t="n"/>
      <c r="U71" s="2" t="inlineStr">
        <is>
          <t>否</t>
        </is>
      </c>
      <c r="V71" s="2" t="inlineStr">
        <is>
          <t>0.1</t>
        </is>
      </c>
      <c r="W71" s="2" t="n"/>
      <c r="X71" s="5">
        <f>R71</f>
        <v>0.1</v>
      </c>
      <c r="Y71" s="6">
        <f>X71*S71</f>
        <v>0.1</v>
      </c>
      <c r="Z71" s="2" t="inlineStr">
        <is>
          <t>个人任务</t>
        </is>
      </c>
      <c r="AA71" s="2" t="n"/>
      <c r="AB71" s="2" t="inlineStr">
        <is>
          <t>挑战者庄园</t>
        </is>
      </c>
      <c r="AC71" s="2" t="inlineStr">
        <is>
          <t>玩家进攻胜利（attacker），非撤退，返程结算发放</t>
        </is>
      </c>
      <c r="AD71" s="2" t="inlineStr">
        <is>
          <t>data/mission_templates.yaml:L514:drop_table.equip_tongjing</t>
        </is>
      </c>
    </row>
    <row r="72">
      <c r="A72" s="2" t="n">
        <v>9</v>
      </c>
      <c r="B72" s="2" t="inlineStr">
        <is>
          <t>shizipo_heidian</t>
        </is>
      </c>
      <c r="C72" s="2" t="inlineStr">
        <is>
          <t>十字坡黑店</t>
        </is>
      </c>
      <c r="D72" s="2" t="inlineStr">
        <is>
          <t>中级</t>
        </is>
      </c>
      <c r="E72" s="2" t="inlineStr">
        <is>
          <t>task1</t>
        </is>
      </c>
      <c r="F72" s="2" t="inlineStr">
        <is>
          <t>否</t>
        </is>
      </c>
      <c r="G72" s="2" t="inlineStr">
        <is>
          <t>否</t>
        </is>
      </c>
      <c r="H72" s="2" t="n">
        <v>3</v>
      </c>
      <c r="I72" s="2" t="n">
        <v>1800</v>
      </c>
      <c r="J72" s="2" t="inlineStr">
        <is>
          <t>每日开放</t>
        </is>
      </c>
      <c r="K72" s="2" t="inlineStr">
        <is>
          <t>无</t>
        </is>
      </c>
      <c r="L72" s="2" t="inlineStr">
        <is>
          <t>概率掉落</t>
        </is>
      </c>
      <c r="M72" s="2" t="inlineStr">
        <is>
          <t>equip_fudai</t>
        </is>
      </c>
      <c r="N72" s="2" t="inlineStr">
        <is>
          <t>equip_fudai</t>
        </is>
      </c>
      <c r="O72" s="2" t="inlineStr">
        <is>
          <t>福袋</t>
        </is>
      </c>
      <c r="P72" s="2" t="inlineStr">
        <is>
          <t>饰品</t>
        </is>
      </c>
      <c r="Q72" s="2" t="inlineStr">
        <is>
          <t>优秀/绿</t>
        </is>
      </c>
      <c r="R72" s="5" t="n">
        <v>0.1</v>
      </c>
      <c r="S72" s="2" t="n">
        <v>1</v>
      </c>
      <c r="T72" s="2" t="n"/>
      <c r="U72" s="2" t="inlineStr">
        <is>
          <t>否</t>
        </is>
      </c>
      <c r="V72" s="2" t="inlineStr">
        <is>
          <t>0.1</t>
        </is>
      </c>
      <c r="W72" s="2" t="n"/>
      <c r="X72" s="5">
        <f>R72</f>
        <v>0.1</v>
      </c>
      <c r="Y72" s="6">
        <f>X72*S72</f>
        <v>0.1</v>
      </c>
      <c r="Z72" s="2" t="inlineStr">
        <is>
          <t>个人任务</t>
        </is>
      </c>
      <c r="AA72" s="2" t="n"/>
      <c r="AB72" s="2" t="inlineStr">
        <is>
          <t>挑战者庄园</t>
        </is>
      </c>
      <c r="AC72" s="2" t="inlineStr">
        <is>
          <t>玩家进攻胜利（attacker），非撤退，返程结算发放</t>
        </is>
      </c>
      <c r="AD72" s="2" t="inlineStr">
        <is>
          <t>data/mission_templates.yaml:L514:drop_table.equip_fudai</t>
        </is>
      </c>
    </row>
    <row r="73">
      <c r="A73" s="2" t="n">
        <v>9</v>
      </c>
      <c r="B73" s="2" t="inlineStr">
        <is>
          <t>shizipo_heidian</t>
        </is>
      </c>
      <c r="C73" s="2" t="inlineStr">
        <is>
          <t>十字坡黑店</t>
        </is>
      </c>
      <c r="D73" s="2" t="inlineStr">
        <is>
          <t>中级</t>
        </is>
      </c>
      <c r="E73" s="2" t="inlineStr">
        <is>
          <t>task1</t>
        </is>
      </c>
      <c r="F73" s="2" t="inlineStr">
        <is>
          <t>否</t>
        </is>
      </c>
      <c r="G73" s="2" t="inlineStr">
        <is>
          <t>否</t>
        </is>
      </c>
      <c r="H73" s="2" t="n">
        <v>3</v>
      </c>
      <c r="I73" s="2" t="n">
        <v>1800</v>
      </c>
      <c r="J73" s="2" t="inlineStr">
        <is>
          <t>每日开放</t>
        </is>
      </c>
      <c r="K73" s="2" t="inlineStr">
        <is>
          <t>无</t>
        </is>
      </c>
      <c r="L73" s="2" t="inlineStr">
        <is>
          <t>概率掉落</t>
        </is>
      </c>
      <c r="M73" s="2" t="inlineStr">
        <is>
          <t>equip_duanhunbian</t>
        </is>
      </c>
      <c r="N73" s="2" t="inlineStr">
        <is>
          <t>equip_duanhunbian</t>
        </is>
      </c>
      <c r="O73" s="2" t="inlineStr">
        <is>
          <t>断魂鞭</t>
        </is>
      </c>
      <c r="P73" s="2" t="inlineStr">
        <is>
          <t>武器</t>
        </is>
      </c>
      <c r="Q73" s="2" t="inlineStr">
        <is>
          <t>稀有/蓝</t>
        </is>
      </c>
      <c r="R73" s="5" t="n">
        <v>0.2</v>
      </c>
      <c r="S73" s="2" t="n">
        <v>1</v>
      </c>
      <c r="T73" s="2" t="n"/>
      <c r="U73" s="2" t="inlineStr">
        <is>
          <t>否</t>
        </is>
      </c>
      <c r="V73" s="2" t="inlineStr">
        <is>
          <t>0.2</t>
        </is>
      </c>
      <c r="W73" s="2" t="n"/>
      <c r="X73" s="5">
        <f>R73</f>
        <v>0.2</v>
      </c>
      <c r="Y73" s="6">
        <f>X73*S73</f>
        <v>0.2</v>
      </c>
      <c r="Z73" s="2" t="inlineStr">
        <is>
          <t>个人任务</t>
        </is>
      </c>
      <c r="AA73" s="2" t="n"/>
      <c r="AB73" s="2" t="inlineStr">
        <is>
          <t>挑战者庄园</t>
        </is>
      </c>
      <c r="AC73" s="2" t="inlineStr">
        <is>
          <t>玩家进攻胜利（attacker），非撤退，返程结算发放</t>
        </is>
      </c>
      <c r="AD73" s="2" t="inlineStr">
        <is>
          <t>data/mission_templates.yaml:L514:drop_table.equip_duanhunbian</t>
        </is>
      </c>
    </row>
    <row r="74">
      <c r="A74" s="2" t="n">
        <v>9</v>
      </c>
      <c r="B74" s="2" t="inlineStr">
        <is>
          <t>shizipo_heidian</t>
        </is>
      </c>
      <c r="C74" s="2" t="inlineStr">
        <is>
          <t>十字坡黑店</t>
        </is>
      </c>
      <c r="D74" s="2" t="inlineStr">
        <is>
          <t>中级</t>
        </is>
      </c>
      <c r="E74" s="2" t="inlineStr">
        <is>
          <t>task1</t>
        </is>
      </c>
      <c r="F74" s="2" t="inlineStr">
        <is>
          <t>否</t>
        </is>
      </c>
      <c r="G74" s="2" t="inlineStr">
        <is>
          <t>否</t>
        </is>
      </c>
      <c r="H74" s="2" t="n">
        <v>3</v>
      </c>
      <c r="I74" s="2" t="n">
        <v>1800</v>
      </c>
      <c r="J74" s="2" t="inlineStr">
        <is>
          <t>每日开放</t>
        </is>
      </c>
      <c r="K74" s="2" t="inlineStr">
        <is>
          <t>无</t>
        </is>
      </c>
      <c r="L74" s="2" t="inlineStr">
        <is>
          <t>概率掉落</t>
        </is>
      </c>
      <c r="M74" s="2" t="inlineStr">
        <is>
          <t>equip_hanyuejian</t>
        </is>
      </c>
      <c r="N74" s="2" t="inlineStr">
        <is>
          <t>equip_hanyuejian</t>
        </is>
      </c>
      <c r="O74" s="2" t="inlineStr">
        <is>
          <t>寒月剑</t>
        </is>
      </c>
      <c r="P74" s="2" t="inlineStr">
        <is>
          <t>武器</t>
        </is>
      </c>
      <c r="Q74" s="2" t="inlineStr">
        <is>
          <t>稀有/蓝</t>
        </is>
      </c>
      <c r="R74" s="5" t="n">
        <v>0.1</v>
      </c>
      <c r="S74" s="2" t="n">
        <v>1</v>
      </c>
      <c r="T74" s="2" t="n"/>
      <c r="U74" s="2" t="inlineStr">
        <is>
          <t>否</t>
        </is>
      </c>
      <c r="V74" s="2" t="inlineStr">
        <is>
          <t>0.1</t>
        </is>
      </c>
      <c r="W74" s="2" t="n"/>
      <c r="X74" s="5">
        <f>R74</f>
        <v>0.1</v>
      </c>
      <c r="Y74" s="6">
        <f>X74*S74</f>
        <v>0.1</v>
      </c>
      <c r="Z74" s="2" t="inlineStr">
        <is>
          <t>个人任务</t>
        </is>
      </c>
      <c r="AA74" s="2" t="n"/>
      <c r="AB74" s="2" t="inlineStr">
        <is>
          <t>挑战者庄园</t>
        </is>
      </c>
      <c r="AC74" s="2" t="inlineStr">
        <is>
          <t>玩家进攻胜利（attacker），非撤退，返程结算发放</t>
        </is>
      </c>
      <c r="AD74" s="2" t="inlineStr">
        <is>
          <t>data/mission_templates.yaml:L514:drop_table.equip_hanyuejian</t>
        </is>
      </c>
    </row>
    <row r="75">
      <c r="A75" s="2" t="n">
        <v>9</v>
      </c>
      <c r="B75" s="2" t="inlineStr">
        <is>
          <t>shizipo_heidian</t>
        </is>
      </c>
      <c r="C75" s="2" t="inlineStr">
        <is>
          <t>十字坡黑店</t>
        </is>
      </c>
      <c r="D75" s="2" t="inlineStr">
        <is>
          <t>中级</t>
        </is>
      </c>
      <c r="E75" s="2" t="inlineStr">
        <is>
          <t>task1</t>
        </is>
      </c>
      <c r="F75" s="2" t="inlineStr">
        <is>
          <t>否</t>
        </is>
      </c>
      <c r="G75" s="2" t="inlineStr">
        <is>
          <t>否</t>
        </is>
      </c>
      <c r="H75" s="2" t="n">
        <v>3</v>
      </c>
      <c r="I75" s="2" t="n">
        <v>1800</v>
      </c>
      <c r="J75" s="2" t="inlineStr">
        <is>
          <t>每日开放</t>
        </is>
      </c>
      <c r="K75" s="2" t="inlineStr">
        <is>
          <t>无</t>
        </is>
      </c>
      <c r="L75" s="2" t="inlineStr">
        <is>
          <t>概率掉落</t>
        </is>
      </c>
      <c r="M75" s="2" t="inlineStr">
        <is>
          <t>equip_lieyandao</t>
        </is>
      </c>
      <c r="N75" s="2" t="inlineStr">
        <is>
          <t>equip_lieyandao</t>
        </is>
      </c>
      <c r="O75" s="2" t="inlineStr">
        <is>
          <t>烈焰刀</t>
        </is>
      </c>
      <c r="P75" s="2" t="inlineStr">
        <is>
          <t>武器</t>
        </is>
      </c>
      <c r="Q75" s="2" t="inlineStr">
        <is>
          <t>稀有/蓝</t>
        </is>
      </c>
      <c r="R75" s="5" t="n">
        <v>0.1</v>
      </c>
      <c r="S75" s="2" t="n">
        <v>1</v>
      </c>
      <c r="T75" s="2" t="n"/>
      <c r="U75" s="2" t="inlineStr">
        <is>
          <t>否</t>
        </is>
      </c>
      <c r="V75" s="2" t="inlineStr">
        <is>
          <t>0.1</t>
        </is>
      </c>
      <c r="W75" s="2" t="n"/>
      <c r="X75" s="5">
        <f>R75</f>
        <v>0.1</v>
      </c>
      <c r="Y75" s="6">
        <f>X75*S75</f>
        <v>0.1</v>
      </c>
      <c r="Z75" s="2" t="inlineStr">
        <is>
          <t>个人任务</t>
        </is>
      </c>
      <c r="AA75" s="2" t="n"/>
      <c r="AB75" s="2" t="inlineStr">
        <is>
          <t>挑战者庄园</t>
        </is>
      </c>
      <c r="AC75" s="2" t="inlineStr">
        <is>
          <t>玩家进攻胜利（attacker），非撤退，返程结算发放</t>
        </is>
      </c>
      <c r="AD75" s="2" t="inlineStr">
        <is>
          <t>data/mission_templates.yaml:L514:drop_table.equip_lieyandao</t>
        </is>
      </c>
    </row>
    <row r="76">
      <c r="A76" s="2" t="n">
        <v>9</v>
      </c>
      <c r="B76" s="2" t="inlineStr">
        <is>
          <t>shizipo_heidian</t>
        </is>
      </c>
      <c r="C76" s="2" t="inlineStr">
        <is>
          <t>十字坡黑店</t>
        </is>
      </c>
      <c r="D76" s="2" t="inlineStr">
        <is>
          <t>中级</t>
        </is>
      </c>
      <c r="E76" s="2" t="inlineStr">
        <is>
          <t>task1</t>
        </is>
      </c>
      <c r="F76" s="2" t="inlineStr">
        <is>
          <t>否</t>
        </is>
      </c>
      <c r="G76" s="2" t="inlineStr">
        <is>
          <t>否</t>
        </is>
      </c>
      <c r="H76" s="2" t="n">
        <v>3</v>
      </c>
      <c r="I76" s="2" t="n">
        <v>1800</v>
      </c>
      <c r="J76" s="2" t="inlineStr">
        <is>
          <t>每日开放</t>
        </is>
      </c>
      <c r="K76" s="2" t="inlineStr">
        <is>
          <t>无</t>
        </is>
      </c>
      <c r="L76" s="2" t="inlineStr">
        <is>
          <t>概率掉落</t>
        </is>
      </c>
      <c r="M76" s="2" t="inlineStr">
        <is>
          <t>equip_zhenyuechui</t>
        </is>
      </c>
      <c r="N76" s="2" t="inlineStr">
        <is>
          <t>equip_zhenyuechui</t>
        </is>
      </c>
      <c r="O76" s="2" t="inlineStr">
        <is>
          <t>镇岳锤</t>
        </is>
      </c>
      <c r="P76" s="2" t="inlineStr">
        <is>
          <t>武器</t>
        </is>
      </c>
      <c r="Q76" s="2" t="inlineStr">
        <is>
          <t>稀有/蓝</t>
        </is>
      </c>
      <c r="R76" s="5" t="n">
        <v>0.1</v>
      </c>
      <c r="S76" s="2" t="n">
        <v>1</v>
      </c>
      <c r="T76" s="2" t="n"/>
      <c r="U76" s="2" t="inlineStr">
        <is>
          <t>否</t>
        </is>
      </c>
      <c r="V76" s="2" t="inlineStr">
        <is>
          <t>0.1</t>
        </is>
      </c>
      <c r="W76" s="2" t="n"/>
      <c r="X76" s="5">
        <f>R76</f>
        <v>0.1</v>
      </c>
      <c r="Y76" s="6">
        <f>X76*S76</f>
        <v>0.1</v>
      </c>
      <c r="Z76" s="2" t="inlineStr">
        <is>
          <t>个人任务</t>
        </is>
      </c>
      <c r="AA76" s="2" t="n"/>
      <c r="AB76" s="2" t="inlineStr">
        <is>
          <t>挑战者庄园</t>
        </is>
      </c>
      <c r="AC76" s="2" t="inlineStr">
        <is>
          <t>玩家进攻胜利（attacker），非撤退，返程结算发放</t>
        </is>
      </c>
      <c r="AD76" s="2" t="inlineStr">
        <is>
          <t>data/mission_templates.yaml:L514:drop_table.equip_zhenyuechui</t>
        </is>
      </c>
    </row>
    <row r="77">
      <c r="A77" s="2" t="n">
        <v>9</v>
      </c>
      <c r="B77" s="2" t="inlineStr">
        <is>
          <t>shizipo_heidian</t>
        </is>
      </c>
      <c r="C77" s="2" t="inlineStr">
        <is>
          <t>十字坡黑店</t>
        </is>
      </c>
      <c r="D77" s="2" t="inlineStr">
        <is>
          <t>中级</t>
        </is>
      </c>
      <c r="E77" s="2" t="inlineStr">
        <is>
          <t>task1</t>
        </is>
      </c>
      <c r="F77" s="2" t="inlineStr">
        <is>
          <t>否</t>
        </is>
      </c>
      <c r="G77" s="2" t="inlineStr">
        <is>
          <t>否</t>
        </is>
      </c>
      <c r="H77" s="2" t="n">
        <v>3</v>
      </c>
      <c r="I77" s="2" t="n">
        <v>1800</v>
      </c>
      <c r="J77" s="2" t="inlineStr">
        <is>
          <t>每日开放</t>
        </is>
      </c>
      <c r="K77" s="2" t="inlineStr">
        <is>
          <t>无</t>
        </is>
      </c>
      <c r="L77" s="2" t="inlineStr">
        <is>
          <t>概率掉落</t>
        </is>
      </c>
      <c r="M77" s="2" t="inlineStr">
        <is>
          <t>equip_huyaxianglian</t>
        </is>
      </c>
      <c r="N77" s="2" t="inlineStr">
        <is>
          <t>equip_huyaxianglian</t>
        </is>
      </c>
      <c r="O77" s="2" t="inlineStr">
        <is>
          <t>虎牙项链</t>
        </is>
      </c>
      <c r="P77" s="2" t="inlineStr">
        <is>
          <t>饰品</t>
        </is>
      </c>
      <c r="Q77" s="2" t="inlineStr">
        <is>
          <t>稀有/蓝</t>
        </is>
      </c>
      <c r="R77" s="5" t="n">
        <v>0.1</v>
      </c>
      <c r="S77" s="2" t="n">
        <v>1</v>
      </c>
      <c r="T77" s="2" t="n"/>
      <c r="U77" s="2" t="inlineStr">
        <is>
          <t>否</t>
        </is>
      </c>
      <c r="V77" s="2" t="inlineStr">
        <is>
          <t>0.1</t>
        </is>
      </c>
      <c r="W77" s="2" t="n"/>
      <c r="X77" s="5">
        <f>R77</f>
        <v>0.1</v>
      </c>
      <c r="Y77" s="6">
        <f>X77*S77</f>
        <v>0.1</v>
      </c>
      <c r="Z77" s="2" t="inlineStr">
        <is>
          <t>个人任务</t>
        </is>
      </c>
      <c r="AA77" s="2" t="n"/>
      <c r="AB77" s="2" t="inlineStr">
        <is>
          <t>挑战者庄园</t>
        </is>
      </c>
      <c r="AC77" s="2" t="inlineStr">
        <is>
          <t>玩家进攻胜利（attacker），非撤退，返程结算发放</t>
        </is>
      </c>
      <c r="AD77" s="2" t="inlineStr">
        <is>
          <t>data/mission_templates.yaml:L514:drop_table.equip_huyaxianglian</t>
        </is>
      </c>
    </row>
    <row r="78">
      <c r="A78" s="2" t="n">
        <v>9</v>
      </c>
      <c r="B78" s="2" t="inlineStr">
        <is>
          <t>shizipo_heidian</t>
        </is>
      </c>
      <c r="C78" s="2" t="inlineStr">
        <is>
          <t>十字坡黑店</t>
        </is>
      </c>
      <c r="D78" s="2" t="inlineStr">
        <is>
          <t>中级</t>
        </is>
      </c>
      <c r="E78" s="2" t="inlineStr">
        <is>
          <t>task1</t>
        </is>
      </c>
      <c r="F78" s="2" t="inlineStr">
        <is>
          <t>否</t>
        </is>
      </c>
      <c r="G78" s="2" t="inlineStr">
        <is>
          <t>否</t>
        </is>
      </c>
      <c r="H78" s="2" t="n">
        <v>3</v>
      </c>
      <c r="I78" s="2" t="n">
        <v>1800</v>
      </c>
      <c r="J78" s="2" t="inlineStr">
        <is>
          <t>每日开放</t>
        </is>
      </c>
      <c r="K78" s="2" t="inlineStr">
        <is>
          <t>无</t>
        </is>
      </c>
      <c r="L78" s="2" t="inlineStr">
        <is>
          <t>概率掉落</t>
        </is>
      </c>
      <c r="M78" s="2" t="inlineStr">
        <is>
          <t>equip_xueyuzhuo</t>
        </is>
      </c>
      <c r="N78" s="2" t="inlineStr">
        <is>
          <t>equip_xueyuzhuo</t>
        </is>
      </c>
      <c r="O78" s="2" t="inlineStr">
        <is>
          <t>血玉镯</t>
        </is>
      </c>
      <c r="P78" s="2" t="inlineStr">
        <is>
          <t>饰品</t>
        </is>
      </c>
      <c r="Q78" s="2" t="inlineStr">
        <is>
          <t>稀有/蓝</t>
        </is>
      </c>
      <c r="R78" s="5" t="n">
        <v>0.1</v>
      </c>
      <c r="S78" s="2" t="n">
        <v>1</v>
      </c>
      <c r="T78" s="2" t="n"/>
      <c r="U78" s="2" t="inlineStr">
        <is>
          <t>否</t>
        </is>
      </c>
      <c r="V78" s="2" t="inlineStr">
        <is>
          <t>0.1</t>
        </is>
      </c>
      <c r="W78" s="2" t="n"/>
      <c r="X78" s="5">
        <f>R78</f>
        <v>0.1</v>
      </c>
      <c r="Y78" s="6">
        <f>X78*S78</f>
        <v>0.1</v>
      </c>
      <c r="Z78" s="2" t="inlineStr">
        <is>
          <t>个人任务</t>
        </is>
      </c>
      <c r="AA78" s="2" t="n"/>
      <c r="AB78" s="2" t="inlineStr">
        <is>
          <t>挑战者庄园</t>
        </is>
      </c>
      <c r="AC78" s="2" t="inlineStr">
        <is>
          <t>玩家进攻胜利（attacker），非撤退，返程结算发放</t>
        </is>
      </c>
      <c r="AD78" s="2" t="inlineStr">
        <is>
          <t>data/mission_templates.yaml:L514:drop_table.equip_xueyuzhuo</t>
        </is>
      </c>
    </row>
    <row r="79">
      <c r="A79" s="2" t="n">
        <v>10</v>
      </c>
      <c r="B79" s="2" t="inlineStr">
        <is>
          <t>shanhaiguan</t>
        </is>
      </c>
      <c r="C79" s="2" t="inlineStr">
        <is>
          <t>山海关</t>
        </is>
      </c>
      <c r="D79" s="2" t="inlineStr">
        <is>
          <t>中级</t>
        </is>
      </c>
      <c r="E79" s="2" t="inlineStr">
        <is>
          <t>task1</t>
        </is>
      </c>
      <c r="F79" s="2" t="inlineStr">
        <is>
          <t>否</t>
        </is>
      </c>
      <c r="G79" s="2" t="inlineStr">
        <is>
          <t>否</t>
        </is>
      </c>
      <c r="H79" s="2" t="n">
        <v>3</v>
      </c>
      <c r="I79" s="2" t="n">
        <v>1800</v>
      </c>
      <c r="J79" s="2" t="inlineStr">
        <is>
          <t>每日开放</t>
        </is>
      </c>
      <c r="K79" s="2" t="inlineStr">
        <is>
          <t>无</t>
        </is>
      </c>
      <c r="L79" s="2" t="inlineStr">
        <is>
          <t>固定掉落</t>
        </is>
      </c>
      <c r="M79" s="2" t="inlineStr">
        <is>
          <t>silver</t>
        </is>
      </c>
      <c r="N79" s="2" t="inlineStr">
        <is>
          <t>silver</t>
        </is>
      </c>
      <c r="O79" s="2" t="inlineStr">
        <is>
          <t>银两</t>
        </is>
      </c>
      <c r="P79" s="2" t="inlineStr">
        <is>
          <t>资源</t>
        </is>
      </c>
      <c r="Q79" s="2" t="inlineStr">
        <is>
          <t>资源</t>
        </is>
      </c>
      <c r="R79" s="5" t="n">
        <v>1</v>
      </c>
      <c r="S79" s="2" t="n">
        <v>40000</v>
      </c>
      <c r="T79" s="2" t="n"/>
      <c r="U79" s="2" t="inlineStr">
        <is>
          <t>否</t>
        </is>
      </c>
      <c r="V79" s="2" t="inlineStr">
        <is>
          <t>40000</t>
        </is>
      </c>
      <c r="W79" s="2" t="n"/>
      <c r="X79" s="5">
        <f>R79</f>
        <v>1</v>
      </c>
      <c r="Y79" s="6">
        <f>X79*S79</f>
        <v>40000</v>
      </c>
      <c r="Z79" s="2" t="inlineStr">
        <is>
          <t>个人任务</t>
        </is>
      </c>
      <c r="AA79" s="2" t="n"/>
      <c r="AB79" s="2" t="inlineStr">
        <is>
          <t>挑战者庄园</t>
        </is>
      </c>
      <c r="AC79" s="2" t="inlineStr">
        <is>
          <t>玩家进攻胜利（attacker），非撤退，返程结算发放</t>
        </is>
      </c>
      <c r="AD79" s="2" t="inlineStr">
        <is>
          <t>data/mission_templates.yaml:L559:drop_table.silver</t>
        </is>
      </c>
    </row>
    <row r="80">
      <c r="A80" s="2" t="n">
        <v>10</v>
      </c>
      <c r="B80" s="2" t="inlineStr">
        <is>
          <t>shanhaiguan</t>
        </is>
      </c>
      <c r="C80" s="2" t="inlineStr">
        <is>
          <t>山海关</t>
        </is>
      </c>
      <c r="D80" s="2" t="inlineStr">
        <is>
          <t>中级</t>
        </is>
      </c>
      <c r="E80" s="2" t="inlineStr">
        <is>
          <t>task1</t>
        </is>
      </c>
      <c r="F80" s="2" t="inlineStr">
        <is>
          <t>否</t>
        </is>
      </c>
      <c r="G80" s="2" t="inlineStr">
        <is>
          <t>否</t>
        </is>
      </c>
      <c r="H80" s="2" t="n">
        <v>3</v>
      </c>
      <c r="I80" s="2" t="n">
        <v>1800</v>
      </c>
      <c r="J80" s="2" t="inlineStr">
        <is>
          <t>每日开放</t>
        </is>
      </c>
      <c r="K80" s="2" t="inlineStr">
        <is>
          <t>无</t>
        </is>
      </c>
      <c r="L80" s="2" t="inlineStr">
        <is>
          <t>随机池掉落</t>
        </is>
      </c>
      <c r="M80" s="2" t="inlineStr">
        <is>
          <t>shanhaiguan_skill_book_random</t>
        </is>
      </c>
      <c r="N80" s="2" t="inlineStr">
        <is>
          <t>book_iron_wall_heart</t>
        </is>
      </c>
      <c r="O80" s="2" t="inlineStr">
        <is>
          <t>《铁壁心法》秘术</t>
        </is>
      </c>
      <c r="P80" s="2" t="inlineStr">
        <is>
          <t>技能书</t>
        </is>
      </c>
      <c r="Q80" s="2" t="inlineStr">
        <is>
          <t>优秀/绿</t>
        </is>
      </c>
      <c r="R80" s="5" t="n">
        <v>0.09</v>
      </c>
      <c r="S80" s="2" t="n">
        <v>1</v>
      </c>
      <c r="T80" s="2" t="n">
        <v>5</v>
      </c>
      <c r="U80" s="2" t="inlineStr">
        <is>
          <t>是</t>
        </is>
      </c>
      <c r="V80" s="2" t="inlineStr">
        <is>
          <t>{"chance":0.09,"choices":[{"item_key":"book_iron_wall_heart","weight":5},{"item_key":"book_last_chance_revival","weight":4}]}</t>
        </is>
      </c>
      <c r="W80" s="3">
        <f>SUM(T80:T81)</f>
        <v>9</v>
      </c>
      <c r="X80" s="5">
        <f>R80*T80/W80</f>
        <v>0.049999999999999996</v>
      </c>
      <c r="Y80" s="6">
        <f>X80*S80</f>
        <v>0.049999999999999996</v>
      </c>
      <c r="Z80" s="2" t="inlineStr">
        <is>
          <t>个人任务</t>
        </is>
      </c>
      <c r="AA80" s="2" t="n"/>
      <c r="AB80" s="2" t="inlineStr">
        <is>
          <t>挑战者庄园</t>
        </is>
      </c>
      <c r="AC80" s="2" t="inlineStr">
        <is>
          <t>玩家进攻胜利（attacker），非撤退，返程结算发放</t>
        </is>
      </c>
      <c r="AD80" s="2" t="inlineStr">
        <is>
          <t>data/mission_templates.yaml:L559:drop_table.shanhaiguan_skill_book_random</t>
        </is>
      </c>
    </row>
    <row r="81">
      <c r="A81" s="2" t="n">
        <v>10</v>
      </c>
      <c r="B81" s="2" t="inlineStr">
        <is>
          <t>shanhaiguan</t>
        </is>
      </c>
      <c r="C81" s="2" t="inlineStr">
        <is>
          <t>山海关</t>
        </is>
      </c>
      <c r="D81" s="2" t="inlineStr">
        <is>
          <t>中级</t>
        </is>
      </c>
      <c r="E81" s="2" t="inlineStr">
        <is>
          <t>task1</t>
        </is>
      </c>
      <c r="F81" s="2" t="inlineStr">
        <is>
          <t>否</t>
        </is>
      </c>
      <c r="G81" s="2" t="inlineStr">
        <is>
          <t>否</t>
        </is>
      </c>
      <c r="H81" s="2" t="n">
        <v>3</v>
      </c>
      <c r="I81" s="2" t="n">
        <v>1800</v>
      </c>
      <c r="J81" s="2" t="inlineStr">
        <is>
          <t>每日开放</t>
        </is>
      </c>
      <c r="K81" s="2" t="inlineStr">
        <is>
          <t>无</t>
        </is>
      </c>
      <c r="L81" s="2" t="inlineStr">
        <is>
          <t>随机池掉落</t>
        </is>
      </c>
      <c r="M81" s="2" t="inlineStr">
        <is>
          <t>shanhaiguan_skill_book_random</t>
        </is>
      </c>
      <c r="N81" s="2" t="inlineStr">
        <is>
          <t>book_last_chance_revival</t>
        </is>
      </c>
      <c r="O81" s="2" t="inlineStr">
        <is>
          <t>《绝处逢生》秘术</t>
        </is>
      </c>
      <c r="P81" s="2" t="inlineStr">
        <is>
          <t>技能书</t>
        </is>
      </c>
      <c r="Q81" s="2" t="inlineStr">
        <is>
          <t>稀有/蓝</t>
        </is>
      </c>
      <c r="R81" s="5" t="n">
        <v>0.09</v>
      </c>
      <c r="S81" s="2" t="n">
        <v>1</v>
      </c>
      <c r="T81" s="2" t="n">
        <v>4</v>
      </c>
      <c r="U81" s="2" t="inlineStr">
        <is>
          <t>是</t>
        </is>
      </c>
      <c r="V81" s="2" t="inlineStr">
        <is>
          <t>{"chance":0.09,"choices":[{"item_key":"book_iron_wall_heart","weight":5},{"item_key":"book_last_chance_revival","weight":4}]}</t>
        </is>
      </c>
      <c r="W81" s="3">
        <f>SUM(T80:T81)</f>
        <v>9</v>
      </c>
      <c r="X81" s="5">
        <f>R81*T81/W81</f>
        <v>0.04</v>
      </c>
      <c r="Y81" s="6">
        <f>X81*S81</f>
        <v>0.04</v>
      </c>
      <c r="Z81" s="2" t="inlineStr">
        <is>
          <t>个人任务</t>
        </is>
      </c>
      <c r="AA81" s="2" t="n"/>
      <c r="AB81" s="2" t="inlineStr">
        <is>
          <t>挑战者庄园</t>
        </is>
      </c>
      <c r="AC81" s="2" t="inlineStr">
        <is>
          <t>玩家进攻胜利（attacker），非撤退，返程结算发放</t>
        </is>
      </c>
      <c r="AD81" s="2" t="inlineStr">
        <is>
          <t>data/mission_templates.yaml:L559:drop_table.shanhaiguan_skill_book_random</t>
        </is>
      </c>
    </row>
    <row r="82">
      <c r="A82" s="2" t="n">
        <v>10</v>
      </c>
      <c r="B82" s="2" t="inlineStr">
        <is>
          <t>shanhaiguan</t>
        </is>
      </c>
      <c r="C82" s="2" t="inlineStr">
        <is>
          <t>山海关</t>
        </is>
      </c>
      <c r="D82" s="2" t="inlineStr">
        <is>
          <t>中级</t>
        </is>
      </c>
      <c r="E82" s="2" t="inlineStr">
        <is>
          <t>task1</t>
        </is>
      </c>
      <c r="F82" s="2" t="inlineStr">
        <is>
          <t>否</t>
        </is>
      </c>
      <c r="G82" s="2" t="inlineStr">
        <is>
          <t>否</t>
        </is>
      </c>
      <c r="H82" s="2" t="n">
        <v>3</v>
      </c>
      <c r="I82" s="2" t="n">
        <v>1800</v>
      </c>
      <c r="J82" s="2" t="inlineStr">
        <is>
          <t>每日开放</t>
        </is>
      </c>
      <c r="K82" s="2" t="inlineStr">
        <is>
          <t>无</t>
        </is>
      </c>
      <c r="L82" s="2" t="inlineStr">
        <is>
          <t>概率掉落</t>
        </is>
      </c>
      <c r="M82" s="2" t="inlineStr">
        <is>
          <t>equip_luopan</t>
        </is>
      </c>
      <c r="N82" s="2" t="inlineStr">
        <is>
          <t>equip_luopan</t>
        </is>
      </c>
      <c r="O82" s="2" t="inlineStr">
        <is>
          <t>罗盘</t>
        </is>
      </c>
      <c r="P82" s="2" t="inlineStr">
        <is>
          <t>饰品</t>
        </is>
      </c>
      <c r="Q82" s="2" t="inlineStr">
        <is>
          <t>优秀/绿</t>
        </is>
      </c>
      <c r="R82" s="5" t="n">
        <v>0.1</v>
      </c>
      <c r="S82" s="2" t="n">
        <v>1</v>
      </c>
      <c r="T82" s="2" t="n"/>
      <c r="U82" s="2" t="inlineStr">
        <is>
          <t>否</t>
        </is>
      </c>
      <c r="V82" s="2" t="inlineStr">
        <is>
          <t>0.1</t>
        </is>
      </c>
      <c r="W82" s="2" t="n"/>
      <c r="X82" s="5">
        <f>R82</f>
        <v>0.1</v>
      </c>
      <c r="Y82" s="6">
        <f>X82*S82</f>
        <v>0.1</v>
      </c>
      <c r="Z82" s="2" t="inlineStr">
        <is>
          <t>个人任务</t>
        </is>
      </c>
      <c r="AA82" s="2" t="n"/>
      <c r="AB82" s="2" t="inlineStr">
        <is>
          <t>挑战者庄园</t>
        </is>
      </c>
      <c r="AC82" s="2" t="inlineStr">
        <is>
          <t>玩家进攻胜利（attacker），非撤退，返程结算发放</t>
        </is>
      </c>
      <c r="AD82" s="2" t="inlineStr">
        <is>
          <t>data/mission_templates.yaml:L559:drop_table.equip_luopan</t>
        </is>
      </c>
    </row>
    <row r="83">
      <c r="A83" s="2" t="n">
        <v>10</v>
      </c>
      <c r="B83" s="2" t="inlineStr">
        <is>
          <t>shanhaiguan</t>
        </is>
      </c>
      <c r="C83" s="2" t="inlineStr">
        <is>
          <t>山海关</t>
        </is>
      </c>
      <c r="D83" s="2" t="inlineStr">
        <is>
          <t>中级</t>
        </is>
      </c>
      <c r="E83" s="2" t="inlineStr">
        <is>
          <t>task1</t>
        </is>
      </c>
      <c r="F83" s="2" t="inlineStr">
        <is>
          <t>否</t>
        </is>
      </c>
      <c r="G83" s="2" t="inlineStr">
        <is>
          <t>否</t>
        </is>
      </c>
      <c r="H83" s="2" t="n">
        <v>3</v>
      </c>
      <c r="I83" s="2" t="n">
        <v>1800</v>
      </c>
      <c r="J83" s="2" t="inlineStr">
        <is>
          <t>每日开放</t>
        </is>
      </c>
      <c r="K83" s="2" t="inlineStr">
        <is>
          <t>无</t>
        </is>
      </c>
      <c r="L83" s="2" t="inlineStr">
        <is>
          <t>概率掉落</t>
        </is>
      </c>
      <c r="M83" s="2" t="inlineStr">
        <is>
          <t>equip_tiehufu</t>
        </is>
      </c>
      <c r="N83" s="2" t="inlineStr">
        <is>
          <t>equip_tiehufu</t>
        </is>
      </c>
      <c r="O83" s="2" t="inlineStr">
        <is>
          <t>铁护符</t>
        </is>
      </c>
      <c r="P83" s="2" t="inlineStr">
        <is>
          <t>饰品</t>
        </is>
      </c>
      <c r="Q83" s="2" t="inlineStr">
        <is>
          <t>优秀/绿</t>
        </is>
      </c>
      <c r="R83" s="5" t="n">
        <v>0.1</v>
      </c>
      <c r="S83" s="2" t="n">
        <v>1</v>
      </c>
      <c r="T83" s="2" t="n"/>
      <c r="U83" s="2" t="inlineStr">
        <is>
          <t>否</t>
        </is>
      </c>
      <c r="V83" s="2" t="inlineStr">
        <is>
          <t>0.1</t>
        </is>
      </c>
      <c r="W83" s="2" t="n"/>
      <c r="X83" s="5">
        <f>R83</f>
        <v>0.1</v>
      </c>
      <c r="Y83" s="6">
        <f>X83*S83</f>
        <v>0.1</v>
      </c>
      <c r="Z83" s="2" t="inlineStr">
        <is>
          <t>个人任务</t>
        </is>
      </c>
      <c r="AA83" s="2" t="n"/>
      <c r="AB83" s="2" t="inlineStr">
        <is>
          <t>挑战者庄园</t>
        </is>
      </c>
      <c r="AC83" s="2" t="inlineStr">
        <is>
          <t>玩家进攻胜利（attacker），非撤退，返程结算发放</t>
        </is>
      </c>
      <c r="AD83" s="2" t="inlineStr">
        <is>
          <t>data/mission_templates.yaml:L559:drop_table.equip_tiehufu</t>
        </is>
      </c>
    </row>
    <row r="84">
      <c r="A84" s="2" t="n">
        <v>10</v>
      </c>
      <c r="B84" s="2" t="inlineStr">
        <is>
          <t>shanhaiguan</t>
        </is>
      </c>
      <c r="C84" s="2" t="inlineStr">
        <is>
          <t>山海关</t>
        </is>
      </c>
      <c r="D84" s="2" t="inlineStr">
        <is>
          <t>中级</t>
        </is>
      </c>
      <c r="E84" s="2" t="inlineStr">
        <is>
          <t>task1</t>
        </is>
      </c>
      <c r="F84" s="2" t="inlineStr">
        <is>
          <t>否</t>
        </is>
      </c>
      <c r="G84" s="2" t="inlineStr">
        <is>
          <t>否</t>
        </is>
      </c>
      <c r="H84" s="2" t="n">
        <v>3</v>
      </c>
      <c r="I84" s="2" t="n">
        <v>1800</v>
      </c>
      <c r="J84" s="2" t="inlineStr">
        <is>
          <t>每日开放</t>
        </is>
      </c>
      <c r="K84" s="2" t="inlineStr">
        <is>
          <t>无</t>
        </is>
      </c>
      <c r="L84" s="2" t="inlineStr">
        <is>
          <t>概率掉落</t>
        </is>
      </c>
      <c r="M84" s="2" t="inlineStr">
        <is>
          <t>equip_feiyukui</t>
        </is>
      </c>
      <c r="N84" s="2" t="inlineStr">
        <is>
          <t>equip_feiyukui</t>
        </is>
      </c>
      <c r="O84" s="2" t="inlineStr">
        <is>
          <t>飞羽盔</t>
        </is>
      </c>
      <c r="P84" s="2" t="inlineStr">
        <is>
          <t>头盔</t>
        </is>
      </c>
      <c r="Q84" s="2" t="inlineStr">
        <is>
          <t>稀有/蓝</t>
        </is>
      </c>
      <c r="R84" s="5" t="n">
        <v>0.1</v>
      </c>
      <c r="S84" s="2" t="n">
        <v>1</v>
      </c>
      <c r="T84" s="2" t="n"/>
      <c r="U84" s="2" t="inlineStr">
        <is>
          <t>否</t>
        </is>
      </c>
      <c r="V84" s="2" t="inlineStr">
        <is>
          <t>0.1</t>
        </is>
      </c>
      <c r="W84" s="2" t="n"/>
      <c r="X84" s="5">
        <f>R84</f>
        <v>0.1</v>
      </c>
      <c r="Y84" s="6">
        <f>X84*S84</f>
        <v>0.1</v>
      </c>
      <c r="Z84" s="2" t="inlineStr">
        <is>
          <t>个人任务</t>
        </is>
      </c>
      <c r="AA84" s="2" t="n"/>
      <c r="AB84" s="2" t="inlineStr">
        <is>
          <t>挑战者庄园</t>
        </is>
      </c>
      <c r="AC84" s="2" t="inlineStr">
        <is>
          <t>玩家进攻胜利（attacker），非撤退，返程结算发放</t>
        </is>
      </c>
      <c r="AD84" s="2" t="inlineStr">
        <is>
          <t>data/mission_templates.yaml:L559:drop_table.equip_feiyukui</t>
        </is>
      </c>
    </row>
    <row r="85">
      <c r="A85" s="2" t="n">
        <v>10</v>
      </c>
      <c r="B85" s="2" t="inlineStr">
        <is>
          <t>shanhaiguan</t>
        </is>
      </c>
      <c r="C85" s="2" t="inlineStr">
        <is>
          <t>山海关</t>
        </is>
      </c>
      <c r="D85" s="2" t="inlineStr">
        <is>
          <t>中级</t>
        </is>
      </c>
      <c r="E85" s="2" t="inlineStr">
        <is>
          <t>task1</t>
        </is>
      </c>
      <c r="F85" s="2" t="inlineStr">
        <is>
          <t>否</t>
        </is>
      </c>
      <c r="G85" s="2" t="inlineStr">
        <is>
          <t>否</t>
        </is>
      </c>
      <c r="H85" s="2" t="n">
        <v>3</v>
      </c>
      <c r="I85" s="2" t="n">
        <v>1800</v>
      </c>
      <c r="J85" s="2" t="inlineStr">
        <is>
          <t>每日开放</t>
        </is>
      </c>
      <c r="K85" s="2" t="inlineStr">
        <is>
          <t>无</t>
        </is>
      </c>
      <c r="L85" s="2" t="inlineStr">
        <is>
          <t>概率掉落</t>
        </is>
      </c>
      <c r="M85" s="2" t="inlineStr">
        <is>
          <t>equip_langyakui</t>
        </is>
      </c>
      <c r="N85" s="2" t="inlineStr">
        <is>
          <t>equip_langyakui</t>
        </is>
      </c>
      <c r="O85" s="2" t="inlineStr">
        <is>
          <t>狼牙盔</t>
        </is>
      </c>
      <c r="P85" s="2" t="inlineStr">
        <is>
          <t>头盔</t>
        </is>
      </c>
      <c r="Q85" s="2" t="inlineStr">
        <is>
          <t>稀有/蓝</t>
        </is>
      </c>
      <c r="R85" s="5" t="n">
        <v>0.1</v>
      </c>
      <c r="S85" s="2" t="n">
        <v>1</v>
      </c>
      <c r="T85" s="2" t="n"/>
      <c r="U85" s="2" t="inlineStr">
        <is>
          <t>否</t>
        </is>
      </c>
      <c r="V85" s="2" t="inlineStr">
        <is>
          <t>0.1</t>
        </is>
      </c>
      <c r="W85" s="2" t="n"/>
      <c r="X85" s="5">
        <f>R85</f>
        <v>0.1</v>
      </c>
      <c r="Y85" s="6">
        <f>X85*S85</f>
        <v>0.1</v>
      </c>
      <c r="Z85" s="2" t="inlineStr">
        <is>
          <t>个人任务</t>
        </is>
      </c>
      <c r="AA85" s="2" t="n"/>
      <c r="AB85" s="2" t="inlineStr">
        <is>
          <t>挑战者庄园</t>
        </is>
      </c>
      <c r="AC85" s="2" t="inlineStr">
        <is>
          <t>玩家进攻胜利（attacker），非撤退，返程结算发放</t>
        </is>
      </c>
      <c r="AD85" s="2" t="inlineStr">
        <is>
          <t>data/mission_templates.yaml:L559:drop_table.equip_langyakui</t>
        </is>
      </c>
    </row>
    <row r="86">
      <c r="A86" s="2" t="n">
        <v>10</v>
      </c>
      <c r="B86" s="2" t="inlineStr">
        <is>
          <t>shanhaiguan</t>
        </is>
      </c>
      <c r="C86" s="2" t="inlineStr">
        <is>
          <t>山海关</t>
        </is>
      </c>
      <c r="D86" s="2" t="inlineStr">
        <is>
          <t>中级</t>
        </is>
      </c>
      <c r="E86" s="2" t="inlineStr">
        <is>
          <t>task1</t>
        </is>
      </c>
      <c r="F86" s="2" t="inlineStr">
        <is>
          <t>否</t>
        </is>
      </c>
      <c r="G86" s="2" t="inlineStr">
        <is>
          <t>否</t>
        </is>
      </c>
      <c r="H86" s="2" t="n">
        <v>3</v>
      </c>
      <c r="I86" s="2" t="n">
        <v>1800</v>
      </c>
      <c r="J86" s="2" t="inlineStr">
        <is>
          <t>每日开放</t>
        </is>
      </c>
      <c r="K86" s="2" t="inlineStr">
        <is>
          <t>无</t>
        </is>
      </c>
      <c r="L86" s="2" t="inlineStr">
        <is>
          <t>概率掉落</t>
        </is>
      </c>
      <c r="M86" s="2" t="inlineStr">
        <is>
          <t>equip_zhaoyeyushizi</t>
        </is>
      </c>
      <c r="N86" s="2" t="inlineStr">
        <is>
          <t>equip_zhaoyeyushizi</t>
        </is>
      </c>
      <c r="O86" s="2" t="inlineStr">
        <is>
          <t>照夜玉狮子</t>
        </is>
      </c>
      <c r="P86" s="2" t="inlineStr">
        <is>
          <t>坐骑</t>
        </is>
      </c>
      <c r="Q86" s="2" t="inlineStr">
        <is>
          <t>稀有/蓝</t>
        </is>
      </c>
      <c r="R86" s="5" t="n">
        <v>0.15</v>
      </c>
      <c r="S86" s="2" t="n">
        <v>1</v>
      </c>
      <c r="T86" s="2" t="n"/>
      <c r="U86" s="2" t="inlineStr">
        <is>
          <t>否</t>
        </is>
      </c>
      <c r="V86" s="2" t="inlineStr">
        <is>
          <t>0.15</t>
        </is>
      </c>
      <c r="W86" s="2" t="n"/>
      <c r="X86" s="5">
        <f>R86</f>
        <v>0.15</v>
      </c>
      <c r="Y86" s="6">
        <f>X86*S86</f>
        <v>0.15</v>
      </c>
      <c r="Z86" s="2" t="inlineStr">
        <is>
          <t>个人任务</t>
        </is>
      </c>
      <c r="AA86" s="2" t="n"/>
      <c r="AB86" s="2" t="inlineStr">
        <is>
          <t>挑战者庄园</t>
        </is>
      </c>
      <c r="AC86" s="2" t="inlineStr">
        <is>
          <t>玩家进攻胜利（attacker），非撤退，返程结算发放</t>
        </is>
      </c>
      <c r="AD86" s="2" t="inlineStr">
        <is>
          <t>data/mission_templates.yaml:L559:drop_table.equip_zhaoyeyushizi</t>
        </is>
      </c>
    </row>
    <row r="87">
      <c r="A87" s="2" t="n">
        <v>10</v>
      </c>
      <c r="B87" s="2" t="inlineStr">
        <is>
          <t>shanhaiguan</t>
        </is>
      </c>
      <c r="C87" s="2" t="inlineStr">
        <is>
          <t>山海关</t>
        </is>
      </c>
      <c r="D87" s="2" t="inlineStr">
        <is>
          <t>中级</t>
        </is>
      </c>
      <c r="E87" s="2" t="inlineStr">
        <is>
          <t>task1</t>
        </is>
      </c>
      <c r="F87" s="2" t="inlineStr">
        <is>
          <t>否</t>
        </is>
      </c>
      <c r="G87" s="2" t="inlineStr">
        <is>
          <t>否</t>
        </is>
      </c>
      <c r="H87" s="2" t="n">
        <v>3</v>
      </c>
      <c r="I87" s="2" t="n">
        <v>1800</v>
      </c>
      <c r="J87" s="2" t="inlineStr">
        <is>
          <t>每日开放</t>
        </is>
      </c>
      <c r="K87" s="2" t="inlineStr">
        <is>
          <t>无</t>
        </is>
      </c>
      <c r="L87" s="2" t="inlineStr">
        <is>
          <t>概率掉落</t>
        </is>
      </c>
      <c r="M87" s="2" t="inlineStr">
        <is>
          <t>equip_zhuidian</t>
        </is>
      </c>
      <c r="N87" s="2" t="inlineStr">
        <is>
          <t>equip_zhuidian</t>
        </is>
      </c>
      <c r="O87" s="2" t="inlineStr">
        <is>
          <t>追电</t>
        </is>
      </c>
      <c r="P87" s="2" t="inlineStr">
        <is>
          <t>坐骑</t>
        </is>
      </c>
      <c r="Q87" s="2" t="inlineStr">
        <is>
          <t>稀有/蓝</t>
        </is>
      </c>
      <c r="R87" s="5" t="n">
        <v>0.1</v>
      </c>
      <c r="S87" s="2" t="n">
        <v>1</v>
      </c>
      <c r="T87" s="2" t="n"/>
      <c r="U87" s="2" t="inlineStr">
        <is>
          <t>否</t>
        </is>
      </c>
      <c r="V87" s="2" t="inlineStr">
        <is>
          <t>0.1</t>
        </is>
      </c>
      <c r="W87" s="2" t="n"/>
      <c r="X87" s="5">
        <f>R87</f>
        <v>0.1</v>
      </c>
      <c r="Y87" s="6">
        <f>X87*S87</f>
        <v>0.1</v>
      </c>
      <c r="Z87" s="2" t="inlineStr">
        <is>
          <t>个人任务</t>
        </is>
      </c>
      <c r="AA87" s="2" t="n"/>
      <c r="AB87" s="2" t="inlineStr">
        <is>
          <t>挑战者庄园</t>
        </is>
      </c>
      <c r="AC87" s="2" t="inlineStr">
        <is>
          <t>玩家进攻胜利（attacker），非撤退，返程结算发放</t>
        </is>
      </c>
      <c r="AD87" s="2" t="inlineStr">
        <is>
          <t>data/mission_templates.yaml:L559:drop_table.equip_zhuidian</t>
        </is>
      </c>
    </row>
    <row r="88">
      <c r="A88" s="2" t="n">
        <v>10</v>
      </c>
      <c r="B88" s="2" t="inlineStr">
        <is>
          <t>shanhaiguan</t>
        </is>
      </c>
      <c r="C88" s="2" t="inlineStr">
        <is>
          <t>山海关</t>
        </is>
      </c>
      <c r="D88" s="2" t="inlineStr">
        <is>
          <t>中级</t>
        </is>
      </c>
      <c r="E88" s="2" t="inlineStr">
        <is>
          <t>task1</t>
        </is>
      </c>
      <c r="F88" s="2" t="inlineStr">
        <is>
          <t>否</t>
        </is>
      </c>
      <c r="G88" s="2" t="inlineStr">
        <is>
          <t>否</t>
        </is>
      </c>
      <c r="H88" s="2" t="n">
        <v>3</v>
      </c>
      <c r="I88" s="2" t="n">
        <v>1800</v>
      </c>
      <c r="J88" s="2" t="inlineStr">
        <is>
          <t>每日开放</t>
        </is>
      </c>
      <c r="K88" s="2" t="inlineStr">
        <is>
          <t>无</t>
        </is>
      </c>
      <c r="L88" s="2" t="inlineStr">
        <is>
          <t>概率掉落</t>
        </is>
      </c>
      <c r="M88" s="2" t="inlineStr">
        <is>
          <t>equip_bailongju</t>
        </is>
      </c>
      <c r="N88" s="2" t="inlineStr">
        <is>
          <t>equip_bailongju</t>
        </is>
      </c>
      <c r="O88" s="2" t="inlineStr">
        <is>
          <t>白龙驹</t>
        </is>
      </c>
      <c r="P88" s="2" t="inlineStr">
        <is>
          <t>坐骑</t>
        </is>
      </c>
      <c r="Q88" s="2" t="inlineStr">
        <is>
          <t>稀有/蓝</t>
        </is>
      </c>
      <c r="R88" s="5" t="n">
        <v>0.1</v>
      </c>
      <c r="S88" s="2" t="n">
        <v>1</v>
      </c>
      <c r="T88" s="2" t="n"/>
      <c r="U88" s="2" t="inlineStr">
        <is>
          <t>否</t>
        </is>
      </c>
      <c r="V88" s="2" t="inlineStr">
        <is>
          <t>0.1</t>
        </is>
      </c>
      <c r="W88" s="2" t="n"/>
      <c r="X88" s="5">
        <f>R88</f>
        <v>0.1</v>
      </c>
      <c r="Y88" s="6">
        <f>X88*S88</f>
        <v>0.1</v>
      </c>
      <c r="Z88" s="2" t="inlineStr">
        <is>
          <t>个人任务</t>
        </is>
      </c>
      <c r="AA88" s="2" t="n"/>
      <c r="AB88" s="2" t="inlineStr">
        <is>
          <t>挑战者庄园</t>
        </is>
      </c>
      <c r="AC88" s="2" t="inlineStr">
        <is>
          <t>玩家进攻胜利（attacker），非撤退，返程结算发放</t>
        </is>
      </c>
      <c r="AD88" s="2" t="inlineStr">
        <is>
          <t>data/mission_templates.yaml:L559:drop_table.equip_bailongju</t>
        </is>
      </c>
    </row>
    <row r="89">
      <c r="A89" s="2" t="n">
        <v>10</v>
      </c>
      <c r="B89" s="2" t="inlineStr">
        <is>
          <t>shanhaiguan</t>
        </is>
      </c>
      <c r="C89" s="2" t="inlineStr">
        <is>
          <t>山海关</t>
        </is>
      </c>
      <c r="D89" s="2" t="inlineStr">
        <is>
          <t>中级</t>
        </is>
      </c>
      <c r="E89" s="2" t="inlineStr">
        <is>
          <t>task1</t>
        </is>
      </c>
      <c r="F89" s="2" t="inlineStr">
        <is>
          <t>否</t>
        </is>
      </c>
      <c r="G89" s="2" t="inlineStr">
        <is>
          <t>否</t>
        </is>
      </c>
      <c r="H89" s="2" t="n">
        <v>3</v>
      </c>
      <c r="I89" s="2" t="n">
        <v>1800</v>
      </c>
      <c r="J89" s="2" t="inlineStr">
        <is>
          <t>每日开放</t>
        </is>
      </c>
      <c r="K89" s="2" t="inlineStr">
        <is>
          <t>无</t>
        </is>
      </c>
      <c r="L89" s="2" t="inlineStr">
        <is>
          <t>随机池掉落</t>
        </is>
      </c>
      <c r="M89" s="2" t="inlineStr">
        <is>
          <t>blueprint_xiaowei_set</t>
        </is>
      </c>
      <c r="N89" s="2" t="inlineStr">
        <is>
          <t>blueprint_xiaoweitoukie</t>
        </is>
      </c>
      <c r="O89" s="2" t="inlineStr">
        <is>
          <t>校尉头盔图纸</t>
        </is>
      </c>
      <c r="P89" s="2" t="inlineStr">
        <is>
          <t>装备图纸</t>
        </is>
      </c>
      <c r="Q89" s="2" t="inlineStr">
        <is>
          <t>稀有/蓝</t>
        </is>
      </c>
      <c r="R89" s="5" t="n">
        <v>0.35</v>
      </c>
      <c r="S89" s="2" t="n">
        <v>1</v>
      </c>
      <c r="T89" s="2" t="n">
        <v>1</v>
      </c>
      <c r="U89" s="2" t="inlineStr">
        <is>
          <t>是</t>
        </is>
      </c>
      <c r="V89" s="2" t="inlineStr">
        <is>
          <t>{"chance":0.35,"choices":["blueprint_xiaoweitoukie","blueprint_xiaoweikaijia","blueprint_xiaoweichangxue","blueprint_xiaoweichangjian"]}</t>
        </is>
      </c>
      <c r="W89" s="3">
        <f>SUM(T89:T92)</f>
        <v>4</v>
      </c>
      <c r="X89" s="5">
        <f>R89*T89/W89</f>
        <v>0.0875</v>
      </c>
      <c r="Y89" s="6">
        <f>X89*S89</f>
        <v>0.0875</v>
      </c>
      <c r="Z89" s="2" t="inlineStr">
        <is>
          <t>个人任务</t>
        </is>
      </c>
      <c r="AA89" s="2" t="n"/>
      <c r="AB89" s="2" t="inlineStr">
        <is>
          <t>挑战者庄园</t>
        </is>
      </c>
      <c r="AC89" s="2" t="inlineStr">
        <is>
          <t>玩家进攻胜利（attacker），非撤退，返程结算发放</t>
        </is>
      </c>
      <c r="AD89" s="2" t="inlineStr">
        <is>
          <t>data/mission_templates.yaml:L559:drop_table.blueprint_xiaowei_set</t>
        </is>
      </c>
    </row>
    <row r="90">
      <c r="A90" s="2" t="n">
        <v>10</v>
      </c>
      <c r="B90" s="2" t="inlineStr">
        <is>
          <t>shanhaiguan</t>
        </is>
      </c>
      <c r="C90" s="2" t="inlineStr">
        <is>
          <t>山海关</t>
        </is>
      </c>
      <c r="D90" s="2" t="inlineStr">
        <is>
          <t>中级</t>
        </is>
      </c>
      <c r="E90" s="2" t="inlineStr">
        <is>
          <t>task1</t>
        </is>
      </c>
      <c r="F90" s="2" t="inlineStr">
        <is>
          <t>否</t>
        </is>
      </c>
      <c r="G90" s="2" t="inlineStr">
        <is>
          <t>否</t>
        </is>
      </c>
      <c r="H90" s="2" t="n">
        <v>3</v>
      </c>
      <c r="I90" s="2" t="n">
        <v>1800</v>
      </c>
      <c r="J90" s="2" t="inlineStr">
        <is>
          <t>每日开放</t>
        </is>
      </c>
      <c r="K90" s="2" t="inlineStr">
        <is>
          <t>无</t>
        </is>
      </c>
      <c r="L90" s="2" t="inlineStr">
        <is>
          <t>随机池掉落</t>
        </is>
      </c>
      <c r="M90" s="2" t="inlineStr">
        <is>
          <t>blueprint_xiaowei_set</t>
        </is>
      </c>
      <c r="N90" s="2" t="inlineStr">
        <is>
          <t>blueprint_xiaoweikaijia</t>
        </is>
      </c>
      <c r="O90" s="2" t="inlineStr">
        <is>
          <t>校尉铠甲图纸</t>
        </is>
      </c>
      <c r="P90" s="2" t="inlineStr">
        <is>
          <t>装备图纸</t>
        </is>
      </c>
      <c r="Q90" s="2" t="inlineStr">
        <is>
          <t>稀有/蓝</t>
        </is>
      </c>
      <c r="R90" s="5" t="n">
        <v>0.35</v>
      </c>
      <c r="S90" s="2" t="n">
        <v>1</v>
      </c>
      <c r="T90" s="2" t="n">
        <v>1</v>
      </c>
      <c r="U90" s="2" t="inlineStr">
        <is>
          <t>是</t>
        </is>
      </c>
      <c r="V90" s="2" t="inlineStr">
        <is>
          <t>{"chance":0.35,"choices":["blueprint_xiaoweitoukie","blueprint_xiaoweikaijia","blueprint_xiaoweichangxue","blueprint_xiaoweichangjian"]}</t>
        </is>
      </c>
      <c r="W90" s="3">
        <f>SUM(T89:T92)</f>
        <v>4</v>
      </c>
      <c r="X90" s="5">
        <f>R90*T90/W90</f>
        <v>0.0875</v>
      </c>
      <c r="Y90" s="6">
        <f>X90*S90</f>
        <v>0.0875</v>
      </c>
      <c r="Z90" s="2" t="inlineStr">
        <is>
          <t>个人任务</t>
        </is>
      </c>
      <c r="AA90" s="2" t="n"/>
      <c r="AB90" s="2" t="inlineStr">
        <is>
          <t>挑战者庄园</t>
        </is>
      </c>
      <c r="AC90" s="2" t="inlineStr">
        <is>
          <t>玩家进攻胜利（attacker），非撤退，返程结算发放</t>
        </is>
      </c>
      <c r="AD90" s="2" t="inlineStr">
        <is>
          <t>data/mission_templates.yaml:L559:drop_table.blueprint_xiaowei_set</t>
        </is>
      </c>
    </row>
    <row r="91">
      <c r="A91" s="2" t="n">
        <v>10</v>
      </c>
      <c r="B91" s="2" t="inlineStr">
        <is>
          <t>shanhaiguan</t>
        </is>
      </c>
      <c r="C91" s="2" t="inlineStr">
        <is>
          <t>山海关</t>
        </is>
      </c>
      <c r="D91" s="2" t="inlineStr">
        <is>
          <t>中级</t>
        </is>
      </c>
      <c r="E91" s="2" t="inlineStr">
        <is>
          <t>task1</t>
        </is>
      </c>
      <c r="F91" s="2" t="inlineStr">
        <is>
          <t>否</t>
        </is>
      </c>
      <c r="G91" s="2" t="inlineStr">
        <is>
          <t>否</t>
        </is>
      </c>
      <c r="H91" s="2" t="n">
        <v>3</v>
      </c>
      <c r="I91" s="2" t="n">
        <v>1800</v>
      </c>
      <c r="J91" s="2" t="inlineStr">
        <is>
          <t>每日开放</t>
        </is>
      </c>
      <c r="K91" s="2" t="inlineStr">
        <is>
          <t>无</t>
        </is>
      </c>
      <c r="L91" s="2" t="inlineStr">
        <is>
          <t>随机池掉落</t>
        </is>
      </c>
      <c r="M91" s="2" t="inlineStr">
        <is>
          <t>blueprint_xiaowei_set</t>
        </is>
      </c>
      <c r="N91" s="2" t="inlineStr">
        <is>
          <t>blueprint_xiaoweichangxue</t>
        </is>
      </c>
      <c r="O91" s="2" t="inlineStr">
        <is>
          <t>校尉长靴图纸</t>
        </is>
      </c>
      <c r="P91" s="2" t="inlineStr">
        <is>
          <t>装备图纸</t>
        </is>
      </c>
      <c r="Q91" s="2" t="inlineStr">
        <is>
          <t>稀有/蓝</t>
        </is>
      </c>
      <c r="R91" s="5" t="n">
        <v>0.35</v>
      </c>
      <c r="S91" s="2" t="n">
        <v>1</v>
      </c>
      <c r="T91" s="2" t="n">
        <v>1</v>
      </c>
      <c r="U91" s="2" t="inlineStr">
        <is>
          <t>是</t>
        </is>
      </c>
      <c r="V91" s="2" t="inlineStr">
        <is>
          <t>{"chance":0.35,"choices":["blueprint_xiaoweitoukie","blueprint_xiaoweikaijia","blueprint_xiaoweichangxue","blueprint_xiaoweichangjian"]}</t>
        </is>
      </c>
      <c r="W91" s="3">
        <f>SUM(T89:T92)</f>
        <v>4</v>
      </c>
      <c r="X91" s="5">
        <f>R91*T91/W91</f>
        <v>0.0875</v>
      </c>
      <c r="Y91" s="6">
        <f>X91*S91</f>
        <v>0.0875</v>
      </c>
      <c r="Z91" s="2" t="inlineStr">
        <is>
          <t>个人任务</t>
        </is>
      </c>
      <c r="AA91" s="2" t="n"/>
      <c r="AB91" s="2" t="inlineStr">
        <is>
          <t>挑战者庄园</t>
        </is>
      </c>
      <c r="AC91" s="2" t="inlineStr">
        <is>
          <t>玩家进攻胜利（attacker），非撤退，返程结算发放</t>
        </is>
      </c>
      <c r="AD91" s="2" t="inlineStr">
        <is>
          <t>data/mission_templates.yaml:L559:drop_table.blueprint_xiaowei_set</t>
        </is>
      </c>
    </row>
    <row r="92">
      <c r="A92" s="2" t="n">
        <v>10</v>
      </c>
      <c r="B92" s="2" t="inlineStr">
        <is>
          <t>shanhaiguan</t>
        </is>
      </c>
      <c r="C92" s="2" t="inlineStr">
        <is>
          <t>山海关</t>
        </is>
      </c>
      <c r="D92" s="2" t="inlineStr">
        <is>
          <t>中级</t>
        </is>
      </c>
      <c r="E92" s="2" t="inlineStr">
        <is>
          <t>task1</t>
        </is>
      </c>
      <c r="F92" s="2" t="inlineStr">
        <is>
          <t>否</t>
        </is>
      </c>
      <c r="G92" s="2" t="inlineStr">
        <is>
          <t>否</t>
        </is>
      </c>
      <c r="H92" s="2" t="n">
        <v>3</v>
      </c>
      <c r="I92" s="2" t="n">
        <v>1800</v>
      </c>
      <c r="J92" s="2" t="inlineStr">
        <is>
          <t>每日开放</t>
        </is>
      </c>
      <c r="K92" s="2" t="inlineStr">
        <is>
          <t>无</t>
        </is>
      </c>
      <c r="L92" s="2" t="inlineStr">
        <is>
          <t>随机池掉落</t>
        </is>
      </c>
      <c r="M92" s="2" t="inlineStr">
        <is>
          <t>blueprint_xiaowei_set</t>
        </is>
      </c>
      <c r="N92" s="2" t="inlineStr">
        <is>
          <t>blueprint_xiaoweichangjian</t>
        </is>
      </c>
      <c r="O92" s="2" t="inlineStr">
        <is>
          <t>校尉长剑图纸</t>
        </is>
      </c>
      <c r="P92" s="2" t="inlineStr">
        <is>
          <t>装备图纸</t>
        </is>
      </c>
      <c r="Q92" s="2" t="inlineStr">
        <is>
          <t>稀有/蓝</t>
        </is>
      </c>
      <c r="R92" s="5" t="n">
        <v>0.35</v>
      </c>
      <c r="S92" s="2" t="n">
        <v>1</v>
      </c>
      <c r="T92" s="2" t="n">
        <v>1</v>
      </c>
      <c r="U92" s="2" t="inlineStr">
        <is>
          <t>是</t>
        </is>
      </c>
      <c r="V92" s="2" t="inlineStr">
        <is>
          <t>{"chance":0.35,"choices":["blueprint_xiaoweitoukie","blueprint_xiaoweikaijia","blueprint_xiaoweichangxue","blueprint_xiaoweichangjian"]}</t>
        </is>
      </c>
      <c r="W92" s="3">
        <f>SUM(T89:T92)</f>
        <v>4</v>
      </c>
      <c r="X92" s="5">
        <f>R92*T92/W92</f>
        <v>0.0875</v>
      </c>
      <c r="Y92" s="6">
        <f>X92*S92</f>
        <v>0.0875</v>
      </c>
      <c r="Z92" s="2" t="inlineStr">
        <is>
          <t>个人任务</t>
        </is>
      </c>
      <c r="AA92" s="2" t="n"/>
      <c r="AB92" s="2" t="inlineStr">
        <is>
          <t>挑战者庄园</t>
        </is>
      </c>
      <c r="AC92" s="2" t="inlineStr">
        <is>
          <t>玩家进攻胜利（attacker），非撤退，返程结算发放</t>
        </is>
      </c>
      <c r="AD92" s="2" t="inlineStr">
        <is>
          <t>data/mission_templates.yaml:L559:drop_table.blueprint_xiaowei_set</t>
        </is>
      </c>
    </row>
    <row r="93">
      <c r="A93" s="2" t="n">
        <v>11</v>
      </c>
      <c r="B93" s="2" t="inlineStr">
        <is>
          <t>shiren_daochang</t>
        </is>
      </c>
      <c r="C93" s="2" t="inlineStr">
        <is>
          <t>十人道场</t>
        </is>
      </c>
      <c r="D93" s="2" t="inlineStr">
        <is>
          <t>中级</t>
        </is>
      </c>
      <c r="E93" s="2" t="inlineStr">
        <is>
          <t>task1</t>
        </is>
      </c>
      <c r="F93" s="2" t="inlineStr">
        <is>
          <t>否</t>
        </is>
      </c>
      <c r="G93" s="2" t="inlineStr">
        <is>
          <t>否</t>
        </is>
      </c>
      <c r="H93" s="2" t="n">
        <v>3</v>
      </c>
      <c r="I93" s="2" t="n">
        <v>1800</v>
      </c>
      <c r="J93" s="2" t="inlineStr">
        <is>
          <t>每日开放</t>
        </is>
      </c>
      <c r="K93" s="2" t="inlineStr">
        <is>
          <t>无</t>
        </is>
      </c>
      <c r="L93" s="2" t="inlineStr">
        <is>
          <t>固定掉落</t>
        </is>
      </c>
      <c r="M93" s="2" t="inlineStr">
        <is>
          <t>silver</t>
        </is>
      </c>
      <c r="N93" s="2" t="inlineStr">
        <is>
          <t>silver</t>
        </is>
      </c>
      <c r="O93" s="2" t="inlineStr">
        <is>
          <t>银两</t>
        </is>
      </c>
      <c r="P93" s="2" t="inlineStr">
        <is>
          <t>资源</t>
        </is>
      </c>
      <c r="Q93" s="2" t="inlineStr">
        <is>
          <t>资源</t>
        </is>
      </c>
      <c r="R93" s="5" t="n">
        <v>1</v>
      </c>
      <c r="S93" s="2" t="n">
        <v>20000</v>
      </c>
      <c r="T93" s="2" t="n"/>
      <c r="U93" s="2" t="inlineStr">
        <is>
          <t>否</t>
        </is>
      </c>
      <c r="V93" s="2" t="inlineStr">
        <is>
          <t>20000</t>
        </is>
      </c>
      <c r="W93" s="2" t="n"/>
      <c r="X93" s="5">
        <f>R93</f>
        <v>1</v>
      </c>
      <c r="Y93" s="6">
        <f>X93*S93</f>
        <v>20000</v>
      </c>
      <c r="Z93" s="2" t="inlineStr">
        <is>
          <t>个人任务</t>
        </is>
      </c>
      <c r="AA93" s="2" t="n"/>
      <c r="AB93" s="2" t="inlineStr">
        <is>
          <t>挑战者庄园</t>
        </is>
      </c>
      <c r="AC93" s="2" t="inlineStr">
        <is>
          <t>玩家进攻胜利（attacker），非撤退，返程结算发放</t>
        </is>
      </c>
      <c r="AD93" s="2" t="inlineStr">
        <is>
          <t>data/mission_templates.yaml:L607:drop_table.silver</t>
        </is>
      </c>
    </row>
    <row r="94">
      <c r="A94" s="2" t="n">
        <v>11</v>
      </c>
      <c r="B94" s="2" t="inlineStr">
        <is>
          <t>shiren_daochang</t>
        </is>
      </c>
      <c r="C94" s="2" t="inlineStr">
        <is>
          <t>十人道场</t>
        </is>
      </c>
      <c r="D94" s="2" t="inlineStr">
        <is>
          <t>中级</t>
        </is>
      </c>
      <c r="E94" s="2" t="inlineStr">
        <is>
          <t>task1</t>
        </is>
      </c>
      <c r="F94" s="2" t="inlineStr">
        <is>
          <t>否</t>
        </is>
      </c>
      <c r="G94" s="2" t="inlineStr">
        <is>
          <t>否</t>
        </is>
      </c>
      <c r="H94" s="2" t="n">
        <v>3</v>
      </c>
      <c r="I94" s="2" t="n">
        <v>1800</v>
      </c>
      <c r="J94" s="2" t="inlineStr">
        <is>
          <t>每日开放</t>
        </is>
      </c>
      <c r="K94" s="2" t="inlineStr">
        <is>
          <t>无</t>
        </is>
      </c>
      <c r="L94" s="2" t="inlineStr">
        <is>
          <t>随机池掉落</t>
        </is>
      </c>
      <c r="M94" s="2" t="inlineStr">
        <is>
          <t>shiren_skill_book_random</t>
        </is>
      </c>
      <c r="N94" s="2" t="inlineStr">
        <is>
          <t>book_taiyi_wind</t>
        </is>
      </c>
      <c r="O94" s="2" t="inlineStr">
        <is>
          <t>《太乙生风》秘术</t>
        </is>
      </c>
      <c r="P94" s="2" t="inlineStr">
        <is>
          <t>技能书</t>
        </is>
      </c>
      <c r="Q94" s="2" t="inlineStr">
        <is>
          <t>优秀/绿</t>
        </is>
      </c>
      <c r="R94" s="5" t="n">
        <v>0.1</v>
      </c>
      <c r="S94" s="2" t="n">
        <v>1</v>
      </c>
      <c r="T94" s="2" t="n">
        <v>1</v>
      </c>
      <c r="U94" s="2" t="inlineStr">
        <is>
          <t>是</t>
        </is>
      </c>
      <c r="V94" s="2" t="inlineStr">
        <is>
          <t>{"chance":0.1,"choices":[{"item_key":"book_taiyi_wind","weight":1},{"item_key":"book_flower_rain","weight":1}]}</t>
        </is>
      </c>
      <c r="W94" s="3">
        <f>SUM(T94:T95)</f>
        <v>2</v>
      </c>
      <c r="X94" s="5">
        <f>R94*T94/W94</f>
        <v>0.05</v>
      </c>
      <c r="Y94" s="6">
        <f>X94*S94</f>
        <v>0.05</v>
      </c>
      <c r="Z94" s="2" t="inlineStr">
        <is>
          <t>个人任务</t>
        </is>
      </c>
      <c r="AA94" s="2" t="n"/>
      <c r="AB94" s="2" t="inlineStr">
        <is>
          <t>挑战者庄园</t>
        </is>
      </c>
      <c r="AC94" s="2" t="inlineStr">
        <is>
          <t>玩家进攻胜利（attacker），非撤退，返程结算发放</t>
        </is>
      </c>
      <c r="AD94" s="2" t="inlineStr">
        <is>
          <t>data/mission_templates.yaml:L607:drop_table.shiren_skill_book_random</t>
        </is>
      </c>
    </row>
    <row r="95">
      <c r="A95" s="2" t="n">
        <v>11</v>
      </c>
      <c r="B95" s="2" t="inlineStr">
        <is>
          <t>shiren_daochang</t>
        </is>
      </c>
      <c r="C95" s="2" t="inlineStr">
        <is>
          <t>十人道场</t>
        </is>
      </c>
      <c r="D95" s="2" t="inlineStr">
        <is>
          <t>中级</t>
        </is>
      </c>
      <c r="E95" s="2" t="inlineStr">
        <is>
          <t>task1</t>
        </is>
      </c>
      <c r="F95" s="2" t="inlineStr">
        <is>
          <t>否</t>
        </is>
      </c>
      <c r="G95" s="2" t="inlineStr">
        <is>
          <t>否</t>
        </is>
      </c>
      <c r="H95" s="2" t="n">
        <v>3</v>
      </c>
      <c r="I95" s="2" t="n">
        <v>1800</v>
      </c>
      <c r="J95" s="2" t="inlineStr">
        <is>
          <t>每日开放</t>
        </is>
      </c>
      <c r="K95" s="2" t="inlineStr">
        <is>
          <t>无</t>
        </is>
      </c>
      <c r="L95" s="2" t="inlineStr">
        <is>
          <t>随机池掉落</t>
        </is>
      </c>
      <c r="M95" s="2" t="inlineStr">
        <is>
          <t>shiren_skill_book_random</t>
        </is>
      </c>
      <c r="N95" s="2" t="inlineStr">
        <is>
          <t>book_flower_rain</t>
        </is>
      </c>
      <c r="O95" s="2" t="inlineStr">
        <is>
          <t>《天花乱坠》秘术</t>
        </is>
      </c>
      <c r="P95" s="2" t="inlineStr">
        <is>
          <t>技能书</t>
        </is>
      </c>
      <c r="Q95" s="2" t="inlineStr">
        <is>
          <t>稀有/蓝</t>
        </is>
      </c>
      <c r="R95" s="5" t="n">
        <v>0.1</v>
      </c>
      <c r="S95" s="2" t="n">
        <v>1</v>
      </c>
      <c r="T95" s="2" t="n">
        <v>1</v>
      </c>
      <c r="U95" s="2" t="inlineStr">
        <is>
          <t>是</t>
        </is>
      </c>
      <c r="V95" s="2" t="inlineStr">
        <is>
          <t>{"chance":0.1,"choices":[{"item_key":"book_taiyi_wind","weight":1},{"item_key":"book_flower_rain","weight":1}]}</t>
        </is>
      </c>
      <c r="W95" s="3">
        <f>SUM(T94:T95)</f>
        <v>2</v>
      </c>
      <c r="X95" s="5">
        <f>R95*T95/W95</f>
        <v>0.05</v>
      </c>
      <c r="Y95" s="6">
        <f>X95*S95</f>
        <v>0.05</v>
      </c>
      <c r="Z95" s="2" t="inlineStr">
        <is>
          <t>个人任务</t>
        </is>
      </c>
      <c r="AA95" s="2" t="n"/>
      <c r="AB95" s="2" t="inlineStr">
        <is>
          <t>挑战者庄园</t>
        </is>
      </c>
      <c r="AC95" s="2" t="inlineStr">
        <is>
          <t>玩家进攻胜利（attacker），非撤退，返程结算发放</t>
        </is>
      </c>
      <c r="AD95" s="2" t="inlineStr">
        <is>
          <t>data/mission_templates.yaml:L607:drop_table.shiren_skill_book_random</t>
        </is>
      </c>
    </row>
    <row r="96">
      <c r="A96" s="2" t="n">
        <v>11</v>
      </c>
      <c r="B96" s="2" t="inlineStr">
        <is>
          <t>shiren_daochang</t>
        </is>
      </c>
      <c r="C96" s="2" t="inlineStr">
        <is>
          <t>十人道场</t>
        </is>
      </c>
      <c r="D96" s="2" t="inlineStr">
        <is>
          <t>中级</t>
        </is>
      </c>
      <c r="E96" s="2" t="inlineStr">
        <is>
          <t>task1</t>
        </is>
      </c>
      <c r="F96" s="2" t="inlineStr">
        <is>
          <t>否</t>
        </is>
      </c>
      <c r="G96" s="2" t="inlineStr">
        <is>
          <t>否</t>
        </is>
      </c>
      <c r="H96" s="2" t="n">
        <v>3</v>
      </c>
      <c r="I96" s="2" t="n">
        <v>1800</v>
      </c>
      <c r="J96" s="2" t="inlineStr">
        <is>
          <t>每日开放</t>
        </is>
      </c>
      <c r="K96" s="2" t="inlineStr">
        <is>
          <t>无</t>
        </is>
      </c>
      <c r="L96" s="2" t="inlineStr">
        <is>
          <t>固定掉落</t>
        </is>
      </c>
      <c r="M96" s="2" t="inlineStr">
        <is>
          <t>experience_peach</t>
        </is>
      </c>
      <c r="N96" s="2" t="inlineStr">
        <is>
          <t>experience_peach</t>
        </is>
      </c>
      <c r="O96" s="2" t="inlineStr">
        <is>
          <t>经验桃子</t>
        </is>
      </c>
      <c r="P96" s="2" t="inlineStr">
        <is>
          <t>经验道具</t>
        </is>
      </c>
      <c r="Q96" s="2" t="inlineStr">
        <is>
          <t>优秀/绿</t>
        </is>
      </c>
      <c r="R96" s="5" t="n">
        <v>1</v>
      </c>
      <c r="S96" s="2" t="n">
        <v>9</v>
      </c>
      <c r="T96" s="2" t="n"/>
      <c r="U96" s="2" t="inlineStr">
        <is>
          <t>否</t>
        </is>
      </c>
      <c r="V96" s="2" t="inlineStr">
        <is>
          <t>9</t>
        </is>
      </c>
      <c r="W96" s="2" t="n"/>
      <c r="X96" s="5">
        <f>R96</f>
        <v>1</v>
      </c>
      <c r="Y96" s="6">
        <f>X96*S96</f>
        <v>9</v>
      </c>
      <c r="Z96" s="2" t="inlineStr">
        <is>
          <t>个人任务</t>
        </is>
      </c>
      <c r="AA96" s="2" t="n"/>
      <c r="AB96" s="2" t="inlineStr">
        <is>
          <t>挑战者庄园</t>
        </is>
      </c>
      <c r="AC96" s="2" t="inlineStr">
        <is>
          <t>玩家进攻胜利（attacker），非撤退，返程结算发放</t>
        </is>
      </c>
      <c r="AD96" s="2" t="inlineStr">
        <is>
          <t>data/mission_templates.yaml:L607:drop_table.experience_peach</t>
        </is>
      </c>
    </row>
    <row r="97">
      <c r="A97" s="2" t="n">
        <v>11</v>
      </c>
      <c r="B97" s="2" t="inlineStr">
        <is>
          <t>shiren_daochang</t>
        </is>
      </c>
      <c r="C97" s="2" t="inlineStr">
        <is>
          <t>十人道场</t>
        </is>
      </c>
      <c r="D97" s="2" t="inlineStr">
        <is>
          <t>中级</t>
        </is>
      </c>
      <c r="E97" s="2" t="inlineStr">
        <is>
          <t>task1</t>
        </is>
      </c>
      <c r="F97" s="2" t="inlineStr">
        <is>
          <t>否</t>
        </is>
      </c>
      <c r="G97" s="2" t="inlineStr">
        <is>
          <t>否</t>
        </is>
      </c>
      <c r="H97" s="2" t="n">
        <v>3</v>
      </c>
      <c r="I97" s="2" t="n">
        <v>1800</v>
      </c>
      <c r="J97" s="2" t="inlineStr">
        <is>
          <t>每日开放</t>
        </is>
      </c>
      <c r="K97" s="2" t="inlineStr">
        <is>
          <t>无</t>
        </is>
      </c>
      <c r="L97" s="2" t="inlineStr">
        <is>
          <t>概率掉落</t>
        </is>
      </c>
      <c r="M97" s="2" t="inlineStr">
        <is>
          <t>equip_tanmunianzhu</t>
        </is>
      </c>
      <c r="N97" s="2" t="inlineStr">
        <is>
          <t>equip_tanmunianzhu</t>
        </is>
      </c>
      <c r="O97" s="2" t="inlineStr">
        <is>
          <t>檀木念珠</t>
        </is>
      </c>
      <c r="P97" s="2" t="inlineStr">
        <is>
          <t>饰品</t>
        </is>
      </c>
      <c r="Q97" s="2" t="inlineStr">
        <is>
          <t>优秀/绿</t>
        </is>
      </c>
      <c r="R97" s="5" t="n">
        <v>0.1</v>
      </c>
      <c r="S97" s="2" t="n">
        <v>1</v>
      </c>
      <c r="T97" s="2" t="n"/>
      <c r="U97" s="2" t="inlineStr">
        <is>
          <t>否</t>
        </is>
      </c>
      <c r="V97" s="2" t="inlineStr">
        <is>
          <t>0.1</t>
        </is>
      </c>
      <c r="W97" s="2" t="n"/>
      <c r="X97" s="5">
        <f>R97</f>
        <v>0.1</v>
      </c>
      <c r="Y97" s="6">
        <f>X97*S97</f>
        <v>0.1</v>
      </c>
      <c r="Z97" s="2" t="inlineStr">
        <is>
          <t>个人任务</t>
        </is>
      </c>
      <c r="AA97" s="2" t="n"/>
      <c r="AB97" s="2" t="inlineStr">
        <is>
          <t>挑战者庄园</t>
        </is>
      </c>
      <c r="AC97" s="2" t="inlineStr">
        <is>
          <t>玩家进攻胜利（attacker），非撤退，返程结算发放</t>
        </is>
      </c>
      <c r="AD97" s="2" t="inlineStr">
        <is>
          <t>data/mission_templates.yaml:L607:drop_table.equip_tanmunianzhu</t>
        </is>
      </c>
    </row>
    <row r="98">
      <c r="A98" s="2" t="n">
        <v>11</v>
      </c>
      <c r="B98" s="2" t="inlineStr">
        <is>
          <t>shiren_daochang</t>
        </is>
      </c>
      <c r="C98" s="2" t="inlineStr">
        <is>
          <t>十人道场</t>
        </is>
      </c>
      <c r="D98" s="2" t="inlineStr">
        <is>
          <t>中级</t>
        </is>
      </c>
      <c r="E98" s="2" t="inlineStr">
        <is>
          <t>task1</t>
        </is>
      </c>
      <c r="F98" s="2" t="inlineStr">
        <is>
          <t>否</t>
        </is>
      </c>
      <c r="G98" s="2" t="inlineStr">
        <is>
          <t>否</t>
        </is>
      </c>
      <c r="H98" s="2" t="n">
        <v>3</v>
      </c>
      <c r="I98" s="2" t="n">
        <v>1800</v>
      </c>
      <c r="J98" s="2" t="inlineStr">
        <is>
          <t>每日开放</t>
        </is>
      </c>
      <c r="K98" s="2" t="inlineStr">
        <is>
          <t>无</t>
        </is>
      </c>
      <c r="L98" s="2" t="inlineStr">
        <is>
          <t>概率掉落</t>
        </is>
      </c>
      <c r="M98" s="2" t="inlineStr">
        <is>
          <t>equip_taomujian</t>
        </is>
      </c>
      <c r="N98" s="2" t="inlineStr">
        <is>
          <t>equip_taomujian</t>
        </is>
      </c>
      <c r="O98" s="2" t="inlineStr">
        <is>
          <t>桃木剑</t>
        </is>
      </c>
      <c r="P98" s="2" t="inlineStr">
        <is>
          <t>饰品</t>
        </is>
      </c>
      <c r="Q98" s="2" t="inlineStr">
        <is>
          <t>优秀/绿</t>
        </is>
      </c>
      <c r="R98" s="5" t="n">
        <v>0.1</v>
      </c>
      <c r="S98" s="2" t="n">
        <v>1</v>
      </c>
      <c r="T98" s="2" t="n"/>
      <c r="U98" s="2" t="inlineStr">
        <is>
          <t>否</t>
        </is>
      </c>
      <c r="V98" s="2" t="inlineStr">
        <is>
          <t>0.1</t>
        </is>
      </c>
      <c r="W98" s="2" t="n"/>
      <c r="X98" s="5">
        <f>R98</f>
        <v>0.1</v>
      </c>
      <c r="Y98" s="6">
        <f>X98*S98</f>
        <v>0.1</v>
      </c>
      <c r="Z98" s="2" t="inlineStr">
        <is>
          <t>个人任务</t>
        </is>
      </c>
      <c r="AA98" s="2" t="n"/>
      <c r="AB98" s="2" t="inlineStr">
        <is>
          <t>挑战者庄园</t>
        </is>
      </c>
      <c r="AC98" s="2" t="inlineStr">
        <is>
          <t>玩家进攻胜利（attacker），非撤退，返程结算发放</t>
        </is>
      </c>
      <c r="AD98" s="2" t="inlineStr">
        <is>
          <t>data/mission_templates.yaml:L607:drop_table.equip_taomujian</t>
        </is>
      </c>
    </row>
    <row r="99">
      <c r="A99" s="2" t="n">
        <v>11</v>
      </c>
      <c r="B99" s="2" t="inlineStr">
        <is>
          <t>shiren_daochang</t>
        </is>
      </c>
      <c r="C99" s="2" t="inlineStr">
        <is>
          <t>十人道场</t>
        </is>
      </c>
      <c r="D99" s="2" t="inlineStr">
        <is>
          <t>中级</t>
        </is>
      </c>
      <c r="E99" s="2" t="inlineStr">
        <is>
          <t>task1</t>
        </is>
      </c>
      <c r="F99" s="2" t="inlineStr">
        <is>
          <t>否</t>
        </is>
      </c>
      <c r="G99" s="2" t="inlineStr">
        <is>
          <t>否</t>
        </is>
      </c>
      <c r="H99" s="2" t="n">
        <v>3</v>
      </c>
      <c r="I99" s="2" t="n">
        <v>1800</v>
      </c>
      <c r="J99" s="2" t="inlineStr">
        <is>
          <t>每日开放</t>
        </is>
      </c>
      <c r="K99" s="2" t="inlineStr">
        <is>
          <t>无</t>
        </is>
      </c>
      <c r="L99" s="2" t="inlineStr">
        <is>
          <t>概率掉落</t>
        </is>
      </c>
      <c r="M99" s="2" t="inlineStr">
        <is>
          <t>equip_yunwenkui</t>
        </is>
      </c>
      <c r="N99" s="2" t="inlineStr">
        <is>
          <t>equip_yunwenkui</t>
        </is>
      </c>
      <c r="O99" s="2" t="inlineStr">
        <is>
          <t>云纹盔</t>
        </is>
      </c>
      <c r="P99" s="2" t="inlineStr">
        <is>
          <t>头盔</t>
        </is>
      </c>
      <c r="Q99" s="2" t="inlineStr">
        <is>
          <t>稀有/蓝</t>
        </is>
      </c>
      <c r="R99" s="5" t="n">
        <v>0.1</v>
      </c>
      <c r="S99" s="2" t="n">
        <v>1</v>
      </c>
      <c r="T99" s="2" t="n"/>
      <c r="U99" s="2" t="inlineStr">
        <is>
          <t>否</t>
        </is>
      </c>
      <c r="V99" s="2" t="inlineStr">
        <is>
          <t>0.1</t>
        </is>
      </c>
      <c r="W99" s="2" t="n"/>
      <c r="X99" s="5">
        <f>R99</f>
        <v>0.1</v>
      </c>
      <c r="Y99" s="6">
        <f>X99*S99</f>
        <v>0.1</v>
      </c>
      <c r="Z99" s="2" t="inlineStr">
        <is>
          <t>个人任务</t>
        </is>
      </c>
      <c r="AA99" s="2" t="n"/>
      <c r="AB99" s="2" t="inlineStr">
        <is>
          <t>挑战者庄园</t>
        </is>
      </c>
      <c r="AC99" s="2" t="inlineStr">
        <is>
          <t>玩家进攻胜利（attacker），非撤退，返程结算发放</t>
        </is>
      </c>
      <c r="AD99" s="2" t="inlineStr">
        <is>
          <t>data/mission_templates.yaml:L607:drop_table.equip_yunwenkui</t>
        </is>
      </c>
    </row>
    <row r="100">
      <c r="A100" s="2" t="n">
        <v>11</v>
      </c>
      <c r="B100" s="2" t="inlineStr">
        <is>
          <t>shiren_daochang</t>
        </is>
      </c>
      <c r="C100" s="2" t="inlineStr">
        <is>
          <t>十人道场</t>
        </is>
      </c>
      <c r="D100" s="2" t="inlineStr">
        <is>
          <t>中级</t>
        </is>
      </c>
      <c r="E100" s="2" t="inlineStr">
        <is>
          <t>task1</t>
        </is>
      </c>
      <c r="F100" s="2" t="inlineStr">
        <is>
          <t>否</t>
        </is>
      </c>
      <c r="G100" s="2" t="inlineStr">
        <is>
          <t>否</t>
        </is>
      </c>
      <c r="H100" s="2" t="n">
        <v>3</v>
      </c>
      <c r="I100" s="2" t="n">
        <v>1800</v>
      </c>
      <c r="J100" s="2" t="inlineStr">
        <is>
          <t>每日开放</t>
        </is>
      </c>
      <c r="K100" s="2" t="inlineStr">
        <is>
          <t>无</t>
        </is>
      </c>
      <c r="L100" s="2" t="inlineStr">
        <is>
          <t>概率掉落</t>
        </is>
      </c>
      <c r="M100" s="2" t="inlineStr">
        <is>
          <t>equip_yunwenfayi</t>
        </is>
      </c>
      <c r="N100" s="2" t="inlineStr">
        <is>
          <t>equip_yunwenfayi</t>
        </is>
      </c>
      <c r="O100" s="2" t="inlineStr">
        <is>
          <t>云纹法衣</t>
        </is>
      </c>
      <c r="P100" s="2" t="inlineStr">
        <is>
          <t>护甲</t>
        </is>
      </c>
      <c r="Q100" s="2" t="inlineStr">
        <is>
          <t>稀有/蓝</t>
        </is>
      </c>
      <c r="R100" s="5" t="n">
        <v>0.1</v>
      </c>
      <c r="S100" s="2" t="n">
        <v>1</v>
      </c>
      <c r="T100" s="2" t="n"/>
      <c r="U100" s="2" t="inlineStr">
        <is>
          <t>否</t>
        </is>
      </c>
      <c r="V100" s="2" t="inlineStr">
        <is>
          <t>0.1</t>
        </is>
      </c>
      <c r="W100" s="2" t="n"/>
      <c r="X100" s="5">
        <f>R100</f>
        <v>0.1</v>
      </c>
      <c r="Y100" s="6">
        <f>X100*S100</f>
        <v>0.1</v>
      </c>
      <c r="Z100" s="2" t="inlineStr">
        <is>
          <t>个人任务</t>
        </is>
      </c>
      <c r="AA100" s="2" t="n"/>
      <c r="AB100" s="2" t="inlineStr">
        <is>
          <t>挑战者庄园</t>
        </is>
      </c>
      <c r="AC100" s="2" t="inlineStr">
        <is>
          <t>玩家进攻胜利（attacker），非撤退，返程结算发放</t>
        </is>
      </c>
      <c r="AD100" s="2" t="inlineStr">
        <is>
          <t>data/mission_templates.yaml:L607:drop_table.equip_yunwenfayi</t>
        </is>
      </c>
    </row>
    <row r="101">
      <c r="A101" s="2" t="n">
        <v>11</v>
      </c>
      <c r="B101" s="2" t="inlineStr">
        <is>
          <t>shiren_daochang</t>
        </is>
      </c>
      <c r="C101" s="2" t="inlineStr">
        <is>
          <t>十人道场</t>
        </is>
      </c>
      <c r="D101" s="2" t="inlineStr">
        <is>
          <t>中级</t>
        </is>
      </c>
      <c r="E101" s="2" t="inlineStr">
        <is>
          <t>task1</t>
        </is>
      </c>
      <c r="F101" s="2" t="inlineStr">
        <is>
          <t>否</t>
        </is>
      </c>
      <c r="G101" s="2" t="inlineStr">
        <is>
          <t>否</t>
        </is>
      </c>
      <c r="H101" s="2" t="n">
        <v>3</v>
      </c>
      <c r="I101" s="2" t="n">
        <v>1800</v>
      </c>
      <c r="J101" s="2" t="inlineStr">
        <is>
          <t>每日开放</t>
        </is>
      </c>
      <c r="K101" s="2" t="inlineStr">
        <is>
          <t>无</t>
        </is>
      </c>
      <c r="L101" s="2" t="inlineStr">
        <is>
          <t>概率掉落</t>
        </is>
      </c>
      <c r="M101" s="2" t="inlineStr">
        <is>
          <t>equip_xingluoshan</t>
        </is>
      </c>
      <c r="N101" s="2" t="inlineStr">
        <is>
          <t>equip_xingluoshan</t>
        </is>
      </c>
      <c r="O101" s="2" t="inlineStr">
        <is>
          <t>星罗扇</t>
        </is>
      </c>
      <c r="P101" s="2" t="inlineStr">
        <is>
          <t>武器</t>
        </is>
      </c>
      <c r="Q101" s="2" t="inlineStr">
        <is>
          <t>稀有/蓝</t>
        </is>
      </c>
      <c r="R101" s="5" t="n">
        <v>0.1</v>
      </c>
      <c r="S101" s="2" t="n">
        <v>1</v>
      </c>
      <c r="T101" s="2" t="n"/>
      <c r="U101" s="2" t="inlineStr">
        <is>
          <t>否</t>
        </is>
      </c>
      <c r="V101" s="2" t="inlineStr">
        <is>
          <t>0.1</t>
        </is>
      </c>
      <c r="W101" s="2" t="n"/>
      <c r="X101" s="5">
        <f>R101</f>
        <v>0.1</v>
      </c>
      <c r="Y101" s="6">
        <f>X101*S101</f>
        <v>0.1</v>
      </c>
      <c r="Z101" s="2" t="inlineStr">
        <is>
          <t>个人任务</t>
        </is>
      </c>
      <c r="AA101" s="2" t="n"/>
      <c r="AB101" s="2" t="inlineStr">
        <is>
          <t>挑战者庄园</t>
        </is>
      </c>
      <c r="AC101" s="2" t="inlineStr">
        <is>
          <t>玩家进攻胜利（attacker），非撤退，返程结算发放</t>
        </is>
      </c>
      <c r="AD101" s="2" t="inlineStr">
        <is>
          <t>data/mission_templates.yaml:L607:drop_table.equip_xingluoshan</t>
        </is>
      </c>
    </row>
    <row r="102">
      <c r="A102" s="2" t="n">
        <v>11</v>
      </c>
      <c r="B102" s="2" t="inlineStr">
        <is>
          <t>shiren_daochang</t>
        </is>
      </c>
      <c r="C102" s="2" t="inlineStr">
        <is>
          <t>十人道场</t>
        </is>
      </c>
      <c r="D102" s="2" t="inlineStr">
        <is>
          <t>中级</t>
        </is>
      </c>
      <c r="E102" s="2" t="inlineStr">
        <is>
          <t>task1</t>
        </is>
      </c>
      <c r="F102" s="2" t="inlineStr">
        <is>
          <t>否</t>
        </is>
      </c>
      <c r="G102" s="2" t="inlineStr">
        <is>
          <t>否</t>
        </is>
      </c>
      <c r="H102" s="2" t="n">
        <v>3</v>
      </c>
      <c r="I102" s="2" t="n">
        <v>1800</v>
      </c>
      <c r="J102" s="2" t="inlineStr">
        <is>
          <t>每日开放</t>
        </is>
      </c>
      <c r="K102" s="2" t="inlineStr">
        <is>
          <t>无</t>
        </is>
      </c>
      <c r="L102" s="2" t="inlineStr">
        <is>
          <t>概率掉落</t>
        </is>
      </c>
      <c r="M102" s="2" t="inlineStr">
        <is>
          <t>equip_linghuzhui</t>
        </is>
      </c>
      <c r="N102" s="2" t="inlineStr">
        <is>
          <t>equip_linghuzhui</t>
        </is>
      </c>
      <c r="O102" s="2" t="inlineStr">
        <is>
          <t>灵狐坠</t>
        </is>
      </c>
      <c r="P102" s="2" t="inlineStr">
        <is>
          <t>饰品</t>
        </is>
      </c>
      <c r="Q102" s="2" t="inlineStr">
        <is>
          <t>稀有/蓝</t>
        </is>
      </c>
      <c r="R102" s="5" t="n">
        <v>0.1</v>
      </c>
      <c r="S102" s="2" t="n">
        <v>1</v>
      </c>
      <c r="T102" s="2" t="n"/>
      <c r="U102" s="2" t="inlineStr">
        <is>
          <t>否</t>
        </is>
      </c>
      <c r="V102" s="2" t="inlineStr">
        <is>
          <t>0.1</t>
        </is>
      </c>
      <c r="W102" s="2" t="n"/>
      <c r="X102" s="5">
        <f>R102</f>
        <v>0.1</v>
      </c>
      <c r="Y102" s="6">
        <f>X102*S102</f>
        <v>0.1</v>
      </c>
      <c r="Z102" s="2" t="inlineStr">
        <is>
          <t>个人任务</t>
        </is>
      </c>
      <c r="AA102" s="2" t="n"/>
      <c r="AB102" s="2" t="inlineStr">
        <is>
          <t>挑战者庄园</t>
        </is>
      </c>
      <c r="AC102" s="2" t="inlineStr">
        <is>
          <t>玩家进攻胜利（attacker），非撤退，返程结算发放</t>
        </is>
      </c>
      <c r="AD102" s="2" t="inlineStr">
        <is>
          <t>data/mission_templates.yaml:L607:drop_table.equip_linghuzhui</t>
        </is>
      </c>
    </row>
    <row r="103">
      <c r="A103" s="2" t="n">
        <v>12</v>
      </c>
      <c r="B103" s="2" t="inlineStr">
        <is>
          <t>jiguanshou_chuxian</t>
        </is>
      </c>
      <c r="C103" s="2" t="inlineStr">
        <is>
          <t>机关兽初现</t>
        </is>
      </c>
      <c r="D103" s="2" t="inlineStr">
        <is>
          <t>初级</t>
        </is>
      </c>
      <c r="E103" s="2" t="inlineStr">
        <is>
          <t>task1</t>
        </is>
      </c>
      <c r="F103" s="2" t="inlineStr">
        <is>
          <t>否</t>
        </is>
      </c>
      <c r="G103" s="2" t="inlineStr">
        <is>
          <t>否</t>
        </is>
      </c>
      <c r="H103" s="2" t="n">
        <v>2</v>
      </c>
      <c r="I103" s="2" t="n">
        <v>1800</v>
      </c>
      <c r="J103" s="2" t="inlineStr">
        <is>
          <t>每日开放</t>
        </is>
      </c>
      <c r="K103" s="2" t="inlineStr">
        <is>
          <t>无</t>
        </is>
      </c>
      <c r="L103" s="2" t="inlineStr">
        <is>
          <t>固定掉落</t>
        </is>
      </c>
      <c r="M103" s="2" t="inlineStr">
        <is>
          <t>silver</t>
        </is>
      </c>
      <c r="N103" s="2" t="inlineStr">
        <is>
          <t>silver</t>
        </is>
      </c>
      <c r="O103" s="2" t="inlineStr">
        <is>
          <t>银两</t>
        </is>
      </c>
      <c r="P103" s="2" t="inlineStr">
        <is>
          <t>资源</t>
        </is>
      </c>
      <c r="Q103" s="2" t="inlineStr">
        <is>
          <t>资源</t>
        </is>
      </c>
      <c r="R103" s="5" t="n">
        <v>1</v>
      </c>
      <c r="S103" s="2" t="n">
        <v>24000</v>
      </c>
      <c r="T103" s="2" t="n"/>
      <c r="U103" s="2" t="inlineStr">
        <is>
          <t>否</t>
        </is>
      </c>
      <c r="V103" s="2" t="inlineStr">
        <is>
          <t>24000</t>
        </is>
      </c>
      <c r="W103" s="2" t="n"/>
      <c r="X103" s="5">
        <f>R103</f>
        <v>1</v>
      </c>
      <c r="Y103" s="6">
        <f>X103*S103</f>
        <v>24000</v>
      </c>
      <c r="Z103" s="2" t="inlineStr">
        <is>
          <t>个人任务</t>
        </is>
      </c>
      <c r="AA103" s="2" t="n"/>
      <c r="AB103" s="2" t="inlineStr">
        <is>
          <t>挑战者庄园</t>
        </is>
      </c>
      <c r="AC103" s="2" t="inlineStr">
        <is>
          <t>玩家进攻胜利（attacker），非撤退，返程结算发放</t>
        </is>
      </c>
      <c r="AD103" s="2" t="inlineStr">
        <is>
          <t>data/mission_templates.yaml:L655:drop_table.silver</t>
        </is>
      </c>
    </row>
    <row r="104">
      <c r="A104" s="2" t="n">
        <v>12</v>
      </c>
      <c r="B104" s="2" t="inlineStr">
        <is>
          <t>jiguanshou_chuxian</t>
        </is>
      </c>
      <c r="C104" s="2" t="inlineStr">
        <is>
          <t>机关兽初现</t>
        </is>
      </c>
      <c r="D104" s="2" t="inlineStr">
        <is>
          <t>初级</t>
        </is>
      </c>
      <c r="E104" s="2" t="inlineStr">
        <is>
          <t>task1</t>
        </is>
      </c>
      <c r="F104" s="2" t="inlineStr">
        <is>
          <t>否</t>
        </is>
      </c>
      <c r="G104" s="2" t="inlineStr">
        <is>
          <t>否</t>
        </is>
      </c>
      <c r="H104" s="2" t="n">
        <v>2</v>
      </c>
      <c r="I104" s="2" t="n">
        <v>1800</v>
      </c>
      <c r="J104" s="2" t="inlineStr">
        <is>
          <t>每日开放</t>
        </is>
      </c>
      <c r="K104" s="2" t="inlineStr">
        <is>
          <t>无</t>
        </is>
      </c>
      <c r="L104" s="2" t="inlineStr">
        <is>
          <t>随机池掉落</t>
        </is>
      </c>
      <c r="M104" s="2" t="inlineStr">
        <is>
          <t>jiguanshou_equipment_pool</t>
        </is>
      </c>
      <c r="N104" s="2" t="inlineStr">
        <is>
          <t>equip_jixiemao</t>
        </is>
      </c>
      <c r="O104" s="2" t="inlineStr">
        <is>
          <t>机械猫</t>
        </is>
      </c>
      <c r="P104" s="2" t="inlineStr">
        <is>
          <t>器械</t>
        </is>
      </c>
      <c r="Q104" s="2" t="inlineStr">
        <is>
          <t>稀有/蓝</t>
        </is>
      </c>
      <c r="R104" s="5" t="n">
        <v>0.8</v>
      </c>
      <c r="S104" s="2" t="n">
        <v>1</v>
      </c>
      <c r="T104" s="2" t="n">
        <v>1</v>
      </c>
      <c r="U104" s="2" t="inlineStr">
        <is>
          <t>是</t>
        </is>
      </c>
      <c r="V104" s="2" t="inlineStr">
        <is>
          <t>{"chance":0.8,"count":1,"choices":["equip_jixiemao","equip_qingtongsuanchou"]}</t>
        </is>
      </c>
      <c r="W104" s="3">
        <f>SUM(T104:T105)</f>
        <v>2</v>
      </c>
      <c r="X104" s="5">
        <f>R104*T104/W104</f>
        <v>0.4</v>
      </c>
      <c r="Y104" s="6">
        <f>X104*S104</f>
        <v>0.4</v>
      </c>
      <c r="Z104" s="2" t="inlineStr">
        <is>
          <t>个人任务</t>
        </is>
      </c>
      <c r="AA104" s="2" t="n"/>
      <c r="AB104" s="2" t="inlineStr">
        <is>
          <t>挑战者庄园</t>
        </is>
      </c>
      <c r="AC104" s="2" t="inlineStr">
        <is>
          <t>玩家进攻胜利（attacker），非撤退，返程结算发放</t>
        </is>
      </c>
      <c r="AD104" s="2" t="inlineStr">
        <is>
          <t>data/mission_templates.yaml:L655:drop_table.jiguanshou_equipment_pool</t>
        </is>
      </c>
    </row>
    <row r="105">
      <c r="A105" s="2" t="n">
        <v>12</v>
      </c>
      <c r="B105" s="2" t="inlineStr">
        <is>
          <t>jiguanshou_chuxian</t>
        </is>
      </c>
      <c r="C105" s="2" t="inlineStr">
        <is>
          <t>机关兽初现</t>
        </is>
      </c>
      <c r="D105" s="2" t="inlineStr">
        <is>
          <t>初级</t>
        </is>
      </c>
      <c r="E105" s="2" t="inlineStr">
        <is>
          <t>task1</t>
        </is>
      </c>
      <c r="F105" s="2" t="inlineStr">
        <is>
          <t>否</t>
        </is>
      </c>
      <c r="G105" s="2" t="inlineStr">
        <is>
          <t>否</t>
        </is>
      </c>
      <c r="H105" s="2" t="n">
        <v>2</v>
      </c>
      <c r="I105" s="2" t="n">
        <v>1800</v>
      </c>
      <c r="J105" s="2" t="inlineStr">
        <is>
          <t>每日开放</t>
        </is>
      </c>
      <c r="K105" s="2" t="inlineStr">
        <is>
          <t>无</t>
        </is>
      </c>
      <c r="L105" s="2" t="inlineStr">
        <is>
          <t>随机池掉落</t>
        </is>
      </c>
      <c r="M105" s="2" t="inlineStr">
        <is>
          <t>jiguanshou_equipment_pool</t>
        </is>
      </c>
      <c r="N105" s="2" t="inlineStr">
        <is>
          <t>equip_qingtongsuanchou</t>
        </is>
      </c>
      <c r="O105" s="2" t="inlineStr">
        <is>
          <t>青铜算筹</t>
        </is>
      </c>
      <c r="P105" s="2" t="inlineStr">
        <is>
          <t>饰品</t>
        </is>
      </c>
      <c r="Q105" s="2" t="inlineStr">
        <is>
          <t>优秀/绿</t>
        </is>
      </c>
      <c r="R105" s="5" t="n">
        <v>0.8</v>
      </c>
      <c r="S105" s="2" t="n">
        <v>1</v>
      </c>
      <c r="T105" s="2" t="n">
        <v>1</v>
      </c>
      <c r="U105" s="2" t="inlineStr">
        <is>
          <t>是</t>
        </is>
      </c>
      <c r="V105" s="2" t="inlineStr">
        <is>
          <t>{"chance":0.8,"count":1,"choices":["equip_jixiemao","equip_qingtongsuanchou"]}</t>
        </is>
      </c>
      <c r="W105" s="3">
        <f>SUM(T104:T105)</f>
        <v>2</v>
      </c>
      <c r="X105" s="5">
        <f>R105*T105/W105</f>
        <v>0.4</v>
      </c>
      <c r="Y105" s="6">
        <f>X105*S105</f>
        <v>0.4</v>
      </c>
      <c r="Z105" s="2" t="inlineStr">
        <is>
          <t>个人任务</t>
        </is>
      </c>
      <c r="AA105" s="2" t="n"/>
      <c r="AB105" s="2" t="inlineStr">
        <is>
          <t>挑战者庄园</t>
        </is>
      </c>
      <c r="AC105" s="2" t="inlineStr">
        <is>
          <t>玩家进攻胜利（attacker），非撤退，返程结算发放</t>
        </is>
      </c>
      <c r="AD105" s="2" t="inlineStr">
        <is>
          <t>data/mission_templates.yaml:L655:drop_table.jiguanshou_equipment_pool</t>
        </is>
      </c>
    </row>
    <row r="106">
      <c r="A106" s="2" t="n">
        <v>13</v>
      </c>
      <c r="B106" s="2" t="inlineStr">
        <is>
          <t>biwu_zhaoqin</t>
        </is>
      </c>
      <c r="C106" s="2" t="inlineStr">
        <is>
          <t>比武招亲</t>
        </is>
      </c>
      <c r="D106" s="2" t="inlineStr">
        <is>
          <t>初级</t>
        </is>
      </c>
      <c r="E106" s="2" t="inlineStr">
        <is>
          <t>task1</t>
        </is>
      </c>
      <c r="F106" s="2" t="inlineStr">
        <is>
          <t>否</t>
        </is>
      </c>
      <c r="G106" s="2" t="inlineStr">
        <is>
          <t>是</t>
        </is>
      </c>
      <c r="H106" s="2" t="n">
        <v>3</v>
      </c>
      <c r="I106" s="2" t="n">
        <v>1800</v>
      </c>
      <c r="J106" s="2" t="inlineStr">
        <is>
          <t>每日开放</t>
        </is>
      </c>
      <c r="K106" s="2" t="inlineStr">
        <is>
          <t>无</t>
        </is>
      </c>
      <c r="L106" s="2" t="inlineStr">
        <is>
          <t>固定掉落</t>
        </is>
      </c>
      <c r="M106" s="2" t="inlineStr">
        <is>
          <t>silver</t>
        </is>
      </c>
      <c r="N106" s="2" t="inlineStr">
        <is>
          <t>silver</t>
        </is>
      </c>
      <c r="O106" s="2" t="inlineStr">
        <is>
          <t>银两</t>
        </is>
      </c>
      <c r="P106" s="2" t="inlineStr">
        <is>
          <t>资源</t>
        </is>
      </c>
      <c r="Q106" s="2" t="inlineStr">
        <is>
          <t>资源</t>
        </is>
      </c>
      <c r="R106" s="5" t="n">
        <v>1</v>
      </c>
      <c r="S106" s="2" t="n">
        <v>20000</v>
      </c>
      <c r="T106" s="2" t="n"/>
      <c r="U106" s="2" t="inlineStr">
        <is>
          <t>否</t>
        </is>
      </c>
      <c r="V106" s="2" t="inlineStr">
        <is>
          <t>20000</t>
        </is>
      </c>
      <c r="W106" s="2" t="n"/>
      <c r="X106" s="5">
        <f>R106</f>
        <v>1</v>
      </c>
      <c r="Y106" s="6">
        <f>X106*S106</f>
        <v>20000</v>
      </c>
      <c r="Z106" s="2" t="inlineStr">
        <is>
          <t>个人任务</t>
        </is>
      </c>
      <c r="AA106" s="2" t="n"/>
      <c r="AB106" s="2" t="inlineStr">
        <is>
          <t>挑战者庄园</t>
        </is>
      </c>
      <c r="AC106" s="2" t="inlineStr">
        <is>
          <t>玩家进攻胜利（attacker），非撤退，返程结算发放</t>
        </is>
      </c>
      <c r="AD106" s="2" t="inlineStr">
        <is>
          <t>data/mission_templates.yaml:L698:drop_table.silver</t>
        </is>
      </c>
    </row>
    <row r="107">
      <c r="A107" s="2" t="n">
        <v>13</v>
      </c>
      <c r="B107" s="2" t="inlineStr">
        <is>
          <t>biwu_zhaoqin</t>
        </is>
      </c>
      <c r="C107" s="2" t="inlineStr">
        <is>
          <t>比武招亲</t>
        </is>
      </c>
      <c r="D107" s="2" t="inlineStr">
        <is>
          <t>初级</t>
        </is>
      </c>
      <c r="E107" s="2" t="inlineStr">
        <is>
          <t>task1</t>
        </is>
      </c>
      <c r="F107" s="2" t="inlineStr">
        <is>
          <t>否</t>
        </is>
      </c>
      <c r="G107" s="2" t="inlineStr">
        <is>
          <t>是</t>
        </is>
      </c>
      <c r="H107" s="2" t="n">
        <v>3</v>
      </c>
      <c r="I107" s="2" t="n">
        <v>1800</v>
      </c>
      <c r="J107" s="2" t="inlineStr">
        <is>
          <t>每日开放</t>
        </is>
      </c>
      <c r="K107" s="2" t="inlineStr">
        <is>
          <t>无</t>
        </is>
      </c>
      <c r="L107" s="2" t="inlineStr">
        <is>
          <t>概率掉落</t>
        </is>
      </c>
      <c r="M107" s="2" t="inlineStr">
        <is>
          <t>book_endless_chatter</t>
        </is>
      </c>
      <c r="N107" s="2" t="inlineStr">
        <is>
          <t>book_endless_chatter</t>
        </is>
      </c>
      <c r="O107" s="2" t="inlineStr">
        <is>
          <t>《唧唧歪歪》秘术</t>
        </is>
      </c>
      <c r="P107" s="2" t="inlineStr">
        <is>
          <t>技能书</t>
        </is>
      </c>
      <c r="Q107" s="2" t="inlineStr">
        <is>
          <t>优秀/绿</t>
        </is>
      </c>
      <c r="R107" s="5" t="n">
        <v>0.05</v>
      </c>
      <c r="S107" s="2" t="n">
        <v>1</v>
      </c>
      <c r="T107" s="2" t="n"/>
      <c r="U107" s="2" t="inlineStr">
        <is>
          <t>否</t>
        </is>
      </c>
      <c r="V107" s="2" t="inlineStr">
        <is>
          <t>0.05</t>
        </is>
      </c>
      <c r="W107" s="2" t="n"/>
      <c r="X107" s="5">
        <f>R107</f>
        <v>0.05</v>
      </c>
      <c r="Y107" s="6">
        <f>X107*S107</f>
        <v>0.05</v>
      </c>
      <c r="Z107" s="2" t="inlineStr">
        <is>
          <t>个人任务</t>
        </is>
      </c>
      <c r="AA107" s="2" t="n"/>
      <c r="AB107" s="2" t="inlineStr">
        <is>
          <t>挑战者庄园</t>
        </is>
      </c>
      <c r="AC107" s="2" t="inlineStr">
        <is>
          <t>玩家进攻胜利（attacker），非撤退，返程结算发放</t>
        </is>
      </c>
      <c r="AD107" s="2" t="inlineStr">
        <is>
          <t>data/mission_templates.yaml:L698:drop_table.book_endless_chatter</t>
        </is>
      </c>
    </row>
    <row r="108">
      <c r="A108" s="2" t="n">
        <v>13</v>
      </c>
      <c r="B108" s="2" t="inlineStr">
        <is>
          <t>biwu_zhaoqin</t>
        </is>
      </c>
      <c r="C108" s="2" t="inlineStr">
        <is>
          <t>比武招亲</t>
        </is>
      </c>
      <c r="D108" s="2" t="inlineStr">
        <is>
          <t>初级</t>
        </is>
      </c>
      <c r="E108" s="2" t="inlineStr">
        <is>
          <t>task1</t>
        </is>
      </c>
      <c r="F108" s="2" t="inlineStr">
        <is>
          <t>否</t>
        </is>
      </c>
      <c r="G108" s="2" t="inlineStr">
        <is>
          <t>是</t>
        </is>
      </c>
      <c r="H108" s="2" t="n">
        <v>3</v>
      </c>
      <c r="I108" s="2" t="n">
        <v>1800</v>
      </c>
      <c r="J108" s="2" t="inlineStr">
        <is>
          <t>每日开放</t>
        </is>
      </c>
      <c r="K108" s="2" t="inlineStr">
        <is>
          <t>无</t>
        </is>
      </c>
      <c r="L108" s="2" t="inlineStr">
        <is>
          <t>概率掉落</t>
        </is>
      </c>
      <c r="M108" s="2" t="inlineStr">
        <is>
          <t>blueprint_jiguanxiong</t>
        </is>
      </c>
      <c r="N108" s="2" t="inlineStr">
        <is>
          <t>blueprint_jiguanxiong</t>
        </is>
      </c>
      <c r="O108" s="2" t="inlineStr">
        <is>
          <t>机关熊图纸</t>
        </is>
      </c>
      <c r="P108" s="2" t="inlineStr">
        <is>
          <t>装备图纸</t>
        </is>
      </c>
      <c r="Q108" s="2" t="inlineStr">
        <is>
          <t>史诗/紫</t>
        </is>
      </c>
      <c r="R108" s="5" t="n">
        <v>0.02</v>
      </c>
      <c r="S108" s="2" t="n">
        <v>1</v>
      </c>
      <c r="T108" s="2" t="n"/>
      <c r="U108" s="2" t="inlineStr">
        <is>
          <t>否</t>
        </is>
      </c>
      <c r="V108" s="2" t="inlineStr">
        <is>
          <t>0.02</t>
        </is>
      </c>
      <c r="W108" s="2" t="n"/>
      <c r="X108" s="5">
        <f>R108</f>
        <v>0.02</v>
      </c>
      <c r="Y108" s="6">
        <f>X108*S108</f>
        <v>0.02</v>
      </c>
      <c r="Z108" s="2" t="inlineStr">
        <is>
          <t>个人任务</t>
        </is>
      </c>
      <c r="AA108" s="2" t="n"/>
      <c r="AB108" s="2" t="inlineStr">
        <is>
          <t>挑战者庄园</t>
        </is>
      </c>
      <c r="AC108" s="2" t="inlineStr">
        <is>
          <t>玩家进攻胜利（attacker），非撤退，返程结算发放</t>
        </is>
      </c>
      <c r="AD108" s="2" t="inlineStr">
        <is>
          <t>data/mission_templates.yaml:L698:drop_table.blueprint_jiguanxiong</t>
        </is>
      </c>
    </row>
    <row r="109">
      <c r="A109" s="2" t="n">
        <v>13</v>
      </c>
      <c r="B109" s="2" t="inlineStr">
        <is>
          <t>biwu_zhaoqin</t>
        </is>
      </c>
      <c r="C109" s="2" t="inlineStr">
        <is>
          <t>比武招亲</t>
        </is>
      </c>
      <c r="D109" s="2" t="inlineStr">
        <is>
          <t>初级</t>
        </is>
      </c>
      <c r="E109" s="2" t="inlineStr">
        <is>
          <t>task1</t>
        </is>
      </c>
      <c r="F109" s="2" t="inlineStr">
        <is>
          <t>否</t>
        </is>
      </c>
      <c r="G109" s="2" t="inlineStr">
        <is>
          <t>是</t>
        </is>
      </c>
      <c r="H109" s="2" t="n">
        <v>3</v>
      </c>
      <c r="I109" s="2" t="n">
        <v>1800</v>
      </c>
      <c r="J109" s="2" t="inlineStr">
        <is>
          <t>每日开放</t>
        </is>
      </c>
      <c r="K109" s="2" t="inlineStr">
        <is>
          <t>无</t>
        </is>
      </c>
      <c r="L109" s="2" t="inlineStr">
        <is>
          <t>随机池掉落</t>
        </is>
      </c>
      <c r="M109" s="2" t="inlineStr">
        <is>
          <t>biwu_equipment_pool</t>
        </is>
      </c>
      <c r="N109" s="2" t="inlineStr">
        <is>
          <t>equip_xuantiejia</t>
        </is>
      </c>
      <c r="O109" s="2" t="inlineStr">
        <is>
          <t>玄铁甲</t>
        </is>
      </c>
      <c r="P109" s="2" t="inlineStr">
        <is>
          <t>护甲</t>
        </is>
      </c>
      <c r="Q109" s="2" t="inlineStr">
        <is>
          <t>优秀/绿</t>
        </is>
      </c>
      <c r="R109" s="5" t="n">
        <v>0.8</v>
      </c>
      <c r="S109" s="2" t="n">
        <v>1</v>
      </c>
      <c r="T109" s="2" t="n">
        <v>1</v>
      </c>
      <c r="U109" s="2" t="inlineStr">
        <is>
          <t>是</t>
        </is>
      </c>
      <c r="V109" s="2" t="inlineStr">
        <is>
          <t>{"chance":0.8,"count":1,"choices":["equip_xuantiejia","equip_qingtongsuanchou","equip_tongjing","equip_qingzongma"]}</t>
        </is>
      </c>
      <c r="W109" s="3">
        <f>SUM(T109:T112)</f>
        <v>4</v>
      </c>
      <c r="X109" s="5">
        <f>R109*T109/W109</f>
        <v>0.2</v>
      </c>
      <c r="Y109" s="6">
        <f>X109*S109</f>
        <v>0.2</v>
      </c>
      <c r="Z109" s="2" t="inlineStr">
        <is>
          <t>个人任务</t>
        </is>
      </c>
      <c r="AA109" s="2" t="n"/>
      <c r="AB109" s="2" t="inlineStr">
        <is>
          <t>挑战者庄园</t>
        </is>
      </c>
      <c r="AC109" s="2" t="inlineStr">
        <is>
          <t>玩家进攻胜利（attacker），非撤退，返程结算发放</t>
        </is>
      </c>
      <c r="AD109" s="2" t="inlineStr">
        <is>
          <t>data/mission_templates.yaml:L698:drop_table.biwu_equipment_pool</t>
        </is>
      </c>
    </row>
    <row r="110">
      <c r="A110" s="2" t="n">
        <v>13</v>
      </c>
      <c r="B110" s="2" t="inlineStr">
        <is>
          <t>biwu_zhaoqin</t>
        </is>
      </c>
      <c r="C110" s="2" t="inlineStr">
        <is>
          <t>比武招亲</t>
        </is>
      </c>
      <c r="D110" s="2" t="inlineStr">
        <is>
          <t>初级</t>
        </is>
      </c>
      <c r="E110" s="2" t="inlineStr">
        <is>
          <t>task1</t>
        </is>
      </c>
      <c r="F110" s="2" t="inlineStr">
        <is>
          <t>否</t>
        </is>
      </c>
      <c r="G110" s="2" t="inlineStr">
        <is>
          <t>是</t>
        </is>
      </c>
      <c r="H110" s="2" t="n">
        <v>3</v>
      </c>
      <c r="I110" s="2" t="n">
        <v>1800</v>
      </c>
      <c r="J110" s="2" t="inlineStr">
        <is>
          <t>每日开放</t>
        </is>
      </c>
      <c r="K110" s="2" t="inlineStr">
        <is>
          <t>无</t>
        </is>
      </c>
      <c r="L110" s="2" t="inlineStr">
        <is>
          <t>随机池掉落</t>
        </is>
      </c>
      <c r="M110" s="2" t="inlineStr">
        <is>
          <t>biwu_equipment_pool</t>
        </is>
      </c>
      <c r="N110" s="2" t="inlineStr">
        <is>
          <t>equip_qingtongsuanchou</t>
        </is>
      </c>
      <c r="O110" s="2" t="inlineStr">
        <is>
          <t>青铜算筹</t>
        </is>
      </c>
      <c r="P110" s="2" t="inlineStr">
        <is>
          <t>饰品</t>
        </is>
      </c>
      <c r="Q110" s="2" t="inlineStr">
        <is>
          <t>优秀/绿</t>
        </is>
      </c>
      <c r="R110" s="5" t="n">
        <v>0.8</v>
      </c>
      <c r="S110" s="2" t="n">
        <v>1</v>
      </c>
      <c r="T110" s="2" t="n">
        <v>1</v>
      </c>
      <c r="U110" s="2" t="inlineStr">
        <is>
          <t>是</t>
        </is>
      </c>
      <c r="V110" s="2" t="inlineStr">
        <is>
          <t>{"chance":0.8,"count":1,"choices":["equip_xuantiejia","equip_qingtongsuanchou","equip_tongjing","equip_qingzongma"]}</t>
        </is>
      </c>
      <c r="W110" s="3">
        <f>SUM(T109:T112)</f>
        <v>4</v>
      </c>
      <c r="X110" s="5">
        <f>R110*T110/W110</f>
        <v>0.2</v>
      </c>
      <c r="Y110" s="6">
        <f>X110*S110</f>
        <v>0.2</v>
      </c>
      <c r="Z110" s="2" t="inlineStr">
        <is>
          <t>个人任务</t>
        </is>
      </c>
      <c r="AA110" s="2" t="n"/>
      <c r="AB110" s="2" t="inlineStr">
        <is>
          <t>挑战者庄园</t>
        </is>
      </c>
      <c r="AC110" s="2" t="inlineStr">
        <is>
          <t>玩家进攻胜利（attacker），非撤退，返程结算发放</t>
        </is>
      </c>
      <c r="AD110" s="2" t="inlineStr">
        <is>
          <t>data/mission_templates.yaml:L698:drop_table.biwu_equipment_pool</t>
        </is>
      </c>
    </row>
    <row r="111">
      <c r="A111" s="2" t="n">
        <v>13</v>
      </c>
      <c r="B111" s="2" t="inlineStr">
        <is>
          <t>biwu_zhaoqin</t>
        </is>
      </c>
      <c r="C111" s="2" t="inlineStr">
        <is>
          <t>比武招亲</t>
        </is>
      </c>
      <c r="D111" s="2" t="inlineStr">
        <is>
          <t>初级</t>
        </is>
      </c>
      <c r="E111" s="2" t="inlineStr">
        <is>
          <t>task1</t>
        </is>
      </c>
      <c r="F111" s="2" t="inlineStr">
        <is>
          <t>否</t>
        </is>
      </c>
      <c r="G111" s="2" t="inlineStr">
        <is>
          <t>是</t>
        </is>
      </c>
      <c r="H111" s="2" t="n">
        <v>3</v>
      </c>
      <c r="I111" s="2" t="n">
        <v>1800</v>
      </c>
      <c r="J111" s="2" t="inlineStr">
        <is>
          <t>每日开放</t>
        </is>
      </c>
      <c r="K111" s="2" t="inlineStr">
        <is>
          <t>无</t>
        </is>
      </c>
      <c r="L111" s="2" t="inlineStr">
        <is>
          <t>随机池掉落</t>
        </is>
      </c>
      <c r="M111" s="2" t="inlineStr">
        <is>
          <t>biwu_equipment_pool</t>
        </is>
      </c>
      <c r="N111" s="2" t="inlineStr">
        <is>
          <t>equip_tongjing</t>
        </is>
      </c>
      <c r="O111" s="2" t="inlineStr">
        <is>
          <t>铜镜</t>
        </is>
      </c>
      <c r="P111" s="2" t="inlineStr">
        <is>
          <t>饰品</t>
        </is>
      </c>
      <c r="Q111" s="2" t="inlineStr">
        <is>
          <t>优秀/绿</t>
        </is>
      </c>
      <c r="R111" s="5" t="n">
        <v>0.8</v>
      </c>
      <c r="S111" s="2" t="n">
        <v>1</v>
      </c>
      <c r="T111" s="2" t="n">
        <v>1</v>
      </c>
      <c r="U111" s="2" t="inlineStr">
        <is>
          <t>是</t>
        </is>
      </c>
      <c r="V111" s="2" t="inlineStr">
        <is>
          <t>{"chance":0.8,"count":1,"choices":["equip_xuantiejia","equip_qingtongsuanchou","equip_tongjing","equip_qingzongma"]}</t>
        </is>
      </c>
      <c r="W111" s="3">
        <f>SUM(T109:T112)</f>
        <v>4</v>
      </c>
      <c r="X111" s="5">
        <f>R111*T111/W111</f>
        <v>0.2</v>
      </c>
      <c r="Y111" s="6">
        <f>X111*S111</f>
        <v>0.2</v>
      </c>
      <c r="Z111" s="2" t="inlineStr">
        <is>
          <t>个人任务</t>
        </is>
      </c>
      <c r="AA111" s="2" t="n"/>
      <c r="AB111" s="2" t="inlineStr">
        <is>
          <t>挑战者庄园</t>
        </is>
      </c>
      <c r="AC111" s="2" t="inlineStr">
        <is>
          <t>玩家进攻胜利（attacker），非撤退，返程结算发放</t>
        </is>
      </c>
      <c r="AD111" s="2" t="inlineStr">
        <is>
          <t>data/mission_templates.yaml:L698:drop_table.biwu_equipment_pool</t>
        </is>
      </c>
    </row>
    <row r="112">
      <c r="A112" s="2" t="n">
        <v>13</v>
      </c>
      <c r="B112" s="2" t="inlineStr">
        <is>
          <t>biwu_zhaoqin</t>
        </is>
      </c>
      <c r="C112" s="2" t="inlineStr">
        <is>
          <t>比武招亲</t>
        </is>
      </c>
      <c r="D112" s="2" t="inlineStr">
        <is>
          <t>初级</t>
        </is>
      </c>
      <c r="E112" s="2" t="inlineStr">
        <is>
          <t>task1</t>
        </is>
      </c>
      <c r="F112" s="2" t="inlineStr">
        <is>
          <t>否</t>
        </is>
      </c>
      <c r="G112" s="2" t="inlineStr">
        <is>
          <t>是</t>
        </is>
      </c>
      <c r="H112" s="2" t="n">
        <v>3</v>
      </c>
      <c r="I112" s="2" t="n">
        <v>1800</v>
      </c>
      <c r="J112" s="2" t="inlineStr">
        <is>
          <t>每日开放</t>
        </is>
      </c>
      <c r="K112" s="2" t="inlineStr">
        <is>
          <t>无</t>
        </is>
      </c>
      <c r="L112" s="2" t="inlineStr">
        <is>
          <t>随机池掉落</t>
        </is>
      </c>
      <c r="M112" s="2" t="inlineStr">
        <is>
          <t>biwu_equipment_pool</t>
        </is>
      </c>
      <c r="N112" s="2" t="inlineStr">
        <is>
          <t>equip_qingzongma</t>
        </is>
      </c>
      <c r="O112" s="2" t="inlineStr">
        <is>
          <t>青鬃马</t>
        </is>
      </c>
      <c r="P112" s="2" t="inlineStr">
        <is>
          <t>坐骑</t>
        </is>
      </c>
      <c r="Q112" s="2" t="inlineStr">
        <is>
          <t>优秀/绿</t>
        </is>
      </c>
      <c r="R112" s="5" t="n">
        <v>0.8</v>
      </c>
      <c r="S112" s="2" t="n">
        <v>1</v>
      </c>
      <c r="T112" s="2" t="n">
        <v>1</v>
      </c>
      <c r="U112" s="2" t="inlineStr">
        <is>
          <t>是</t>
        </is>
      </c>
      <c r="V112" s="2" t="inlineStr">
        <is>
          <t>{"chance":0.8,"count":1,"choices":["equip_xuantiejia","equip_qingtongsuanchou","equip_tongjing","equip_qingzongma"]}</t>
        </is>
      </c>
      <c r="W112" s="3">
        <f>SUM(T109:T112)</f>
        <v>4</v>
      </c>
      <c r="X112" s="5">
        <f>R112*T112/W112</f>
        <v>0.2</v>
      </c>
      <c r="Y112" s="6">
        <f>X112*S112</f>
        <v>0.2</v>
      </c>
      <c r="Z112" s="2" t="inlineStr">
        <is>
          <t>个人任务</t>
        </is>
      </c>
      <c r="AA112" s="2" t="n"/>
      <c r="AB112" s="2" t="inlineStr">
        <is>
          <t>挑战者庄园</t>
        </is>
      </c>
      <c r="AC112" s="2" t="inlineStr">
        <is>
          <t>玩家进攻胜利（attacker），非撤退，返程结算发放</t>
        </is>
      </c>
      <c r="AD112" s="2" t="inlineStr">
        <is>
          <t>data/mission_templates.yaml:L698:drop_table.biwu_equipment_pool</t>
        </is>
      </c>
    </row>
    <row r="113">
      <c r="A113" s="2" t="n">
        <v>14</v>
      </c>
      <c r="B113" s="2" t="inlineStr">
        <is>
          <t>tianpeng_dijiao_1</t>
        </is>
      </c>
      <c r="C113" s="2" t="inlineStr">
        <is>
          <t>天蓬元帅的地窖（第一层）</t>
        </is>
      </c>
      <c r="D113" s="2" t="inlineStr">
        <is>
          <t>中级</t>
        </is>
      </c>
      <c r="E113" s="2" t="inlineStr">
        <is>
          <t>task1</t>
        </is>
      </c>
      <c r="F113" s="2" t="inlineStr">
        <is>
          <t>否</t>
        </is>
      </c>
      <c r="G113" s="2" t="inlineStr">
        <is>
          <t>否</t>
        </is>
      </c>
      <c r="H113" s="2" t="n">
        <v>3</v>
      </c>
      <c r="I113" s="2" t="n">
        <v>1800</v>
      </c>
      <c r="J113" s="2" t="inlineStr">
        <is>
          <t>每日开放</t>
        </is>
      </c>
      <c r="K113" s="2" t="inlineStr">
        <is>
          <t>无</t>
        </is>
      </c>
      <c r="L113" s="2" t="inlineStr">
        <is>
          <t>固定掉落</t>
        </is>
      </c>
      <c r="M113" s="2" t="inlineStr">
        <is>
          <t>silver</t>
        </is>
      </c>
      <c r="N113" s="2" t="inlineStr">
        <is>
          <t>silver</t>
        </is>
      </c>
      <c r="O113" s="2" t="inlineStr">
        <is>
          <t>银两</t>
        </is>
      </c>
      <c r="P113" s="2" t="inlineStr">
        <is>
          <t>资源</t>
        </is>
      </c>
      <c r="Q113" s="2" t="inlineStr">
        <is>
          <t>资源</t>
        </is>
      </c>
      <c r="R113" s="5" t="n">
        <v>1</v>
      </c>
      <c r="S113" s="2" t="n">
        <v>50000</v>
      </c>
      <c r="T113" s="2" t="n"/>
      <c r="U113" s="2" t="inlineStr">
        <is>
          <t>否</t>
        </is>
      </c>
      <c r="V113" s="2" t="inlineStr">
        <is>
          <t>50000</t>
        </is>
      </c>
      <c r="W113" s="2" t="n"/>
      <c r="X113" s="5">
        <f>R113</f>
        <v>1</v>
      </c>
      <c r="Y113" s="6">
        <f>X113*S113</f>
        <v>50000</v>
      </c>
      <c r="Z113" s="2" t="inlineStr">
        <is>
          <t>个人任务</t>
        </is>
      </c>
      <c r="AA113" s="2" t="n"/>
      <c r="AB113" s="2" t="inlineStr">
        <is>
          <t>挑战者庄园</t>
        </is>
      </c>
      <c r="AC113" s="2" t="inlineStr">
        <is>
          <t>玩家进攻胜利（attacker），非撤退，返程结算发放</t>
        </is>
      </c>
      <c r="AD113" s="2" t="inlineStr">
        <is>
          <t>data/mission_templates.yaml:L731:drop_table.silver</t>
        </is>
      </c>
    </row>
    <row r="114">
      <c r="A114" s="2" t="n">
        <v>14</v>
      </c>
      <c r="B114" s="2" t="inlineStr">
        <is>
          <t>tianpeng_dijiao_1</t>
        </is>
      </c>
      <c r="C114" s="2" t="inlineStr">
        <is>
          <t>天蓬元帅的地窖（第一层）</t>
        </is>
      </c>
      <c r="D114" s="2" t="inlineStr">
        <is>
          <t>中级</t>
        </is>
      </c>
      <c r="E114" s="2" t="inlineStr">
        <is>
          <t>task1</t>
        </is>
      </c>
      <c r="F114" s="2" t="inlineStr">
        <is>
          <t>否</t>
        </is>
      </c>
      <c r="G114" s="2" t="inlineStr">
        <is>
          <t>否</t>
        </is>
      </c>
      <c r="H114" s="2" t="n">
        <v>3</v>
      </c>
      <c r="I114" s="2" t="n">
        <v>1800</v>
      </c>
      <c r="J114" s="2" t="inlineStr">
        <is>
          <t>每日开放</t>
        </is>
      </c>
      <c r="K114" s="2" t="inlineStr">
        <is>
          <t>无</t>
        </is>
      </c>
      <c r="L114" s="2" t="inlineStr">
        <is>
          <t>概率掉落</t>
        </is>
      </c>
      <c r="M114" s="2" t="inlineStr">
        <is>
          <t>book_red_lotus_dance</t>
        </is>
      </c>
      <c r="N114" s="2" t="inlineStr">
        <is>
          <t>book_red_lotus_dance</t>
        </is>
      </c>
      <c r="O114" s="2" t="inlineStr">
        <is>
          <t>《红莲之舞》秘术</t>
        </is>
      </c>
      <c r="P114" s="2" t="inlineStr">
        <is>
          <t>技能书</t>
        </is>
      </c>
      <c r="Q114" s="2" t="inlineStr">
        <is>
          <t>稀有/蓝</t>
        </is>
      </c>
      <c r="R114" s="5" t="n">
        <v>0.05</v>
      </c>
      <c r="S114" s="2" t="n">
        <v>1</v>
      </c>
      <c r="T114" s="2" t="n"/>
      <c r="U114" s="2" t="inlineStr">
        <is>
          <t>否</t>
        </is>
      </c>
      <c r="V114" s="2" t="inlineStr">
        <is>
          <t>0.05</t>
        </is>
      </c>
      <c r="W114" s="2" t="n"/>
      <c r="X114" s="5">
        <f>R114</f>
        <v>0.05</v>
      </c>
      <c r="Y114" s="6">
        <f>X114*S114</f>
        <v>0.05</v>
      </c>
      <c r="Z114" s="2" t="inlineStr">
        <is>
          <t>个人任务</t>
        </is>
      </c>
      <c r="AA114" s="2" t="n"/>
      <c r="AB114" s="2" t="inlineStr">
        <is>
          <t>挑战者庄园</t>
        </is>
      </c>
      <c r="AC114" s="2" t="inlineStr">
        <is>
          <t>玩家进攻胜利（attacker），非撤退，返程结算发放</t>
        </is>
      </c>
      <c r="AD114" s="2" t="inlineStr">
        <is>
          <t>data/mission_templates.yaml:L731:drop_table.book_red_lotus_dance</t>
        </is>
      </c>
    </row>
    <row r="115">
      <c r="A115" s="2" t="n">
        <v>14</v>
      </c>
      <c r="B115" s="2" t="inlineStr">
        <is>
          <t>tianpeng_dijiao_1</t>
        </is>
      </c>
      <c r="C115" s="2" t="inlineStr">
        <is>
          <t>天蓬元帅的地窖（第一层）</t>
        </is>
      </c>
      <c r="D115" s="2" t="inlineStr">
        <is>
          <t>中级</t>
        </is>
      </c>
      <c r="E115" s="2" t="inlineStr">
        <is>
          <t>task1</t>
        </is>
      </c>
      <c r="F115" s="2" t="inlineStr">
        <is>
          <t>否</t>
        </is>
      </c>
      <c r="G115" s="2" t="inlineStr">
        <is>
          <t>否</t>
        </is>
      </c>
      <c r="H115" s="2" t="n">
        <v>3</v>
      </c>
      <c r="I115" s="2" t="n">
        <v>1800</v>
      </c>
      <c r="J115" s="2" t="inlineStr">
        <is>
          <t>每日开放</t>
        </is>
      </c>
      <c r="K115" s="2" t="inlineStr">
        <is>
          <t>无</t>
        </is>
      </c>
      <c r="L115" s="2" t="inlineStr">
        <is>
          <t>概率掉落</t>
        </is>
      </c>
      <c r="M115" s="2" t="inlineStr">
        <is>
          <t>book_tangseng_sermon</t>
        </is>
      </c>
      <c r="N115" s="2" t="inlineStr">
        <is>
          <t>book_tangseng_sermon</t>
        </is>
      </c>
      <c r="O115" s="2" t="inlineStr">
        <is>
          <t>《唐僧说禅》秘术</t>
        </is>
      </c>
      <c r="P115" s="2" t="inlineStr">
        <is>
          <t>技能书</t>
        </is>
      </c>
      <c r="Q115" s="2" t="inlineStr">
        <is>
          <t>稀有/蓝</t>
        </is>
      </c>
      <c r="R115" s="5" t="n">
        <v>0.03</v>
      </c>
      <c r="S115" s="2" t="n">
        <v>1</v>
      </c>
      <c r="T115" s="2" t="n"/>
      <c r="U115" s="2" t="inlineStr">
        <is>
          <t>否</t>
        </is>
      </c>
      <c r="V115" s="2" t="inlineStr">
        <is>
          <t>0.03</t>
        </is>
      </c>
      <c r="W115" s="2" t="n"/>
      <c r="X115" s="5">
        <f>R115</f>
        <v>0.03</v>
      </c>
      <c r="Y115" s="6">
        <f>X115*S115</f>
        <v>0.03</v>
      </c>
      <c r="Z115" s="2" t="inlineStr">
        <is>
          <t>个人任务</t>
        </is>
      </c>
      <c r="AA115" s="2" t="n"/>
      <c r="AB115" s="2" t="inlineStr">
        <is>
          <t>挑战者庄园</t>
        </is>
      </c>
      <c r="AC115" s="2" t="inlineStr">
        <is>
          <t>玩家进攻胜利（attacker），非撤退，返程结算发放</t>
        </is>
      </c>
      <c r="AD115" s="2" t="inlineStr">
        <is>
          <t>data/mission_templates.yaml:L731:drop_table.book_tangseng_sermon</t>
        </is>
      </c>
    </row>
    <row r="116">
      <c r="A116" s="2" t="n">
        <v>14</v>
      </c>
      <c r="B116" s="2" t="inlineStr">
        <is>
          <t>tianpeng_dijiao_1</t>
        </is>
      </c>
      <c r="C116" s="2" t="inlineStr">
        <is>
          <t>天蓬元帅的地窖（第一层）</t>
        </is>
      </c>
      <c r="D116" s="2" t="inlineStr">
        <is>
          <t>中级</t>
        </is>
      </c>
      <c r="E116" s="2" t="inlineStr">
        <is>
          <t>task1</t>
        </is>
      </c>
      <c r="F116" s="2" t="inlineStr">
        <is>
          <t>否</t>
        </is>
      </c>
      <c r="G116" s="2" t="inlineStr">
        <is>
          <t>否</t>
        </is>
      </c>
      <c r="H116" s="2" t="n">
        <v>3</v>
      </c>
      <c r="I116" s="2" t="n">
        <v>1800</v>
      </c>
      <c r="J116" s="2" t="inlineStr">
        <is>
          <t>每日开放</t>
        </is>
      </c>
      <c r="K116" s="2" t="inlineStr">
        <is>
          <t>无</t>
        </is>
      </c>
      <c r="L116" s="2" t="inlineStr">
        <is>
          <t>固定掉落</t>
        </is>
      </c>
      <c r="M116" s="2" t="inlineStr">
        <is>
          <t>experience_pineapple</t>
        </is>
      </c>
      <c r="N116" s="2" t="inlineStr">
        <is>
          <t>experience_pineapple</t>
        </is>
      </c>
      <c r="O116" s="2" t="inlineStr">
        <is>
          <t>经验菠萝</t>
        </is>
      </c>
      <c r="P116" s="2" t="inlineStr">
        <is>
          <t>经验道具</t>
        </is>
      </c>
      <c r="Q116" s="2" t="inlineStr">
        <is>
          <t>稀有/蓝</t>
        </is>
      </c>
      <c r="R116" s="5" t="n">
        <v>1</v>
      </c>
      <c r="S116" s="2" t="n">
        <v>15</v>
      </c>
      <c r="T116" s="2" t="n"/>
      <c r="U116" s="2" t="inlineStr">
        <is>
          <t>否</t>
        </is>
      </c>
      <c r="V116" s="2" t="inlineStr">
        <is>
          <t>15</t>
        </is>
      </c>
      <c r="W116" s="2" t="n"/>
      <c r="X116" s="5">
        <f>R116</f>
        <v>1</v>
      </c>
      <c r="Y116" s="6">
        <f>X116*S116</f>
        <v>15</v>
      </c>
      <c r="Z116" s="2" t="inlineStr">
        <is>
          <t>个人任务</t>
        </is>
      </c>
      <c r="AA116" s="2" t="n"/>
      <c r="AB116" s="2" t="inlineStr">
        <is>
          <t>挑战者庄园</t>
        </is>
      </c>
      <c r="AC116" s="2" t="inlineStr">
        <is>
          <t>玩家进攻胜利（attacker），非撤退，返程结算发放</t>
        </is>
      </c>
      <c r="AD116" s="2" t="inlineStr">
        <is>
          <t>data/mission_templates.yaml:L731:drop_table.experience_pineapple</t>
        </is>
      </c>
    </row>
    <row r="117">
      <c r="A117" s="2" t="n">
        <v>14</v>
      </c>
      <c r="B117" s="2" t="inlineStr">
        <is>
          <t>tianpeng_dijiao_1</t>
        </is>
      </c>
      <c r="C117" s="2" t="inlineStr">
        <is>
          <t>天蓬元帅的地窖（第一层）</t>
        </is>
      </c>
      <c r="D117" s="2" t="inlineStr">
        <is>
          <t>中级</t>
        </is>
      </c>
      <c r="E117" s="2" t="inlineStr">
        <is>
          <t>task1</t>
        </is>
      </c>
      <c r="F117" s="2" t="inlineStr">
        <is>
          <t>否</t>
        </is>
      </c>
      <c r="G117" s="2" t="inlineStr">
        <is>
          <t>否</t>
        </is>
      </c>
      <c r="H117" s="2" t="n">
        <v>3</v>
      </c>
      <c r="I117" s="2" t="n">
        <v>1800</v>
      </c>
      <c r="J117" s="2" t="inlineStr">
        <is>
          <t>每日开放</t>
        </is>
      </c>
      <c r="K117" s="2" t="inlineStr">
        <is>
          <t>无</t>
        </is>
      </c>
      <c r="L117" s="2" t="inlineStr">
        <is>
          <t>概率掉落</t>
        </is>
      </c>
      <c r="M117" s="2" t="inlineStr">
        <is>
          <t>equip_junzijian</t>
        </is>
      </c>
      <c r="N117" s="2" t="inlineStr">
        <is>
          <t>equip_junzijian</t>
        </is>
      </c>
      <c r="O117" s="2" t="inlineStr">
        <is>
          <t>君子剑</t>
        </is>
      </c>
      <c r="P117" s="2" t="inlineStr">
        <is>
          <t>武器</t>
        </is>
      </c>
      <c r="Q117" s="2" t="inlineStr">
        <is>
          <t>稀有/蓝</t>
        </is>
      </c>
      <c r="R117" s="5" t="n">
        <v>0.1</v>
      </c>
      <c r="S117" s="2" t="n">
        <v>1</v>
      </c>
      <c r="T117" s="2" t="n"/>
      <c r="U117" s="2" t="inlineStr">
        <is>
          <t>否</t>
        </is>
      </c>
      <c r="V117" s="2" t="inlineStr">
        <is>
          <t>0.1</t>
        </is>
      </c>
      <c r="W117" s="2" t="n"/>
      <c r="X117" s="5">
        <f>R117</f>
        <v>0.1</v>
      </c>
      <c r="Y117" s="6">
        <f>X117*S117</f>
        <v>0.1</v>
      </c>
      <c r="Z117" s="2" t="inlineStr">
        <is>
          <t>个人任务</t>
        </is>
      </c>
      <c r="AA117" s="2" t="n"/>
      <c r="AB117" s="2" t="inlineStr">
        <is>
          <t>挑战者庄园</t>
        </is>
      </c>
      <c r="AC117" s="2" t="inlineStr">
        <is>
          <t>玩家进攻胜利（attacker），非撤退，返程结算发放</t>
        </is>
      </c>
      <c r="AD117" s="2" t="inlineStr">
        <is>
          <t>data/mission_templates.yaml:L731:drop_table.equip_junzijian</t>
        </is>
      </c>
    </row>
    <row r="118">
      <c r="A118" s="2" t="n">
        <v>14</v>
      </c>
      <c r="B118" s="2" t="inlineStr">
        <is>
          <t>tianpeng_dijiao_1</t>
        </is>
      </c>
      <c r="C118" s="2" t="inlineStr">
        <is>
          <t>天蓬元帅的地窖（第一层）</t>
        </is>
      </c>
      <c r="D118" s="2" t="inlineStr">
        <is>
          <t>中级</t>
        </is>
      </c>
      <c r="E118" s="2" t="inlineStr">
        <is>
          <t>task1</t>
        </is>
      </c>
      <c r="F118" s="2" t="inlineStr">
        <is>
          <t>否</t>
        </is>
      </c>
      <c r="G118" s="2" t="inlineStr">
        <is>
          <t>否</t>
        </is>
      </c>
      <c r="H118" s="2" t="n">
        <v>3</v>
      </c>
      <c r="I118" s="2" t="n">
        <v>1800</v>
      </c>
      <c r="J118" s="2" t="inlineStr">
        <is>
          <t>每日开放</t>
        </is>
      </c>
      <c r="K118" s="2" t="inlineStr">
        <is>
          <t>无</t>
        </is>
      </c>
      <c r="L118" s="2" t="inlineStr">
        <is>
          <t>概率掉落</t>
        </is>
      </c>
      <c r="M118" s="2" t="inlineStr">
        <is>
          <t>equip_yupei</t>
        </is>
      </c>
      <c r="N118" s="2" t="inlineStr">
        <is>
          <t>equip_yupei</t>
        </is>
      </c>
      <c r="O118" s="2" t="inlineStr">
        <is>
          <t>玉佩</t>
        </is>
      </c>
      <c r="P118" s="2" t="inlineStr">
        <is>
          <t>饰品</t>
        </is>
      </c>
      <c r="Q118" s="2" t="inlineStr">
        <is>
          <t>优秀/绿</t>
        </is>
      </c>
      <c r="R118" s="5" t="n">
        <v>0.06</v>
      </c>
      <c r="S118" s="2" t="n">
        <v>1</v>
      </c>
      <c r="T118" s="2" t="n"/>
      <c r="U118" s="2" t="inlineStr">
        <is>
          <t>否</t>
        </is>
      </c>
      <c r="V118" s="2" t="inlineStr">
        <is>
          <t>0.06</t>
        </is>
      </c>
      <c r="W118" s="2" t="n"/>
      <c r="X118" s="5">
        <f>R118</f>
        <v>0.06</v>
      </c>
      <c r="Y118" s="6">
        <f>X118*S118</f>
        <v>0.06</v>
      </c>
      <c r="Z118" s="2" t="inlineStr">
        <is>
          <t>个人任务</t>
        </is>
      </c>
      <c r="AA118" s="2" t="n"/>
      <c r="AB118" s="2" t="inlineStr">
        <is>
          <t>挑战者庄园</t>
        </is>
      </c>
      <c r="AC118" s="2" t="inlineStr">
        <is>
          <t>玩家进攻胜利（attacker），非撤退，返程结算发放</t>
        </is>
      </c>
      <c r="AD118" s="2" t="inlineStr">
        <is>
          <t>data/mission_templates.yaml:L731:drop_table.equip_yupei</t>
        </is>
      </c>
    </row>
    <row r="119">
      <c r="A119" s="2" t="n">
        <v>14</v>
      </c>
      <c r="B119" s="2" t="inlineStr">
        <is>
          <t>tianpeng_dijiao_1</t>
        </is>
      </c>
      <c r="C119" s="2" t="inlineStr">
        <is>
          <t>天蓬元帅的地窖（第一层）</t>
        </is>
      </c>
      <c r="D119" s="2" t="inlineStr">
        <is>
          <t>中级</t>
        </is>
      </c>
      <c r="E119" s="2" t="inlineStr">
        <is>
          <t>task1</t>
        </is>
      </c>
      <c r="F119" s="2" t="inlineStr">
        <is>
          <t>否</t>
        </is>
      </c>
      <c r="G119" s="2" t="inlineStr">
        <is>
          <t>否</t>
        </is>
      </c>
      <c r="H119" s="2" t="n">
        <v>3</v>
      </c>
      <c r="I119" s="2" t="n">
        <v>1800</v>
      </c>
      <c r="J119" s="2" t="inlineStr">
        <is>
          <t>每日开放</t>
        </is>
      </c>
      <c r="K119" s="2" t="inlineStr">
        <is>
          <t>无</t>
        </is>
      </c>
      <c r="L119" s="2" t="inlineStr">
        <is>
          <t>概率掉落</t>
        </is>
      </c>
      <c r="M119" s="2" t="inlineStr">
        <is>
          <t>equip_fudai</t>
        </is>
      </c>
      <c r="N119" s="2" t="inlineStr">
        <is>
          <t>equip_fudai</t>
        </is>
      </c>
      <c r="O119" s="2" t="inlineStr">
        <is>
          <t>福袋</t>
        </is>
      </c>
      <c r="P119" s="2" t="inlineStr">
        <is>
          <t>饰品</t>
        </is>
      </c>
      <c r="Q119" s="2" t="inlineStr">
        <is>
          <t>优秀/绿</t>
        </is>
      </c>
      <c r="R119" s="5" t="n">
        <v>0.06</v>
      </c>
      <c r="S119" s="2" t="n">
        <v>1</v>
      </c>
      <c r="T119" s="2" t="n"/>
      <c r="U119" s="2" t="inlineStr">
        <is>
          <t>否</t>
        </is>
      </c>
      <c r="V119" s="2" t="inlineStr">
        <is>
          <t>0.06</t>
        </is>
      </c>
      <c r="W119" s="2" t="n"/>
      <c r="X119" s="5">
        <f>R119</f>
        <v>0.06</v>
      </c>
      <c r="Y119" s="6">
        <f>X119*S119</f>
        <v>0.06</v>
      </c>
      <c r="Z119" s="2" t="inlineStr">
        <is>
          <t>个人任务</t>
        </is>
      </c>
      <c r="AA119" s="2" t="n"/>
      <c r="AB119" s="2" t="inlineStr">
        <is>
          <t>挑战者庄园</t>
        </is>
      </c>
      <c r="AC119" s="2" t="inlineStr">
        <is>
          <t>玩家进攻胜利（attacker），非撤退，返程结算发放</t>
        </is>
      </c>
      <c r="AD119" s="2" t="inlineStr">
        <is>
          <t>data/mission_templates.yaml:L731:drop_table.equip_fudai</t>
        </is>
      </c>
    </row>
    <row r="120">
      <c r="A120" s="2" t="n">
        <v>14</v>
      </c>
      <c r="B120" s="2" t="inlineStr">
        <is>
          <t>tianpeng_dijiao_1</t>
        </is>
      </c>
      <c r="C120" s="2" t="inlineStr">
        <is>
          <t>天蓬元帅的地窖（第一层）</t>
        </is>
      </c>
      <c r="D120" s="2" t="inlineStr">
        <is>
          <t>中级</t>
        </is>
      </c>
      <c r="E120" s="2" t="inlineStr">
        <is>
          <t>task1</t>
        </is>
      </c>
      <c r="F120" s="2" t="inlineStr">
        <is>
          <t>否</t>
        </is>
      </c>
      <c r="G120" s="2" t="inlineStr">
        <is>
          <t>否</t>
        </is>
      </c>
      <c r="H120" s="2" t="n">
        <v>3</v>
      </c>
      <c r="I120" s="2" t="n">
        <v>1800</v>
      </c>
      <c r="J120" s="2" t="inlineStr">
        <is>
          <t>每日开放</t>
        </is>
      </c>
      <c r="K120" s="2" t="inlineStr">
        <is>
          <t>无</t>
        </is>
      </c>
      <c r="L120" s="2" t="inlineStr">
        <is>
          <t>概率掉落</t>
        </is>
      </c>
      <c r="M120" s="2" t="inlineStr">
        <is>
          <t>equip_xuanjiazhanbao</t>
        </is>
      </c>
      <c r="N120" s="2" t="inlineStr">
        <is>
          <t>equip_xuanjiazhanbao</t>
        </is>
      </c>
      <c r="O120" s="2" t="inlineStr">
        <is>
          <t>玄甲战袍</t>
        </is>
      </c>
      <c r="P120" s="2" t="inlineStr">
        <is>
          <t>护甲</t>
        </is>
      </c>
      <c r="Q120" s="2" t="inlineStr">
        <is>
          <t>稀有/蓝</t>
        </is>
      </c>
      <c r="R120" s="5" t="n">
        <v>0.05</v>
      </c>
      <c r="S120" s="2" t="n">
        <v>1</v>
      </c>
      <c r="T120" s="2" t="n"/>
      <c r="U120" s="2" t="inlineStr">
        <is>
          <t>否</t>
        </is>
      </c>
      <c r="V120" s="2" t="inlineStr">
        <is>
          <t>0.05</t>
        </is>
      </c>
      <c r="W120" s="2" t="n"/>
      <c r="X120" s="5">
        <f>R120</f>
        <v>0.05</v>
      </c>
      <c r="Y120" s="6">
        <f>X120*S120</f>
        <v>0.05</v>
      </c>
      <c r="Z120" s="2" t="inlineStr">
        <is>
          <t>个人任务</t>
        </is>
      </c>
      <c r="AA120" s="2" t="n"/>
      <c r="AB120" s="2" t="inlineStr">
        <is>
          <t>挑战者庄园</t>
        </is>
      </c>
      <c r="AC120" s="2" t="inlineStr">
        <is>
          <t>玩家进攻胜利（attacker），非撤退，返程结算发放</t>
        </is>
      </c>
      <c r="AD120" s="2" t="inlineStr">
        <is>
          <t>data/mission_templates.yaml:L731:drop_table.equip_xuanjiazhanbao</t>
        </is>
      </c>
    </row>
    <row r="121">
      <c r="A121" s="2" t="n">
        <v>14</v>
      </c>
      <c r="B121" s="2" t="inlineStr">
        <is>
          <t>tianpeng_dijiao_1</t>
        </is>
      </c>
      <c r="C121" s="2" t="inlineStr">
        <is>
          <t>天蓬元帅的地窖（第一层）</t>
        </is>
      </c>
      <c r="D121" s="2" t="inlineStr">
        <is>
          <t>中级</t>
        </is>
      </c>
      <c r="E121" s="2" t="inlineStr">
        <is>
          <t>task1</t>
        </is>
      </c>
      <c r="F121" s="2" t="inlineStr">
        <is>
          <t>否</t>
        </is>
      </c>
      <c r="G121" s="2" t="inlineStr">
        <is>
          <t>否</t>
        </is>
      </c>
      <c r="H121" s="2" t="n">
        <v>3</v>
      </c>
      <c r="I121" s="2" t="n">
        <v>1800</v>
      </c>
      <c r="J121" s="2" t="inlineStr">
        <is>
          <t>每日开放</t>
        </is>
      </c>
      <c r="K121" s="2" t="inlineStr">
        <is>
          <t>无</t>
        </is>
      </c>
      <c r="L121" s="2" t="inlineStr">
        <is>
          <t>概率掉落</t>
        </is>
      </c>
      <c r="M121" s="2" t="inlineStr">
        <is>
          <t>equip_xuanbinggong</t>
        </is>
      </c>
      <c r="N121" s="2" t="inlineStr">
        <is>
          <t>equip_xuanbinggong</t>
        </is>
      </c>
      <c r="O121" s="2" t="inlineStr">
        <is>
          <t>玄冰弓</t>
        </is>
      </c>
      <c r="P121" s="2" t="inlineStr">
        <is>
          <t>武器</t>
        </is>
      </c>
      <c r="Q121" s="2" t="inlineStr">
        <is>
          <t>稀有/蓝</t>
        </is>
      </c>
      <c r="R121" s="5" t="n">
        <v>0.06</v>
      </c>
      <c r="S121" s="2" t="n">
        <v>1</v>
      </c>
      <c r="T121" s="2" t="n"/>
      <c r="U121" s="2" t="inlineStr">
        <is>
          <t>否</t>
        </is>
      </c>
      <c r="V121" s="2" t="inlineStr">
        <is>
          <t>0.06</t>
        </is>
      </c>
      <c r="W121" s="2" t="n"/>
      <c r="X121" s="5">
        <f>R121</f>
        <v>0.06</v>
      </c>
      <c r="Y121" s="6">
        <f>X121*S121</f>
        <v>0.06</v>
      </c>
      <c r="Z121" s="2" t="inlineStr">
        <is>
          <t>个人任务</t>
        </is>
      </c>
      <c r="AA121" s="2" t="n"/>
      <c r="AB121" s="2" t="inlineStr">
        <is>
          <t>挑战者庄园</t>
        </is>
      </c>
      <c r="AC121" s="2" t="inlineStr">
        <is>
          <t>玩家进攻胜利（attacker），非撤退，返程结算发放</t>
        </is>
      </c>
      <c r="AD121" s="2" t="inlineStr">
        <is>
          <t>data/mission_templates.yaml:L731:drop_table.equip_xuanbinggong</t>
        </is>
      </c>
    </row>
    <row r="122">
      <c r="A122" s="2" t="n">
        <v>14</v>
      </c>
      <c r="B122" s="2" t="inlineStr">
        <is>
          <t>tianpeng_dijiao_1</t>
        </is>
      </c>
      <c r="C122" s="2" t="inlineStr">
        <is>
          <t>天蓬元帅的地窖（第一层）</t>
        </is>
      </c>
      <c r="D122" s="2" t="inlineStr">
        <is>
          <t>中级</t>
        </is>
      </c>
      <c r="E122" s="2" t="inlineStr">
        <is>
          <t>task1</t>
        </is>
      </c>
      <c r="F122" s="2" t="inlineStr">
        <is>
          <t>否</t>
        </is>
      </c>
      <c r="G122" s="2" t="inlineStr">
        <is>
          <t>否</t>
        </is>
      </c>
      <c r="H122" s="2" t="n">
        <v>3</v>
      </c>
      <c r="I122" s="2" t="n">
        <v>1800</v>
      </c>
      <c r="J122" s="2" t="inlineStr">
        <is>
          <t>每日开放</t>
        </is>
      </c>
      <c r="K122" s="2" t="inlineStr">
        <is>
          <t>无</t>
        </is>
      </c>
      <c r="L122" s="2" t="inlineStr">
        <is>
          <t>概率掉落</t>
        </is>
      </c>
      <c r="M122" s="2" t="inlineStr">
        <is>
          <t>equip_fengyuzan</t>
        </is>
      </c>
      <c r="N122" s="2" t="inlineStr">
        <is>
          <t>equip_fengyuzan</t>
        </is>
      </c>
      <c r="O122" s="2" t="inlineStr">
        <is>
          <t>凤羽簪</t>
        </is>
      </c>
      <c r="P122" s="2" t="inlineStr">
        <is>
          <t>饰品</t>
        </is>
      </c>
      <c r="Q122" s="2" t="inlineStr">
        <is>
          <t>稀有/蓝</t>
        </is>
      </c>
      <c r="R122" s="5" t="n">
        <v>0.07000000000000001</v>
      </c>
      <c r="S122" s="2" t="n">
        <v>1</v>
      </c>
      <c r="T122" s="2" t="n"/>
      <c r="U122" s="2" t="inlineStr">
        <is>
          <t>否</t>
        </is>
      </c>
      <c r="V122" s="2" t="inlineStr">
        <is>
          <t>0.07</t>
        </is>
      </c>
      <c r="W122" s="2" t="n"/>
      <c r="X122" s="5">
        <f>R122</f>
        <v>0.07</v>
      </c>
      <c r="Y122" s="6">
        <f>X122*S122</f>
        <v>0.07</v>
      </c>
      <c r="Z122" s="2" t="inlineStr">
        <is>
          <t>个人任务</t>
        </is>
      </c>
      <c r="AA122" s="2" t="n"/>
      <c r="AB122" s="2" t="inlineStr">
        <is>
          <t>挑战者庄园</t>
        </is>
      </c>
      <c r="AC122" s="2" t="inlineStr">
        <is>
          <t>玩家进攻胜利（attacker），非撤退，返程结算发放</t>
        </is>
      </c>
      <c r="AD122" s="2" t="inlineStr">
        <is>
          <t>data/mission_templates.yaml:L731:drop_table.equip_fengyuzan</t>
        </is>
      </c>
    </row>
    <row r="123">
      <c r="A123" s="2" t="n">
        <v>14</v>
      </c>
      <c r="B123" s="2" t="inlineStr">
        <is>
          <t>tianpeng_dijiao_1</t>
        </is>
      </c>
      <c r="C123" s="2" t="inlineStr">
        <is>
          <t>天蓬元帅的地窖（第一层）</t>
        </is>
      </c>
      <c r="D123" s="2" t="inlineStr">
        <is>
          <t>中级</t>
        </is>
      </c>
      <c r="E123" s="2" t="inlineStr">
        <is>
          <t>task1</t>
        </is>
      </c>
      <c r="F123" s="2" t="inlineStr">
        <is>
          <t>否</t>
        </is>
      </c>
      <c r="G123" s="2" t="inlineStr">
        <is>
          <t>否</t>
        </is>
      </c>
      <c r="H123" s="2" t="n">
        <v>3</v>
      </c>
      <c r="I123" s="2" t="n">
        <v>1800</v>
      </c>
      <c r="J123" s="2" t="inlineStr">
        <is>
          <t>每日开放</t>
        </is>
      </c>
      <c r="K123" s="2" t="inlineStr">
        <is>
          <t>无</t>
        </is>
      </c>
      <c r="L123" s="2" t="inlineStr">
        <is>
          <t>概率掉落</t>
        </is>
      </c>
      <c r="M123" s="2" t="inlineStr">
        <is>
          <t>equip_xingshashouchuan</t>
        </is>
      </c>
      <c r="N123" s="2" t="inlineStr">
        <is>
          <t>equip_xingshashouchuan</t>
        </is>
      </c>
      <c r="O123" s="2" t="inlineStr">
        <is>
          <t>星砂手串</t>
        </is>
      </c>
      <c r="P123" s="2" t="inlineStr">
        <is>
          <t>饰品</t>
        </is>
      </c>
      <c r="Q123" s="2" t="inlineStr">
        <is>
          <t>稀有/蓝</t>
        </is>
      </c>
      <c r="R123" s="5" t="n">
        <v>0.07000000000000001</v>
      </c>
      <c r="S123" s="2" t="n">
        <v>1</v>
      </c>
      <c r="T123" s="2" t="n"/>
      <c r="U123" s="2" t="inlineStr">
        <is>
          <t>否</t>
        </is>
      </c>
      <c r="V123" s="2" t="inlineStr">
        <is>
          <t>0.07</t>
        </is>
      </c>
      <c r="W123" s="2" t="n"/>
      <c r="X123" s="5">
        <f>R123</f>
        <v>0.07</v>
      </c>
      <c r="Y123" s="6">
        <f>X123*S123</f>
        <v>0.07</v>
      </c>
      <c r="Z123" s="2" t="inlineStr">
        <is>
          <t>个人任务</t>
        </is>
      </c>
      <c r="AA123" s="2" t="n"/>
      <c r="AB123" s="2" t="inlineStr">
        <is>
          <t>挑战者庄园</t>
        </is>
      </c>
      <c r="AC123" s="2" t="inlineStr">
        <is>
          <t>玩家进攻胜利（attacker），非撤退，返程结算发放</t>
        </is>
      </c>
      <c r="AD123" s="2" t="inlineStr">
        <is>
          <t>data/mission_templates.yaml:L731:drop_table.equip_xingshashouchuan</t>
        </is>
      </c>
    </row>
    <row r="124">
      <c r="A124" s="2" t="n">
        <v>15</v>
      </c>
      <c r="B124" s="2" t="inlineStr">
        <is>
          <t>tianpeng_dijiao_2</t>
        </is>
      </c>
      <c r="C124" s="2" t="inlineStr">
        <is>
          <t>天蓬元帅的地窖（第二层）</t>
        </is>
      </c>
      <c r="D124" s="2" t="inlineStr">
        <is>
          <t>高级</t>
        </is>
      </c>
      <c r="E124" s="2" t="inlineStr">
        <is>
          <t>task1</t>
        </is>
      </c>
      <c r="F124" s="2" t="inlineStr">
        <is>
          <t>否</t>
        </is>
      </c>
      <c r="G124" s="2" t="inlineStr">
        <is>
          <t>否</t>
        </is>
      </c>
      <c r="H124" s="2" t="n">
        <v>3</v>
      </c>
      <c r="I124" s="2" t="n">
        <v>1800</v>
      </c>
      <c r="J124" s="2" t="inlineStr">
        <is>
          <t>每日开放</t>
        </is>
      </c>
      <c r="K124" s="2" t="inlineStr">
        <is>
          <t>无</t>
        </is>
      </c>
      <c r="L124" s="2" t="inlineStr">
        <is>
          <t>概率掉落</t>
        </is>
      </c>
      <c r="M124" s="2" t="inlineStr">
        <is>
          <t>experience_pineapple</t>
        </is>
      </c>
      <c r="N124" s="2" t="inlineStr">
        <is>
          <t>experience_pineapple</t>
        </is>
      </c>
      <c r="O124" s="2" t="inlineStr">
        <is>
          <t>经验菠萝</t>
        </is>
      </c>
      <c r="P124" s="2" t="inlineStr">
        <is>
          <t>经验道具</t>
        </is>
      </c>
      <c r="Q124" s="2" t="inlineStr">
        <is>
          <t>稀有/蓝</t>
        </is>
      </c>
      <c r="R124" s="5" t="n">
        <v>0.99</v>
      </c>
      <c r="S124" s="2" t="n">
        <v>20</v>
      </c>
      <c r="T124" s="2" t="n"/>
      <c r="U124" s="2" t="inlineStr">
        <is>
          <t>否</t>
        </is>
      </c>
      <c r="V124" s="2" t="inlineStr">
        <is>
          <t>{"chance":0.99,"count":20}</t>
        </is>
      </c>
      <c r="W124" s="2" t="n"/>
      <c r="X124" s="5">
        <f>R124</f>
        <v>0.99</v>
      </c>
      <c r="Y124" s="6">
        <f>X124*S124</f>
        <v>19.8</v>
      </c>
      <c r="Z124" s="2" t="inlineStr">
        <is>
          <t>个人任务</t>
        </is>
      </c>
      <c r="AA124" s="2" t="n"/>
      <c r="AB124" s="2" t="inlineStr">
        <is>
          <t>挑战者庄园</t>
        </is>
      </c>
      <c r="AC124" s="2" t="inlineStr">
        <is>
          <t>玩家进攻胜利（attacker），非撤退，返程结算发放</t>
        </is>
      </c>
      <c r="AD124" s="2" t="inlineStr">
        <is>
          <t>data/mission_templates.yaml:L777:drop_table.experience_pineapple</t>
        </is>
      </c>
    </row>
    <row r="125">
      <c r="A125" s="2" t="n">
        <v>15</v>
      </c>
      <c r="B125" s="2" t="inlineStr">
        <is>
          <t>tianpeng_dijiao_2</t>
        </is>
      </c>
      <c r="C125" s="2" t="inlineStr">
        <is>
          <t>天蓬元帅的地窖（第二层）</t>
        </is>
      </c>
      <c r="D125" s="2" t="inlineStr">
        <is>
          <t>高级</t>
        </is>
      </c>
      <c r="E125" s="2" t="inlineStr">
        <is>
          <t>task1</t>
        </is>
      </c>
      <c r="F125" s="2" t="inlineStr">
        <is>
          <t>否</t>
        </is>
      </c>
      <c r="G125" s="2" t="inlineStr">
        <is>
          <t>否</t>
        </is>
      </c>
      <c r="H125" s="2" t="n">
        <v>3</v>
      </c>
      <c r="I125" s="2" t="n">
        <v>1800</v>
      </c>
      <c r="J125" s="2" t="inlineStr">
        <is>
          <t>每日开放</t>
        </is>
      </c>
      <c r="K125" s="2" t="inlineStr">
        <is>
          <t>无</t>
        </is>
      </c>
      <c r="L125" s="2" t="inlineStr">
        <is>
          <t>概率掉落</t>
        </is>
      </c>
      <c r="M125" s="2" t="inlineStr">
        <is>
          <t>blueprint_huxianjian</t>
        </is>
      </c>
      <c r="N125" s="2" t="inlineStr">
        <is>
          <t>blueprint_huxianjian</t>
        </is>
      </c>
      <c r="O125" s="2" t="inlineStr">
        <is>
          <t>狐仙剑图纸</t>
        </is>
      </c>
      <c r="P125" s="2" t="inlineStr">
        <is>
          <t>装备图纸</t>
        </is>
      </c>
      <c r="Q125" s="2" t="inlineStr">
        <is>
          <t>史诗/紫</t>
        </is>
      </c>
      <c r="R125" s="5" t="n">
        <v>0.05</v>
      </c>
      <c r="S125" s="2" t="n">
        <v>1</v>
      </c>
      <c r="T125" s="2" t="n"/>
      <c r="U125" s="2" t="inlineStr">
        <is>
          <t>否</t>
        </is>
      </c>
      <c r="V125" s="2" t="inlineStr">
        <is>
          <t>0.05</t>
        </is>
      </c>
      <c r="W125" s="2" t="n"/>
      <c r="X125" s="5">
        <f>R125</f>
        <v>0.05</v>
      </c>
      <c r="Y125" s="6">
        <f>X125*S125</f>
        <v>0.05</v>
      </c>
      <c r="Z125" s="2" t="inlineStr">
        <is>
          <t>个人任务</t>
        </is>
      </c>
      <c r="AA125" s="2" t="n"/>
      <c r="AB125" s="2" t="inlineStr">
        <is>
          <t>挑战者庄园</t>
        </is>
      </c>
      <c r="AC125" s="2" t="inlineStr">
        <is>
          <t>玩家进攻胜利（attacker），非撤退，返程结算发放</t>
        </is>
      </c>
      <c r="AD125" s="2" t="inlineStr">
        <is>
          <t>data/mission_templates.yaml:L777:drop_table.blueprint_huxianjian</t>
        </is>
      </c>
    </row>
    <row r="126">
      <c r="A126" s="2" t="n">
        <v>15</v>
      </c>
      <c r="B126" s="2" t="inlineStr">
        <is>
          <t>tianpeng_dijiao_2</t>
        </is>
      </c>
      <c r="C126" s="2" t="inlineStr">
        <is>
          <t>天蓬元帅的地窖（第二层）</t>
        </is>
      </c>
      <c r="D126" s="2" t="inlineStr">
        <is>
          <t>高级</t>
        </is>
      </c>
      <c r="E126" s="2" t="inlineStr">
        <is>
          <t>task1</t>
        </is>
      </c>
      <c r="F126" s="2" t="inlineStr">
        <is>
          <t>否</t>
        </is>
      </c>
      <c r="G126" s="2" t="inlineStr">
        <is>
          <t>否</t>
        </is>
      </c>
      <c r="H126" s="2" t="n">
        <v>3</v>
      </c>
      <c r="I126" s="2" t="n">
        <v>1800</v>
      </c>
      <c r="J126" s="2" t="inlineStr">
        <is>
          <t>每日开放</t>
        </is>
      </c>
      <c r="K126" s="2" t="inlineStr">
        <is>
          <t>无</t>
        </is>
      </c>
      <c r="L126" s="2" t="inlineStr">
        <is>
          <t>概率掉落</t>
        </is>
      </c>
      <c r="M126" s="2" t="inlineStr">
        <is>
          <t>blueprint_huxianpao</t>
        </is>
      </c>
      <c r="N126" s="2" t="inlineStr">
        <is>
          <t>blueprint_huxianpao</t>
        </is>
      </c>
      <c r="O126" s="2" t="inlineStr">
        <is>
          <t>狐仙袍图纸</t>
        </is>
      </c>
      <c r="P126" s="2" t="inlineStr">
        <is>
          <t>装备图纸</t>
        </is>
      </c>
      <c r="Q126" s="2" t="inlineStr">
        <is>
          <t>史诗/紫</t>
        </is>
      </c>
      <c r="R126" s="5" t="n">
        <v>0.1</v>
      </c>
      <c r="S126" s="2" t="n">
        <v>1</v>
      </c>
      <c r="T126" s="2" t="n"/>
      <c r="U126" s="2" t="inlineStr">
        <is>
          <t>否</t>
        </is>
      </c>
      <c r="V126" s="2" t="inlineStr">
        <is>
          <t>0.1</t>
        </is>
      </c>
      <c r="W126" s="2" t="n"/>
      <c r="X126" s="5">
        <f>R126</f>
        <v>0.1</v>
      </c>
      <c r="Y126" s="6">
        <f>X126*S126</f>
        <v>0.1</v>
      </c>
      <c r="Z126" s="2" t="inlineStr">
        <is>
          <t>个人任务</t>
        </is>
      </c>
      <c r="AA126" s="2" t="n"/>
      <c r="AB126" s="2" t="inlineStr">
        <is>
          <t>挑战者庄园</t>
        </is>
      </c>
      <c r="AC126" s="2" t="inlineStr">
        <is>
          <t>玩家进攻胜利（attacker），非撤退，返程结算发放</t>
        </is>
      </c>
      <c r="AD126" s="2" t="inlineStr">
        <is>
          <t>data/mission_templates.yaml:L777:drop_table.blueprint_huxianpao</t>
        </is>
      </c>
    </row>
    <row r="127">
      <c r="A127" s="2" t="n">
        <v>15</v>
      </c>
      <c r="B127" s="2" t="inlineStr">
        <is>
          <t>tianpeng_dijiao_2</t>
        </is>
      </c>
      <c r="C127" s="2" t="inlineStr">
        <is>
          <t>天蓬元帅的地窖（第二层）</t>
        </is>
      </c>
      <c r="D127" s="2" t="inlineStr">
        <is>
          <t>高级</t>
        </is>
      </c>
      <c r="E127" s="2" t="inlineStr">
        <is>
          <t>task1</t>
        </is>
      </c>
      <c r="F127" s="2" t="inlineStr">
        <is>
          <t>否</t>
        </is>
      </c>
      <c r="G127" s="2" t="inlineStr">
        <is>
          <t>否</t>
        </is>
      </c>
      <c r="H127" s="2" t="n">
        <v>3</v>
      </c>
      <c r="I127" s="2" t="n">
        <v>1800</v>
      </c>
      <c r="J127" s="2" t="inlineStr">
        <is>
          <t>每日开放</t>
        </is>
      </c>
      <c r="K127" s="2" t="inlineStr">
        <is>
          <t>无</t>
        </is>
      </c>
      <c r="L127" s="2" t="inlineStr">
        <is>
          <t>概率掉落</t>
        </is>
      </c>
      <c r="M127" s="2" t="inlineStr">
        <is>
          <t>blueprint_huxianxie</t>
        </is>
      </c>
      <c r="N127" s="2" t="inlineStr">
        <is>
          <t>blueprint_huxianxie</t>
        </is>
      </c>
      <c r="O127" s="2" t="inlineStr">
        <is>
          <t>狐仙鞋图纸</t>
        </is>
      </c>
      <c r="P127" s="2" t="inlineStr">
        <is>
          <t>装备图纸</t>
        </is>
      </c>
      <c r="Q127" s="2" t="inlineStr">
        <is>
          <t>史诗/紫</t>
        </is>
      </c>
      <c r="R127" s="5" t="n">
        <v>0.1</v>
      </c>
      <c r="S127" s="2" t="n">
        <v>1</v>
      </c>
      <c r="T127" s="2" t="n"/>
      <c r="U127" s="2" t="inlineStr">
        <is>
          <t>否</t>
        </is>
      </c>
      <c r="V127" s="2" t="inlineStr">
        <is>
          <t>0.1</t>
        </is>
      </c>
      <c r="W127" s="2" t="n"/>
      <c r="X127" s="5">
        <f>R127</f>
        <v>0.1</v>
      </c>
      <c r="Y127" s="6">
        <f>X127*S127</f>
        <v>0.1</v>
      </c>
      <c r="Z127" s="2" t="inlineStr">
        <is>
          <t>个人任务</t>
        </is>
      </c>
      <c r="AA127" s="2" t="n"/>
      <c r="AB127" s="2" t="inlineStr">
        <is>
          <t>挑战者庄园</t>
        </is>
      </c>
      <c r="AC127" s="2" t="inlineStr">
        <is>
          <t>玩家进攻胜利（attacker），非撤退，返程结算发放</t>
        </is>
      </c>
      <c r="AD127" s="2" t="inlineStr">
        <is>
          <t>data/mission_templates.yaml:L777:drop_table.blueprint_huxianxie</t>
        </is>
      </c>
    </row>
    <row r="128">
      <c r="A128" s="2" t="n">
        <v>15</v>
      </c>
      <c r="B128" s="2" t="inlineStr">
        <is>
          <t>tianpeng_dijiao_2</t>
        </is>
      </c>
      <c r="C128" s="2" t="inlineStr">
        <is>
          <t>天蓬元帅的地窖（第二层）</t>
        </is>
      </c>
      <c r="D128" s="2" t="inlineStr">
        <is>
          <t>高级</t>
        </is>
      </c>
      <c r="E128" s="2" t="inlineStr">
        <is>
          <t>task1</t>
        </is>
      </c>
      <c r="F128" s="2" t="inlineStr">
        <is>
          <t>否</t>
        </is>
      </c>
      <c r="G128" s="2" t="inlineStr">
        <is>
          <t>否</t>
        </is>
      </c>
      <c r="H128" s="2" t="n">
        <v>3</v>
      </c>
      <c r="I128" s="2" t="n">
        <v>1800</v>
      </c>
      <c r="J128" s="2" t="inlineStr">
        <is>
          <t>每日开放</t>
        </is>
      </c>
      <c r="K128" s="2" t="inlineStr">
        <is>
          <t>无</t>
        </is>
      </c>
      <c r="L128" s="2" t="inlineStr">
        <is>
          <t>概率掉落</t>
        </is>
      </c>
      <c r="M128" s="2" t="inlineStr">
        <is>
          <t>equip_zhaoyaojing</t>
        </is>
      </c>
      <c r="N128" s="2" t="inlineStr">
        <is>
          <t>equip_zhaoyaojing</t>
        </is>
      </c>
      <c r="O128" s="2" t="inlineStr">
        <is>
          <t>照妖镜</t>
        </is>
      </c>
      <c r="P128" s="2" t="inlineStr">
        <is>
          <t>饰品</t>
        </is>
      </c>
      <c r="Q128" s="2" t="inlineStr">
        <is>
          <t>稀有/蓝</t>
        </is>
      </c>
      <c r="R128" s="5" t="n">
        <v>0.15</v>
      </c>
      <c r="S128" s="2" t="n">
        <v>1</v>
      </c>
      <c r="T128" s="2" t="n"/>
      <c r="U128" s="2" t="inlineStr">
        <is>
          <t>否</t>
        </is>
      </c>
      <c r="V128" s="2" t="inlineStr">
        <is>
          <t>0.15</t>
        </is>
      </c>
      <c r="W128" s="2" t="n"/>
      <c r="X128" s="5">
        <f>R128</f>
        <v>0.15</v>
      </c>
      <c r="Y128" s="6">
        <f>X128*S128</f>
        <v>0.15</v>
      </c>
      <c r="Z128" s="2" t="inlineStr">
        <is>
          <t>个人任务</t>
        </is>
      </c>
      <c r="AA128" s="2" t="n"/>
      <c r="AB128" s="2" t="inlineStr">
        <is>
          <t>挑战者庄园</t>
        </is>
      </c>
      <c r="AC128" s="2" t="inlineStr">
        <is>
          <t>玩家进攻胜利（attacker），非撤退，返程结算发放</t>
        </is>
      </c>
      <c r="AD128" s="2" t="inlineStr">
        <is>
          <t>data/mission_templates.yaml:L777:drop_table.equip_zhaoyaojing</t>
        </is>
      </c>
    </row>
    <row r="129">
      <c r="A129" s="2" t="n">
        <v>15</v>
      </c>
      <c r="B129" s="2" t="inlineStr">
        <is>
          <t>tianpeng_dijiao_2</t>
        </is>
      </c>
      <c r="C129" s="2" t="inlineStr">
        <is>
          <t>天蓬元帅的地窖（第二层）</t>
        </is>
      </c>
      <c r="D129" s="2" t="inlineStr">
        <is>
          <t>高级</t>
        </is>
      </c>
      <c r="E129" s="2" t="inlineStr">
        <is>
          <t>task1</t>
        </is>
      </c>
      <c r="F129" s="2" t="inlineStr">
        <is>
          <t>否</t>
        </is>
      </c>
      <c r="G129" s="2" t="inlineStr">
        <is>
          <t>否</t>
        </is>
      </c>
      <c r="H129" s="2" t="n">
        <v>3</v>
      </c>
      <c r="I129" s="2" t="n">
        <v>1800</v>
      </c>
      <c r="J129" s="2" t="inlineStr">
        <is>
          <t>每日开放</t>
        </is>
      </c>
      <c r="K129" s="2" t="inlineStr">
        <is>
          <t>无</t>
        </is>
      </c>
      <c r="L129" s="2" t="inlineStr">
        <is>
          <t>概率掉落</t>
        </is>
      </c>
      <c r="M129" s="2" t="inlineStr">
        <is>
          <t>equip_qiankunquan</t>
        </is>
      </c>
      <c r="N129" s="2" t="inlineStr">
        <is>
          <t>equip_qiankunquan</t>
        </is>
      </c>
      <c r="O129" s="2" t="inlineStr">
        <is>
          <t>乾坤圈</t>
        </is>
      </c>
      <c r="P129" s="2" t="inlineStr">
        <is>
          <t>饰品</t>
        </is>
      </c>
      <c r="Q129" s="2" t="inlineStr">
        <is>
          <t>稀有/蓝</t>
        </is>
      </c>
      <c r="R129" s="5" t="n">
        <v>0.1</v>
      </c>
      <c r="S129" s="2" t="n">
        <v>1</v>
      </c>
      <c r="T129" s="2" t="n"/>
      <c r="U129" s="2" t="inlineStr">
        <is>
          <t>否</t>
        </is>
      </c>
      <c r="V129" s="2" t="inlineStr">
        <is>
          <t>0.1</t>
        </is>
      </c>
      <c r="W129" s="2" t="n"/>
      <c r="X129" s="5">
        <f>R129</f>
        <v>0.1</v>
      </c>
      <c r="Y129" s="6">
        <f>X129*S129</f>
        <v>0.1</v>
      </c>
      <c r="Z129" s="2" t="inlineStr">
        <is>
          <t>个人任务</t>
        </is>
      </c>
      <c r="AA129" s="2" t="n"/>
      <c r="AB129" s="2" t="inlineStr">
        <is>
          <t>挑战者庄园</t>
        </is>
      </c>
      <c r="AC129" s="2" t="inlineStr">
        <is>
          <t>玩家进攻胜利（attacker），非撤退，返程结算发放</t>
        </is>
      </c>
      <c r="AD129" s="2" t="inlineStr">
        <is>
          <t>data/mission_templates.yaml:L777:drop_table.equip_qiankunquan</t>
        </is>
      </c>
    </row>
    <row r="130">
      <c r="A130" s="2" t="n">
        <v>15</v>
      </c>
      <c r="B130" s="2" t="inlineStr">
        <is>
          <t>tianpeng_dijiao_2</t>
        </is>
      </c>
      <c r="C130" s="2" t="inlineStr">
        <is>
          <t>天蓬元帅的地窖（第二层）</t>
        </is>
      </c>
      <c r="D130" s="2" t="inlineStr">
        <is>
          <t>高级</t>
        </is>
      </c>
      <c r="E130" s="2" t="inlineStr">
        <is>
          <t>task1</t>
        </is>
      </c>
      <c r="F130" s="2" t="inlineStr">
        <is>
          <t>否</t>
        </is>
      </c>
      <c r="G130" s="2" t="inlineStr">
        <is>
          <t>否</t>
        </is>
      </c>
      <c r="H130" s="2" t="n">
        <v>3</v>
      </c>
      <c r="I130" s="2" t="n">
        <v>1800</v>
      </c>
      <c r="J130" s="2" t="inlineStr">
        <is>
          <t>每日开放</t>
        </is>
      </c>
      <c r="K130" s="2" t="inlineStr">
        <is>
          <t>无</t>
        </is>
      </c>
      <c r="L130" s="2" t="inlineStr">
        <is>
          <t>概率掉落</t>
        </is>
      </c>
      <c r="M130" s="2" t="inlineStr">
        <is>
          <t>equip_tianjiluopan</t>
        </is>
      </c>
      <c r="N130" s="2" t="inlineStr">
        <is>
          <t>equip_tianjiluopan</t>
        </is>
      </c>
      <c r="O130" s="2" t="inlineStr">
        <is>
          <t>天机罗盘</t>
        </is>
      </c>
      <c r="P130" s="2" t="inlineStr">
        <is>
          <t>饰品</t>
        </is>
      </c>
      <c r="Q130" s="2" t="inlineStr">
        <is>
          <t>稀有/蓝</t>
        </is>
      </c>
      <c r="R130" s="5" t="n">
        <v>0.1</v>
      </c>
      <c r="S130" s="2" t="n">
        <v>1</v>
      </c>
      <c r="T130" s="2" t="n"/>
      <c r="U130" s="2" t="inlineStr">
        <is>
          <t>否</t>
        </is>
      </c>
      <c r="V130" s="2" t="inlineStr">
        <is>
          <t>0.1</t>
        </is>
      </c>
      <c r="W130" s="2" t="n"/>
      <c r="X130" s="5">
        <f>R130</f>
        <v>0.1</v>
      </c>
      <c r="Y130" s="6">
        <f>X130*S130</f>
        <v>0.1</v>
      </c>
      <c r="Z130" s="2" t="inlineStr">
        <is>
          <t>个人任务</t>
        </is>
      </c>
      <c r="AA130" s="2" t="n"/>
      <c r="AB130" s="2" t="inlineStr">
        <is>
          <t>挑战者庄园</t>
        </is>
      </c>
      <c r="AC130" s="2" t="inlineStr">
        <is>
          <t>玩家进攻胜利（attacker），非撤退，返程结算发放</t>
        </is>
      </c>
      <c r="AD130" s="2" t="inlineStr">
        <is>
          <t>data/mission_templates.yaml:L777:drop_table.equip_tianjiluopan</t>
        </is>
      </c>
    </row>
    <row r="131">
      <c r="A131" s="2" t="n">
        <v>15</v>
      </c>
      <c r="B131" s="2" t="inlineStr">
        <is>
          <t>tianpeng_dijiao_2</t>
        </is>
      </c>
      <c r="C131" s="2" t="inlineStr">
        <is>
          <t>天蓬元帅的地窖（第二层）</t>
        </is>
      </c>
      <c r="D131" s="2" t="inlineStr">
        <is>
          <t>高级</t>
        </is>
      </c>
      <c r="E131" s="2" t="inlineStr">
        <is>
          <t>task1</t>
        </is>
      </c>
      <c r="F131" s="2" t="inlineStr">
        <is>
          <t>否</t>
        </is>
      </c>
      <c r="G131" s="2" t="inlineStr">
        <is>
          <t>否</t>
        </is>
      </c>
      <c r="H131" s="2" t="n">
        <v>3</v>
      </c>
      <c r="I131" s="2" t="n">
        <v>1800</v>
      </c>
      <c r="J131" s="2" t="inlineStr">
        <is>
          <t>每日开放</t>
        </is>
      </c>
      <c r="K131" s="2" t="inlineStr">
        <is>
          <t>无</t>
        </is>
      </c>
      <c r="L131" s="2" t="inlineStr">
        <is>
          <t>概率掉落</t>
        </is>
      </c>
      <c r="M131" s="2" t="inlineStr">
        <is>
          <t>equip_lingwenyubi</t>
        </is>
      </c>
      <c r="N131" s="2" t="inlineStr">
        <is>
          <t>equip_lingwenyubi</t>
        </is>
      </c>
      <c r="O131" s="2" t="inlineStr">
        <is>
          <t>灵纹玉笔</t>
        </is>
      </c>
      <c r="P131" s="2" t="inlineStr">
        <is>
          <t>饰品</t>
        </is>
      </c>
      <c r="Q131" s="2" t="inlineStr">
        <is>
          <t>稀有/蓝</t>
        </is>
      </c>
      <c r="R131" s="5" t="n">
        <v>0.1</v>
      </c>
      <c r="S131" s="2" t="n">
        <v>1</v>
      </c>
      <c r="T131" s="2" t="n"/>
      <c r="U131" s="2" t="inlineStr">
        <is>
          <t>否</t>
        </is>
      </c>
      <c r="V131" s="2" t="inlineStr">
        <is>
          <t>0.1</t>
        </is>
      </c>
      <c r="W131" s="2" t="n"/>
      <c r="X131" s="5">
        <f>R131</f>
        <v>0.1</v>
      </c>
      <c r="Y131" s="6">
        <f>X131*S131</f>
        <v>0.1</v>
      </c>
      <c r="Z131" s="2" t="inlineStr">
        <is>
          <t>个人任务</t>
        </is>
      </c>
      <c r="AA131" s="2" t="n"/>
      <c r="AB131" s="2" t="inlineStr">
        <is>
          <t>挑战者庄园</t>
        </is>
      </c>
      <c r="AC131" s="2" t="inlineStr">
        <is>
          <t>玩家进攻胜利（attacker），非撤退，返程结算发放</t>
        </is>
      </c>
      <c r="AD131" s="2" t="inlineStr">
        <is>
          <t>data/mission_templates.yaml:L777:drop_table.equip_lingwenyubi</t>
        </is>
      </c>
    </row>
    <row r="132">
      <c r="A132" s="2" t="n">
        <v>15</v>
      </c>
      <c r="B132" s="2" t="inlineStr">
        <is>
          <t>tianpeng_dijiao_2</t>
        </is>
      </c>
      <c r="C132" s="2" t="inlineStr">
        <is>
          <t>天蓬元帅的地窖（第二层）</t>
        </is>
      </c>
      <c r="D132" s="2" t="inlineStr">
        <is>
          <t>高级</t>
        </is>
      </c>
      <c r="E132" s="2" t="inlineStr">
        <is>
          <t>task1</t>
        </is>
      </c>
      <c r="F132" s="2" t="inlineStr">
        <is>
          <t>否</t>
        </is>
      </c>
      <c r="G132" s="2" t="inlineStr">
        <is>
          <t>否</t>
        </is>
      </c>
      <c r="H132" s="2" t="n">
        <v>3</v>
      </c>
      <c r="I132" s="2" t="n">
        <v>1800</v>
      </c>
      <c r="J132" s="2" t="inlineStr">
        <is>
          <t>每日开放</t>
        </is>
      </c>
      <c r="K132" s="2" t="inlineStr">
        <is>
          <t>无</t>
        </is>
      </c>
      <c r="L132" s="2" t="inlineStr">
        <is>
          <t>概率掉落</t>
        </is>
      </c>
      <c r="M132" s="2" t="inlineStr">
        <is>
          <t>equip_guanxingdeng</t>
        </is>
      </c>
      <c r="N132" s="2" t="inlineStr">
        <is>
          <t>equip_guanxingdeng</t>
        </is>
      </c>
      <c r="O132" s="2" t="inlineStr">
        <is>
          <t>观星灯</t>
        </is>
      </c>
      <c r="P132" s="2" t="inlineStr">
        <is>
          <t>饰品</t>
        </is>
      </c>
      <c r="Q132" s="2" t="inlineStr">
        <is>
          <t>稀有/蓝</t>
        </is>
      </c>
      <c r="R132" s="5" t="n">
        <v>0.1</v>
      </c>
      <c r="S132" s="2" t="n">
        <v>1</v>
      </c>
      <c r="T132" s="2" t="n"/>
      <c r="U132" s="2" t="inlineStr">
        <is>
          <t>否</t>
        </is>
      </c>
      <c r="V132" s="2" t="inlineStr">
        <is>
          <t>0.1</t>
        </is>
      </c>
      <c r="W132" s="2" t="n"/>
      <c r="X132" s="5">
        <f>R132</f>
        <v>0.1</v>
      </c>
      <c r="Y132" s="6">
        <f>X132*S132</f>
        <v>0.1</v>
      </c>
      <c r="Z132" s="2" t="inlineStr">
        <is>
          <t>个人任务</t>
        </is>
      </c>
      <c r="AA132" s="2" t="n"/>
      <c r="AB132" s="2" t="inlineStr">
        <is>
          <t>挑战者庄园</t>
        </is>
      </c>
      <c r="AC132" s="2" t="inlineStr">
        <is>
          <t>玩家进攻胜利（attacker），非撤退，返程结算发放</t>
        </is>
      </c>
      <c r="AD132" s="2" t="inlineStr">
        <is>
          <t>data/mission_templates.yaml:L777:drop_table.equip_guanxingdeng</t>
        </is>
      </c>
    </row>
    <row r="133">
      <c r="A133" s="2" t="n">
        <v>16</v>
      </c>
      <c r="B133" s="2" t="inlineStr">
        <is>
          <t>jiguan_chuniao</t>
        </is>
      </c>
      <c r="C133" s="2" t="inlineStr">
        <is>
          <t>机关雏鸟</t>
        </is>
      </c>
      <c r="D133" s="2" t="inlineStr">
        <is>
          <t>中级</t>
        </is>
      </c>
      <c r="E133" s="2" t="inlineStr">
        <is>
          <t>task1</t>
        </is>
      </c>
      <c r="F133" s="2" t="inlineStr">
        <is>
          <t>否</t>
        </is>
      </c>
      <c r="G133" s="2" t="inlineStr">
        <is>
          <t>否</t>
        </is>
      </c>
      <c r="H133" s="2" t="n">
        <v>3</v>
      </c>
      <c r="I133" s="2" t="n">
        <v>1800</v>
      </c>
      <c r="J133" s="2" t="inlineStr">
        <is>
          <t>每日开放</t>
        </is>
      </c>
      <c r="K133" s="2" t="inlineStr">
        <is>
          <t>无</t>
        </is>
      </c>
      <c r="L133" s="2" t="inlineStr">
        <is>
          <t>固定掉落</t>
        </is>
      </c>
      <c r="M133" s="2" t="inlineStr">
        <is>
          <t>silver</t>
        </is>
      </c>
      <c r="N133" s="2" t="inlineStr">
        <is>
          <t>silver</t>
        </is>
      </c>
      <c r="O133" s="2" t="inlineStr">
        <is>
          <t>银两</t>
        </is>
      </c>
      <c r="P133" s="2" t="inlineStr">
        <is>
          <t>资源</t>
        </is>
      </c>
      <c r="Q133" s="2" t="inlineStr">
        <is>
          <t>资源</t>
        </is>
      </c>
      <c r="R133" s="5" t="n">
        <v>1</v>
      </c>
      <c r="S133" s="2" t="n">
        <v>30000</v>
      </c>
      <c r="T133" s="2" t="n"/>
      <c r="U133" s="2" t="inlineStr">
        <is>
          <t>否</t>
        </is>
      </c>
      <c r="V133" s="2" t="inlineStr">
        <is>
          <t>30000</t>
        </is>
      </c>
      <c r="W133" s="2" t="n"/>
      <c r="X133" s="5">
        <f>R133</f>
        <v>1</v>
      </c>
      <c r="Y133" s="6">
        <f>X133*S133</f>
        <v>30000</v>
      </c>
      <c r="Z133" s="2" t="inlineStr">
        <is>
          <t>个人任务</t>
        </is>
      </c>
      <c r="AA133" s="2" t="n"/>
      <c r="AB133" s="2" t="inlineStr">
        <is>
          <t>挑战者庄园</t>
        </is>
      </c>
      <c r="AC133" s="2" t="inlineStr">
        <is>
          <t>玩家进攻胜利（attacker），非撤退，返程结算发放</t>
        </is>
      </c>
      <c r="AD133" s="2" t="inlineStr">
        <is>
          <t>data/mission_templates.yaml:L830:drop_table.silver</t>
        </is>
      </c>
    </row>
    <row r="134">
      <c r="A134" s="2" t="n">
        <v>16</v>
      </c>
      <c r="B134" s="2" t="inlineStr">
        <is>
          <t>jiguan_chuniao</t>
        </is>
      </c>
      <c r="C134" s="2" t="inlineStr">
        <is>
          <t>机关雏鸟</t>
        </is>
      </c>
      <c r="D134" s="2" t="inlineStr">
        <is>
          <t>中级</t>
        </is>
      </c>
      <c r="E134" s="2" t="inlineStr">
        <is>
          <t>task1</t>
        </is>
      </c>
      <c r="F134" s="2" t="inlineStr">
        <is>
          <t>否</t>
        </is>
      </c>
      <c r="G134" s="2" t="inlineStr">
        <is>
          <t>否</t>
        </is>
      </c>
      <c r="H134" s="2" t="n">
        <v>3</v>
      </c>
      <c r="I134" s="2" t="n">
        <v>1800</v>
      </c>
      <c r="J134" s="2" t="inlineStr">
        <is>
          <t>每日开放</t>
        </is>
      </c>
      <c r="K134" s="2" t="inlineStr">
        <is>
          <t>无</t>
        </is>
      </c>
      <c r="L134" s="2" t="inlineStr">
        <is>
          <t>概率掉落</t>
        </is>
      </c>
      <c r="M134" s="2" t="inlineStr">
        <is>
          <t>book_thunder_nine_heavens</t>
        </is>
      </c>
      <c r="N134" s="2" t="inlineStr">
        <is>
          <t>book_thunder_nine_heavens</t>
        </is>
      </c>
      <c r="O134" s="2" t="inlineStr">
        <is>
          <t>《雷动九天》秘术</t>
        </is>
      </c>
      <c r="P134" s="2" t="inlineStr">
        <is>
          <t>技能书</t>
        </is>
      </c>
      <c r="Q134" s="2" t="inlineStr">
        <is>
          <t>稀有/蓝</t>
        </is>
      </c>
      <c r="R134" s="5" t="n">
        <v>0.04</v>
      </c>
      <c r="S134" s="2" t="n">
        <v>1</v>
      </c>
      <c r="T134" s="2" t="n"/>
      <c r="U134" s="2" t="inlineStr">
        <is>
          <t>否</t>
        </is>
      </c>
      <c r="V134" s="2" t="inlineStr">
        <is>
          <t>0.04</t>
        </is>
      </c>
      <c r="W134" s="2" t="n"/>
      <c r="X134" s="5">
        <f>R134</f>
        <v>0.04</v>
      </c>
      <c r="Y134" s="6">
        <f>X134*S134</f>
        <v>0.04</v>
      </c>
      <c r="Z134" s="2" t="inlineStr">
        <is>
          <t>个人任务</t>
        </is>
      </c>
      <c r="AA134" s="2" t="n"/>
      <c r="AB134" s="2" t="inlineStr">
        <is>
          <t>挑战者庄园</t>
        </is>
      </c>
      <c r="AC134" s="2" t="inlineStr">
        <is>
          <t>玩家进攻胜利（attacker），非撤退，返程结算发放</t>
        </is>
      </c>
      <c r="AD134" s="2" t="inlineStr">
        <is>
          <t>data/mission_templates.yaml:L830:drop_table.book_thunder_nine_heavens</t>
        </is>
      </c>
    </row>
    <row r="135">
      <c r="A135" s="2" t="n">
        <v>16</v>
      </c>
      <c r="B135" s="2" t="inlineStr">
        <is>
          <t>jiguan_chuniao</t>
        </is>
      </c>
      <c r="C135" s="2" t="inlineStr">
        <is>
          <t>机关雏鸟</t>
        </is>
      </c>
      <c r="D135" s="2" t="inlineStr">
        <is>
          <t>中级</t>
        </is>
      </c>
      <c r="E135" s="2" t="inlineStr">
        <is>
          <t>task1</t>
        </is>
      </c>
      <c r="F135" s="2" t="inlineStr">
        <is>
          <t>否</t>
        </is>
      </c>
      <c r="G135" s="2" t="inlineStr">
        <is>
          <t>否</t>
        </is>
      </c>
      <c r="H135" s="2" t="n">
        <v>3</v>
      </c>
      <c r="I135" s="2" t="n">
        <v>1800</v>
      </c>
      <c r="J135" s="2" t="inlineStr">
        <is>
          <t>每日开放</t>
        </is>
      </c>
      <c r="K135" s="2" t="inlineStr">
        <is>
          <t>无</t>
        </is>
      </c>
      <c r="L135" s="2" t="inlineStr">
        <is>
          <t>固定掉落</t>
        </is>
      </c>
      <c r="M135" s="2" t="inlineStr">
        <is>
          <t>equip_jiguanchuniao</t>
        </is>
      </c>
      <c r="N135" s="2" t="inlineStr">
        <is>
          <t>equip_jiguanchuniao</t>
        </is>
      </c>
      <c r="O135" s="2" t="inlineStr">
        <is>
          <t>机关雏鸟</t>
        </is>
      </c>
      <c r="P135" s="2" t="inlineStr">
        <is>
          <t>器械</t>
        </is>
      </c>
      <c r="Q135" s="2" t="inlineStr">
        <is>
          <t>稀有/蓝</t>
        </is>
      </c>
      <c r="R135" s="5" t="n">
        <v>1</v>
      </c>
      <c r="S135" s="2" t="n">
        <v>1</v>
      </c>
      <c r="T135" s="2" t="n"/>
      <c r="U135" s="2" t="inlineStr">
        <is>
          <t>否</t>
        </is>
      </c>
      <c r="V135" s="2" t="inlineStr">
        <is>
          <t>1</t>
        </is>
      </c>
      <c r="W135" s="2" t="n"/>
      <c r="X135" s="5">
        <f>R135</f>
        <v>1</v>
      </c>
      <c r="Y135" s="6">
        <f>X135*S135</f>
        <v>1</v>
      </c>
      <c r="Z135" s="2" t="inlineStr">
        <is>
          <t>个人任务</t>
        </is>
      </c>
      <c r="AA135" s="2" t="n"/>
      <c r="AB135" s="2" t="inlineStr">
        <is>
          <t>挑战者庄园</t>
        </is>
      </c>
      <c r="AC135" s="2" t="inlineStr">
        <is>
          <t>玩家进攻胜利（attacker），非撤退，返程结算发放</t>
        </is>
      </c>
      <c r="AD135" s="2" t="inlineStr">
        <is>
          <t>data/mission_templates.yaml:L830:drop_table.equip_jiguanchuniao</t>
        </is>
      </c>
    </row>
    <row r="136">
      <c r="A136" s="2" t="n">
        <v>16</v>
      </c>
      <c r="B136" s="2" t="inlineStr">
        <is>
          <t>jiguan_chuniao</t>
        </is>
      </c>
      <c r="C136" s="2" t="inlineStr">
        <is>
          <t>机关雏鸟</t>
        </is>
      </c>
      <c r="D136" s="2" t="inlineStr">
        <is>
          <t>中级</t>
        </is>
      </c>
      <c r="E136" s="2" t="inlineStr">
        <is>
          <t>task1</t>
        </is>
      </c>
      <c r="F136" s="2" t="inlineStr">
        <is>
          <t>否</t>
        </is>
      </c>
      <c r="G136" s="2" t="inlineStr">
        <is>
          <t>否</t>
        </is>
      </c>
      <c r="H136" s="2" t="n">
        <v>3</v>
      </c>
      <c r="I136" s="2" t="n">
        <v>1800</v>
      </c>
      <c r="J136" s="2" t="inlineStr">
        <is>
          <t>每日开放</t>
        </is>
      </c>
      <c r="K136" s="2" t="inlineStr">
        <is>
          <t>无</t>
        </is>
      </c>
      <c r="L136" s="2" t="inlineStr">
        <is>
          <t>概率掉落</t>
        </is>
      </c>
      <c r="M136" s="2" t="inlineStr">
        <is>
          <t>equip_feiyunzui</t>
        </is>
      </c>
      <c r="N136" s="2" t="inlineStr">
        <is>
          <t>equip_feiyunzui</t>
        </is>
      </c>
      <c r="O136" s="2" t="inlineStr">
        <is>
          <t>飞云锥</t>
        </is>
      </c>
      <c r="P136" s="2" t="inlineStr">
        <is>
          <t>坐骑</t>
        </is>
      </c>
      <c r="Q136" s="2" t="inlineStr">
        <is>
          <t>稀有/蓝</t>
        </is>
      </c>
      <c r="R136" s="5" t="n">
        <v>0.1</v>
      </c>
      <c r="S136" s="2" t="n">
        <v>1</v>
      </c>
      <c r="T136" s="2" t="n"/>
      <c r="U136" s="2" t="inlineStr">
        <is>
          <t>否</t>
        </is>
      </c>
      <c r="V136" s="2" t="inlineStr">
        <is>
          <t>0.1</t>
        </is>
      </c>
      <c r="W136" s="2" t="n"/>
      <c r="X136" s="5">
        <f>R136</f>
        <v>0.1</v>
      </c>
      <c r="Y136" s="6">
        <f>X136*S136</f>
        <v>0.1</v>
      </c>
      <c r="Z136" s="2" t="inlineStr">
        <is>
          <t>个人任务</t>
        </is>
      </c>
      <c r="AA136" s="2" t="n"/>
      <c r="AB136" s="2" t="inlineStr">
        <is>
          <t>挑战者庄园</t>
        </is>
      </c>
      <c r="AC136" s="2" t="inlineStr">
        <is>
          <t>玩家进攻胜利（attacker），非撤退，返程结算发放</t>
        </is>
      </c>
      <c r="AD136" s="2" t="inlineStr">
        <is>
          <t>data/mission_templates.yaml:L830:drop_table.equip_feiyunzui</t>
        </is>
      </c>
    </row>
    <row r="137">
      <c r="A137" s="2" t="n">
        <v>16</v>
      </c>
      <c r="B137" s="2" t="inlineStr">
        <is>
          <t>jiguan_chuniao</t>
        </is>
      </c>
      <c r="C137" s="2" t="inlineStr">
        <is>
          <t>机关雏鸟</t>
        </is>
      </c>
      <c r="D137" s="2" t="inlineStr">
        <is>
          <t>中级</t>
        </is>
      </c>
      <c r="E137" s="2" t="inlineStr">
        <is>
          <t>task1</t>
        </is>
      </c>
      <c r="F137" s="2" t="inlineStr">
        <is>
          <t>否</t>
        </is>
      </c>
      <c r="G137" s="2" t="inlineStr">
        <is>
          <t>否</t>
        </is>
      </c>
      <c r="H137" s="2" t="n">
        <v>3</v>
      </c>
      <c r="I137" s="2" t="n">
        <v>1800</v>
      </c>
      <c r="J137" s="2" t="inlineStr">
        <is>
          <t>每日开放</t>
        </is>
      </c>
      <c r="K137" s="2" t="inlineStr">
        <is>
          <t>无</t>
        </is>
      </c>
      <c r="L137" s="2" t="inlineStr">
        <is>
          <t>概率掉落</t>
        </is>
      </c>
      <c r="M137" s="2" t="inlineStr">
        <is>
          <t>equip_luopan</t>
        </is>
      </c>
      <c r="N137" s="2" t="inlineStr">
        <is>
          <t>equip_luopan</t>
        </is>
      </c>
      <c r="O137" s="2" t="inlineStr">
        <is>
          <t>罗盘</t>
        </is>
      </c>
      <c r="P137" s="2" t="inlineStr">
        <is>
          <t>饰品</t>
        </is>
      </c>
      <c r="Q137" s="2" t="inlineStr">
        <is>
          <t>优秀/绿</t>
        </is>
      </c>
      <c r="R137" s="5" t="n">
        <v>0.05</v>
      </c>
      <c r="S137" s="2" t="n">
        <v>1</v>
      </c>
      <c r="T137" s="2" t="n"/>
      <c r="U137" s="2" t="inlineStr">
        <is>
          <t>否</t>
        </is>
      </c>
      <c r="V137" s="2" t="inlineStr">
        <is>
          <t>0.05</t>
        </is>
      </c>
      <c r="W137" s="2" t="n"/>
      <c r="X137" s="5">
        <f>R137</f>
        <v>0.05</v>
      </c>
      <c r="Y137" s="6">
        <f>X137*S137</f>
        <v>0.05</v>
      </c>
      <c r="Z137" s="2" t="inlineStr">
        <is>
          <t>个人任务</t>
        </is>
      </c>
      <c r="AA137" s="2" t="n"/>
      <c r="AB137" s="2" t="inlineStr">
        <is>
          <t>挑战者庄园</t>
        </is>
      </c>
      <c r="AC137" s="2" t="inlineStr">
        <is>
          <t>玩家进攻胜利（attacker），非撤退，返程结算发放</t>
        </is>
      </c>
      <c r="AD137" s="2" t="inlineStr">
        <is>
          <t>data/mission_templates.yaml:L830:drop_table.equip_luopan</t>
        </is>
      </c>
    </row>
    <row r="138">
      <c r="A138" s="2" t="n">
        <v>16</v>
      </c>
      <c r="B138" s="2" t="inlineStr">
        <is>
          <t>jiguan_chuniao</t>
        </is>
      </c>
      <c r="C138" s="2" t="inlineStr">
        <is>
          <t>机关雏鸟</t>
        </is>
      </c>
      <c r="D138" s="2" t="inlineStr">
        <is>
          <t>中级</t>
        </is>
      </c>
      <c r="E138" s="2" t="inlineStr">
        <is>
          <t>task1</t>
        </is>
      </c>
      <c r="F138" s="2" t="inlineStr">
        <is>
          <t>否</t>
        </is>
      </c>
      <c r="G138" s="2" t="inlineStr">
        <is>
          <t>否</t>
        </is>
      </c>
      <c r="H138" s="2" t="n">
        <v>3</v>
      </c>
      <c r="I138" s="2" t="n">
        <v>1800</v>
      </c>
      <c r="J138" s="2" t="inlineStr">
        <is>
          <t>每日开放</t>
        </is>
      </c>
      <c r="K138" s="2" t="inlineStr">
        <is>
          <t>无</t>
        </is>
      </c>
      <c r="L138" s="2" t="inlineStr">
        <is>
          <t>随机池掉落</t>
        </is>
      </c>
      <c r="M138" s="2" t="inlineStr">
        <is>
          <t>blueprint_mechanism_blue</t>
        </is>
      </c>
      <c r="N138" s="2" t="inlineStr">
        <is>
          <t>blueprint_jixiemao</t>
        </is>
      </c>
      <c r="O138" s="2" t="inlineStr">
        <is>
          <t>机械猫图纸</t>
        </is>
      </c>
      <c r="P138" s="2" t="inlineStr">
        <is>
          <t>装备图纸</t>
        </is>
      </c>
      <c r="Q138" s="2" t="inlineStr">
        <is>
          <t>稀有/蓝</t>
        </is>
      </c>
      <c r="R138" s="5" t="n">
        <v>0.2</v>
      </c>
      <c r="S138" s="2" t="n">
        <v>1</v>
      </c>
      <c r="T138" s="2" t="n">
        <v>1</v>
      </c>
      <c r="U138" s="2" t="inlineStr">
        <is>
          <t>是</t>
        </is>
      </c>
      <c r="V138" s="2" t="inlineStr">
        <is>
          <t>{"chance":0.2,"choices":["blueprint_jixiemao","blueprint_jiguanchuniao","blueprint_kuileimuren","blueprint_qingji"]}</t>
        </is>
      </c>
      <c r="W138" s="3">
        <f>SUM(T138:T141)</f>
        <v>4</v>
      </c>
      <c r="X138" s="5">
        <f>R138*T138/W138</f>
        <v>0.05</v>
      </c>
      <c r="Y138" s="6">
        <f>X138*S138</f>
        <v>0.05</v>
      </c>
      <c r="Z138" s="2" t="inlineStr">
        <is>
          <t>个人任务</t>
        </is>
      </c>
      <c r="AA138" s="2" t="n"/>
      <c r="AB138" s="2" t="inlineStr">
        <is>
          <t>挑战者庄园</t>
        </is>
      </c>
      <c r="AC138" s="2" t="inlineStr">
        <is>
          <t>玩家进攻胜利（attacker），非撤退，返程结算发放</t>
        </is>
      </c>
      <c r="AD138" s="2" t="inlineStr">
        <is>
          <t>data/mission_templates.yaml:L830:drop_table.blueprint_mechanism_blue</t>
        </is>
      </c>
    </row>
    <row r="139">
      <c r="A139" s="2" t="n">
        <v>16</v>
      </c>
      <c r="B139" s="2" t="inlineStr">
        <is>
          <t>jiguan_chuniao</t>
        </is>
      </c>
      <c r="C139" s="2" t="inlineStr">
        <is>
          <t>机关雏鸟</t>
        </is>
      </c>
      <c r="D139" s="2" t="inlineStr">
        <is>
          <t>中级</t>
        </is>
      </c>
      <c r="E139" s="2" t="inlineStr">
        <is>
          <t>task1</t>
        </is>
      </c>
      <c r="F139" s="2" t="inlineStr">
        <is>
          <t>否</t>
        </is>
      </c>
      <c r="G139" s="2" t="inlineStr">
        <is>
          <t>否</t>
        </is>
      </c>
      <c r="H139" s="2" t="n">
        <v>3</v>
      </c>
      <c r="I139" s="2" t="n">
        <v>1800</v>
      </c>
      <c r="J139" s="2" t="inlineStr">
        <is>
          <t>每日开放</t>
        </is>
      </c>
      <c r="K139" s="2" t="inlineStr">
        <is>
          <t>无</t>
        </is>
      </c>
      <c r="L139" s="2" t="inlineStr">
        <is>
          <t>随机池掉落</t>
        </is>
      </c>
      <c r="M139" s="2" t="inlineStr">
        <is>
          <t>blueprint_mechanism_blue</t>
        </is>
      </c>
      <c r="N139" s="2" t="inlineStr">
        <is>
          <t>blueprint_jiguanchuniao</t>
        </is>
      </c>
      <c r="O139" s="2" t="inlineStr">
        <is>
          <t>机关雏鸟图纸</t>
        </is>
      </c>
      <c r="P139" s="2" t="inlineStr">
        <is>
          <t>装备图纸</t>
        </is>
      </c>
      <c r="Q139" s="2" t="inlineStr">
        <is>
          <t>稀有/蓝</t>
        </is>
      </c>
      <c r="R139" s="5" t="n">
        <v>0.2</v>
      </c>
      <c r="S139" s="2" t="n">
        <v>1</v>
      </c>
      <c r="T139" s="2" t="n">
        <v>1</v>
      </c>
      <c r="U139" s="2" t="inlineStr">
        <is>
          <t>是</t>
        </is>
      </c>
      <c r="V139" s="2" t="inlineStr">
        <is>
          <t>{"chance":0.2,"choices":["blueprint_jixiemao","blueprint_jiguanchuniao","blueprint_kuileimuren","blueprint_qingji"]}</t>
        </is>
      </c>
      <c r="W139" s="3">
        <f>SUM(T138:T141)</f>
        <v>4</v>
      </c>
      <c r="X139" s="5">
        <f>R139*T139/W139</f>
        <v>0.05</v>
      </c>
      <c r="Y139" s="6">
        <f>X139*S139</f>
        <v>0.05</v>
      </c>
      <c r="Z139" s="2" t="inlineStr">
        <is>
          <t>个人任务</t>
        </is>
      </c>
      <c r="AA139" s="2" t="n"/>
      <c r="AB139" s="2" t="inlineStr">
        <is>
          <t>挑战者庄园</t>
        </is>
      </c>
      <c r="AC139" s="2" t="inlineStr">
        <is>
          <t>玩家进攻胜利（attacker），非撤退，返程结算发放</t>
        </is>
      </c>
      <c r="AD139" s="2" t="inlineStr">
        <is>
          <t>data/mission_templates.yaml:L830:drop_table.blueprint_mechanism_blue</t>
        </is>
      </c>
    </row>
    <row r="140">
      <c r="A140" s="2" t="n">
        <v>16</v>
      </c>
      <c r="B140" s="2" t="inlineStr">
        <is>
          <t>jiguan_chuniao</t>
        </is>
      </c>
      <c r="C140" s="2" t="inlineStr">
        <is>
          <t>机关雏鸟</t>
        </is>
      </c>
      <c r="D140" s="2" t="inlineStr">
        <is>
          <t>中级</t>
        </is>
      </c>
      <c r="E140" s="2" t="inlineStr">
        <is>
          <t>task1</t>
        </is>
      </c>
      <c r="F140" s="2" t="inlineStr">
        <is>
          <t>否</t>
        </is>
      </c>
      <c r="G140" s="2" t="inlineStr">
        <is>
          <t>否</t>
        </is>
      </c>
      <c r="H140" s="2" t="n">
        <v>3</v>
      </c>
      <c r="I140" s="2" t="n">
        <v>1800</v>
      </c>
      <c r="J140" s="2" t="inlineStr">
        <is>
          <t>每日开放</t>
        </is>
      </c>
      <c r="K140" s="2" t="inlineStr">
        <is>
          <t>无</t>
        </is>
      </c>
      <c r="L140" s="2" t="inlineStr">
        <is>
          <t>随机池掉落</t>
        </is>
      </c>
      <c r="M140" s="2" t="inlineStr">
        <is>
          <t>blueprint_mechanism_blue</t>
        </is>
      </c>
      <c r="N140" s="2" t="inlineStr">
        <is>
          <t>blueprint_kuileimuren</t>
        </is>
      </c>
      <c r="O140" s="2" t="inlineStr">
        <is>
          <t>傀儡木人图纸</t>
        </is>
      </c>
      <c r="P140" s="2" t="inlineStr">
        <is>
          <t>装备图纸</t>
        </is>
      </c>
      <c r="Q140" s="2" t="inlineStr">
        <is>
          <t>稀有/蓝</t>
        </is>
      </c>
      <c r="R140" s="5" t="n">
        <v>0.2</v>
      </c>
      <c r="S140" s="2" t="n">
        <v>1</v>
      </c>
      <c r="T140" s="2" t="n">
        <v>1</v>
      </c>
      <c r="U140" s="2" t="inlineStr">
        <is>
          <t>是</t>
        </is>
      </c>
      <c r="V140" s="2" t="inlineStr">
        <is>
          <t>{"chance":0.2,"choices":["blueprint_jixiemao","blueprint_jiguanchuniao","blueprint_kuileimuren","blueprint_qingji"]}</t>
        </is>
      </c>
      <c r="W140" s="3">
        <f>SUM(T138:T141)</f>
        <v>4</v>
      </c>
      <c r="X140" s="5">
        <f>R140*T140/W140</f>
        <v>0.05</v>
      </c>
      <c r="Y140" s="6">
        <f>X140*S140</f>
        <v>0.05</v>
      </c>
      <c r="Z140" s="2" t="inlineStr">
        <is>
          <t>个人任务</t>
        </is>
      </c>
      <c r="AA140" s="2" t="n"/>
      <c r="AB140" s="2" t="inlineStr">
        <is>
          <t>挑战者庄园</t>
        </is>
      </c>
      <c r="AC140" s="2" t="inlineStr">
        <is>
          <t>玩家进攻胜利（attacker），非撤退，返程结算发放</t>
        </is>
      </c>
      <c r="AD140" s="2" t="inlineStr">
        <is>
          <t>data/mission_templates.yaml:L830:drop_table.blueprint_mechanism_blue</t>
        </is>
      </c>
    </row>
    <row r="141">
      <c r="A141" s="2" t="n">
        <v>16</v>
      </c>
      <c r="B141" s="2" t="inlineStr">
        <is>
          <t>jiguan_chuniao</t>
        </is>
      </c>
      <c r="C141" s="2" t="inlineStr">
        <is>
          <t>机关雏鸟</t>
        </is>
      </c>
      <c r="D141" s="2" t="inlineStr">
        <is>
          <t>中级</t>
        </is>
      </c>
      <c r="E141" s="2" t="inlineStr">
        <is>
          <t>task1</t>
        </is>
      </c>
      <c r="F141" s="2" t="inlineStr">
        <is>
          <t>否</t>
        </is>
      </c>
      <c r="G141" s="2" t="inlineStr">
        <is>
          <t>否</t>
        </is>
      </c>
      <c r="H141" s="2" t="n">
        <v>3</v>
      </c>
      <c r="I141" s="2" t="n">
        <v>1800</v>
      </c>
      <c r="J141" s="2" t="inlineStr">
        <is>
          <t>每日开放</t>
        </is>
      </c>
      <c r="K141" s="2" t="inlineStr">
        <is>
          <t>无</t>
        </is>
      </c>
      <c r="L141" s="2" t="inlineStr">
        <is>
          <t>随机池掉落</t>
        </is>
      </c>
      <c r="M141" s="2" t="inlineStr">
        <is>
          <t>blueprint_mechanism_blue</t>
        </is>
      </c>
      <c r="N141" s="2" t="inlineStr">
        <is>
          <t>blueprint_qingji</t>
        </is>
      </c>
      <c r="O141" s="2" t="inlineStr">
        <is>
          <t>庆忌图纸</t>
        </is>
      </c>
      <c r="P141" s="2" t="inlineStr">
        <is>
          <t>装备图纸</t>
        </is>
      </c>
      <c r="Q141" s="2" t="inlineStr">
        <is>
          <t>稀有/蓝</t>
        </is>
      </c>
      <c r="R141" s="5" t="n">
        <v>0.2</v>
      </c>
      <c r="S141" s="2" t="n">
        <v>1</v>
      </c>
      <c r="T141" s="2" t="n">
        <v>1</v>
      </c>
      <c r="U141" s="2" t="inlineStr">
        <is>
          <t>是</t>
        </is>
      </c>
      <c r="V141" s="2" t="inlineStr">
        <is>
          <t>{"chance":0.2,"choices":["blueprint_jixiemao","blueprint_jiguanchuniao","blueprint_kuileimuren","blueprint_qingji"]}</t>
        </is>
      </c>
      <c r="W141" s="3">
        <f>SUM(T138:T141)</f>
        <v>4</v>
      </c>
      <c r="X141" s="5">
        <f>R141*T141/W141</f>
        <v>0.05</v>
      </c>
      <c r="Y141" s="6">
        <f>X141*S141</f>
        <v>0.05</v>
      </c>
      <c r="Z141" s="2" t="inlineStr">
        <is>
          <t>个人任务</t>
        </is>
      </c>
      <c r="AA141" s="2" t="n"/>
      <c r="AB141" s="2" t="inlineStr">
        <is>
          <t>挑战者庄园</t>
        </is>
      </c>
      <c r="AC141" s="2" t="inlineStr">
        <is>
          <t>玩家进攻胜利（attacker），非撤退，返程结算发放</t>
        </is>
      </c>
      <c r="AD141" s="2" t="inlineStr">
        <is>
          <t>data/mission_templates.yaml:L830:drop_table.blueprint_mechanism_blue</t>
        </is>
      </c>
    </row>
    <row r="142">
      <c r="A142" s="2" t="n">
        <v>17</v>
      </c>
      <c r="B142" s="2" t="inlineStr">
        <is>
          <t>dongtian_fudi</t>
        </is>
      </c>
      <c r="C142" s="2" t="inlineStr">
        <is>
          <t>洞天福地</t>
        </is>
      </c>
      <c r="D142" s="2" t="inlineStr">
        <is>
          <t>高级</t>
        </is>
      </c>
      <c r="E142" s="2" t="inlineStr">
        <is>
          <t>task1</t>
        </is>
      </c>
      <c r="F142" s="2" t="inlineStr">
        <is>
          <t>否</t>
        </is>
      </c>
      <c r="G142" s="2" t="inlineStr">
        <is>
          <t>否</t>
        </is>
      </c>
      <c r="H142" s="2" t="n">
        <v>3</v>
      </c>
      <c r="I142" s="2" t="n">
        <v>1800</v>
      </c>
      <c r="J142" s="2" t="inlineStr">
        <is>
          <t>每日开放</t>
        </is>
      </c>
      <c r="K142" s="2" t="inlineStr">
        <is>
          <t>无</t>
        </is>
      </c>
      <c r="L142" s="2" t="inlineStr">
        <is>
          <t>固定掉落</t>
        </is>
      </c>
      <c r="M142" s="2" t="inlineStr">
        <is>
          <t>silver</t>
        </is>
      </c>
      <c r="N142" s="2" t="inlineStr">
        <is>
          <t>silver</t>
        </is>
      </c>
      <c r="O142" s="2" t="inlineStr">
        <is>
          <t>银两</t>
        </is>
      </c>
      <c r="P142" s="2" t="inlineStr">
        <is>
          <t>资源</t>
        </is>
      </c>
      <c r="Q142" s="2" t="inlineStr">
        <is>
          <t>资源</t>
        </is>
      </c>
      <c r="R142" s="5" t="n">
        <v>1</v>
      </c>
      <c r="S142" s="2" t="n">
        <v>50000</v>
      </c>
      <c r="T142" s="2" t="n"/>
      <c r="U142" s="2" t="inlineStr">
        <is>
          <t>否</t>
        </is>
      </c>
      <c r="V142" s="2" t="inlineStr">
        <is>
          <t>50000</t>
        </is>
      </c>
      <c r="W142" s="2" t="n"/>
      <c r="X142" s="5">
        <f>R142</f>
        <v>1</v>
      </c>
      <c r="Y142" s="6">
        <f>X142*S142</f>
        <v>50000</v>
      </c>
      <c r="Z142" s="2" t="inlineStr">
        <is>
          <t>个人任务</t>
        </is>
      </c>
      <c r="AA142" s="2" t="n"/>
      <c r="AB142" s="2" t="inlineStr">
        <is>
          <t>挑战者庄园</t>
        </is>
      </c>
      <c r="AC142" s="2" t="inlineStr">
        <is>
          <t>玩家进攻胜利（attacker），非撤退，返程结算发放</t>
        </is>
      </c>
      <c r="AD142" s="2" t="inlineStr">
        <is>
          <t>data/mission_templates.yaml:L873:drop_table.silver</t>
        </is>
      </c>
    </row>
    <row r="143">
      <c r="A143" s="2" t="n">
        <v>17</v>
      </c>
      <c r="B143" s="2" t="inlineStr">
        <is>
          <t>dongtian_fudi</t>
        </is>
      </c>
      <c r="C143" s="2" t="inlineStr">
        <is>
          <t>洞天福地</t>
        </is>
      </c>
      <c r="D143" s="2" t="inlineStr">
        <is>
          <t>高级</t>
        </is>
      </c>
      <c r="E143" s="2" t="inlineStr">
        <is>
          <t>task1</t>
        </is>
      </c>
      <c r="F143" s="2" t="inlineStr">
        <is>
          <t>否</t>
        </is>
      </c>
      <c r="G143" s="2" t="inlineStr">
        <is>
          <t>否</t>
        </is>
      </c>
      <c r="H143" s="2" t="n">
        <v>3</v>
      </c>
      <c r="I143" s="2" t="n">
        <v>1800</v>
      </c>
      <c r="J143" s="2" t="inlineStr">
        <is>
          <t>每日开放</t>
        </is>
      </c>
      <c r="K143" s="2" t="inlineStr">
        <is>
          <t>无</t>
        </is>
      </c>
      <c r="L143" s="2" t="inlineStr">
        <is>
          <t>固定掉落</t>
        </is>
      </c>
      <c r="M143" s="2" t="inlineStr">
        <is>
          <t>experience_watermelon</t>
        </is>
      </c>
      <c r="N143" s="2" t="inlineStr">
        <is>
          <t>experience_watermelon</t>
        </is>
      </c>
      <c r="O143" s="2" t="inlineStr">
        <is>
          <t>经验西瓜</t>
        </is>
      </c>
      <c r="P143" s="2" t="inlineStr">
        <is>
          <t>经验道具</t>
        </is>
      </c>
      <c r="Q143" s="2" t="inlineStr">
        <is>
          <t>史诗/紫</t>
        </is>
      </c>
      <c r="R143" s="5" t="n">
        <v>1</v>
      </c>
      <c r="S143" s="2" t="n">
        <v>5</v>
      </c>
      <c r="T143" s="2" t="n"/>
      <c r="U143" s="2" t="inlineStr">
        <is>
          <t>否</t>
        </is>
      </c>
      <c r="V143" s="2" t="inlineStr">
        <is>
          <t>5</t>
        </is>
      </c>
      <c r="W143" s="2" t="n"/>
      <c r="X143" s="5">
        <f>R143</f>
        <v>1</v>
      </c>
      <c r="Y143" s="6">
        <f>X143*S143</f>
        <v>5</v>
      </c>
      <c r="Z143" s="2" t="inlineStr">
        <is>
          <t>个人任务</t>
        </is>
      </c>
      <c r="AA143" s="2" t="n"/>
      <c r="AB143" s="2" t="inlineStr">
        <is>
          <t>挑战者庄园</t>
        </is>
      </c>
      <c r="AC143" s="2" t="inlineStr">
        <is>
          <t>玩家进攻胜利（attacker），非撤退，返程结算发放</t>
        </is>
      </c>
      <c r="AD143" s="2" t="inlineStr">
        <is>
          <t>data/mission_templates.yaml:L873:drop_table.experience_watermelon</t>
        </is>
      </c>
    </row>
    <row r="144">
      <c r="A144" s="2" t="n">
        <v>17</v>
      </c>
      <c r="B144" s="2" t="inlineStr">
        <is>
          <t>dongtian_fudi</t>
        </is>
      </c>
      <c r="C144" s="2" t="inlineStr">
        <is>
          <t>洞天福地</t>
        </is>
      </c>
      <c r="D144" s="2" t="inlineStr">
        <is>
          <t>高级</t>
        </is>
      </c>
      <c r="E144" s="2" t="inlineStr">
        <is>
          <t>task1</t>
        </is>
      </c>
      <c r="F144" s="2" t="inlineStr">
        <is>
          <t>否</t>
        </is>
      </c>
      <c r="G144" s="2" t="inlineStr">
        <is>
          <t>否</t>
        </is>
      </c>
      <c r="H144" s="2" t="n">
        <v>3</v>
      </c>
      <c r="I144" s="2" t="n">
        <v>1800</v>
      </c>
      <c r="J144" s="2" t="inlineStr">
        <is>
          <t>每日开放</t>
        </is>
      </c>
      <c r="K144" s="2" t="inlineStr">
        <is>
          <t>无</t>
        </is>
      </c>
      <c r="L144" s="2" t="inlineStr">
        <is>
          <t>概率掉落</t>
        </is>
      </c>
      <c r="M144" s="2" t="inlineStr">
        <is>
          <t>xidianka</t>
        </is>
      </c>
      <c r="N144" s="2" t="inlineStr">
        <is>
          <t>xidianka</t>
        </is>
      </c>
      <c r="O144" s="2" t="inlineStr">
        <is>
          <t>洗点卡</t>
        </is>
      </c>
      <c r="P144" s="2" t="inlineStr">
        <is>
          <t>道具</t>
        </is>
      </c>
      <c r="Q144" s="2" t="inlineStr">
        <is>
          <t>稀有/蓝</t>
        </is>
      </c>
      <c r="R144" s="5" t="n">
        <v>0.5</v>
      </c>
      <c r="S144" s="2" t="n">
        <v>1</v>
      </c>
      <c r="T144" s="2" t="n"/>
      <c r="U144" s="2" t="inlineStr">
        <is>
          <t>否</t>
        </is>
      </c>
      <c r="V144" s="2" t="inlineStr">
        <is>
          <t>0.5</t>
        </is>
      </c>
      <c r="W144" s="2" t="n"/>
      <c r="X144" s="5">
        <f>R144</f>
        <v>0.5</v>
      </c>
      <c r="Y144" s="6">
        <f>X144*S144</f>
        <v>0.5</v>
      </c>
      <c r="Z144" s="2" t="inlineStr">
        <is>
          <t>个人任务</t>
        </is>
      </c>
      <c r="AA144" s="2" t="n"/>
      <c r="AB144" s="2" t="inlineStr">
        <is>
          <t>挑战者庄园</t>
        </is>
      </c>
      <c r="AC144" s="2" t="inlineStr">
        <is>
          <t>玩家进攻胜利（attacker），非撤退，返程结算发放</t>
        </is>
      </c>
      <c r="AD144" s="2" t="inlineStr">
        <is>
          <t>data/mission_templates.yaml:L873:drop_table.xidianka</t>
        </is>
      </c>
    </row>
    <row r="145">
      <c r="A145" s="2" t="n">
        <v>17</v>
      </c>
      <c r="B145" s="2" t="inlineStr">
        <is>
          <t>dongtian_fudi</t>
        </is>
      </c>
      <c r="C145" s="2" t="inlineStr">
        <is>
          <t>洞天福地</t>
        </is>
      </c>
      <c r="D145" s="2" t="inlineStr">
        <is>
          <t>高级</t>
        </is>
      </c>
      <c r="E145" s="2" t="inlineStr">
        <is>
          <t>task1</t>
        </is>
      </c>
      <c r="F145" s="2" t="inlineStr">
        <is>
          <t>否</t>
        </is>
      </c>
      <c r="G145" s="2" t="inlineStr">
        <is>
          <t>否</t>
        </is>
      </c>
      <c r="H145" s="2" t="n">
        <v>3</v>
      </c>
      <c r="I145" s="2" t="n">
        <v>1800</v>
      </c>
      <c r="J145" s="2" t="inlineStr">
        <is>
          <t>每日开放</t>
        </is>
      </c>
      <c r="K145" s="2" t="inlineStr">
        <is>
          <t>无</t>
        </is>
      </c>
      <c r="L145" s="2" t="inlineStr">
        <is>
          <t>概率掉落</t>
        </is>
      </c>
      <c r="M145" s="2" t="inlineStr">
        <is>
          <t>xisuidan</t>
        </is>
      </c>
      <c r="N145" s="2" t="inlineStr">
        <is>
          <t>xisuidan</t>
        </is>
      </c>
      <c r="O145" s="2" t="inlineStr">
        <is>
          <t>洗髓丹</t>
        </is>
      </c>
      <c r="P145" s="2" t="inlineStr">
        <is>
          <t>道具</t>
        </is>
      </c>
      <c r="Q145" s="2" t="inlineStr">
        <is>
          <t>传说/橙</t>
        </is>
      </c>
      <c r="R145" s="5" t="n">
        <v>0.05</v>
      </c>
      <c r="S145" s="2" t="n">
        <v>1</v>
      </c>
      <c r="T145" s="2" t="n"/>
      <c r="U145" s="2" t="inlineStr">
        <is>
          <t>否</t>
        </is>
      </c>
      <c r="V145" s="2" t="inlineStr">
        <is>
          <t>0.05</t>
        </is>
      </c>
      <c r="W145" s="2" t="n"/>
      <c r="X145" s="5">
        <f>R145</f>
        <v>0.05</v>
      </c>
      <c r="Y145" s="6">
        <f>X145*S145</f>
        <v>0.05</v>
      </c>
      <c r="Z145" s="2" t="inlineStr">
        <is>
          <t>个人任务</t>
        </is>
      </c>
      <c r="AA145" s="2" t="n"/>
      <c r="AB145" s="2" t="inlineStr">
        <is>
          <t>挑战者庄园</t>
        </is>
      </c>
      <c r="AC145" s="2" t="inlineStr">
        <is>
          <t>玩家进攻胜利（attacker），非撤退，返程结算发放</t>
        </is>
      </c>
      <c r="AD145" s="2" t="inlineStr">
        <is>
          <t>data/mission_templates.yaml:L873:drop_table.xisuidan</t>
        </is>
      </c>
    </row>
    <row r="146">
      <c r="A146" s="2" t="n">
        <v>17</v>
      </c>
      <c r="B146" s="2" t="inlineStr">
        <is>
          <t>dongtian_fudi</t>
        </is>
      </c>
      <c r="C146" s="2" t="inlineStr">
        <is>
          <t>洞天福地</t>
        </is>
      </c>
      <c r="D146" s="2" t="inlineStr">
        <is>
          <t>高级</t>
        </is>
      </c>
      <c r="E146" s="2" t="inlineStr">
        <is>
          <t>task1</t>
        </is>
      </c>
      <c r="F146" s="2" t="inlineStr">
        <is>
          <t>否</t>
        </is>
      </c>
      <c r="G146" s="2" t="inlineStr">
        <is>
          <t>否</t>
        </is>
      </c>
      <c r="H146" s="2" t="n">
        <v>3</v>
      </c>
      <c r="I146" s="2" t="n">
        <v>1800</v>
      </c>
      <c r="J146" s="2" t="inlineStr">
        <is>
          <t>每日开放</t>
        </is>
      </c>
      <c r="K146" s="2" t="inlineStr">
        <is>
          <t>无</t>
        </is>
      </c>
      <c r="L146" s="2" t="inlineStr">
        <is>
          <t>概率掉落</t>
        </is>
      </c>
      <c r="M146" s="2" t="inlineStr">
        <is>
          <t>equip_pojunji</t>
        </is>
      </c>
      <c r="N146" s="2" t="inlineStr">
        <is>
          <t>equip_pojunji</t>
        </is>
      </c>
      <c r="O146" s="2" t="inlineStr">
        <is>
          <t>破军戟</t>
        </is>
      </c>
      <c r="P146" s="2" t="inlineStr">
        <is>
          <t>武器</t>
        </is>
      </c>
      <c r="Q146" s="2" t="inlineStr">
        <is>
          <t>史诗/紫</t>
        </is>
      </c>
      <c r="R146" s="5" t="n">
        <v>0.2</v>
      </c>
      <c r="S146" s="2" t="n">
        <v>1</v>
      </c>
      <c r="T146" s="2" t="n"/>
      <c r="U146" s="2" t="inlineStr">
        <is>
          <t>否</t>
        </is>
      </c>
      <c r="V146" s="2" t="inlineStr">
        <is>
          <t>0.2</t>
        </is>
      </c>
      <c r="W146" s="2" t="n"/>
      <c r="X146" s="5">
        <f>R146</f>
        <v>0.2</v>
      </c>
      <c r="Y146" s="6">
        <f>X146*S146</f>
        <v>0.2</v>
      </c>
      <c r="Z146" s="2" t="inlineStr">
        <is>
          <t>个人任务</t>
        </is>
      </c>
      <c r="AA146" s="2" t="n"/>
      <c r="AB146" s="2" t="inlineStr">
        <is>
          <t>挑战者庄园</t>
        </is>
      </c>
      <c r="AC146" s="2" t="inlineStr">
        <is>
          <t>玩家进攻胜利（attacker），非撤退，返程结算发放</t>
        </is>
      </c>
      <c r="AD146" s="2" t="inlineStr">
        <is>
          <t>data/mission_templates.yaml:L873:drop_table.equip_pojunji</t>
        </is>
      </c>
    </row>
    <row r="147">
      <c r="A147" s="2" t="n">
        <v>17</v>
      </c>
      <c r="B147" s="2" t="inlineStr">
        <is>
          <t>dongtian_fudi</t>
        </is>
      </c>
      <c r="C147" s="2" t="inlineStr">
        <is>
          <t>洞天福地</t>
        </is>
      </c>
      <c r="D147" s="2" t="inlineStr">
        <is>
          <t>高级</t>
        </is>
      </c>
      <c r="E147" s="2" t="inlineStr">
        <is>
          <t>task1</t>
        </is>
      </c>
      <c r="F147" s="2" t="inlineStr">
        <is>
          <t>否</t>
        </is>
      </c>
      <c r="G147" s="2" t="inlineStr">
        <is>
          <t>否</t>
        </is>
      </c>
      <c r="H147" s="2" t="n">
        <v>3</v>
      </c>
      <c r="I147" s="2" t="n">
        <v>1800</v>
      </c>
      <c r="J147" s="2" t="inlineStr">
        <is>
          <t>每日开放</t>
        </is>
      </c>
      <c r="K147" s="2" t="inlineStr">
        <is>
          <t>无</t>
        </is>
      </c>
      <c r="L147" s="2" t="inlineStr">
        <is>
          <t>概率掉落</t>
        </is>
      </c>
      <c r="M147" s="2" t="inlineStr">
        <is>
          <t>equip_pojunkui</t>
        </is>
      </c>
      <c r="N147" s="2" t="inlineStr">
        <is>
          <t>equip_pojunkui</t>
        </is>
      </c>
      <c r="O147" s="2" t="inlineStr">
        <is>
          <t>破军盔</t>
        </is>
      </c>
      <c r="P147" s="2" t="inlineStr">
        <is>
          <t>头盔</t>
        </is>
      </c>
      <c r="Q147" s="2" t="inlineStr">
        <is>
          <t>史诗/紫</t>
        </is>
      </c>
      <c r="R147" s="5" t="n">
        <v>0.2</v>
      </c>
      <c r="S147" s="2" t="n">
        <v>1</v>
      </c>
      <c r="T147" s="2" t="n"/>
      <c r="U147" s="2" t="inlineStr">
        <is>
          <t>否</t>
        </is>
      </c>
      <c r="V147" s="2" t="inlineStr">
        <is>
          <t>0.2</t>
        </is>
      </c>
      <c r="W147" s="2" t="n"/>
      <c r="X147" s="5">
        <f>R147</f>
        <v>0.2</v>
      </c>
      <c r="Y147" s="6">
        <f>X147*S147</f>
        <v>0.2</v>
      </c>
      <c r="Z147" s="2" t="inlineStr">
        <is>
          <t>个人任务</t>
        </is>
      </c>
      <c r="AA147" s="2" t="n"/>
      <c r="AB147" s="2" t="inlineStr">
        <is>
          <t>挑战者庄园</t>
        </is>
      </c>
      <c r="AC147" s="2" t="inlineStr">
        <is>
          <t>玩家进攻胜利（attacker），非撤退，返程结算发放</t>
        </is>
      </c>
      <c r="AD147" s="2" t="inlineStr">
        <is>
          <t>data/mission_templates.yaml:L873:drop_table.equip_pojunkui</t>
        </is>
      </c>
    </row>
    <row r="148">
      <c r="A148" s="2" t="n">
        <v>17</v>
      </c>
      <c r="B148" s="2" t="inlineStr">
        <is>
          <t>dongtian_fudi</t>
        </is>
      </c>
      <c r="C148" s="2" t="inlineStr">
        <is>
          <t>洞天福地</t>
        </is>
      </c>
      <c r="D148" s="2" t="inlineStr">
        <is>
          <t>高级</t>
        </is>
      </c>
      <c r="E148" s="2" t="inlineStr">
        <is>
          <t>task1</t>
        </is>
      </c>
      <c r="F148" s="2" t="inlineStr">
        <is>
          <t>否</t>
        </is>
      </c>
      <c r="G148" s="2" t="inlineStr">
        <is>
          <t>否</t>
        </is>
      </c>
      <c r="H148" s="2" t="n">
        <v>3</v>
      </c>
      <c r="I148" s="2" t="n">
        <v>1800</v>
      </c>
      <c r="J148" s="2" t="inlineStr">
        <is>
          <t>每日开放</t>
        </is>
      </c>
      <c r="K148" s="2" t="inlineStr">
        <is>
          <t>无</t>
        </is>
      </c>
      <c r="L148" s="2" t="inlineStr">
        <is>
          <t>概率掉落</t>
        </is>
      </c>
      <c r="M148" s="2" t="inlineStr">
        <is>
          <t>equip_pojunzhanjia</t>
        </is>
      </c>
      <c r="N148" s="2" t="inlineStr">
        <is>
          <t>equip_pojunzhanjia</t>
        </is>
      </c>
      <c r="O148" s="2" t="inlineStr">
        <is>
          <t>破军战甲</t>
        </is>
      </c>
      <c r="P148" s="2" t="inlineStr">
        <is>
          <t>护甲</t>
        </is>
      </c>
      <c r="Q148" s="2" t="inlineStr">
        <is>
          <t>史诗/紫</t>
        </is>
      </c>
      <c r="R148" s="5" t="n">
        <v>0.2</v>
      </c>
      <c r="S148" s="2" t="n">
        <v>1</v>
      </c>
      <c r="T148" s="2" t="n"/>
      <c r="U148" s="2" t="inlineStr">
        <is>
          <t>否</t>
        </is>
      </c>
      <c r="V148" s="2" t="inlineStr">
        <is>
          <t>0.2</t>
        </is>
      </c>
      <c r="W148" s="2" t="n"/>
      <c r="X148" s="5">
        <f>R148</f>
        <v>0.2</v>
      </c>
      <c r="Y148" s="6">
        <f>X148*S148</f>
        <v>0.2</v>
      </c>
      <c r="Z148" s="2" t="inlineStr">
        <is>
          <t>个人任务</t>
        </is>
      </c>
      <c r="AA148" s="2" t="n"/>
      <c r="AB148" s="2" t="inlineStr">
        <is>
          <t>挑战者庄园</t>
        </is>
      </c>
      <c r="AC148" s="2" t="inlineStr">
        <is>
          <t>玩家进攻胜利（attacker），非撤退，返程结算发放</t>
        </is>
      </c>
      <c r="AD148" s="2" t="inlineStr">
        <is>
          <t>data/mission_templates.yaml:L873:drop_table.equip_pojunzhanjia</t>
        </is>
      </c>
    </row>
    <row r="149">
      <c r="A149" s="2" t="n">
        <v>17</v>
      </c>
      <c r="B149" s="2" t="inlineStr">
        <is>
          <t>dongtian_fudi</t>
        </is>
      </c>
      <c r="C149" s="2" t="inlineStr">
        <is>
          <t>洞天福地</t>
        </is>
      </c>
      <c r="D149" s="2" t="inlineStr">
        <is>
          <t>高级</t>
        </is>
      </c>
      <c r="E149" s="2" t="inlineStr">
        <is>
          <t>task1</t>
        </is>
      </c>
      <c r="F149" s="2" t="inlineStr">
        <is>
          <t>否</t>
        </is>
      </c>
      <c r="G149" s="2" t="inlineStr">
        <is>
          <t>否</t>
        </is>
      </c>
      <c r="H149" s="2" t="n">
        <v>3</v>
      </c>
      <c r="I149" s="2" t="n">
        <v>1800</v>
      </c>
      <c r="J149" s="2" t="inlineStr">
        <is>
          <t>每日开放</t>
        </is>
      </c>
      <c r="K149" s="2" t="inlineStr">
        <is>
          <t>无</t>
        </is>
      </c>
      <c r="L149" s="2" t="inlineStr">
        <is>
          <t>概率掉落</t>
        </is>
      </c>
      <c r="M149" s="2" t="inlineStr">
        <is>
          <t>equip_pojunxue</t>
        </is>
      </c>
      <c r="N149" s="2" t="inlineStr">
        <is>
          <t>equip_pojunxue</t>
        </is>
      </c>
      <c r="O149" s="2" t="inlineStr">
        <is>
          <t>破军靴</t>
        </is>
      </c>
      <c r="P149" s="2" t="inlineStr">
        <is>
          <t>鞋子</t>
        </is>
      </c>
      <c r="Q149" s="2" t="inlineStr">
        <is>
          <t>稀有/蓝</t>
        </is>
      </c>
      <c r="R149" s="5" t="n">
        <v>0.1</v>
      </c>
      <c r="S149" s="2" t="n">
        <v>1</v>
      </c>
      <c r="T149" s="2" t="n"/>
      <c r="U149" s="2" t="inlineStr">
        <is>
          <t>否</t>
        </is>
      </c>
      <c r="V149" s="2" t="inlineStr">
        <is>
          <t>0.1</t>
        </is>
      </c>
      <c r="W149" s="2" t="n"/>
      <c r="X149" s="5">
        <f>R149</f>
        <v>0.1</v>
      </c>
      <c r="Y149" s="6">
        <f>X149*S149</f>
        <v>0.1</v>
      </c>
      <c r="Z149" s="2" t="inlineStr">
        <is>
          <t>个人任务</t>
        </is>
      </c>
      <c r="AA149" s="2" t="n"/>
      <c r="AB149" s="2" t="inlineStr">
        <is>
          <t>挑战者庄园</t>
        </is>
      </c>
      <c r="AC149" s="2" t="inlineStr">
        <is>
          <t>玩家进攻胜利（attacker），非撤退，返程结算发放</t>
        </is>
      </c>
      <c r="AD149" s="2" t="inlineStr">
        <is>
          <t>data/mission_templates.yaml:L873:drop_table.equip_pojunxue</t>
        </is>
      </c>
    </row>
    <row r="150">
      <c r="A150" s="2" t="n">
        <v>18</v>
      </c>
      <c r="B150" s="2" t="inlineStr">
        <is>
          <t>jiufeng_feihuan</t>
        </is>
      </c>
      <c r="C150" s="2" t="inlineStr">
        <is>
          <t>九峰匪患</t>
        </is>
      </c>
      <c r="D150" s="2" t="inlineStr">
        <is>
          <t>中级</t>
        </is>
      </c>
      <c r="E150" s="2" t="inlineStr">
        <is>
          <t>task1</t>
        </is>
      </c>
      <c r="F150" s="2" t="inlineStr">
        <is>
          <t>否</t>
        </is>
      </c>
      <c r="G150" s="2" t="inlineStr">
        <is>
          <t>否</t>
        </is>
      </c>
      <c r="H150" s="2" t="n">
        <v>3</v>
      </c>
      <c r="I150" s="2" t="n">
        <v>1800</v>
      </c>
      <c r="J150" s="2" t="inlineStr">
        <is>
          <t>每日开放</t>
        </is>
      </c>
      <c r="K150" s="2" t="inlineStr">
        <is>
          <t>无</t>
        </is>
      </c>
      <c r="L150" s="2" t="inlineStr">
        <is>
          <t>固定掉落</t>
        </is>
      </c>
      <c r="M150" s="2" t="inlineStr">
        <is>
          <t>silver</t>
        </is>
      </c>
      <c r="N150" s="2" t="inlineStr">
        <is>
          <t>silver</t>
        </is>
      </c>
      <c r="O150" s="2" t="inlineStr">
        <is>
          <t>银两</t>
        </is>
      </c>
      <c r="P150" s="2" t="inlineStr">
        <is>
          <t>资源</t>
        </is>
      </c>
      <c r="Q150" s="2" t="inlineStr">
        <is>
          <t>资源</t>
        </is>
      </c>
      <c r="R150" s="5" t="n">
        <v>1</v>
      </c>
      <c r="S150" s="2" t="n">
        <v>20000</v>
      </c>
      <c r="T150" s="2" t="n"/>
      <c r="U150" s="2" t="inlineStr">
        <is>
          <t>否</t>
        </is>
      </c>
      <c r="V150" s="2" t="inlineStr">
        <is>
          <t>20000</t>
        </is>
      </c>
      <c r="W150" s="2" t="n"/>
      <c r="X150" s="5">
        <f>R150</f>
        <v>1</v>
      </c>
      <c r="Y150" s="6">
        <f>X150*S150</f>
        <v>20000</v>
      </c>
      <c r="Z150" s="2" t="inlineStr">
        <is>
          <t>个人任务</t>
        </is>
      </c>
      <c r="AA150" s="2" t="n"/>
      <c r="AB150" s="2" t="inlineStr">
        <is>
          <t>挑战者庄园</t>
        </is>
      </c>
      <c r="AC150" s="2" t="inlineStr">
        <is>
          <t>玩家进攻胜利（attacker），非撤退，返程结算发放</t>
        </is>
      </c>
      <c r="AD150" s="2" t="inlineStr">
        <is>
          <t>data/mission_templates.yaml:L908:drop_table.silver</t>
        </is>
      </c>
    </row>
    <row r="151">
      <c r="A151" s="2" t="n">
        <v>18</v>
      </c>
      <c r="B151" s="2" t="inlineStr">
        <is>
          <t>jiufeng_feihuan</t>
        </is>
      </c>
      <c r="C151" s="2" t="inlineStr">
        <is>
          <t>九峰匪患</t>
        </is>
      </c>
      <c r="D151" s="2" t="inlineStr">
        <is>
          <t>中级</t>
        </is>
      </c>
      <c r="E151" s="2" t="inlineStr">
        <is>
          <t>task1</t>
        </is>
      </c>
      <c r="F151" s="2" t="inlineStr">
        <is>
          <t>否</t>
        </is>
      </c>
      <c r="G151" s="2" t="inlineStr">
        <is>
          <t>否</t>
        </is>
      </c>
      <c r="H151" s="2" t="n">
        <v>3</v>
      </c>
      <c r="I151" s="2" t="n">
        <v>1800</v>
      </c>
      <c r="J151" s="2" t="inlineStr">
        <is>
          <t>每日开放</t>
        </is>
      </c>
      <c r="K151" s="2" t="inlineStr">
        <is>
          <t>无</t>
        </is>
      </c>
      <c r="L151" s="2" t="inlineStr">
        <is>
          <t>固定掉落</t>
        </is>
      </c>
      <c r="M151" s="2" t="inlineStr">
        <is>
          <t>equip_lingboxie</t>
        </is>
      </c>
      <c r="N151" s="2" t="inlineStr">
        <is>
          <t>equip_lingboxie</t>
        </is>
      </c>
      <c r="O151" s="2" t="inlineStr">
        <is>
          <t>凌波鞋</t>
        </is>
      </c>
      <c r="P151" s="2" t="inlineStr">
        <is>
          <t>鞋子</t>
        </is>
      </c>
      <c r="Q151" s="2" t="inlineStr">
        <is>
          <t>稀有/蓝</t>
        </is>
      </c>
      <c r="R151" s="5" t="n">
        <v>1</v>
      </c>
      <c r="S151" s="2" t="n">
        <v>1</v>
      </c>
      <c r="T151" s="2" t="n"/>
      <c r="U151" s="2" t="inlineStr">
        <is>
          <t>否</t>
        </is>
      </c>
      <c r="V151" s="2" t="inlineStr">
        <is>
          <t>1</t>
        </is>
      </c>
      <c r="W151" s="2" t="n"/>
      <c r="X151" s="5">
        <f>R151</f>
        <v>1</v>
      </c>
      <c r="Y151" s="6">
        <f>X151*S151</f>
        <v>1</v>
      </c>
      <c r="Z151" s="2" t="inlineStr">
        <is>
          <t>个人任务</t>
        </is>
      </c>
      <c r="AA151" s="2" t="n"/>
      <c r="AB151" s="2" t="inlineStr">
        <is>
          <t>挑战者庄园</t>
        </is>
      </c>
      <c r="AC151" s="2" t="inlineStr">
        <is>
          <t>玩家进攻胜利（attacker），非撤退，返程结算发放</t>
        </is>
      </c>
      <c r="AD151" s="2" t="inlineStr">
        <is>
          <t>data/mission_templates.yaml:L908:drop_table.equip_lingboxie</t>
        </is>
      </c>
    </row>
    <row r="152">
      <c r="A152" s="2" t="n">
        <v>18</v>
      </c>
      <c r="B152" s="2" t="inlineStr">
        <is>
          <t>jiufeng_feihuan</t>
        </is>
      </c>
      <c r="C152" s="2" t="inlineStr">
        <is>
          <t>九峰匪患</t>
        </is>
      </c>
      <c r="D152" s="2" t="inlineStr">
        <is>
          <t>中级</t>
        </is>
      </c>
      <c r="E152" s="2" t="inlineStr">
        <is>
          <t>task1</t>
        </is>
      </c>
      <c r="F152" s="2" t="inlineStr">
        <is>
          <t>否</t>
        </is>
      </c>
      <c r="G152" s="2" t="inlineStr">
        <is>
          <t>否</t>
        </is>
      </c>
      <c r="H152" s="2" t="n">
        <v>3</v>
      </c>
      <c r="I152" s="2" t="n">
        <v>1800</v>
      </c>
      <c r="J152" s="2" t="inlineStr">
        <is>
          <t>每日开放</t>
        </is>
      </c>
      <c r="K152" s="2" t="inlineStr">
        <is>
          <t>无</t>
        </is>
      </c>
      <c r="L152" s="2" t="inlineStr">
        <is>
          <t>概率掉落</t>
        </is>
      </c>
      <c r="M152" s="2" t="inlineStr">
        <is>
          <t>equip_yemantoukie</t>
        </is>
      </c>
      <c r="N152" s="2" t="inlineStr">
        <is>
          <t>equip_yemantoukie</t>
        </is>
      </c>
      <c r="O152" s="2" t="inlineStr">
        <is>
          <t>野蛮头盔</t>
        </is>
      </c>
      <c r="P152" s="2" t="inlineStr">
        <is>
          <t>头盔</t>
        </is>
      </c>
      <c r="Q152" s="2" t="inlineStr">
        <is>
          <t>优秀/绿</t>
        </is>
      </c>
      <c r="R152" s="5" t="n">
        <v>0.1</v>
      </c>
      <c r="S152" s="2" t="n">
        <v>1</v>
      </c>
      <c r="T152" s="2" t="n"/>
      <c r="U152" s="2" t="inlineStr">
        <is>
          <t>否</t>
        </is>
      </c>
      <c r="V152" s="2" t="inlineStr">
        <is>
          <t>0.1</t>
        </is>
      </c>
      <c r="W152" s="2" t="n"/>
      <c r="X152" s="5">
        <f>R152</f>
        <v>0.1</v>
      </c>
      <c r="Y152" s="6">
        <f>X152*S152</f>
        <v>0.1</v>
      </c>
      <c r="Z152" s="2" t="inlineStr">
        <is>
          <t>个人任务</t>
        </is>
      </c>
      <c r="AA152" s="2" t="n"/>
      <c r="AB152" s="2" t="inlineStr">
        <is>
          <t>挑战者庄园</t>
        </is>
      </c>
      <c r="AC152" s="2" t="inlineStr">
        <is>
          <t>玩家进攻胜利（attacker），非撤退，返程结算发放</t>
        </is>
      </c>
      <c r="AD152" s="2" t="inlineStr">
        <is>
          <t>data/mission_templates.yaml:L908:drop_table.equip_yemantoukie</t>
        </is>
      </c>
    </row>
    <row r="153">
      <c r="A153" s="2" t="n">
        <v>18</v>
      </c>
      <c r="B153" s="2" t="inlineStr">
        <is>
          <t>jiufeng_feihuan</t>
        </is>
      </c>
      <c r="C153" s="2" t="inlineStr">
        <is>
          <t>九峰匪患</t>
        </is>
      </c>
      <c r="D153" s="2" t="inlineStr">
        <is>
          <t>中级</t>
        </is>
      </c>
      <c r="E153" s="2" t="inlineStr">
        <is>
          <t>task1</t>
        </is>
      </c>
      <c r="F153" s="2" t="inlineStr">
        <is>
          <t>否</t>
        </is>
      </c>
      <c r="G153" s="2" t="inlineStr">
        <is>
          <t>否</t>
        </is>
      </c>
      <c r="H153" s="2" t="n">
        <v>3</v>
      </c>
      <c r="I153" s="2" t="n">
        <v>1800</v>
      </c>
      <c r="J153" s="2" t="inlineStr">
        <is>
          <t>每日开放</t>
        </is>
      </c>
      <c r="K153" s="2" t="inlineStr">
        <is>
          <t>无</t>
        </is>
      </c>
      <c r="L153" s="2" t="inlineStr">
        <is>
          <t>概率掉落</t>
        </is>
      </c>
      <c r="M153" s="2" t="inlineStr">
        <is>
          <t>equip_yemankandao</t>
        </is>
      </c>
      <c r="N153" s="2" t="inlineStr">
        <is>
          <t>equip_yemankandao</t>
        </is>
      </c>
      <c r="O153" s="2" t="inlineStr">
        <is>
          <t>野蛮砍刀</t>
        </is>
      </c>
      <c r="P153" s="2" t="inlineStr">
        <is>
          <t>武器</t>
        </is>
      </c>
      <c r="Q153" s="2" t="inlineStr">
        <is>
          <t>优秀/绿</t>
        </is>
      </c>
      <c r="R153" s="5" t="n">
        <v>0.1</v>
      </c>
      <c r="S153" s="2" t="n">
        <v>1</v>
      </c>
      <c r="T153" s="2" t="n"/>
      <c r="U153" s="2" t="inlineStr">
        <is>
          <t>否</t>
        </is>
      </c>
      <c r="V153" s="2" t="inlineStr">
        <is>
          <t>0.1</t>
        </is>
      </c>
      <c r="W153" s="2" t="n"/>
      <c r="X153" s="5">
        <f>R153</f>
        <v>0.1</v>
      </c>
      <c r="Y153" s="6">
        <f>X153*S153</f>
        <v>0.1</v>
      </c>
      <c r="Z153" s="2" t="inlineStr">
        <is>
          <t>个人任务</t>
        </is>
      </c>
      <c r="AA153" s="2" t="n"/>
      <c r="AB153" s="2" t="inlineStr">
        <is>
          <t>挑战者庄园</t>
        </is>
      </c>
      <c r="AC153" s="2" t="inlineStr">
        <is>
          <t>玩家进攻胜利（attacker），非撤退，返程结算发放</t>
        </is>
      </c>
      <c r="AD153" s="2" t="inlineStr">
        <is>
          <t>data/mission_templates.yaml:L908:drop_table.equip_yemankandao</t>
        </is>
      </c>
    </row>
    <row r="154">
      <c r="A154" s="2" t="n">
        <v>18</v>
      </c>
      <c r="B154" s="2" t="inlineStr">
        <is>
          <t>jiufeng_feihuan</t>
        </is>
      </c>
      <c r="C154" s="2" t="inlineStr">
        <is>
          <t>九峰匪患</t>
        </is>
      </c>
      <c r="D154" s="2" t="inlineStr">
        <is>
          <t>中级</t>
        </is>
      </c>
      <c r="E154" s="2" t="inlineStr">
        <is>
          <t>task1</t>
        </is>
      </c>
      <c r="F154" s="2" t="inlineStr">
        <is>
          <t>否</t>
        </is>
      </c>
      <c r="G154" s="2" t="inlineStr">
        <is>
          <t>否</t>
        </is>
      </c>
      <c r="H154" s="2" t="n">
        <v>3</v>
      </c>
      <c r="I154" s="2" t="n">
        <v>1800</v>
      </c>
      <c r="J154" s="2" t="inlineStr">
        <is>
          <t>每日开放</t>
        </is>
      </c>
      <c r="K154" s="2" t="inlineStr">
        <is>
          <t>无</t>
        </is>
      </c>
      <c r="L154" s="2" t="inlineStr">
        <is>
          <t>概率掉落</t>
        </is>
      </c>
      <c r="M154" s="2" t="inlineStr">
        <is>
          <t>equip_zhuifengxue</t>
        </is>
      </c>
      <c r="N154" s="2" t="inlineStr">
        <is>
          <t>equip_zhuifengxue</t>
        </is>
      </c>
      <c r="O154" s="2" t="inlineStr">
        <is>
          <t>追风靴</t>
        </is>
      </c>
      <c r="P154" s="2" t="inlineStr">
        <is>
          <t>鞋子</t>
        </is>
      </c>
      <c r="Q154" s="2" t="inlineStr">
        <is>
          <t>稀有/蓝</t>
        </is>
      </c>
      <c r="R154" s="5" t="n">
        <v>0.07000000000000001</v>
      </c>
      <c r="S154" s="2" t="n">
        <v>1</v>
      </c>
      <c r="T154" s="2" t="n"/>
      <c r="U154" s="2" t="inlineStr">
        <is>
          <t>否</t>
        </is>
      </c>
      <c r="V154" s="2" t="inlineStr">
        <is>
          <t>0.07</t>
        </is>
      </c>
      <c r="W154" s="2" t="n"/>
      <c r="X154" s="5">
        <f>R154</f>
        <v>0.07</v>
      </c>
      <c r="Y154" s="6">
        <f>X154*S154</f>
        <v>0.07</v>
      </c>
      <c r="Z154" s="2" t="inlineStr">
        <is>
          <t>个人任务</t>
        </is>
      </c>
      <c r="AA154" s="2" t="n"/>
      <c r="AB154" s="2" t="inlineStr">
        <is>
          <t>挑战者庄园</t>
        </is>
      </c>
      <c r="AC154" s="2" t="inlineStr">
        <is>
          <t>玩家进攻胜利（attacker），非撤退，返程结算发放</t>
        </is>
      </c>
      <c r="AD154" s="2" t="inlineStr">
        <is>
          <t>data/mission_templates.yaml:L908:drop_table.equip_zhuifengxue</t>
        </is>
      </c>
    </row>
    <row r="155">
      <c r="A155" s="2" t="n">
        <v>18</v>
      </c>
      <c r="B155" s="2" t="inlineStr">
        <is>
          <t>jiufeng_feihuan</t>
        </is>
      </c>
      <c r="C155" s="2" t="inlineStr">
        <is>
          <t>九峰匪患</t>
        </is>
      </c>
      <c r="D155" s="2" t="inlineStr">
        <is>
          <t>中级</t>
        </is>
      </c>
      <c r="E155" s="2" t="inlineStr">
        <is>
          <t>task1</t>
        </is>
      </c>
      <c r="F155" s="2" t="inlineStr">
        <is>
          <t>否</t>
        </is>
      </c>
      <c r="G155" s="2" t="inlineStr">
        <is>
          <t>否</t>
        </is>
      </c>
      <c r="H155" s="2" t="n">
        <v>3</v>
      </c>
      <c r="I155" s="2" t="n">
        <v>1800</v>
      </c>
      <c r="J155" s="2" t="inlineStr">
        <is>
          <t>每日开放</t>
        </is>
      </c>
      <c r="K155" s="2" t="inlineStr">
        <is>
          <t>无</t>
        </is>
      </c>
      <c r="L155" s="2" t="inlineStr">
        <is>
          <t>概率掉落</t>
        </is>
      </c>
      <c r="M155" s="2" t="inlineStr">
        <is>
          <t>equip_yingxingxue</t>
        </is>
      </c>
      <c r="N155" s="2" t="inlineStr">
        <is>
          <t>equip_yingxingxue</t>
        </is>
      </c>
      <c r="O155" s="2" t="inlineStr">
        <is>
          <t>影行靴</t>
        </is>
      </c>
      <c r="P155" s="2" t="inlineStr">
        <is>
          <t>鞋子</t>
        </is>
      </c>
      <c r="Q155" s="2" t="inlineStr">
        <is>
          <t>稀有/蓝</t>
        </is>
      </c>
      <c r="R155" s="5" t="n">
        <v>0.07000000000000001</v>
      </c>
      <c r="S155" s="2" t="n">
        <v>1</v>
      </c>
      <c r="T155" s="2" t="n"/>
      <c r="U155" s="2" t="inlineStr">
        <is>
          <t>否</t>
        </is>
      </c>
      <c r="V155" s="2" t="inlineStr">
        <is>
          <t>0.07</t>
        </is>
      </c>
      <c r="W155" s="2" t="n"/>
      <c r="X155" s="5">
        <f>R155</f>
        <v>0.07</v>
      </c>
      <c r="Y155" s="6">
        <f>X155*S155</f>
        <v>0.07</v>
      </c>
      <c r="Z155" s="2" t="inlineStr">
        <is>
          <t>个人任务</t>
        </is>
      </c>
      <c r="AA155" s="2" t="n"/>
      <c r="AB155" s="2" t="inlineStr">
        <is>
          <t>挑战者庄园</t>
        </is>
      </c>
      <c r="AC155" s="2" t="inlineStr">
        <is>
          <t>玩家进攻胜利（attacker），非撤退，返程结算发放</t>
        </is>
      </c>
      <c r="AD155" s="2" t="inlineStr">
        <is>
          <t>data/mission_templates.yaml:L908:drop_table.equip_yingxingxue</t>
        </is>
      </c>
    </row>
    <row r="156">
      <c r="A156" s="2" t="n">
        <v>18</v>
      </c>
      <c r="B156" s="2" t="inlineStr">
        <is>
          <t>jiufeng_feihuan</t>
        </is>
      </c>
      <c r="C156" s="2" t="inlineStr">
        <is>
          <t>九峰匪患</t>
        </is>
      </c>
      <c r="D156" s="2" t="inlineStr">
        <is>
          <t>中级</t>
        </is>
      </c>
      <c r="E156" s="2" t="inlineStr">
        <is>
          <t>task1</t>
        </is>
      </c>
      <c r="F156" s="2" t="inlineStr">
        <is>
          <t>否</t>
        </is>
      </c>
      <c r="G156" s="2" t="inlineStr">
        <is>
          <t>否</t>
        </is>
      </c>
      <c r="H156" s="2" t="n">
        <v>3</v>
      </c>
      <c r="I156" s="2" t="n">
        <v>1800</v>
      </c>
      <c r="J156" s="2" t="inlineStr">
        <is>
          <t>每日开放</t>
        </is>
      </c>
      <c r="K156" s="2" t="inlineStr">
        <is>
          <t>无</t>
        </is>
      </c>
      <c r="L156" s="2" t="inlineStr">
        <is>
          <t>概率掉落</t>
        </is>
      </c>
      <c r="M156" s="2" t="inlineStr">
        <is>
          <t>equip_pojunxue</t>
        </is>
      </c>
      <c r="N156" s="2" t="inlineStr">
        <is>
          <t>equip_pojunxue</t>
        </is>
      </c>
      <c r="O156" s="2" t="inlineStr">
        <is>
          <t>破军靴</t>
        </is>
      </c>
      <c r="P156" s="2" t="inlineStr">
        <is>
          <t>鞋子</t>
        </is>
      </c>
      <c r="Q156" s="2" t="inlineStr">
        <is>
          <t>稀有/蓝</t>
        </is>
      </c>
      <c r="R156" s="5" t="n">
        <v>0.06</v>
      </c>
      <c r="S156" s="2" t="n">
        <v>1</v>
      </c>
      <c r="T156" s="2" t="n"/>
      <c r="U156" s="2" t="inlineStr">
        <is>
          <t>否</t>
        </is>
      </c>
      <c r="V156" s="2" t="inlineStr">
        <is>
          <t>0.06</t>
        </is>
      </c>
      <c r="W156" s="2" t="n"/>
      <c r="X156" s="5">
        <f>R156</f>
        <v>0.06</v>
      </c>
      <c r="Y156" s="6">
        <f>X156*S156</f>
        <v>0.06</v>
      </c>
      <c r="Z156" s="2" t="inlineStr">
        <is>
          <t>个人任务</t>
        </is>
      </c>
      <c r="AA156" s="2" t="n"/>
      <c r="AB156" s="2" t="inlineStr">
        <is>
          <t>挑战者庄园</t>
        </is>
      </c>
      <c r="AC156" s="2" t="inlineStr">
        <is>
          <t>玩家进攻胜利（attacker），非撤退，返程结算发放</t>
        </is>
      </c>
      <c r="AD156" s="2" t="inlineStr">
        <is>
          <t>data/mission_templates.yaml:L908:drop_table.equip_pojunxue</t>
        </is>
      </c>
    </row>
    <row r="157">
      <c r="A157" s="2" t="n">
        <v>18</v>
      </c>
      <c r="B157" s="2" t="inlineStr">
        <is>
          <t>jiufeng_feihuan</t>
        </is>
      </c>
      <c r="C157" s="2" t="inlineStr">
        <is>
          <t>九峰匪患</t>
        </is>
      </c>
      <c r="D157" s="2" t="inlineStr">
        <is>
          <t>中级</t>
        </is>
      </c>
      <c r="E157" s="2" t="inlineStr">
        <is>
          <t>task1</t>
        </is>
      </c>
      <c r="F157" s="2" t="inlineStr">
        <is>
          <t>否</t>
        </is>
      </c>
      <c r="G157" s="2" t="inlineStr">
        <is>
          <t>否</t>
        </is>
      </c>
      <c r="H157" s="2" t="n">
        <v>3</v>
      </c>
      <c r="I157" s="2" t="n">
        <v>1800</v>
      </c>
      <c r="J157" s="2" t="inlineStr">
        <is>
          <t>每日开放</t>
        </is>
      </c>
      <c r="K157" s="2" t="inlineStr">
        <is>
          <t>无</t>
        </is>
      </c>
      <c r="L157" s="2" t="inlineStr">
        <is>
          <t>概率掉落</t>
        </is>
      </c>
      <c r="M157" s="2" t="inlineStr">
        <is>
          <t>equip_jinlinxue</t>
        </is>
      </c>
      <c r="N157" s="2" t="inlineStr">
        <is>
          <t>equip_jinlinxue</t>
        </is>
      </c>
      <c r="O157" s="2" t="inlineStr">
        <is>
          <t>金鳞靴</t>
        </is>
      </c>
      <c r="P157" s="2" t="inlineStr">
        <is>
          <t>鞋子</t>
        </is>
      </c>
      <c r="Q157" s="2" t="inlineStr">
        <is>
          <t>稀有/蓝</t>
        </is>
      </c>
      <c r="R157" s="5" t="n">
        <v>0.06</v>
      </c>
      <c r="S157" s="2" t="n">
        <v>1</v>
      </c>
      <c r="T157" s="2" t="n"/>
      <c r="U157" s="2" t="inlineStr">
        <is>
          <t>否</t>
        </is>
      </c>
      <c r="V157" s="2" t="inlineStr">
        <is>
          <t>0.06</t>
        </is>
      </c>
      <c r="W157" s="2" t="n"/>
      <c r="X157" s="5">
        <f>R157</f>
        <v>0.06</v>
      </c>
      <c r="Y157" s="6">
        <f>X157*S157</f>
        <v>0.06</v>
      </c>
      <c r="Z157" s="2" t="inlineStr">
        <is>
          <t>个人任务</t>
        </is>
      </c>
      <c r="AA157" s="2" t="n"/>
      <c r="AB157" s="2" t="inlineStr">
        <is>
          <t>挑战者庄园</t>
        </is>
      </c>
      <c r="AC157" s="2" t="inlineStr">
        <is>
          <t>玩家进攻胜利（attacker），非撤退，返程结算发放</t>
        </is>
      </c>
      <c r="AD157" s="2" t="inlineStr">
        <is>
          <t>data/mission_templates.yaml:L908:drop_table.equip_jinlinxue</t>
        </is>
      </c>
    </row>
    <row r="158">
      <c r="A158" s="2" t="n">
        <v>18</v>
      </c>
      <c r="B158" s="2" t="inlineStr">
        <is>
          <t>jiufeng_feihuan</t>
        </is>
      </c>
      <c r="C158" s="2" t="inlineStr">
        <is>
          <t>九峰匪患</t>
        </is>
      </c>
      <c r="D158" s="2" t="inlineStr">
        <is>
          <t>中级</t>
        </is>
      </c>
      <c r="E158" s="2" t="inlineStr">
        <is>
          <t>task1</t>
        </is>
      </c>
      <c r="F158" s="2" t="inlineStr">
        <is>
          <t>否</t>
        </is>
      </c>
      <c r="G158" s="2" t="inlineStr">
        <is>
          <t>否</t>
        </is>
      </c>
      <c r="H158" s="2" t="n">
        <v>3</v>
      </c>
      <c r="I158" s="2" t="n">
        <v>1800</v>
      </c>
      <c r="J158" s="2" t="inlineStr">
        <is>
          <t>每日开放</t>
        </is>
      </c>
      <c r="K158" s="2" t="inlineStr">
        <is>
          <t>无</t>
        </is>
      </c>
      <c r="L158" s="2" t="inlineStr">
        <is>
          <t>概率掉落</t>
        </is>
      </c>
      <c r="M158" s="2" t="inlineStr">
        <is>
          <t>equip_qianliju</t>
        </is>
      </c>
      <c r="N158" s="2" t="inlineStr">
        <is>
          <t>equip_qianliju</t>
        </is>
      </c>
      <c r="O158" s="2" t="inlineStr">
        <is>
          <t>千里驹</t>
        </is>
      </c>
      <c r="P158" s="2" t="inlineStr">
        <is>
          <t>坐骑</t>
        </is>
      </c>
      <c r="Q158" s="2" t="inlineStr">
        <is>
          <t>稀有/蓝</t>
        </is>
      </c>
      <c r="R158" s="5" t="n">
        <v>0.06</v>
      </c>
      <c r="S158" s="2" t="n">
        <v>1</v>
      </c>
      <c r="T158" s="2" t="n"/>
      <c r="U158" s="2" t="inlineStr">
        <is>
          <t>否</t>
        </is>
      </c>
      <c r="V158" s="2" t="inlineStr">
        <is>
          <t>0.06</t>
        </is>
      </c>
      <c r="W158" s="2" t="n"/>
      <c r="X158" s="5">
        <f>R158</f>
        <v>0.06</v>
      </c>
      <c r="Y158" s="6">
        <f>X158*S158</f>
        <v>0.06</v>
      </c>
      <c r="Z158" s="2" t="inlineStr">
        <is>
          <t>个人任务</t>
        </is>
      </c>
      <c r="AA158" s="2" t="n"/>
      <c r="AB158" s="2" t="inlineStr">
        <is>
          <t>挑战者庄园</t>
        </is>
      </c>
      <c r="AC158" s="2" t="inlineStr">
        <is>
          <t>玩家进攻胜利（attacker），非撤退，返程结算发放</t>
        </is>
      </c>
      <c r="AD158" s="2" t="inlineStr">
        <is>
          <t>data/mission_templates.yaml:L908:drop_table.equip_qianliju</t>
        </is>
      </c>
    </row>
    <row r="159">
      <c r="A159" s="2" t="n">
        <v>18</v>
      </c>
      <c r="B159" s="2" t="inlineStr">
        <is>
          <t>jiufeng_feihuan</t>
        </is>
      </c>
      <c r="C159" s="2" t="inlineStr">
        <is>
          <t>九峰匪患</t>
        </is>
      </c>
      <c r="D159" s="2" t="inlineStr">
        <is>
          <t>中级</t>
        </is>
      </c>
      <c r="E159" s="2" t="inlineStr">
        <is>
          <t>task1</t>
        </is>
      </c>
      <c r="F159" s="2" t="inlineStr">
        <is>
          <t>否</t>
        </is>
      </c>
      <c r="G159" s="2" t="inlineStr">
        <is>
          <t>否</t>
        </is>
      </c>
      <c r="H159" s="2" t="n">
        <v>3</v>
      </c>
      <c r="I159" s="2" t="n">
        <v>1800</v>
      </c>
      <c r="J159" s="2" t="inlineStr">
        <is>
          <t>每日开放</t>
        </is>
      </c>
      <c r="K159" s="2" t="inlineStr">
        <is>
          <t>无</t>
        </is>
      </c>
      <c r="L159" s="2" t="inlineStr">
        <is>
          <t>概率掉落</t>
        </is>
      </c>
      <c r="M159" s="2" t="inlineStr">
        <is>
          <t>equip_juanmaochitu</t>
        </is>
      </c>
      <c r="N159" s="2" t="inlineStr">
        <is>
          <t>equip_juanmaochitu</t>
        </is>
      </c>
      <c r="O159" s="2" t="inlineStr">
        <is>
          <t>卷毛赤兔</t>
        </is>
      </c>
      <c r="P159" s="2" t="inlineStr">
        <is>
          <t>坐骑</t>
        </is>
      </c>
      <c r="Q159" s="2" t="inlineStr">
        <is>
          <t>稀有/蓝</t>
        </is>
      </c>
      <c r="R159" s="5" t="n">
        <v>0.06</v>
      </c>
      <c r="S159" s="2" t="n">
        <v>1</v>
      </c>
      <c r="T159" s="2" t="n"/>
      <c r="U159" s="2" t="inlineStr">
        <is>
          <t>否</t>
        </is>
      </c>
      <c r="V159" s="2" t="inlineStr">
        <is>
          <t>0.06</t>
        </is>
      </c>
      <c r="W159" s="2" t="n"/>
      <c r="X159" s="5">
        <f>R159</f>
        <v>0.06</v>
      </c>
      <c r="Y159" s="6">
        <f>X159*S159</f>
        <v>0.06</v>
      </c>
      <c r="Z159" s="2" t="inlineStr">
        <is>
          <t>个人任务</t>
        </is>
      </c>
      <c r="AA159" s="2" t="n"/>
      <c r="AB159" s="2" t="inlineStr">
        <is>
          <t>挑战者庄园</t>
        </is>
      </c>
      <c r="AC159" s="2" t="inlineStr">
        <is>
          <t>玩家进攻胜利（attacker），非撤退，返程结算发放</t>
        </is>
      </c>
      <c r="AD159" s="2" t="inlineStr">
        <is>
          <t>data/mission_templates.yaml:L908:drop_table.equip_juanmaochitu</t>
        </is>
      </c>
    </row>
    <row r="160">
      <c r="A160" s="2" t="n">
        <v>19</v>
      </c>
      <c r="B160" s="2" t="inlineStr">
        <is>
          <t>taozi_fenban</t>
        </is>
      </c>
      <c r="C160" s="2" t="inlineStr">
        <is>
          <t>我的桃子分你一半</t>
        </is>
      </c>
      <c r="D160" s="2" t="inlineStr">
        <is>
          <t>初级</t>
        </is>
      </c>
      <c r="E160" s="2" t="inlineStr">
        <is>
          <t>task1</t>
        </is>
      </c>
      <c r="F160" s="2" t="inlineStr">
        <is>
          <t>否</t>
        </is>
      </c>
      <c r="G160" s="2" t="inlineStr">
        <is>
          <t>否</t>
        </is>
      </c>
      <c r="H160" s="2" t="n">
        <v>1</v>
      </c>
      <c r="I160" s="2" t="n">
        <v>1800</v>
      </c>
      <c r="J160" s="2" t="inlineStr">
        <is>
          <t>每日开放</t>
        </is>
      </c>
      <c r="K160" s="2" t="inlineStr">
        <is>
          <t>无</t>
        </is>
      </c>
      <c r="L160" s="2" t="inlineStr">
        <is>
          <t>固定掉落</t>
        </is>
      </c>
      <c r="M160" s="2" t="inlineStr">
        <is>
          <t>experience_peach</t>
        </is>
      </c>
      <c r="N160" s="2" t="inlineStr">
        <is>
          <t>experience_peach</t>
        </is>
      </c>
      <c r="O160" s="2" t="inlineStr">
        <is>
          <t>经验桃子</t>
        </is>
      </c>
      <c r="P160" s="2" t="inlineStr">
        <is>
          <t>经验道具</t>
        </is>
      </c>
      <c r="Q160" s="2" t="inlineStr">
        <is>
          <t>优秀/绿</t>
        </is>
      </c>
      <c r="R160" s="5" t="n">
        <v>1</v>
      </c>
      <c r="S160" s="2" t="n">
        <v>15</v>
      </c>
      <c r="T160" s="2" t="n"/>
      <c r="U160" s="2" t="inlineStr">
        <is>
          <t>否</t>
        </is>
      </c>
      <c r="V160" s="2" t="inlineStr">
        <is>
          <t>15</t>
        </is>
      </c>
      <c r="W160" s="2" t="n"/>
      <c r="X160" s="5">
        <f>R160</f>
        <v>1</v>
      </c>
      <c r="Y160" s="6">
        <f>X160*S160</f>
        <v>15</v>
      </c>
      <c r="Z160" s="2" t="inlineStr">
        <is>
          <t>个人任务</t>
        </is>
      </c>
      <c r="AA160" s="2" t="n"/>
      <c r="AB160" s="2" t="inlineStr">
        <is>
          <t>挑战者庄园</t>
        </is>
      </c>
      <c r="AC160" s="2" t="inlineStr">
        <is>
          <t>玩家进攻胜利（attacker），非撤退，返程结算发放</t>
        </is>
      </c>
      <c r="AD160" s="2" t="inlineStr">
        <is>
          <t>data/mission_templates.yaml:L951:drop_table.experience_peach</t>
        </is>
      </c>
    </row>
    <row r="161">
      <c r="A161" s="2" t="n">
        <v>19</v>
      </c>
      <c r="B161" s="2" t="inlineStr">
        <is>
          <t>taozi_fenban</t>
        </is>
      </c>
      <c r="C161" s="2" t="inlineStr">
        <is>
          <t>我的桃子分你一半</t>
        </is>
      </c>
      <c r="D161" s="2" t="inlineStr">
        <is>
          <t>初级</t>
        </is>
      </c>
      <c r="E161" s="2" t="inlineStr">
        <is>
          <t>task1</t>
        </is>
      </c>
      <c r="F161" s="2" t="inlineStr">
        <is>
          <t>否</t>
        </is>
      </c>
      <c r="G161" s="2" t="inlineStr">
        <is>
          <t>否</t>
        </is>
      </c>
      <c r="H161" s="2" t="n">
        <v>1</v>
      </c>
      <c r="I161" s="2" t="n">
        <v>1800</v>
      </c>
      <c r="J161" s="2" t="inlineStr">
        <is>
          <t>每日开放</t>
        </is>
      </c>
      <c r="K161" s="2" t="inlineStr">
        <is>
          <t>无</t>
        </is>
      </c>
      <c r="L161" s="2" t="inlineStr">
        <is>
          <t>随机池掉落</t>
        </is>
      </c>
      <c r="M161" s="2" t="inlineStr">
        <is>
          <t>taozi_equipment_pool</t>
        </is>
      </c>
      <c r="N161" s="2" t="inlineStr">
        <is>
          <t>equip_qingzhujia</t>
        </is>
      </c>
      <c r="O161" s="2" t="inlineStr">
        <is>
          <t>青竹甲</t>
        </is>
      </c>
      <c r="P161" s="2" t="inlineStr">
        <is>
          <t>护甲</t>
        </is>
      </c>
      <c r="Q161" s="2" t="inlineStr">
        <is>
          <t>优秀/绿</t>
        </is>
      </c>
      <c r="R161" s="5" t="n">
        <v>0.85</v>
      </c>
      <c r="S161" s="2" t="n">
        <v>1</v>
      </c>
      <c r="T161" s="2" t="n">
        <v>1</v>
      </c>
      <c r="U161" s="2" t="inlineStr">
        <is>
          <t>是</t>
        </is>
      </c>
      <c r="V161" s="2" t="inlineStr">
        <is>
          <t>{"chance":0.85,"count":1,"choices":["equip_qingzhujia","equip_qingtengguan","equip_zhuyelu","equip_tayunxue","equip_jifengxue","equip_hushenfu","equip_taomupai","equip_tanmunianzhu","equip_taomujian","equip_luopan","equip_taxuema"]}</t>
        </is>
      </c>
      <c r="W161" s="3">
        <f>SUM(T161:T171)</f>
        <v>11</v>
      </c>
      <c r="X161" s="5">
        <f>R161*T161/W161</f>
        <v>0.07727272727272727</v>
      </c>
      <c r="Y161" s="6">
        <f>X161*S161</f>
        <v>0.07727272727272727</v>
      </c>
      <c r="Z161" s="2" t="inlineStr">
        <is>
          <t>个人任务</t>
        </is>
      </c>
      <c r="AA161" s="2" t="n"/>
      <c r="AB161" s="2" t="inlineStr">
        <is>
          <t>挑战者庄园</t>
        </is>
      </c>
      <c r="AC161" s="2" t="inlineStr">
        <is>
          <t>玩家进攻胜利（attacker），非撤退，返程结算发放</t>
        </is>
      </c>
      <c r="AD161" s="2" t="inlineStr">
        <is>
          <t>data/mission_templates.yaml:L951:drop_table.taozi_equipment_pool</t>
        </is>
      </c>
    </row>
    <row r="162">
      <c r="A162" s="2" t="n">
        <v>19</v>
      </c>
      <c r="B162" s="2" t="inlineStr">
        <is>
          <t>taozi_fenban</t>
        </is>
      </c>
      <c r="C162" s="2" t="inlineStr">
        <is>
          <t>我的桃子分你一半</t>
        </is>
      </c>
      <c r="D162" s="2" t="inlineStr">
        <is>
          <t>初级</t>
        </is>
      </c>
      <c r="E162" s="2" t="inlineStr">
        <is>
          <t>task1</t>
        </is>
      </c>
      <c r="F162" s="2" t="inlineStr">
        <is>
          <t>否</t>
        </is>
      </c>
      <c r="G162" s="2" t="inlineStr">
        <is>
          <t>否</t>
        </is>
      </c>
      <c r="H162" s="2" t="n">
        <v>1</v>
      </c>
      <c r="I162" s="2" t="n">
        <v>1800</v>
      </c>
      <c r="J162" s="2" t="inlineStr">
        <is>
          <t>每日开放</t>
        </is>
      </c>
      <c r="K162" s="2" t="inlineStr">
        <is>
          <t>无</t>
        </is>
      </c>
      <c r="L162" s="2" t="inlineStr">
        <is>
          <t>随机池掉落</t>
        </is>
      </c>
      <c r="M162" s="2" t="inlineStr">
        <is>
          <t>taozi_equipment_pool</t>
        </is>
      </c>
      <c r="N162" s="2" t="inlineStr">
        <is>
          <t>equip_qingtengguan</t>
        </is>
      </c>
      <c r="O162" s="2" t="inlineStr">
        <is>
          <t>青藤冠</t>
        </is>
      </c>
      <c r="P162" s="2" t="inlineStr">
        <is>
          <t>头盔</t>
        </is>
      </c>
      <c r="Q162" s="2" t="inlineStr">
        <is>
          <t>优秀/绿</t>
        </is>
      </c>
      <c r="R162" s="5" t="n">
        <v>0.85</v>
      </c>
      <c r="S162" s="2" t="n">
        <v>1</v>
      </c>
      <c r="T162" s="2" t="n">
        <v>1</v>
      </c>
      <c r="U162" s="2" t="inlineStr">
        <is>
          <t>是</t>
        </is>
      </c>
      <c r="V162" s="2" t="inlineStr">
        <is>
          <t>{"chance":0.85,"count":1,"choices":["equip_qingzhujia","equip_qingtengguan","equip_zhuyelu","equip_tayunxue","equip_jifengxue","equip_hushenfu","equip_taomupai","equip_tanmunianzhu","equip_taomujian","equip_luopan","equip_taxuema"]}</t>
        </is>
      </c>
      <c r="W162" s="3">
        <f>SUM(T161:T171)</f>
        <v>11</v>
      </c>
      <c r="X162" s="5">
        <f>R162*T162/W162</f>
        <v>0.07727272727272727</v>
      </c>
      <c r="Y162" s="6">
        <f>X162*S162</f>
        <v>0.07727272727272727</v>
      </c>
      <c r="Z162" s="2" t="inlineStr">
        <is>
          <t>个人任务</t>
        </is>
      </c>
      <c r="AA162" s="2" t="n"/>
      <c r="AB162" s="2" t="inlineStr">
        <is>
          <t>挑战者庄园</t>
        </is>
      </c>
      <c r="AC162" s="2" t="inlineStr">
        <is>
          <t>玩家进攻胜利（attacker），非撤退，返程结算发放</t>
        </is>
      </c>
      <c r="AD162" s="2" t="inlineStr">
        <is>
          <t>data/mission_templates.yaml:L951:drop_table.taozi_equipment_pool</t>
        </is>
      </c>
    </row>
    <row r="163">
      <c r="A163" s="2" t="n">
        <v>19</v>
      </c>
      <c r="B163" s="2" t="inlineStr">
        <is>
          <t>taozi_fenban</t>
        </is>
      </c>
      <c r="C163" s="2" t="inlineStr">
        <is>
          <t>我的桃子分你一半</t>
        </is>
      </c>
      <c r="D163" s="2" t="inlineStr">
        <is>
          <t>初级</t>
        </is>
      </c>
      <c r="E163" s="2" t="inlineStr">
        <is>
          <t>task1</t>
        </is>
      </c>
      <c r="F163" s="2" t="inlineStr">
        <is>
          <t>否</t>
        </is>
      </c>
      <c r="G163" s="2" t="inlineStr">
        <is>
          <t>否</t>
        </is>
      </c>
      <c r="H163" s="2" t="n">
        <v>1</v>
      </c>
      <c r="I163" s="2" t="n">
        <v>1800</v>
      </c>
      <c r="J163" s="2" t="inlineStr">
        <is>
          <t>每日开放</t>
        </is>
      </c>
      <c r="K163" s="2" t="inlineStr">
        <is>
          <t>无</t>
        </is>
      </c>
      <c r="L163" s="2" t="inlineStr">
        <is>
          <t>随机池掉落</t>
        </is>
      </c>
      <c r="M163" s="2" t="inlineStr">
        <is>
          <t>taozi_equipment_pool</t>
        </is>
      </c>
      <c r="N163" s="2" t="inlineStr">
        <is>
          <t>equip_zhuyelu</t>
        </is>
      </c>
      <c r="O163" s="2" t="inlineStr">
        <is>
          <t>竹叶履</t>
        </is>
      </c>
      <c r="P163" s="2" t="inlineStr">
        <is>
          <t>鞋子</t>
        </is>
      </c>
      <c r="Q163" s="2" t="inlineStr">
        <is>
          <t>优秀/绿</t>
        </is>
      </c>
      <c r="R163" s="5" t="n">
        <v>0.85</v>
      </c>
      <c r="S163" s="2" t="n">
        <v>1</v>
      </c>
      <c r="T163" s="2" t="n">
        <v>1</v>
      </c>
      <c r="U163" s="2" t="inlineStr">
        <is>
          <t>是</t>
        </is>
      </c>
      <c r="V163" s="2" t="inlineStr">
        <is>
          <t>{"chance":0.85,"count":1,"choices":["equip_qingzhujia","equip_qingtengguan","equip_zhuyelu","equip_tayunxue","equip_jifengxue","equip_hushenfu","equip_taomupai","equip_tanmunianzhu","equip_taomujian","equip_luopan","equip_taxuema"]}</t>
        </is>
      </c>
      <c r="W163" s="3">
        <f>SUM(T161:T171)</f>
        <v>11</v>
      </c>
      <c r="X163" s="5">
        <f>R163*T163/W163</f>
        <v>0.07727272727272727</v>
      </c>
      <c r="Y163" s="6">
        <f>X163*S163</f>
        <v>0.07727272727272727</v>
      </c>
      <c r="Z163" s="2" t="inlineStr">
        <is>
          <t>个人任务</t>
        </is>
      </c>
      <c r="AA163" s="2" t="n"/>
      <c r="AB163" s="2" t="inlineStr">
        <is>
          <t>挑战者庄园</t>
        </is>
      </c>
      <c r="AC163" s="2" t="inlineStr">
        <is>
          <t>玩家进攻胜利（attacker），非撤退，返程结算发放</t>
        </is>
      </c>
      <c r="AD163" s="2" t="inlineStr">
        <is>
          <t>data/mission_templates.yaml:L951:drop_table.taozi_equipment_pool</t>
        </is>
      </c>
    </row>
    <row r="164">
      <c r="A164" s="2" t="n">
        <v>19</v>
      </c>
      <c r="B164" s="2" t="inlineStr">
        <is>
          <t>taozi_fenban</t>
        </is>
      </c>
      <c r="C164" s="2" t="inlineStr">
        <is>
          <t>我的桃子分你一半</t>
        </is>
      </c>
      <c r="D164" s="2" t="inlineStr">
        <is>
          <t>初级</t>
        </is>
      </c>
      <c r="E164" s="2" t="inlineStr">
        <is>
          <t>task1</t>
        </is>
      </c>
      <c r="F164" s="2" t="inlineStr">
        <is>
          <t>否</t>
        </is>
      </c>
      <c r="G164" s="2" t="inlineStr">
        <is>
          <t>否</t>
        </is>
      </c>
      <c r="H164" s="2" t="n">
        <v>1</v>
      </c>
      <c r="I164" s="2" t="n">
        <v>1800</v>
      </c>
      <c r="J164" s="2" t="inlineStr">
        <is>
          <t>每日开放</t>
        </is>
      </c>
      <c r="K164" s="2" t="inlineStr">
        <is>
          <t>无</t>
        </is>
      </c>
      <c r="L164" s="2" t="inlineStr">
        <is>
          <t>随机池掉落</t>
        </is>
      </c>
      <c r="M164" s="2" t="inlineStr">
        <is>
          <t>taozi_equipment_pool</t>
        </is>
      </c>
      <c r="N164" s="2" t="inlineStr">
        <is>
          <t>equip_tayunxue</t>
        </is>
      </c>
      <c r="O164" s="2" t="inlineStr">
        <is>
          <t>踏云靴</t>
        </is>
      </c>
      <c r="P164" s="2" t="inlineStr">
        <is>
          <t>鞋子</t>
        </is>
      </c>
      <c r="Q164" s="2" t="inlineStr">
        <is>
          <t>优秀/绿</t>
        </is>
      </c>
      <c r="R164" s="5" t="n">
        <v>0.85</v>
      </c>
      <c r="S164" s="2" t="n">
        <v>1</v>
      </c>
      <c r="T164" s="2" t="n">
        <v>1</v>
      </c>
      <c r="U164" s="2" t="inlineStr">
        <is>
          <t>是</t>
        </is>
      </c>
      <c r="V164" s="2" t="inlineStr">
        <is>
          <t>{"chance":0.85,"count":1,"choices":["equip_qingzhujia","equip_qingtengguan","equip_zhuyelu","equip_tayunxue","equip_jifengxue","equip_hushenfu","equip_taomupai","equip_tanmunianzhu","equip_taomujian","equip_luopan","equip_taxuema"]}</t>
        </is>
      </c>
      <c r="W164" s="3">
        <f>SUM(T161:T171)</f>
        <v>11</v>
      </c>
      <c r="X164" s="5">
        <f>R164*T164/W164</f>
        <v>0.07727272727272727</v>
      </c>
      <c r="Y164" s="6">
        <f>X164*S164</f>
        <v>0.07727272727272727</v>
      </c>
      <c r="Z164" s="2" t="inlineStr">
        <is>
          <t>个人任务</t>
        </is>
      </c>
      <c r="AA164" s="2" t="n"/>
      <c r="AB164" s="2" t="inlineStr">
        <is>
          <t>挑战者庄园</t>
        </is>
      </c>
      <c r="AC164" s="2" t="inlineStr">
        <is>
          <t>玩家进攻胜利（attacker），非撤退，返程结算发放</t>
        </is>
      </c>
      <c r="AD164" s="2" t="inlineStr">
        <is>
          <t>data/mission_templates.yaml:L951:drop_table.taozi_equipment_pool</t>
        </is>
      </c>
    </row>
    <row r="165">
      <c r="A165" s="2" t="n">
        <v>19</v>
      </c>
      <c r="B165" s="2" t="inlineStr">
        <is>
          <t>taozi_fenban</t>
        </is>
      </c>
      <c r="C165" s="2" t="inlineStr">
        <is>
          <t>我的桃子分你一半</t>
        </is>
      </c>
      <c r="D165" s="2" t="inlineStr">
        <is>
          <t>初级</t>
        </is>
      </c>
      <c r="E165" s="2" t="inlineStr">
        <is>
          <t>task1</t>
        </is>
      </c>
      <c r="F165" s="2" t="inlineStr">
        <is>
          <t>否</t>
        </is>
      </c>
      <c r="G165" s="2" t="inlineStr">
        <is>
          <t>否</t>
        </is>
      </c>
      <c r="H165" s="2" t="n">
        <v>1</v>
      </c>
      <c r="I165" s="2" t="n">
        <v>1800</v>
      </c>
      <c r="J165" s="2" t="inlineStr">
        <is>
          <t>每日开放</t>
        </is>
      </c>
      <c r="K165" s="2" t="inlineStr">
        <is>
          <t>无</t>
        </is>
      </c>
      <c r="L165" s="2" t="inlineStr">
        <is>
          <t>随机池掉落</t>
        </is>
      </c>
      <c r="M165" s="2" t="inlineStr">
        <is>
          <t>taozi_equipment_pool</t>
        </is>
      </c>
      <c r="N165" s="2" t="inlineStr">
        <is>
          <t>equip_jifengxue</t>
        </is>
      </c>
      <c r="O165" s="2" t="inlineStr">
        <is>
          <t>疾风靴</t>
        </is>
      </c>
      <c r="P165" s="2" t="inlineStr">
        <is>
          <t>鞋子</t>
        </is>
      </c>
      <c r="Q165" s="2" t="inlineStr">
        <is>
          <t>优秀/绿</t>
        </is>
      </c>
      <c r="R165" s="5" t="n">
        <v>0.85</v>
      </c>
      <c r="S165" s="2" t="n">
        <v>1</v>
      </c>
      <c r="T165" s="2" t="n">
        <v>1</v>
      </c>
      <c r="U165" s="2" t="inlineStr">
        <is>
          <t>是</t>
        </is>
      </c>
      <c r="V165" s="2" t="inlineStr">
        <is>
          <t>{"chance":0.85,"count":1,"choices":["equip_qingzhujia","equip_qingtengguan","equip_zhuyelu","equip_tayunxue","equip_jifengxue","equip_hushenfu","equip_taomupai","equip_tanmunianzhu","equip_taomujian","equip_luopan","equip_taxuema"]}</t>
        </is>
      </c>
      <c r="W165" s="3">
        <f>SUM(T161:T171)</f>
        <v>11</v>
      </c>
      <c r="X165" s="5">
        <f>R165*T165/W165</f>
        <v>0.07727272727272727</v>
      </c>
      <c r="Y165" s="6">
        <f>X165*S165</f>
        <v>0.07727272727272727</v>
      </c>
      <c r="Z165" s="2" t="inlineStr">
        <is>
          <t>个人任务</t>
        </is>
      </c>
      <c r="AA165" s="2" t="n"/>
      <c r="AB165" s="2" t="inlineStr">
        <is>
          <t>挑战者庄园</t>
        </is>
      </c>
      <c r="AC165" s="2" t="inlineStr">
        <is>
          <t>玩家进攻胜利（attacker），非撤退，返程结算发放</t>
        </is>
      </c>
      <c r="AD165" s="2" t="inlineStr">
        <is>
          <t>data/mission_templates.yaml:L951:drop_table.taozi_equipment_pool</t>
        </is>
      </c>
    </row>
    <row r="166">
      <c r="A166" s="2" t="n">
        <v>19</v>
      </c>
      <c r="B166" s="2" t="inlineStr">
        <is>
          <t>taozi_fenban</t>
        </is>
      </c>
      <c r="C166" s="2" t="inlineStr">
        <is>
          <t>我的桃子分你一半</t>
        </is>
      </c>
      <c r="D166" s="2" t="inlineStr">
        <is>
          <t>初级</t>
        </is>
      </c>
      <c r="E166" s="2" t="inlineStr">
        <is>
          <t>task1</t>
        </is>
      </c>
      <c r="F166" s="2" t="inlineStr">
        <is>
          <t>否</t>
        </is>
      </c>
      <c r="G166" s="2" t="inlineStr">
        <is>
          <t>否</t>
        </is>
      </c>
      <c r="H166" s="2" t="n">
        <v>1</v>
      </c>
      <c r="I166" s="2" t="n">
        <v>1800</v>
      </c>
      <c r="J166" s="2" t="inlineStr">
        <is>
          <t>每日开放</t>
        </is>
      </c>
      <c r="K166" s="2" t="inlineStr">
        <is>
          <t>无</t>
        </is>
      </c>
      <c r="L166" s="2" t="inlineStr">
        <is>
          <t>随机池掉落</t>
        </is>
      </c>
      <c r="M166" s="2" t="inlineStr">
        <is>
          <t>taozi_equipment_pool</t>
        </is>
      </c>
      <c r="N166" s="2" t="inlineStr">
        <is>
          <t>equip_hushenfu</t>
        </is>
      </c>
      <c r="O166" s="2" t="inlineStr">
        <is>
          <t>护身符</t>
        </is>
      </c>
      <c r="P166" s="2" t="inlineStr">
        <is>
          <t>饰品</t>
        </is>
      </c>
      <c r="Q166" s="2" t="inlineStr">
        <is>
          <t>优秀/绿</t>
        </is>
      </c>
      <c r="R166" s="5" t="n">
        <v>0.85</v>
      </c>
      <c r="S166" s="2" t="n">
        <v>1</v>
      </c>
      <c r="T166" s="2" t="n">
        <v>1</v>
      </c>
      <c r="U166" s="2" t="inlineStr">
        <is>
          <t>是</t>
        </is>
      </c>
      <c r="V166" s="2" t="inlineStr">
        <is>
          <t>{"chance":0.85,"count":1,"choices":["equip_qingzhujia","equip_qingtengguan","equip_zhuyelu","equip_tayunxue","equip_jifengxue","equip_hushenfu","equip_taomupai","equip_tanmunianzhu","equip_taomujian","equip_luopan","equip_taxuema"]}</t>
        </is>
      </c>
      <c r="W166" s="3">
        <f>SUM(T161:T171)</f>
        <v>11</v>
      </c>
      <c r="X166" s="5">
        <f>R166*T166/W166</f>
        <v>0.07727272727272727</v>
      </c>
      <c r="Y166" s="6">
        <f>X166*S166</f>
        <v>0.07727272727272727</v>
      </c>
      <c r="Z166" s="2" t="inlineStr">
        <is>
          <t>个人任务</t>
        </is>
      </c>
      <c r="AA166" s="2" t="n"/>
      <c r="AB166" s="2" t="inlineStr">
        <is>
          <t>挑战者庄园</t>
        </is>
      </c>
      <c r="AC166" s="2" t="inlineStr">
        <is>
          <t>玩家进攻胜利（attacker），非撤退，返程结算发放</t>
        </is>
      </c>
      <c r="AD166" s="2" t="inlineStr">
        <is>
          <t>data/mission_templates.yaml:L951:drop_table.taozi_equipment_pool</t>
        </is>
      </c>
    </row>
    <row r="167">
      <c r="A167" s="2" t="n">
        <v>19</v>
      </c>
      <c r="B167" s="2" t="inlineStr">
        <is>
          <t>taozi_fenban</t>
        </is>
      </c>
      <c r="C167" s="2" t="inlineStr">
        <is>
          <t>我的桃子分你一半</t>
        </is>
      </c>
      <c r="D167" s="2" t="inlineStr">
        <is>
          <t>初级</t>
        </is>
      </c>
      <c r="E167" s="2" t="inlineStr">
        <is>
          <t>task1</t>
        </is>
      </c>
      <c r="F167" s="2" t="inlineStr">
        <is>
          <t>否</t>
        </is>
      </c>
      <c r="G167" s="2" t="inlineStr">
        <is>
          <t>否</t>
        </is>
      </c>
      <c r="H167" s="2" t="n">
        <v>1</v>
      </c>
      <c r="I167" s="2" t="n">
        <v>1800</v>
      </c>
      <c r="J167" s="2" t="inlineStr">
        <is>
          <t>每日开放</t>
        </is>
      </c>
      <c r="K167" s="2" t="inlineStr">
        <is>
          <t>无</t>
        </is>
      </c>
      <c r="L167" s="2" t="inlineStr">
        <is>
          <t>随机池掉落</t>
        </is>
      </c>
      <c r="M167" s="2" t="inlineStr">
        <is>
          <t>taozi_equipment_pool</t>
        </is>
      </c>
      <c r="N167" s="2" t="inlineStr">
        <is>
          <t>equip_taomupai</t>
        </is>
      </c>
      <c r="O167" s="2" t="inlineStr">
        <is>
          <t>桃木牌</t>
        </is>
      </c>
      <c r="P167" s="2" t="inlineStr">
        <is>
          <t>饰品</t>
        </is>
      </c>
      <c r="Q167" s="2" t="inlineStr">
        <is>
          <t>优秀/绿</t>
        </is>
      </c>
      <c r="R167" s="5" t="n">
        <v>0.85</v>
      </c>
      <c r="S167" s="2" t="n">
        <v>1</v>
      </c>
      <c r="T167" s="2" t="n">
        <v>1</v>
      </c>
      <c r="U167" s="2" t="inlineStr">
        <is>
          <t>是</t>
        </is>
      </c>
      <c r="V167" s="2" t="inlineStr">
        <is>
          <t>{"chance":0.85,"count":1,"choices":["equip_qingzhujia","equip_qingtengguan","equip_zhuyelu","equip_tayunxue","equip_jifengxue","equip_hushenfu","equip_taomupai","equip_tanmunianzhu","equip_taomujian","equip_luopan","equip_taxuema"]}</t>
        </is>
      </c>
      <c r="W167" s="3">
        <f>SUM(T161:T171)</f>
        <v>11</v>
      </c>
      <c r="X167" s="5">
        <f>R167*T167/W167</f>
        <v>0.07727272727272727</v>
      </c>
      <c r="Y167" s="6">
        <f>X167*S167</f>
        <v>0.07727272727272727</v>
      </c>
      <c r="Z167" s="2" t="inlineStr">
        <is>
          <t>个人任务</t>
        </is>
      </c>
      <c r="AA167" s="2" t="n"/>
      <c r="AB167" s="2" t="inlineStr">
        <is>
          <t>挑战者庄园</t>
        </is>
      </c>
      <c r="AC167" s="2" t="inlineStr">
        <is>
          <t>玩家进攻胜利（attacker），非撤退，返程结算发放</t>
        </is>
      </c>
      <c r="AD167" s="2" t="inlineStr">
        <is>
          <t>data/mission_templates.yaml:L951:drop_table.taozi_equipment_pool</t>
        </is>
      </c>
    </row>
    <row r="168">
      <c r="A168" s="2" t="n">
        <v>19</v>
      </c>
      <c r="B168" s="2" t="inlineStr">
        <is>
          <t>taozi_fenban</t>
        </is>
      </c>
      <c r="C168" s="2" t="inlineStr">
        <is>
          <t>我的桃子分你一半</t>
        </is>
      </c>
      <c r="D168" s="2" t="inlineStr">
        <is>
          <t>初级</t>
        </is>
      </c>
      <c r="E168" s="2" t="inlineStr">
        <is>
          <t>task1</t>
        </is>
      </c>
      <c r="F168" s="2" t="inlineStr">
        <is>
          <t>否</t>
        </is>
      </c>
      <c r="G168" s="2" t="inlineStr">
        <is>
          <t>否</t>
        </is>
      </c>
      <c r="H168" s="2" t="n">
        <v>1</v>
      </c>
      <c r="I168" s="2" t="n">
        <v>1800</v>
      </c>
      <c r="J168" s="2" t="inlineStr">
        <is>
          <t>每日开放</t>
        </is>
      </c>
      <c r="K168" s="2" t="inlineStr">
        <is>
          <t>无</t>
        </is>
      </c>
      <c r="L168" s="2" t="inlineStr">
        <is>
          <t>随机池掉落</t>
        </is>
      </c>
      <c r="M168" s="2" t="inlineStr">
        <is>
          <t>taozi_equipment_pool</t>
        </is>
      </c>
      <c r="N168" s="2" t="inlineStr">
        <is>
          <t>equip_tanmunianzhu</t>
        </is>
      </c>
      <c r="O168" s="2" t="inlineStr">
        <is>
          <t>檀木念珠</t>
        </is>
      </c>
      <c r="P168" s="2" t="inlineStr">
        <is>
          <t>饰品</t>
        </is>
      </c>
      <c r="Q168" s="2" t="inlineStr">
        <is>
          <t>优秀/绿</t>
        </is>
      </c>
      <c r="R168" s="5" t="n">
        <v>0.85</v>
      </c>
      <c r="S168" s="2" t="n">
        <v>1</v>
      </c>
      <c r="T168" s="2" t="n">
        <v>1</v>
      </c>
      <c r="U168" s="2" t="inlineStr">
        <is>
          <t>是</t>
        </is>
      </c>
      <c r="V168" s="2" t="inlineStr">
        <is>
          <t>{"chance":0.85,"count":1,"choices":["equip_qingzhujia","equip_qingtengguan","equip_zhuyelu","equip_tayunxue","equip_jifengxue","equip_hushenfu","equip_taomupai","equip_tanmunianzhu","equip_taomujian","equip_luopan","equip_taxuema"]}</t>
        </is>
      </c>
      <c r="W168" s="3">
        <f>SUM(T161:T171)</f>
        <v>11</v>
      </c>
      <c r="X168" s="5">
        <f>R168*T168/W168</f>
        <v>0.07727272727272727</v>
      </c>
      <c r="Y168" s="6">
        <f>X168*S168</f>
        <v>0.07727272727272727</v>
      </c>
      <c r="Z168" s="2" t="inlineStr">
        <is>
          <t>个人任务</t>
        </is>
      </c>
      <c r="AA168" s="2" t="n"/>
      <c r="AB168" s="2" t="inlineStr">
        <is>
          <t>挑战者庄园</t>
        </is>
      </c>
      <c r="AC168" s="2" t="inlineStr">
        <is>
          <t>玩家进攻胜利（attacker），非撤退，返程结算发放</t>
        </is>
      </c>
      <c r="AD168" s="2" t="inlineStr">
        <is>
          <t>data/mission_templates.yaml:L951:drop_table.taozi_equipment_pool</t>
        </is>
      </c>
    </row>
    <row r="169">
      <c r="A169" s="2" t="n">
        <v>19</v>
      </c>
      <c r="B169" s="2" t="inlineStr">
        <is>
          <t>taozi_fenban</t>
        </is>
      </c>
      <c r="C169" s="2" t="inlineStr">
        <is>
          <t>我的桃子分你一半</t>
        </is>
      </c>
      <c r="D169" s="2" t="inlineStr">
        <is>
          <t>初级</t>
        </is>
      </c>
      <c r="E169" s="2" t="inlineStr">
        <is>
          <t>task1</t>
        </is>
      </c>
      <c r="F169" s="2" t="inlineStr">
        <is>
          <t>否</t>
        </is>
      </c>
      <c r="G169" s="2" t="inlineStr">
        <is>
          <t>否</t>
        </is>
      </c>
      <c r="H169" s="2" t="n">
        <v>1</v>
      </c>
      <c r="I169" s="2" t="n">
        <v>1800</v>
      </c>
      <c r="J169" s="2" t="inlineStr">
        <is>
          <t>每日开放</t>
        </is>
      </c>
      <c r="K169" s="2" t="inlineStr">
        <is>
          <t>无</t>
        </is>
      </c>
      <c r="L169" s="2" t="inlineStr">
        <is>
          <t>随机池掉落</t>
        </is>
      </c>
      <c r="M169" s="2" t="inlineStr">
        <is>
          <t>taozi_equipment_pool</t>
        </is>
      </c>
      <c r="N169" s="2" t="inlineStr">
        <is>
          <t>equip_taomujian</t>
        </is>
      </c>
      <c r="O169" s="2" t="inlineStr">
        <is>
          <t>桃木剑</t>
        </is>
      </c>
      <c r="P169" s="2" t="inlineStr">
        <is>
          <t>饰品</t>
        </is>
      </c>
      <c r="Q169" s="2" t="inlineStr">
        <is>
          <t>优秀/绿</t>
        </is>
      </c>
      <c r="R169" s="5" t="n">
        <v>0.85</v>
      </c>
      <c r="S169" s="2" t="n">
        <v>1</v>
      </c>
      <c r="T169" s="2" t="n">
        <v>1</v>
      </c>
      <c r="U169" s="2" t="inlineStr">
        <is>
          <t>是</t>
        </is>
      </c>
      <c r="V169" s="2" t="inlineStr">
        <is>
          <t>{"chance":0.85,"count":1,"choices":["equip_qingzhujia","equip_qingtengguan","equip_zhuyelu","equip_tayunxue","equip_jifengxue","equip_hushenfu","equip_taomupai","equip_tanmunianzhu","equip_taomujian","equip_luopan","equip_taxuema"]}</t>
        </is>
      </c>
      <c r="W169" s="3">
        <f>SUM(T161:T171)</f>
        <v>11</v>
      </c>
      <c r="X169" s="5">
        <f>R169*T169/W169</f>
        <v>0.07727272727272727</v>
      </c>
      <c r="Y169" s="6">
        <f>X169*S169</f>
        <v>0.07727272727272727</v>
      </c>
      <c r="Z169" s="2" t="inlineStr">
        <is>
          <t>个人任务</t>
        </is>
      </c>
      <c r="AA169" s="2" t="n"/>
      <c r="AB169" s="2" t="inlineStr">
        <is>
          <t>挑战者庄园</t>
        </is>
      </c>
      <c r="AC169" s="2" t="inlineStr">
        <is>
          <t>玩家进攻胜利（attacker），非撤退，返程结算发放</t>
        </is>
      </c>
      <c r="AD169" s="2" t="inlineStr">
        <is>
          <t>data/mission_templates.yaml:L951:drop_table.taozi_equipment_pool</t>
        </is>
      </c>
    </row>
    <row r="170">
      <c r="A170" s="2" t="n">
        <v>19</v>
      </c>
      <c r="B170" s="2" t="inlineStr">
        <is>
          <t>taozi_fenban</t>
        </is>
      </c>
      <c r="C170" s="2" t="inlineStr">
        <is>
          <t>我的桃子分你一半</t>
        </is>
      </c>
      <c r="D170" s="2" t="inlineStr">
        <is>
          <t>初级</t>
        </is>
      </c>
      <c r="E170" s="2" t="inlineStr">
        <is>
          <t>task1</t>
        </is>
      </c>
      <c r="F170" s="2" t="inlineStr">
        <is>
          <t>否</t>
        </is>
      </c>
      <c r="G170" s="2" t="inlineStr">
        <is>
          <t>否</t>
        </is>
      </c>
      <c r="H170" s="2" t="n">
        <v>1</v>
      </c>
      <c r="I170" s="2" t="n">
        <v>1800</v>
      </c>
      <c r="J170" s="2" t="inlineStr">
        <is>
          <t>每日开放</t>
        </is>
      </c>
      <c r="K170" s="2" t="inlineStr">
        <is>
          <t>无</t>
        </is>
      </c>
      <c r="L170" s="2" t="inlineStr">
        <is>
          <t>随机池掉落</t>
        </is>
      </c>
      <c r="M170" s="2" t="inlineStr">
        <is>
          <t>taozi_equipment_pool</t>
        </is>
      </c>
      <c r="N170" s="2" t="inlineStr">
        <is>
          <t>equip_luopan</t>
        </is>
      </c>
      <c r="O170" s="2" t="inlineStr">
        <is>
          <t>罗盘</t>
        </is>
      </c>
      <c r="P170" s="2" t="inlineStr">
        <is>
          <t>饰品</t>
        </is>
      </c>
      <c r="Q170" s="2" t="inlineStr">
        <is>
          <t>优秀/绿</t>
        </is>
      </c>
      <c r="R170" s="5" t="n">
        <v>0.85</v>
      </c>
      <c r="S170" s="2" t="n">
        <v>1</v>
      </c>
      <c r="T170" s="2" t="n">
        <v>1</v>
      </c>
      <c r="U170" s="2" t="inlineStr">
        <is>
          <t>是</t>
        </is>
      </c>
      <c r="V170" s="2" t="inlineStr">
        <is>
          <t>{"chance":0.85,"count":1,"choices":["equip_qingzhujia","equip_qingtengguan","equip_zhuyelu","equip_tayunxue","equip_jifengxue","equip_hushenfu","equip_taomupai","equip_tanmunianzhu","equip_taomujian","equip_luopan","equip_taxuema"]}</t>
        </is>
      </c>
      <c r="W170" s="3">
        <f>SUM(T161:T171)</f>
        <v>11</v>
      </c>
      <c r="X170" s="5">
        <f>R170*T170/W170</f>
        <v>0.07727272727272727</v>
      </c>
      <c r="Y170" s="6">
        <f>X170*S170</f>
        <v>0.07727272727272727</v>
      </c>
      <c r="Z170" s="2" t="inlineStr">
        <is>
          <t>个人任务</t>
        </is>
      </c>
      <c r="AA170" s="2" t="n"/>
      <c r="AB170" s="2" t="inlineStr">
        <is>
          <t>挑战者庄园</t>
        </is>
      </c>
      <c r="AC170" s="2" t="inlineStr">
        <is>
          <t>玩家进攻胜利（attacker），非撤退，返程结算发放</t>
        </is>
      </c>
      <c r="AD170" s="2" t="inlineStr">
        <is>
          <t>data/mission_templates.yaml:L951:drop_table.taozi_equipment_pool</t>
        </is>
      </c>
    </row>
    <row r="171">
      <c r="A171" s="2" t="n">
        <v>19</v>
      </c>
      <c r="B171" s="2" t="inlineStr">
        <is>
          <t>taozi_fenban</t>
        </is>
      </c>
      <c r="C171" s="2" t="inlineStr">
        <is>
          <t>我的桃子分你一半</t>
        </is>
      </c>
      <c r="D171" s="2" t="inlineStr">
        <is>
          <t>初级</t>
        </is>
      </c>
      <c r="E171" s="2" t="inlineStr">
        <is>
          <t>task1</t>
        </is>
      </c>
      <c r="F171" s="2" t="inlineStr">
        <is>
          <t>否</t>
        </is>
      </c>
      <c r="G171" s="2" t="inlineStr">
        <is>
          <t>否</t>
        </is>
      </c>
      <c r="H171" s="2" t="n">
        <v>1</v>
      </c>
      <c r="I171" s="2" t="n">
        <v>1800</v>
      </c>
      <c r="J171" s="2" t="inlineStr">
        <is>
          <t>每日开放</t>
        </is>
      </c>
      <c r="K171" s="2" t="inlineStr">
        <is>
          <t>无</t>
        </is>
      </c>
      <c r="L171" s="2" t="inlineStr">
        <is>
          <t>随机池掉落</t>
        </is>
      </c>
      <c r="M171" s="2" t="inlineStr">
        <is>
          <t>taozi_equipment_pool</t>
        </is>
      </c>
      <c r="N171" s="2" t="inlineStr">
        <is>
          <t>equip_taxuema</t>
        </is>
      </c>
      <c r="O171" s="2" t="inlineStr">
        <is>
          <t>踏雪马</t>
        </is>
      </c>
      <c r="P171" s="2" t="inlineStr">
        <is>
          <t>坐骑</t>
        </is>
      </c>
      <c r="Q171" s="2" t="inlineStr">
        <is>
          <t>优秀/绿</t>
        </is>
      </c>
      <c r="R171" s="5" t="n">
        <v>0.85</v>
      </c>
      <c r="S171" s="2" t="n">
        <v>1</v>
      </c>
      <c r="T171" s="2" t="n">
        <v>1</v>
      </c>
      <c r="U171" s="2" t="inlineStr">
        <is>
          <t>是</t>
        </is>
      </c>
      <c r="V171" s="2" t="inlineStr">
        <is>
          <t>{"chance":0.85,"count":1,"choices":["equip_qingzhujia","equip_qingtengguan","equip_zhuyelu","equip_tayunxue","equip_jifengxue","equip_hushenfu","equip_taomupai","equip_tanmunianzhu","equip_taomujian","equip_luopan","equip_taxuema"]}</t>
        </is>
      </c>
      <c r="W171" s="3">
        <f>SUM(T161:T171)</f>
        <v>11</v>
      </c>
      <c r="X171" s="5">
        <f>R171*T171/W171</f>
        <v>0.07727272727272727</v>
      </c>
      <c r="Y171" s="6">
        <f>X171*S171</f>
        <v>0.07727272727272727</v>
      </c>
      <c r="Z171" s="2" t="inlineStr">
        <is>
          <t>个人任务</t>
        </is>
      </c>
      <c r="AA171" s="2" t="n"/>
      <c r="AB171" s="2" t="inlineStr">
        <is>
          <t>挑战者庄园</t>
        </is>
      </c>
      <c r="AC171" s="2" t="inlineStr">
        <is>
          <t>玩家进攻胜利（attacker），非撤退，返程结算发放</t>
        </is>
      </c>
      <c r="AD171" s="2" t="inlineStr">
        <is>
          <t>data/mission_templates.yaml:L951:drop_table.taozi_equipment_pool</t>
        </is>
      </c>
    </row>
    <row r="172">
      <c r="A172" s="2" t="n">
        <v>20</v>
      </c>
      <c r="B172" s="2" t="inlineStr">
        <is>
          <t>simian_chuge</t>
        </is>
      </c>
      <c r="C172" s="2" t="inlineStr">
        <is>
          <t>四面楚歌</t>
        </is>
      </c>
      <c r="D172" s="2" t="inlineStr">
        <is>
          <t>高级</t>
        </is>
      </c>
      <c r="E172" s="2" t="inlineStr">
        <is>
          <t>task1</t>
        </is>
      </c>
      <c r="F172" s="2" t="inlineStr">
        <is>
          <t>否</t>
        </is>
      </c>
      <c r="G172" s="2" t="inlineStr">
        <is>
          <t>否</t>
        </is>
      </c>
      <c r="H172" s="2" t="n">
        <v>3</v>
      </c>
      <c r="I172" s="2" t="n">
        <v>1800</v>
      </c>
      <c r="J172" s="2" t="inlineStr">
        <is>
          <t>每日开放</t>
        </is>
      </c>
      <c r="K172" s="2" t="inlineStr">
        <is>
          <t>无</t>
        </is>
      </c>
      <c r="L172" s="2" t="inlineStr">
        <is>
          <t>固定掉落</t>
        </is>
      </c>
      <c r="M172" s="2" t="inlineStr">
        <is>
          <t>silver</t>
        </is>
      </c>
      <c r="N172" s="2" t="inlineStr">
        <is>
          <t>silver</t>
        </is>
      </c>
      <c r="O172" s="2" t="inlineStr">
        <is>
          <t>银两</t>
        </is>
      </c>
      <c r="P172" s="2" t="inlineStr">
        <is>
          <t>资源</t>
        </is>
      </c>
      <c r="Q172" s="2" t="inlineStr">
        <is>
          <t>资源</t>
        </is>
      </c>
      <c r="R172" s="5" t="n">
        <v>1</v>
      </c>
      <c r="S172" s="2" t="n">
        <v>50000</v>
      </c>
      <c r="T172" s="2" t="n"/>
      <c r="U172" s="2" t="inlineStr">
        <is>
          <t>否</t>
        </is>
      </c>
      <c r="V172" s="2" t="inlineStr">
        <is>
          <t>50000</t>
        </is>
      </c>
      <c r="W172" s="2" t="n"/>
      <c r="X172" s="5">
        <f>R172</f>
        <v>1</v>
      </c>
      <c r="Y172" s="6">
        <f>X172*S172</f>
        <v>50000</v>
      </c>
      <c r="Z172" s="2" t="inlineStr">
        <is>
          <t>个人任务</t>
        </is>
      </c>
      <c r="AA172" s="2" t="n"/>
      <c r="AB172" s="2" t="inlineStr">
        <is>
          <t>挑战者庄园</t>
        </is>
      </c>
      <c r="AC172" s="2" t="inlineStr">
        <is>
          <t>玩家进攻胜利（attacker），非撤退，返程结算发放</t>
        </is>
      </c>
      <c r="AD172" s="2" t="inlineStr">
        <is>
          <t>data/mission_templates.yaml:L1007:drop_table.silver</t>
        </is>
      </c>
    </row>
    <row r="173">
      <c r="A173" s="2" t="n">
        <v>20</v>
      </c>
      <c r="B173" s="2" t="inlineStr">
        <is>
          <t>simian_chuge</t>
        </is>
      </c>
      <c r="C173" s="2" t="inlineStr">
        <is>
          <t>四面楚歌</t>
        </is>
      </c>
      <c r="D173" s="2" t="inlineStr">
        <is>
          <t>高级</t>
        </is>
      </c>
      <c r="E173" s="2" t="inlineStr">
        <is>
          <t>task1</t>
        </is>
      </c>
      <c r="F173" s="2" t="inlineStr">
        <is>
          <t>否</t>
        </is>
      </c>
      <c r="G173" s="2" t="inlineStr">
        <is>
          <t>否</t>
        </is>
      </c>
      <c r="H173" s="2" t="n">
        <v>3</v>
      </c>
      <c r="I173" s="2" t="n">
        <v>1800</v>
      </c>
      <c r="J173" s="2" t="inlineStr">
        <is>
          <t>每日开放</t>
        </is>
      </c>
      <c r="K173" s="2" t="inlineStr">
        <is>
          <t>无</t>
        </is>
      </c>
      <c r="L173" s="2" t="inlineStr">
        <is>
          <t>概率掉落</t>
        </is>
      </c>
      <c r="M173" s="2" t="inlineStr">
        <is>
          <t>equip_wuzhuima</t>
        </is>
      </c>
      <c r="N173" s="2" t="inlineStr">
        <is>
          <t>equip_wuzhuima</t>
        </is>
      </c>
      <c r="O173" s="2" t="inlineStr">
        <is>
          <t>乌骓马</t>
        </is>
      </c>
      <c r="P173" s="2" t="inlineStr">
        <is>
          <t>坐骑</t>
        </is>
      </c>
      <c r="Q173" s="2" t="inlineStr">
        <is>
          <t>史诗/紫</t>
        </is>
      </c>
      <c r="R173" s="5" t="n">
        <v>0.5</v>
      </c>
      <c r="S173" s="2" t="n">
        <v>1</v>
      </c>
      <c r="T173" s="2" t="n"/>
      <c r="U173" s="2" t="inlineStr">
        <is>
          <t>否</t>
        </is>
      </c>
      <c r="V173" s="2" t="inlineStr">
        <is>
          <t>0.5</t>
        </is>
      </c>
      <c r="W173" s="2" t="n"/>
      <c r="X173" s="5">
        <f>R173</f>
        <v>0.5</v>
      </c>
      <c r="Y173" s="6">
        <f>X173*S173</f>
        <v>0.5</v>
      </c>
      <c r="Z173" s="2" t="inlineStr">
        <is>
          <t>个人任务</t>
        </is>
      </c>
      <c r="AA173" s="2" t="n"/>
      <c r="AB173" s="2" t="inlineStr">
        <is>
          <t>挑战者庄园</t>
        </is>
      </c>
      <c r="AC173" s="2" t="inlineStr">
        <is>
          <t>玩家进攻胜利（attacker），非撤退，返程结算发放</t>
        </is>
      </c>
      <c r="AD173" s="2" t="inlineStr">
        <is>
          <t>data/mission_templates.yaml:L1007:drop_table.equip_wuzhuima</t>
        </is>
      </c>
    </row>
    <row r="174">
      <c r="A174" s="2" t="n">
        <v>20</v>
      </c>
      <c r="B174" s="2" t="inlineStr">
        <is>
          <t>simian_chuge</t>
        </is>
      </c>
      <c r="C174" s="2" t="inlineStr">
        <is>
          <t>四面楚歌</t>
        </is>
      </c>
      <c r="D174" s="2" t="inlineStr">
        <is>
          <t>高级</t>
        </is>
      </c>
      <c r="E174" s="2" t="inlineStr">
        <is>
          <t>task1</t>
        </is>
      </c>
      <c r="F174" s="2" t="inlineStr">
        <is>
          <t>否</t>
        </is>
      </c>
      <c r="G174" s="2" t="inlineStr">
        <is>
          <t>否</t>
        </is>
      </c>
      <c r="H174" s="2" t="n">
        <v>3</v>
      </c>
      <c r="I174" s="2" t="n">
        <v>1800</v>
      </c>
      <c r="J174" s="2" t="inlineStr">
        <is>
          <t>每日开放</t>
        </is>
      </c>
      <c r="K174" s="2" t="inlineStr">
        <is>
          <t>无</t>
        </is>
      </c>
      <c r="L174" s="2" t="inlineStr">
        <is>
          <t>概率掉落</t>
        </is>
      </c>
      <c r="M174" s="2" t="inlineStr">
        <is>
          <t>equip_bawangqiang</t>
        </is>
      </c>
      <c r="N174" s="2" t="inlineStr">
        <is>
          <t>equip_bawangqiang</t>
        </is>
      </c>
      <c r="O174" s="2" t="inlineStr">
        <is>
          <t>霸王枪</t>
        </is>
      </c>
      <c r="P174" s="2" t="inlineStr">
        <is>
          <t>武器</t>
        </is>
      </c>
      <c r="Q174" s="2" t="inlineStr">
        <is>
          <t>史诗/紫</t>
        </is>
      </c>
      <c r="R174" s="5" t="n">
        <v>0.1</v>
      </c>
      <c r="S174" s="2" t="n">
        <v>1</v>
      </c>
      <c r="T174" s="2" t="n"/>
      <c r="U174" s="2" t="inlineStr">
        <is>
          <t>否</t>
        </is>
      </c>
      <c r="V174" s="2" t="inlineStr">
        <is>
          <t>0.1</t>
        </is>
      </c>
      <c r="W174" s="2" t="n"/>
      <c r="X174" s="5">
        <f>R174</f>
        <v>0.1</v>
      </c>
      <c r="Y174" s="6">
        <f>X174*S174</f>
        <v>0.1</v>
      </c>
      <c r="Z174" s="2" t="inlineStr">
        <is>
          <t>个人任务</t>
        </is>
      </c>
      <c r="AA174" s="2" t="n"/>
      <c r="AB174" s="2" t="inlineStr">
        <is>
          <t>挑战者庄园</t>
        </is>
      </c>
      <c r="AC174" s="2" t="inlineStr">
        <is>
          <t>玩家进攻胜利（attacker），非撤退，返程结算发放</t>
        </is>
      </c>
      <c r="AD174" s="2" t="inlineStr">
        <is>
          <t>data/mission_templates.yaml:L1007:drop_table.equip_bawangqiang</t>
        </is>
      </c>
    </row>
    <row r="175">
      <c r="A175" s="2" t="n">
        <v>20</v>
      </c>
      <c r="B175" s="2" t="inlineStr">
        <is>
          <t>simian_chuge</t>
        </is>
      </c>
      <c r="C175" s="2" t="inlineStr">
        <is>
          <t>四面楚歌</t>
        </is>
      </c>
      <c r="D175" s="2" t="inlineStr">
        <is>
          <t>高级</t>
        </is>
      </c>
      <c r="E175" s="2" t="inlineStr">
        <is>
          <t>task1</t>
        </is>
      </c>
      <c r="F175" s="2" t="inlineStr">
        <is>
          <t>否</t>
        </is>
      </c>
      <c r="G175" s="2" t="inlineStr">
        <is>
          <t>否</t>
        </is>
      </c>
      <c r="H175" s="2" t="n">
        <v>3</v>
      </c>
      <c r="I175" s="2" t="n">
        <v>1800</v>
      </c>
      <c r="J175" s="2" t="inlineStr">
        <is>
          <t>每日开放</t>
        </is>
      </c>
      <c r="K175" s="2" t="inlineStr">
        <is>
          <t>无</t>
        </is>
      </c>
      <c r="L175" s="2" t="inlineStr">
        <is>
          <t>固定掉落</t>
        </is>
      </c>
      <c r="M175" s="2" t="inlineStr">
        <is>
          <t>experience_watermelon</t>
        </is>
      </c>
      <c r="N175" s="2" t="inlineStr">
        <is>
          <t>experience_watermelon</t>
        </is>
      </c>
      <c r="O175" s="2" t="inlineStr">
        <is>
          <t>经验西瓜</t>
        </is>
      </c>
      <c r="P175" s="2" t="inlineStr">
        <is>
          <t>经验道具</t>
        </is>
      </c>
      <c r="Q175" s="2" t="inlineStr">
        <is>
          <t>史诗/紫</t>
        </is>
      </c>
      <c r="R175" s="5" t="n">
        <v>1</v>
      </c>
      <c r="S175" s="2" t="n">
        <v>2</v>
      </c>
      <c r="T175" s="2" t="n"/>
      <c r="U175" s="2" t="inlineStr">
        <is>
          <t>否</t>
        </is>
      </c>
      <c r="V175" s="2" t="inlineStr">
        <is>
          <t>2</t>
        </is>
      </c>
      <c r="W175" s="2" t="n"/>
      <c r="X175" s="5">
        <f>R175</f>
        <v>1</v>
      </c>
      <c r="Y175" s="6">
        <f>X175*S175</f>
        <v>2</v>
      </c>
      <c r="Z175" s="2" t="inlineStr">
        <is>
          <t>个人任务</t>
        </is>
      </c>
      <c r="AA175" s="2" t="n"/>
      <c r="AB175" s="2" t="inlineStr">
        <is>
          <t>挑战者庄园</t>
        </is>
      </c>
      <c r="AC175" s="2" t="inlineStr">
        <is>
          <t>玩家进攻胜利（attacker），非撤退，返程结算发放</t>
        </is>
      </c>
      <c r="AD175" s="2" t="inlineStr">
        <is>
          <t>data/mission_templates.yaml:L1007:drop_table.experience_watermelon</t>
        </is>
      </c>
    </row>
    <row r="176">
      <c r="A176" s="2" t="n">
        <v>20</v>
      </c>
      <c r="B176" s="2" t="inlineStr">
        <is>
          <t>simian_chuge</t>
        </is>
      </c>
      <c r="C176" s="2" t="inlineStr">
        <is>
          <t>四面楚歌</t>
        </is>
      </c>
      <c r="D176" s="2" t="inlineStr">
        <is>
          <t>高级</t>
        </is>
      </c>
      <c r="E176" s="2" t="inlineStr">
        <is>
          <t>task1</t>
        </is>
      </c>
      <c r="F176" s="2" t="inlineStr">
        <is>
          <t>否</t>
        </is>
      </c>
      <c r="G176" s="2" t="inlineStr">
        <is>
          <t>否</t>
        </is>
      </c>
      <c r="H176" s="2" t="n">
        <v>3</v>
      </c>
      <c r="I176" s="2" t="n">
        <v>1800</v>
      </c>
      <c r="J176" s="2" t="inlineStr">
        <is>
          <t>每日开放</t>
        </is>
      </c>
      <c r="K176" s="2" t="inlineStr">
        <is>
          <t>无</t>
        </is>
      </c>
      <c r="L176" s="2" t="inlineStr">
        <is>
          <t>概率掉落</t>
        </is>
      </c>
      <c r="M176" s="2" t="inlineStr">
        <is>
          <t>passive_skill_book_box</t>
        </is>
      </c>
      <c r="N176" s="2" t="inlineStr">
        <is>
          <t>passive_skill_book_box</t>
        </is>
      </c>
      <c r="O176" s="2" t="inlineStr">
        <is>
          <t>被动技能宝箱</t>
        </is>
      </c>
      <c r="P176" s="2" t="inlineStr">
        <is>
          <t>宝箱</t>
        </is>
      </c>
      <c r="Q176" s="2" t="inlineStr">
        <is>
          <t>史诗/紫</t>
        </is>
      </c>
      <c r="R176" s="5" t="n">
        <v>0.06</v>
      </c>
      <c r="S176" s="2" t="n">
        <v>1</v>
      </c>
      <c r="T176" s="2" t="n"/>
      <c r="U176" s="2" t="inlineStr">
        <is>
          <t>否</t>
        </is>
      </c>
      <c r="V176" s="2" t="inlineStr">
        <is>
          <t>0.06</t>
        </is>
      </c>
      <c r="W176" s="2" t="n"/>
      <c r="X176" s="5">
        <f>R176</f>
        <v>0.06</v>
      </c>
      <c r="Y176" s="6">
        <f>X176*S176</f>
        <v>0.06</v>
      </c>
      <c r="Z176" s="2" t="inlineStr">
        <is>
          <t>个人任务</t>
        </is>
      </c>
      <c r="AA176" s="2" t="n"/>
      <c r="AB176" s="2" t="inlineStr">
        <is>
          <t>挑战者庄园</t>
        </is>
      </c>
      <c r="AC176" s="2" t="inlineStr">
        <is>
          <t>玩家进攻胜利（attacker），非撤退，返程结算发放</t>
        </is>
      </c>
      <c r="AD176" s="2" t="inlineStr">
        <is>
          <t>data/mission_templates.yaml:L1007:drop_table.passive_skill_book_box</t>
        </is>
      </c>
    </row>
    <row r="177">
      <c r="A177" s="2" t="n">
        <v>21</v>
      </c>
      <c r="B177" s="2" t="inlineStr">
        <is>
          <t>manzu_ruqin</t>
        </is>
      </c>
      <c r="C177" s="2" t="inlineStr">
        <is>
          <t>蛮族入侵</t>
        </is>
      </c>
      <c r="D177" s="2" t="inlineStr">
        <is>
          <t>高级</t>
        </is>
      </c>
      <c r="E177" s="2" t="inlineStr">
        <is>
          <t>task1</t>
        </is>
      </c>
      <c r="F177" s="2" t="inlineStr">
        <is>
          <t>是</t>
        </is>
      </c>
      <c r="G177" s="2" t="inlineStr">
        <is>
          <t>否</t>
        </is>
      </c>
      <c r="H177" s="2" t="n">
        <v>3</v>
      </c>
      <c r="I177" s="2" t="n">
        <v>1800</v>
      </c>
      <c r="J177" s="2" t="inlineStr">
        <is>
          <t>每日开放</t>
        </is>
      </c>
      <c r="K177" s="2" t="inlineStr">
        <is>
          <t>无</t>
        </is>
      </c>
      <c r="L177" s="2" t="inlineStr">
        <is>
          <t>固定掉落</t>
        </is>
      </c>
      <c r="M177" s="2" t="inlineStr">
        <is>
          <t>silver</t>
        </is>
      </c>
      <c r="N177" s="2" t="inlineStr">
        <is>
          <t>silver</t>
        </is>
      </c>
      <c r="O177" s="2" t="inlineStr">
        <is>
          <t>银两</t>
        </is>
      </c>
      <c r="P177" s="2" t="inlineStr">
        <is>
          <t>资源</t>
        </is>
      </c>
      <c r="Q177" s="2" t="inlineStr">
        <is>
          <t>资源</t>
        </is>
      </c>
      <c r="R177" s="5" t="n">
        <v>1</v>
      </c>
      <c r="S177" s="2" t="n">
        <v>50000</v>
      </c>
      <c r="T177" s="2" t="n"/>
      <c r="U177" s="2" t="inlineStr">
        <is>
          <t>否</t>
        </is>
      </c>
      <c r="V177" s="2" t="inlineStr">
        <is>
          <t>50000</t>
        </is>
      </c>
      <c r="W177" s="2" t="n"/>
      <c r="X177" s="5">
        <f>R177</f>
        <v>1</v>
      </c>
      <c r="Y177" s="6">
        <f>X177*S177</f>
        <v>50000</v>
      </c>
      <c r="Z177" s="2" t="inlineStr">
        <is>
          <t>个人任务</t>
        </is>
      </c>
      <c r="AA177" s="2" t="n"/>
      <c r="AB177" s="2" t="inlineStr">
        <is>
          <t>挑战者庄园</t>
        </is>
      </c>
      <c r="AC177" s="2" t="inlineStr">
        <is>
          <t>玩家防守胜利（defender），非撤退，返程结算发放</t>
        </is>
      </c>
      <c r="AD177" s="2" t="inlineStr">
        <is>
          <t>data/mission_templates.yaml:L1046:drop_table.silver</t>
        </is>
      </c>
    </row>
    <row r="178">
      <c r="A178" s="2" t="n">
        <v>21</v>
      </c>
      <c r="B178" s="2" t="inlineStr">
        <is>
          <t>manzu_ruqin</t>
        </is>
      </c>
      <c r="C178" s="2" t="inlineStr">
        <is>
          <t>蛮族入侵</t>
        </is>
      </c>
      <c r="D178" s="2" t="inlineStr">
        <is>
          <t>高级</t>
        </is>
      </c>
      <c r="E178" s="2" t="inlineStr">
        <is>
          <t>task1</t>
        </is>
      </c>
      <c r="F178" s="2" t="inlineStr">
        <is>
          <t>是</t>
        </is>
      </c>
      <c r="G178" s="2" t="inlineStr">
        <is>
          <t>否</t>
        </is>
      </c>
      <c r="H178" s="2" t="n">
        <v>3</v>
      </c>
      <c r="I178" s="2" t="n">
        <v>1800</v>
      </c>
      <c r="J178" s="2" t="inlineStr">
        <is>
          <t>每日开放</t>
        </is>
      </c>
      <c r="K178" s="2" t="inlineStr">
        <is>
          <t>无</t>
        </is>
      </c>
      <c r="L178" s="2" t="inlineStr">
        <is>
          <t>概率掉落</t>
        </is>
      </c>
      <c r="M178" s="2" t="inlineStr">
        <is>
          <t>civil_skill_book_box</t>
        </is>
      </c>
      <c r="N178" s="2" t="inlineStr">
        <is>
          <t>civil_skill_book_box</t>
        </is>
      </c>
      <c r="O178" s="2" t="inlineStr">
        <is>
          <t>文系技能宝箱</t>
        </is>
      </c>
      <c r="P178" s="2" t="inlineStr">
        <is>
          <t>宝箱</t>
        </is>
      </c>
      <c r="Q178" s="2" t="inlineStr">
        <is>
          <t>稀有/蓝</t>
        </is>
      </c>
      <c r="R178" s="5" t="n">
        <v>0.18</v>
      </c>
      <c r="S178" s="2" t="n">
        <v>1</v>
      </c>
      <c r="T178" s="2" t="n"/>
      <c r="U178" s="2" t="inlineStr">
        <is>
          <t>否</t>
        </is>
      </c>
      <c r="V178" s="2" t="inlineStr">
        <is>
          <t>0.18</t>
        </is>
      </c>
      <c r="W178" s="2" t="n"/>
      <c r="X178" s="5">
        <f>R178</f>
        <v>0.18</v>
      </c>
      <c r="Y178" s="6">
        <f>X178*S178</f>
        <v>0.18</v>
      </c>
      <c r="Z178" s="2" t="inlineStr">
        <is>
          <t>个人任务</t>
        </is>
      </c>
      <c r="AA178" s="2" t="n"/>
      <c r="AB178" s="2" t="inlineStr">
        <is>
          <t>挑战者庄园</t>
        </is>
      </c>
      <c r="AC178" s="2" t="inlineStr">
        <is>
          <t>玩家防守胜利（defender），非撤退，返程结算发放</t>
        </is>
      </c>
      <c r="AD178" s="2" t="inlineStr">
        <is>
          <t>data/mission_templates.yaml:L1046:drop_table.civil_skill_book_box</t>
        </is>
      </c>
    </row>
    <row r="179">
      <c r="A179" s="2" t="n">
        <v>21</v>
      </c>
      <c r="B179" s="2" t="inlineStr">
        <is>
          <t>manzu_ruqin</t>
        </is>
      </c>
      <c r="C179" s="2" t="inlineStr">
        <is>
          <t>蛮族入侵</t>
        </is>
      </c>
      <c r="D179" s="2" t="inlineStr">
        <is>
          <t>高级</t>
        </is>
      </c>
      <c r="E179" s="2" t="inlineStr">
        <is>
          <t>task1</t>
        </is>
      </c>
      <c r="F179" s="2" t="inlineStr">
        <is>
          <t>是</t>
        </is>
      </c>
      <c r="G179" s="2" t="inlineStr">
        <is>
          <t>否</t>
        </is>
      </c>
      <c r="H179" s="2" t="n">
        <v>3</v>
      </c>
      <c r="I179" s="2" t="n">
        <v>1800</v>
      </c>
      <c r="J179" s="2" t="inlineStr">
        <is>
          <t>每日开放</t>
        </is>
      </c>
      <c r="K179" s="2" t="inlineStr">
        <is>
          <t>无</t>
        </is>
      </c>
      <c r="L179" s="2" t="inlineStr">
        <is>
          <t>概率掉落</t>
        </is>
      </c>
      <c r="M179" s="2" t="inlineStr">
        <is>
          <t>pubayi_guest_card</t>
        </is>
      </c>
      <c r="N179" s="2" t="inlineStr">
        <is>
          <t>pubayi_guest_card</t>
        </is>
      </c>
      <c r="O179" s="2" t="inlineStr">
        <is>
          <t>蒲巴乙门客卡</t>
        </is>
      </c>
      <c r="P179" s="2" t="inlineStr">
        <is>
          <t>道具</t>
        </is>
      </c>
      <c r="Q179" s="2" t="inlineStr">
        <is>
          <t>稀有/蓝</t>
        </is>
      </c>
      <c r="R179" s="5" t="n">
        <v>0.1</v>
      </c>
      <c r="S179" s="2" t="n">
        <v>1</v>
      </c>
      <c r="T179" s="2" t="n"/>
      <c r="U179" s="2" t="inlineStr">
        <is>
          <t>否</t>
        </is>
      </c>
      <c r="V179" s="2" t="inlineStr">
        <is>
          <t>0.1</t>
        </is>
      </c>
      <c r="W179" s="2" t="n"/>
      <c r="X179" s="5">
        <f>R179</f>
        <v>0.1</v>
      </c>
      <c r="Y179" s="6">
        <f>X179*S179</f>
        <v>0.1</v>
      </c>
      <c r="Z179" s="2" t="inlineStr">
        <is>
          <t>个人任务</t>
        </is>
      </c>
      <c r="AA179" s="2" t="n"/>
      <c r="AB179" s="2" t="inlineStr">
        <is>
          <t>挑战者庄园</t>
        </is>
      </c>
      <c r="AC179" s="2" t="inlineStr">
        <is>
          <t>玩家防守胜利（defender），非撤退，返程结算发放</t>
        </is>
      </c>
      <c r="AD179" s="2" t="inlineStr">
        <is>
          <t>data/mission_templates.yaml:L1046:drop_table.pubayi_guest_card</t>
        </is>
      </c>
    </row>
    <row r="180">
      <c r="A180" s="2" t="n">
        <v>22</v>
      </c>
      <c r="B180" s="2" t="inlineStr">
        <is>
          <t>zhuiji_manzu</t>
        </is>
      </c>
      <c r="C180" s="2" t="inlineStr">
        <is>
          <t>追击蛮族</t>
        </is>
      </c>
      <c r="D180" s="2" t="inlineStr">
        <is>
          <t>高级</t>
        </is>
      </c>
      <c r="E180" s="2" t="inlineStr">
        <is>
          <t>task1</t>
        </is>
      </c>
      <c r="F180" s="2" t="inlineStr">
        <is>
          <t>否</t>
        </is>
      </c>
      <c r="G180" s="2" t="inlineStr">
        <is>
          <t>否</t>
        </is>
      </c>
      <c r="H180" s="2" t="n">
        <v>3</v>
      </c>
      <c r="I180" s="2" t="n">
        <v>1800</v>
      </c>
      <c r="J180" s="2" t="inlineStr">
        <is>
          <t>每日开放</t>
        </is>
      </c>
      <c r="K180" s="2" t="inlineStr">
        <is>
          <t>无</t>
        </is>
      </c>
      <c r="L180" s="2" t="inlineStr">
        <is>
          <t>固定掉落</t>
        </is>
      </c>
      <c r="M180" s="2" t="inlineStr">
        <is>
          <t>silver</t>
        </is>
      </c>
      <c r="N180" s="2" t="inlineStr">
        <is>
          <t>silver</t>
        </is>
      </c>
      <c r="O180" s="2" t="inlineStr">
        <is>
          <t>银两</t>
        </is>
      </c>
      <c r="P180" s="2" t="inlineStr">
        <is>
          <t>资源</t>
        </is>
      </c>
      <c r="Q180" s="2" t="inlineStr">
        <is>
          <t>资源</t>
        </is>
      </c>
      <c r="R180" s="5" t="n">
        <v>1</v>
      </c>
      <c r="S180" s="2" t="n">
        <v>40000</v>
      </c>
      <c r="T180" s="2" t="n"/>
      <c r="U180" s="2" t="inlineStr">
        <is>
          <t>否</t>
        </is>
      </c>
      <c r="V180" s="2" t="inlineStr">
        <is>
          <t>40000</t>
        </is>
      </c>
      <c r="W180" s="2" t="n"/>
      <c r="X180" s="5">
        <f>R180</f>
        <v>1</v>
      </c>
      <c r="Y180" s="6">
        <f>X180*S180</f>
        <v>40000</v>
      </c>
      <c r="Z180" s="2" t="inlineStr">
        <is>
          <t>个人任务</t>
        </is>
      </c>
      <c r="AA180" s="2" t="n"/>
      <c r="AB180" s="2" t="inlineStr">
        <is>
          <t>挑战者庄园</t>
        </is>
      </c>
      <c r="AC180" s="2" t="inlineStr">
        <is>
          <t>玩家进攻胜利（attacker），非撤退，返程结算发放</t>
        </is>
      </c>
      <c r="AD180" s="2" t="inlineStr">
        <is>
          <t>data/mission_templates.yaml:L1075:drop_table.silver</t>
        </is>
      </c>
    </row>
    <row r="181">
      <c r="A181" s="2" t="n">
        <v>22</v>
      </c>
      <c r="B181" s="2" t="inlineStr">
        <is>
          <t>zhuiji_manzu</t>
        </is>
      </c>
      <c r="C181" s="2" t="inlineStr">
        <is>
          <t>追击蛮族</t>
        </is>
      </c>
      <c r="D181" s="2" t="inlineStr">
        <is>
          <t>高级</t>
        </is>
      </c>
      <c r="E181" s="2" t="inlineStr">
        <is>
          <t>task1</t>
        </is>
      </c>
      <c r="F181" s="2" t="inlineStr">
        <is>
          <t>否</t>
        </is>
      </c>
      <c r="G181" s="2" t="inlineStr">
        <is>
          <t>否</t>
        </is>
      </c>
      <c r="H181" s="2" t="n">
        <v>3</v>
      </c>
      <c r="I181" s="2" t="n">
        <v>1800</v>
      </c>
      <c r="J181" s="2" t="inlineStr">
        <is>
          <t>每日开放</t>
        </is>
      </c>
      <c r="K181" s="2" t="inlineStr">
        <is>
          <t>无</t>
        </is>
      </c>
      <c r="L181" s="2" t="inlineStr">
        <is>
          <t>概率掉落</t>
        </is>
      </c>
      <c r="M181" s="2" t="inlineStr">
        <is>
          <t>experience_pineapple</t>
        </is>
      </c>
      <c r="N181" s="2" t="inlineStr">
        <is>
          <t>experience_pineapple</t>
        </is>
      </c>
      <c r="O181" s="2" t="inlineStr">
        <is>
          <t>经验菠萝</t>
        </is>
      </c>
      <c r="P181" s="2" t="inlineStr">
        <is>
          <t>经验道具</t>
        </is>
      </c>
      <c r="Q181" s="2" t="inlineStr">
        <is>
          <t>稀有/蓝</t>
        </is>
      </c>
      <c r="R181" s="5" t="n">
        <v>0.8</v>
      </c>
      <c r="S181" s="2" t="n">
        <v>10</v>
      </c>
      <c r="T181" s="2" t="n"/>
      <c r="U181" s="2" t="inlineStr">
        <is>
          <t>否</t>
        </is>
      </c>
      <c r="V181" s="2" t="inlineStr">
        <is>
          <t>{"chance":0.8,"count":10}</t>
        </is>
      </c>
      <c r="W181" s="2" t="n"/>
      <c r="X181" s="5">
        <f>R181</f>
        <v>0.8</v>
      </c>
      <c r="Y181" s="6">
        <f>X181*S181</f>
        <v>8.0</v>
      </c>
      <c r="Z181" s="2" t="inlineStr">
        <is>
          <t>个人任务</t>
        </is>
      </c>
      <c r="AA181" s="2" t="n"/>
      <c r="AB181" s="2" t="inlineStr">
        <is>
          <t>挑战者庄园</t>
        </is>
      </c>
      <c r="AC181" s="2" t="inlineStr">
        <is>
          <t>玩家进攻胜利（attacker），非撤退，返程结算发放</t>
        </is>
      </c>
      <c r="AD181" s="2" t="inlineStr">
        <is>
          <t>data/mission_templates.yaml:L1075:drop_table.experience_pineapple</t>
        </is>
      </c>
    </row>
    <row r="182">
      <c r="A182" s="2" t="n">
        <v>22</v>
      </c>
      <c r="B182" s="2" t="inlineStr">
        <is>
          <t>zhuiji_manzu</t>
        </is>
      </c>
      <c r="C182" s="2" t="inlineStr">
        <is>
          <t>追击蛮族</t>
        </is>
      </c>
      <c r="D182" s="2" t="inlineStr">
        <is>
          <t>高级</t>
        </is>
      </c>
      <c r="E182" s="2" t="inlineStr">
        <is>
          <t>task1</t>
        </is>
      </c>
      <c r="F182" s="2" t="inlineStr">
        <is>
          <t>否</t>
        </is>
      </c>
      <c r="G182" s="2" t="inlineStr">
        <is>
          <t>否</t>
        </is>
      </c>
      <c r="H182" s="2" t="n">
        <v>3</v>
      </c>
      <c r="I182" s="2" t="n">
        <v>1800</v>
      </c>
      <c r="J182" s="2" t="inlineStr">
        <is>
          <t>每日开放</t>
        </is>
      </c>
      <c r="K182" s="2" t="inlineStr">
        <is>
          <t>无</t>
        </is>
      </c>
      <c r="L182" s="2" t="inlineStr">
        <is>
          <t>概率掉落</t>
        </is>
      </c>
      <c r="M182" s="2" t="inlineStr">
        <is>
          <t>saiwai_equipment_box</t>
        </is>
      </c>
      <c r="N182" s="2" t="inlineStr">
        <is>
          <t>saiwai_equipment_box</t>
        </is>
      </c>
      <c r="O182" s="2" t="inlineStr">
        <is>
          <t>塞外装备箱</t>
        </is>
      </c>
      <c r="P182" s="2" t="inlineStr">
        <is>
          <t>宝箱</t>
        </is>
      </c>
      <c r="Q182" s="2" t="inlineStr">
        <is>
          <t>史诗/紫</t>
        </is>
      </c>
      <c r="R182" s="5" t="n">
        <v>0.24</v>
      </c>
      <c r="S182" s="2" t="n">
        <v>1</v>
      </c>
      <c r="T182" s="2" t="n"/>
      <c r="U182" s="2" t="inlineStr">
        <is>
          <t>否</t>
        </is>
      </c>
      <c r="V182" s="2" t="inlineStr">
        <is>
          <t>0.24</t>
        </is>
      </c>
      <c r="W182" s="2" t="n"/>
      <c r="X182" s="5">
        <f>R182</f>
        <v>0.24</v>
      </c>
      <c r="Y182" s="6">
        <f>X182*S182</f>
        <v>0.24</v>
      </c>
      <c r="Z182" s="2" t="inlineStr">
        <is>
          <t>个人任务</t>
        </is>
      </c>
      <c r="AA182" s="2" t="n"/>
      <c r="AB182" s="2" t="inlineStr">
        <is>
          <t>挑战者庄园</t>
        </is>
      </c>
      <c r="AC182" s="2" t="inlineStr">
        <is>
          <t>玩家进攻胜利（attacker），非撤退，返程结算发放</t>
        </is>
      </c>
      <c r="AD182" s="2" t="inlineStr">
        <is>
          <t>data/mission_templates.yaml:L1075:drop_table.saiwai_equipment_box</t>
        </is>
      </c>
    </row>
    <row r="183">
      <c r="A183" s="2" t="n">
        <v>22</v>
      </c>
      <c r="B183" s="2" t="inlineStr">
        <is>
          <t>zhuiji_manzu</t>
        </is>
      </c>
      <c r="C183" s="2" t="inlineStr">
        <is>
          <t>追击蛮族</t>
        </is>
      </c>
      <c r="D183" s="2" t="inlineStr">
        <is>
          <t>高级</t>
        </is>
      </c>
      <c r="E183" s="2" t="inlineStr">
        <is>
          <t>task1</t>
        </is>
      </c>
      <c r="F183" s="2" t="inlineStr">
        <is>
          <t>否</t>
        </is>
      </c>
      <c r="G183" s="2" t="inlineStr">
        <is>
          <t>否</t>
        </is>
      </c>
      <c r="H183" s="2" t="n">
        <v>3</v>
      </c>
      <c r="I183" s="2" t="n">
        <v>1800</v>
      </c>
      <c r="J183" s="2" t="inlineStr">
        <is>
          <t>每日开放</t>
        </is>
      </c>
      <c r="K183" s="2" t="inlineStr">
        <is>
          <t>无</t>
        </is>
      </c>
      <c r="L183" s="2" t="inlineStr">
        <is>
          <t>概率掉落</t>
        </is>
      </c>
      <c r="M183" s="2" t="inlineStr">
        <is>
          <t>book_dragon_roar</t>
        </is>
      </c>
      <c r="N183" s="2" t="inlineStr">
        <is>
          <t>book_dragon_roar</t>
        </is>
      </c>
      <c r="O183" s="2" t="inlineStr">
        <is>
          <t>《龙吟破阵》秘术</t>
        </is>
      </c>
      <c r="P183" s="2" t="inlineStr">
        <is>
          <t>技能书</t>
        </is>
      </c>
      <c r="Q183" s="2" t="inlineStr">
        <is>
          <t>史诗/紫</t>
        </is>
      </c>
      <c r="R183" s="5" t="n">
        <v>0.006</v>
      </c>
      <c r="S183" s="2" t="n">
        <v>1</v>
      </c>
      <c r="T183" s="2" t="n"/>
      <c r="U183" s="2" t="inlineStr">
        <is>
          <t>否</t>
        </is>
      </c>
      <c r="V183" s="2" t="inlineStr">
        <is>
          <t>0.006</t>
        </is>
      </c>
      <c r="W183" s="2" t="n"/>
      <c r="X183" s="5">
        <f>R183</f>
        <v>0.006</v>
      </c>
      <c r="Y183" s="6">
        <f>X183*S183</f>
        <v>0.006</v>
      </c>
      <c r="Z183" s="2" t="inlineStr">
        <is>
          <t>个人任务</t>
        </is>
      </c>
      <c r="AA183" s="2" t="n"/>
      <c r="AB183" s="2" t="inlineStr">
        <is>
          <t>挑战者庄园</t>
        </is>
      </c>
      <c r="AC183" s="2" t="inlineStr">
        <is>
          <t>玩家进攻胜利（attacker），非撤退，返程结算发放</t>
        </is>
      </c>
      <c r="AD183" s="2" t="inlineStr">
        <is>
          <t>data/mission_templates.yaml:L1075:drop_table.book_dragon_roar</t>
        </is>
      </c>
    </row>
    <row r="184">
      <c r="A184" s="2" t="n">
        <v>23</v>
      </c>
      <c r="B184" s="2" t="inlineStr">
        <is>
          <t>liangshanbo_zhuyingtai</t>
        </is>
      </c>
      <c r="C184" s="2" t="inlineStr">
        <is>
          <t>梁山伯与祝英台</t>
        </is>
      </c>
      <c r="D184" s="2" t="inlineStr">
        <is>
          <t>中级</t>
        </is>
      </c>
      <c r="E184" s="2" t="inlineStr">
        <is>
          <t>task1</t>
        </is>
      </c>
      <c r="F184" s="2" t="inlineStr">
        <is>
          <t>否</t>
        </is>
      </c>
      <c r="G184" s="2" t="inlineStr">
        <is>
          <t>否</t>
        </is>
      </c>
      <c r="H184" s="2" t="n">
        <v>3</v>
      </c>
      <c r="I184" s="2" t="n">
        <v>1800</v>
      </c>
      <c r="J184" s="2" t="inlineStr">
        <is>
          <t>周一、周三、周五、周六、周日</t>
        </is>
      </c>
      <c r="K184" s="2" t="inlineStr">
        <is>
          <t>无</t>
        </is>
      </c>
      <c r="L184" s="2" t="inlineStr">
        <is>
          <t>固定掉落</t>
        </is>
      </c>
      <c r="M184" s="2" t="inlineStr">
        <is>
          <t>silver</t>
        </is>
      </c>
      <c r="N184" s="2" t="inlineStr">
        <is>
          <t>silver</t>
        </is>
      </c>
      <c r="O184" s="2" t="inlineStr">
        <is>
          <t>银两</t>
        </is>
      </c>
      <c r="P184" s="2" t="inlineStr">
        <is>
          <t>资源</t>
        </is>
      </c>
      <c r="Q184" s="2" t="inlineStr">
        <is>
          <t>资源</t>
        </is>
      </c>
      <c r="R184" s="5" t="n">
        <v>1</v>
      </c>
      <c r="S184" s="2" t="n">
        <v>10000</v>
      </c>
      <c r="T184" s="2" t="n"/>
      <c r="U184" s="2" t="inlineStr">
        <is>
          <t>否</t>
        </is>
      </c>
      <c r="V184" s="2" t="inlineStr">
        <is>
          <t>10000</t>
        </is>
      </c>
      <c r="W184" s="2" t="n"/>
      <c r="X184" s="5">
        <f>R184</f>
        <v>1</v>
      </c>
      <c r="Y184" s="6">
        <f>X184*S184</f>
        <v>10000</v>
      </c>
      <c r="Z184" s="2" t="inlineStr">
        <is>
          <t>个人任务</t>
        </is>
      </c>
      <c r="AA184" s="2" t="n"/>
      <c r="AB184" s="2" t="inlineStr">
        <is>
          <t>挑战者庄园</t>
        </is>
      </c>
      <c r="AC184" s="2" t="inlineStr">
        <is>
          <t>玩家进攻胜利（attacker），非撤退，返程结算发放</t>
        </is>
      </c>
      <c r="AD184" s="2" t="inlineStr">
        <is>
          <t>data/mission_templates.yaml:L1108:drop_table.silver</t>
        </is>
      </c>
    </row>
    <row r="185">
      <c r="A185" s="2" t="n">
        <v>23</v>
      </c>
      <c r="B185" s="2" t="inlineStr">
        <is>
          <t>liangshanbo_zhuyingtai</t>
        </is>
      </c>
      <c r="C185" s="2" t="inlineStr">
        <is>
          <t>梁山伯与祝英台</t>
        </is>
      </c>
      <c r="D185" s="2" t="inlineStr">
        <is>
          <t>中级</t>
        </is>
      </c>
      <c r="E185" s="2" t="inlineStr">
        <is>
          <t>task1</t>
        </is>
      </c>
      <c r="F185" s="2" t="inlineStr">
        <is>
          <t>否</t>
        </is>
      </c>
      <c r="G185" s="2" t="inlineStr">
        <is>
          <t>否</t>
        </is>
      </c>
      <c r="H185" s="2" t="n">
        <v>3</v>
      </c>
      <c r="I185" s="2" t="n">
        <v>1800</v>
      </c>
      <c r="J185" s="2" t="inlineStr">
        <is>
          <t>周一、周三、周五、周六、周日</t>
        </is>
      </c>
      <c r="K185" s="2" t="inlineStr">
        <is>
          <t>无</t>
        </is>
      </c>
      <c r="L185" s="2" t="inlineStr">
        <is>
          <t>固定掉落</t>
        </is>
      </c>
      <c r="M185" s="2" t="inlineStr">
        <is>
          <t>haorenka</t>
        </is>
      </c>
      <c r="N185" s="2" t="inlineStr">
        <is>
          <t>haorenka</t>
        </is>
      </c>
      <c r="O185" s="2" t="inlineStr">
        <is>
          <t>好人卡</t>
        </is>
      </c>
      <c r="P185" s="2" t="inlineStr">
        <is>
          <t>资源</t>
        </is>
      </c>
      <c r="Q185" s="2" t="inlineStr">
        <is>
          <t>优秀/绿</t>
        </is>
      </c>
      <c r="R185" s="5" t="n">
        <v>1</v>
      </c>
      <c r="S185" s="2" t="n">
        <v>1</v>
      </c>
      <c r="T185" s="2" t="n"/>
      <c r="U185" s="2" t="inlineStr">
        <is>
          <t>否</t>
        </is>
      </c>
      <c r="V185" s="2" t="inlineStr">
        <is>
          <t>1</t>
        </is>
      </c>
      <c r="W185" s="2" t="n"/>
      <c r="X185" s="5">
        <f>R185</f>
        <v>1</v>
      </c>
      <c r="Y185" s="6">
        <f>X185*S185</f>
        <v>1</v>
      </c>
      <c r="Z185" s="2" t="inlineStr">
        <is>
          <t>个人任务</t>
        </is>
      </c>
      <c r="AA185" s="2" t="n"/>
      <c r="AB185" s="2" t="inlineStr">
        <is>
          <t>挑战者庄园</t>
        </is>
      </c>
      <c r="AC185" s="2" t="inlineStr">
        <is>
          <t>玩家进攻胜利（attacker），非撤退，返程结算发放</t>
        </is>
      </c>
      <c r="AD185" s="2" t="inlineStr">
        <is>
          <t>data/mission_templates.yaml:L1108:drop_table.haorenka</t>
        </is>
      </c>
    </row>
    <row r="186">
      <c r="A186" s="2" t="n">
        <v>23</v>
      </c>
      <c r="B186" s="2" t="inlineStr">
        <is>
          <t>liangshanbo_zhuyingtai</t>
        </is>
      </c>
      <c r="C186" s="2" t="inlineStr">
        <is>
          <t>梁山伯与祝英台</t>
        </is>
      </c>
      <c r="D186" s="2" t="inlineStr">
        <is>
          <t>中级</t>
        </is>
      </c>
      <c r="E186" s="2" t="inlineStr">
        <is>
          <t>task1</t>
        </is>
      </c>
      <c r="F186" s="2" t="inlineStr">
        <is>
          <t>否</t>
        </is>
      </c>
      <c r="G186" s="2" t="inlineStr">
        <is>
          <t>否</t>
        </is>
      </c>
      <c r="H186" s="2" t="n">
        <v>3</v>
      </c>
      <c r="I186" s="2" t="n">
        <v>1800</v>
      </c>
      <c r="J186" s="2" t="inlineStr">
        <is>
          <t>周一、周三、周五、周六、周日</t>
        </is>
      </c>
      <c r="K186" s="2" t="inlineStr">
        <is>
          <t>无</t>
        </is>
      </c>
      <c r="L186" s="2" t="inlineStr">
        <is>
          <t>随机池掉落</t>
        </is>
      </c>
      <c r="M186" s="2" t="inlineStr">
        <is>
          <t>nichang_random_piece</t>
        </is>
      </c>
      <c r="N186" s="2" t="inlineStr">
        <is>
          <t>equip_nichangyuyi</t>
        </is>
      </c>
      <c r="O186" s="2" t="inlineStr">
        <is>
          <t>霓裳羽衣</t>
        </is>
      </c>
      <c r="P186" s="2" t="inlineStr">
        <is>
          <t>护甲</t>
        </is>
      </c>
      <c r="Q186" s="2" t="inlineStr">
        <is>
          <t>优秀/绿</t>
        </is>
      </c>
      <c r="R186" s="5" t="n">
        <v>0.1</v>
      </c>
      <c r="S186" s="2" t="n">
        <v>1</v>
      </c>
      <c r="T186" s="2" t="n">
        <v>1</v>
      </c>
      <c r="U186" s="2" t="inlineStr">
        <is>
          <t>是</t>
        </is>
      </c>
      <c r="V186" s="2" t="inlineStr">
        <is>
          <t>{"chance":0.1,"choices":["equip_nichangyuyi","equip_nichangwuxie","equip_nichangjian"]}</t>
        </is>
      </c>
      <c r="W186" s="3">
        <f>SUM(T186:T188)</f>
        <v>3</v>
      </c>
      <c r="X186" s="5">
        <f>R186*T186/W186</f>
        <v>0.03333333333333333</v>
      </c>
      <c r="Y186" s="6">
        <f>X186*S186</f>
        <v>0.03333333333333333</v>
      </c>
      <c r="Z186" s="2" t="inlineStr">
        <is>
          <t>个人任务</t>
        </is>
      </c>
      <c r="AA186" s="2" t="n"/>
      <c r="AB186" s="2" t="inlineStr">
        <is>
          <t>挑战者庄园</t>
        </is>
      </c>
      <c r="AC186" s="2" t="inlineStr">
        <is>
          <t>玩家进攻胜利（attacker），非撤退，返程结算发放</t>
        </is>
      </c>
      <c r="AD186" s="2" t="inlineStr">
        <is>
          <t>data/mission_templates.yaml:L1108:drop_table.nichang_random_piece</t>
        </is>
      </c>
    </row>
    <row r="187">
      <c r="A187" s="2" t="n">
        <v>23</v>
      </c>
      <c r="B187" s="2" t="inlineStr">
        <is>
          <t>liangshanbo_zhuyingtai</t>
        </is>
      </c>
      <c r="C187" s="2" t="inlineStr">
        <is>
          <t>梁山伯与祝英台</t>
        </is>
      </c>
      <c r="D187" s="2" t="inlineStr">
        <is>
          <t>中级</t>
        </is>
      </c>
      <c r="E187" s="2" t="inlineStr">
        <is>
          <t>task1</t>
        </is>
      </c>
      <c r="F187" s="2" t="inlineStr">
        <is>
          <t>否</t>
        </is>
      </c>
      <c r="G187" s="2" t="inlineStr">
        <is>
          <t>否</t>
        </is>
      </c>
      <c r="H187" s="2" t="n">
        <v>3</v>
      </c>
      <c r="I187" s="2" t="n">
        <v>1800</v>
      </c>
      <c r="J187" s="2" t="inlineStr">
        <is>
          <t>周一、周三、周五、周六、周日</t>
        </is>
      </c>
      <c r="K187" s="2" t="inlineStr">
        <is>
          <t>无</t>
        </is>
      </c>
      <c r="L187" s="2" t="inlineStr">
        <is>
          <t>随机池掉落</t>
        </is>
      </c>
      <c r="M187" s="2" t="inlineStr">
        <is>
          <t>nichang_random_piece</t>
        </is>
      </c>
      <c r="N187" s="2" t="inlineStr">
        <is>
          <t>equip_nichangwuxie</t>
        </is>
      </c>
      <c r="O187" s="2" t="inlineStr">
        <is>
          <t>霓裳舞鞋</t>
        </is>
      </c>
      <c r="P187" s="2" t="inlineStr">
        <is>
          <t>鞋子</t>
        </is>
      </c>
      <c r="Q187" s="2" t="inlineStr">
        <is>
          <t>优秀/绿</t>
        </is>
      </c>
      <c r="R187" s="5" t="n">
        <v>0.1</v>
      </c>
      <c r="S187" s="2" t="n">
        <v>1</v>
      </c>
      <c r="T187" s="2" t="n">
        <v>1</v>
      </c>
      <c r="U187" s="2" t="inlineStr">
        <is>
          <t>是</t>
        </is>
      </c>
      <c r="V187" s="2" t="inlineStr">
        <is>
          <t>{"chance":0.1,"choices":["equip_nichangyuyi","equip_nichangwuxie","equip_nichangjian"]}</t>
        </is>
      </c>
      <c r="W187" s="3">
        <f>SUM(T186:T188)</f>
        <v>3</v>
      </c>
      <c r="X187" s="5">
        <f>R187*T187/W187</f>
        <v>0.03333333333333333</v>
      </c>
      <c r="Y187" s="6">
        <f>X187*S187</f>
        <v>0.03333333333333333</v>
      </c>
      <c r="Z187" s="2" t="inlineStr">
        <is>
          <t>个人任务</t>
        </is>
      </c>
      <c r="AA187" s="2" t="n"/>
      <c r="AB187" s="2" t="inlineStr">
        <is>
          <t>挑战者庄园</t>
        </is>
      </c>
      <c r="AC187" s="2" t="inlineStr">
        <is>
          <t>玩家进攻胜利（attacker），非撤退，返程结算发放</t>
        </is>
      </c>
      <c r="AD187" s="2" t="inlineStr">
        <is>
          <t>data/mission_templates.yaml:L1108:drop_table.nichang_random_piece</t>
        </is>
      </c>
    </row>
    <row r="188">
      <c r="A188" s="2" t="n">
        <v>23</v>
      </c>
      <c r="B188" s="2" t="inlineStr">
        <is>
          <t>liangshanbo_zhuyingtai</t>
        </is>
      </c>
      <c r="C188" s="2" t="inlineStr">
        <is>
          <t>梁山伯与祝英台</t>
        </is>
      </c>
      <c r="D188" s="2" t="inlineStr">
        <is>
          <t>中级</t>
        </is>
      </c>
      <c r="E188" s="2" t="inlineStr">
        <is>
          <t>task1</t>
        </is>
      </c>
      <c r="F188" s="2" t="inlineStr">
        <is>
          <t>否</t>
        </is>
      </c>
      <c r="G188" s="2" t="inlineStr">
        <is>
          <t>否</t>
        </is>
      </c>
      <c r="H188" s="2" t="n">
        <v>3</v>
      </c>
      <c r="I188" s="2" t="n">
        <v>1800</v>
      </c>
      <c r="J188" s="2" t="inlineStr">
        <is>
          <t>周一、周三、周五、周六、周日</t>
        </is>
      </c>
      <c r="K188" s="2" t="inlineStr">
        <is>
          <t>无</t>
        </is>
      </c>
      <c r="L188" s="2" t="inlineStr">
        <is>
          <t>随机池掉落</t>
        </is>
      </c>
      <c r="M188" s="2" t="inlineStr">
        <is>
          <t>nichang_random_piece</t>
        </is>
      </c>
      <c r="N188" s="2" t="inlineStr">
        <is>
          <t>equip_nichangjian</t>
        </is>
      </c>
      <c r="O188" s="2" t="inlineStr">
        <is>
          <t>霓裳剑</t>
        </is>
      </c>
      <c r="P188" s="2" t="inlineStr">
        <is>
          <t>武器</t>
        </is>
      </c>
      <c r="Q188" s="2" t="inlineStr">
        <is>
          <t>稀有/蓝</t>
        </is>
      </c>
      <c r="R188" s="5" t="n">
        <v>0.1</v>
      </c>
      <c r="S188" s="2" t="n">
        <v>1</v>
      </c>
      <c r="T188" s="2" t="n">
        <v>1</v>
      </c>
      <c r="U188" s="2" t="inlineStr">
        <is>
          <t>是</t>
        </is>
      </c>
      <c r="V188" s="2" t="inlineStr">
        <is>
          <t>{"chance":0.1,"choices":["equip_nichangyuyi","equip_nichangwuxie","equip_nichangjian"]}</t>
        </is>
      </c>
      <c r="W188" s="3">
        <f>SUM(T186:T188)</f>
        <v>3</v>
      </c>
      <c r="X188" s="5">
        <f>R188*T188/W188</f>
        <v>0.03333333333333333</v>
      </c>
      <c r="Y188" s="6">
        <f>X188*S188</f>
        <v>0.03333333333333333</v>
      </c>
      <c r="Z188" s="2" t="inlineStr">
        <is>
          <t>个人任务</t>
        </is>
      </c>
      <c r="AA188" s="2" t="n"/>
      <c r="AB188" s="2" t="inlineStr">
        <is>
          <t>挑战者庄园</t>
        </is>
      </c>
      <c r="AC188" s="2" t="inlineStr">
        <is>
          <t>玩家进攻胜利（attacker），非撤退，返程结算发放</t>
        </is>
      </c>
      <c r="AD188" s="2" t="inlineStr">
        <is>
          <t>data/mission_templates.yaml:L1108:drop_table.nichang_random_piece</t>
        </is>
      </c>
    </row>
    <row r="189">
      <c r="A189" s="2" t="n">
        <v>23</v>
      </c>
      <c r="B189" s="2" t="inlineStr">
        <is>
          <t>liangshanbo_zhuyingtai</t>
        </is>
      </c>
      <c r="C189" s="2" t="inlineStr">
        <is>
          <t>梁山伯与祝英台</t>
        </is>
      </c>
      <c r="D189" s="2" t="inlineStr">
        <is>
          <t>中级</t>
        </is>
      </c>
      <c r="E189" s="2" t="inlineStr">
        <is>
          <t>task1</t>
        </is>
      </c>
      <c r="F189" s="2" t="inlineStr">
        <is>
          <t>否</t>
        </is>
      </c>
      <c r="G189" s="2" t="inlineStr">
        <is>
          <t>否</t>
        </is>
      </c>
      <c r="H189" s="2" t="n">
        <v>3</v>
      </c>
      <c r="I189" s="2" t="n">
        <v>1800</v>
      </c>
      <c r="J189" s="2" t="inlineStr">
        <is>
          <t>周一、周三、周五、周六、周日</t>
        </is>
      </c>
      <c r="K189" s="2" t="inlineStr">
        <is>
          <t>无</t>
        </is>
      </c>
      <c r="L189" s="2" t="inlineStr">
        <is>
          <t>概率掉落</t>
        </is>
      </c>
      <c r="M189" s="2" t="inlineStr">
        <is>
          <t>equip_baguadao</t>
        </is>
      </c>
      <c r="N189" s="2" t="inlineStr">
        <is>
          <t>equip_baguadao</t>
        </is>
      </c>
      <c r="O189" s="2" t="inlineStr">
        <is>
          <t>八卦刀</t>
        </is>
      </c>
      <c r="P189" s="2" t="inlineStr">
        <is>
          <t>武器</t>
        </is>
      </c>
      <c r="Q189" s="2" t="inlineStr">
        <is>
          <t>稀有/蓝</t>
        </is>
      </c>
      <c r="R189" s="5" t="n">
        <v>0.1</v>
      </c>
      <c r="S189" s="2" t="n">
        <v>1</v>
      </c>
      <c r="T189" s="2" t="n"/>
      <c r="U189" s="2" t="inlineStr">
        <is>
          <t>否</t>
        </is>
      </c>
      <c r="V189" s="2" t="inlineStr">
        <is>
          <t>0.1</t>
        </is>
      </c>
      <c r="W189" s="2" t="n"/>
      <c r="X189" s="5">
        <f>R189</f>
        <v>0.1</v>
      </c>
      <c r="Y189" s="6">
        <f>X189*S189</f>
        <v>0.1</v>
      </c>
      <c r="Z189" s="2" t="inlineStr">
        <is>
          <t>个人任务</t>
        </is>
      </c>
      <c r="AA189" s="2" t="n"/>
      <c r="AB189" s="2" t="inlineStr">
        <is>
          <t>挑战者庄园</t>
        </is>
      </c>
      <c r="AC189" s="2" t="inlineStr">
        <is>
          <t>玩家进攻胜利（attacker），非撤退，返程结算发放</t>
        </is>
      </c>
      <c r="AD189" s="2" t="inlineStr">
        <is>
          <t>data/mission_templates.yaml:L1108:drop_table.equip_baguadao</t>
        </is>
      </c>
    </row>
    <row r="190">
      <c r="A190" s="2" t="n">
        <v>23</v>
      </c>
      <c r="B190" s="2" t="inlineStr">
        <is>
          <t>liangshanbo_zhuyingtai</t>
        </is>
      </c>
      <c r="C190" s="2" t="inlineStr">
        <is>
          <t>梁山伯与祝英台</t>
        </is>
      </c>
      <c r="D190" s="2" t="inlineStr">
        <is>
          <t>中级</t>
        </is>
      </c>
      <c r="E190" s="2" t="inlineStr">
        <is>
          <t>task1</t>
        </is>
      </c>
      <c r="F190" s="2" t="inlineStr">
        <is>
          <t>否</t>
        </is>
      </c>
      <c r="G190" s="2" t="inlineStr">
        <is>
          <t>否</t>
        </is>
      </c>
      <c r="H190" s="2" t="n">
        <v>3</v>
      </c>
      <c r="I190" s="2" t="n">
        <v>1800</v>
      </c>
      <c r="J190" s="2" t="inlineStr">
        <is>
          <t>周一、周三、周五、周六、周日</t>
        </is>
      </c>
      <c r="K190" s="2" t="inlineStr">
        <is>
          <t>无</t>
        </is>
      </c>
      <c r="L190" s="2" t="inlineStr">
        <is>
          <t>概率掉落</t>
        </is>
      </c>
      <c r="M190" s="2" t="inlineStr">
        <is>
          <t>equip_yiqiyaopai</t>
        </is>
      </c>
      <c r="N190" s="2" t="inlineStr">
        <is>
          <t>equip_yiqiyaopai</t>
        </is>
      </c>
      <c r="O190" s="2" t="inlineStr">
        <is>
          <t>义气腰牌</t>
        </is>
      </c>
      <c r="P190" s="2" t="inlineStr">
        <is>
          <t>饰品</t>
        </is>
      </c>
      <c r="Q190" s="2" t="inlineStr">
        <is>
          <t>优秀/绿</t>
        </is>
      </c>
      <c r="R190" s="5" t="n">
        <v>0.06</v>
      </c>
      <c r="S190" s="2" t="n">
        <v>1</v>
      </c>
      <c r="T190" s="2" t="n"/>
      <c r="U190" s="2" t="inlineStr">
        <is>
          <t>否</t>
        </is>
      </c>
      <c r="V190" s="2" t="inlineStr">
        <is>
          <t>0.06</t>
        </is>
      </c>
      <c r="W190" s="2" t="n"/>
      <c r="X190" s="5">
        <f>R190</f>
        <v>0.06</v>
      </c>
      <c r="Y190" s="6">
        <f>X190*S190</f>
        <v>0.06</v>
      </c>
      <c r="Z190" s="2" t="inlineStr">
        <is>
          <t>个人任务</t>
        </is>
      </c>
      <c r="AA190" s="2" t="n"/>
      <c r="AB190" s="2" t="inlineStr">
        <is>
          <t>挑战者庄园</t>
        </is>
      </c>
      <c r="AC190" s="2" t="inlineStr">
        <is>
          <t>玩家进攻胜利（attacker），非撤退，返程结算发放</t>
        </is>
      </c>
      <c r="AD190" s="2" t="inlineStr">
        <is>
          <t>data/mission_templates.yaml:L1108:drop_table.equip_yiqiyaopai</t>
        </is>
      </c>
    </row>
    <row r="191">
      <c r="A191" s="2" t="n">
        <v>23</v>
      </c>
      <c r="B191" s="2" t="inlineStr">
        <is>
          <t>liangshanbo_zhuyingtai</t>
        </is>
      </c>
      <c r="C191" s="2" t="inlineStr">
        <is>
          <t>梁山伯与祝英台</t>
        </is>
      </c>
      <c r="D191" s="2" t="inlineStr">
        <is>
          <t>中级</t>
        </is>
      </c>
      <c r="E191" s="2" t="inlineStr">
        <is>
          <t>task1</t>
        </is>
      </c>
      <c r="F191" s="2" t="inlineStr">
        <is>
          <t>否</t>
        </is>
      </c>
      <c r="G191" s="2" t="inlineStr">
        <is>
          <t>否</t>
        </is>
      </c>
      <c r="H191" s="2" t="n">
        <v>3</v>
      </c>
      <c r="I191" s="2" t="n">
        <v>1800</v>
      </c>
      <c r="J191" s="2" t="inlineStr">
        <is>
          <t>周一、周三、周五、周六、周日</t>
        </is>
      </c>
      <c r="K191" s="2" t="inlineStr">
        <is>
          <t>无</t>
        </is>
      </c>
      <c r="L191" s="2" t="inlineStr">
        <is>
          <t>概率掉落</t>
        </is>
      </c>
      <c r="M191" s="2" t="inlineStr">
        <is>
          <t>equip_zhujian</t>
        </is>
      </c>
      <c r="N191" s="2" t="inlineStr">
        <is>
          <t>equip_zhujian</t>
        </is>
      </c>
      <c r="O191" s="2" t="inlineStr">
        <is>
          <t>竹简</t>
        </is>
      </c>
      <c r="P191" s="2" t="inlineStr">
        <is>
          <t>饰品</t>
        </is>
      </c>
      <c r="Q191" s="2" t="inlineStr">
        <is>
          <t>优秀/绿</t>
        </is>
      </c>
      <c r="R191" s="5" t="n">
        <v>0.05</v>
      </c>
      <c r="S191" s="2" t="n">
        <v>1</v>
      </c>
      <c r="T191" s="2" t="n"/>
      <c r="U191" s="2" t="inlineStr">
        <is>
          <t>否</t>
        </is>
      </c>
      <c r="V191" s="2" t="inlineStr">
        <is>
          <t>0.05</t>
        </is>
      </c>
      <c r="W191" s="2" t="n"/>
      <c r="X191" s="5">
        <f>R191</f>
        <v>0.05</v>
      </c>
      <c r="Y191" s="6">
        <f>X191*S191</f>
        <v>0.05</v>
      </c>
      <c r="Z191" s="2" t="inlineStr">
        <is>
          <t>个人任务</t>
        </is>
      </c>
      <c r="AA191" s="2" t="n"/>
      <c r="AB191" s="2" t="inlineStr">
        <is>
          <t>挑战者庄园</t>
        </is>
      </c>
      <c r="AC191" s="2" t="inlineStr">
        <is>
          <t>玩家进攻胜利（attacker），非撤退，返程结算发放</t>
        </is>
      </c>
      <c r="AD191" s="2" t="inlineStr">
        <is>
          <t>data/mission_templates.yaml:L1108:drop_table.equip_zhujian</t>
        </is>
      </c>
    </row>
    <row r="192">
      <c r="A192" s="2" t="n">
        <v>23</v>
      </c>
      <c r="B192" s="2" t="inlineStr">
        <is>
          <t>liangshanbo_zhuyingtai</t>
        </is>
      </c>
      <c r="C192" s="2" t="inlineStr">
        <is>
          <t>梁山伯与祝英台</t>
        </is>
      </c>
      <c r="D192" s="2" t="inlineStr">
        <is>
          <t>中级</t>
        </is>
      </c>
      <c r="E192" s="2" t="inlineStr">
        <is>
          <t>task1</t>
        </is>
      </c>
      <c r="F192" s="2" t="inlineStr">
        <is>
          <t>否</t>
        </is>
      </c>
      <c r="G192" s="2" t="inlineStr">
        <is>
          <t>否</t>
        </is>
      </c>
      <c r="H192" s="2" t="n">
        <v>3</v>
      </c>
      <c r="I192" s="2" t="n">
        <v>1800</v>
      </c>
      <c r="J192" s="2" t="inlineStr">
        <is>
          <t>周一、周三、周五、周六、周日</t>
        </is>
      </c>
      <c r="K192" s="2" t="inlineStr">
        <is>
          <t>无</t>
        </is>
      </c>
      <c r="L192" s="2" t="inlineStr">
        <is>
          <t>概率掉落</t>
        </is>
      </c>
      <c r="M192" s="2" t="inlineStr">
        <is>
          <t>equip_moyuyan</t>
        </is>
      </c>
      <c r="N192" s="2" t="inlineStr">
        <is>
          <t>equip_moyuyan</t>
        </is>
      </c>
      <c r="O192" s="2" t="inlineStr">
        <is>
          <t>墨玉砚</t>
        </is>
      </c>
      <c r="P192" s="2" t="inlineStr">
        <is>
          <t>饰品</t>
        </is>
      </c>
      <c r="Q192" s="2" t="inlineStr">
        <is>
          <t>优秀/绿</t>
        </is>
      </c>
      <c r="R192" s="5" t="n">
        <v>0.05</v>
      </c>
      <c r="S192" s="2" t="n">
        <v>1</v>
      </c>
      <c r="T192" s="2" t="n"/>
      <c r="U192" s="2" t="inlineStr">
        <is>
          <t>否</t>
        </is>
      </c>
      <c r="V192" s="2" t="inlineStr">
        <is>
          <t>0.05</t>
        </is>
      </c>
      <c r="W192" s="2" t="n"/>
      <c r="X192" s="5">
        <f>R192</f>
        <v>0.05</v>
      </c>
      <c r="Y192" s="6">
        <f>X192*S192</f>
        <v>0.05</v>
      </c>
      <c r="Z192" s="2" t="inlineStr">
        <is>
          <t>个人任务</t>
        </is>
      </c>
      <c r="AA192" s="2" t="n"/>
      <c r="AB192" s="2" t="inlineStr">
        <is>
          <t>挑战者庄园</t>
        </is>
      </c>
      <c r="AC192" s="2" t="inlineStr">
        <is>
          <t>玩家进攻胜利（attacker），非撤退，返程结算发放</t>
        </is>
      </c>
      <c r="AD192" s="2" t="inlineStr">
        <is>
          <t>data/mission_templates.yaml:L1108:drop_table.equip_moyuyan</t>
        </is>
      </c>
    </row>
    <row r="193">
      <c r="A193" s="2" t="n">
        <v>23</v>
      </c>
      <c r="B193" s="2" t="inlineStr">
        <is>
          <t>liangshanbo_zhuyingtai</t>
        </is>
      </c>
      <c r="C193" s="2" t="inlineStr">
        <is>
          <t>梁山伯与祝英台</t>
        </is>
      </c>
      <c r="D193" s="2" t="inlineStr">
        <is>
          <t>中级</t>
        </is>
      </c>
      <c r="E193" s="2" t="inlineStr">
        <is>
          <t>task1</t>
        </is>
      </c>
      <c r="F193" s="2" t="inlineStr">
        <is>
          <t>否</t>
        </is>
      </c>
      <c r="G193" s="2" t="inlineStr">
        <is>
          <t>否</t>
        </is>
      </c>
      <c r="H193" s="2" t="n">
        <v>3</v>
      </c>
      <c r="I193" s="2" t="n">
        <v>1800</v>
      </c>
      <c r="J193" s="2" t="inlineStr">
        <is>
          <t>周一、周三、周五、周六、周日</t>
        </is>
      </c>
      <c r="K193" s="2" t="inlineStr">
        <is>
          <t>无</t>
        </is>
      </c>
      <c r="L193" s="2" t="inlineStr">
        <is>
          <t>概率掉落</t>
        </is>
      </c>
      <c r="M193" s="2" t="inlineStr">
        <is>
          <t>equip_xuantiejie</t>
        </is>
      </c>
      <c r="N193" s="2" t="inlineStr">
        <is>
          <t>equip_xuantiejie</t>
        </is>
      </c>
      <c r="O193" s="2" t="inlineStr">
        <is>
          <t>玄铁戒</t>
        </is>
      </c>
      <c r="P193" s="2" t="inlineStr">
        <is>
          <t>饰品</t>
        </is>
      </c>
      <c r="Q193" s="2" t="inlineStr">
        <is>
          <t>稀有/蓝</t>
        </is>
      </c>
      <c r="R193" s="5" t="n">
        <v>0.07000000000000001</v>
      </c>
      <c r="S193" s="2" t="n">
        <v>1</v>
      </c>
      <c r="T193" s="2" t="n"/>
      <c r="U193" s="2" t="inlineStr">
        <is>
          <t>否</t>
        </is>
      </c>
      <c r="V193" s="2" t="inlineStr">
        <is>
          <t>0.07</t>
        </is>
      </c>
      <c r="W193" s="2" t="n"/>
      <c r="X193" s="5">
        <f>R193</f>
        <v>0.07</v>
      </c>
      <c r="Y193" s="6">
        <f>X193*S193</f>
        <v>0.07</v>
      </c>
      <c r="Z193" s="2" t="inlineStr">
        <is>
          <t>个人任务</t>
        </is>
      </c>
      <c r="AA193" s="2" t="n"/>
      <c r="AB193" s="2" t="inlineStr">
        <is>
          <t>挑战者庄园</t>
        </is>
      </c>
      <c r="AC193" s="2" t="inlineStr">
        <is>
          <t>玩家进攻胜利（attacker），非撤退，返程结算发放</t>
        </is>
      </c>
      <c r="AD193" s="2" t="inlineStr">
        <is>
          <t>data/mission_templates.yaml:L1108:drop_table.equip_xuantiejie</t>
        </is>
      </c>
    </row>
    <row r="194">
      <c r="A194" s="2" t="n">
        <v>23</v>
      </c>
      <c r="B194" s="2" t="inlineStr">
        <is>
          <t>liangshanbo_zhuyingtai</t>
        </is>
      </c>
      <c r="C194" s="2" t="inlineStr">
        <is>
          <t>梁山伯与祝英台</t>
        </is>
      </c>
      <c r="D194" s="2" t="inlineStr">
        <is>
          <t>中级</t>
        </is>
      </c>
      <c r="E194" s="2" t="inlineStr">
        <is>
          <t>task1</t>
        </is>
      </c>
      <c r="F194" s="2" t="inlineStr">
        <is>
          <t>否</t>
        </is>
      </c>
      <c r="G194" s="2" t="inlineStr">
        <is>
          <t>否</t>
        </is>
      </c>
      <c r="H194" s="2" t="n">
        <v>3</v>
      </c>
      <c r="I194" s="2" t="n">
        <v>1800</v>
      </c>
      <c r="J194" s="2" t="inlineStr">
        <is>
          <t>周一、周三、周五、周六、周日</t>
        </is>
      </c>
      <c r="K194" s="2" t="inlineStr">
        <is>
          <t>无</t>
        </is>
      </c>
      <c r="L194" s="2" t="inlineStr">
        <is>
          <t>概率掉落</t>
        </is>
      </c>
      <c r="M194" s="2" t="inlineStr">
        <is>
          <t>equip_liuyunpei</t>
        </is>
      </c>
      <c r="N194" s="2" t="inlineStr">
        <is>
          <t>equip_liuyunpei</t>
        </is>
      </c>
      <c r="O194" s="2" t="inlineStr">
        <is>
          <t>流云佩</t>
        </is>
      </c>
      <c r="P194" s="2" t="inlineStr">
        <is>
          <t>饰品</t>
        </is>
      </c>
      <c r="Q194" s="2" t="inlineStr">
        <is>
          <t>稀有/蓝</t>
        </is>
      </c>
      <c r="R194" s="5" t="n">
        <v>0.07000000000000001</v>
      </c>
      <c r="S194" s="2" t="n">
        <v>1</v>
      </c>
      <c r="T194" s="2" t="n"/>
      <c r="U194" s="2" t="inlineStr">
        <is>
          <t>否</t>
        </is>
      </c>
      <c r="V194" s="2" t="inlineStr">
        <is>
          <t>0.07</t>
        </is>
      </c>
      <c r="W194" s="2" t="n"/>
      <c r="X194" s="5">
        <f>R194</f>
        <v>0.07</v>
      </c>
      <c r="Y194" s="6">
        <f>X194*S194</f>
        <v>0.07</v>
      </c>
      <c r="Z194" s="2" t="inlineStr">
        <is>
          <t>个人任务</t>
        </is>
      </c>
      <c r="AA194" s="2" t="n"/>
      <c r="AB194" s="2" t="inlineStr">
        <is>
          <t>挑战者庄园</t>
        </is>
      </c>
      <c r="AC194" s="2" t="inlineStr">
        <is>
          <t>玩家进攻胜利（attacker），非撤退，返程结算发放</t>
        </is>
      </c>
      <c r="AD194" s="2" t="inlineStr">
        <is>
          <t>data/mission_templates.yaml:L1108:drop_table.equip_liuyunpei</t>
        </is>
      </c>
    </row>
    <row r="195">
      <c r="A195" s="2" t="n">
        <v>24</v>
      </c>
      <c r="B195" s="2" t="inlineStr">
        <is>
          <t>biyou_candeng</t>
        </is>
      </c>
      <c r="C195" s="2" t="inlineStr">
        <is>
          <t>封神之战：碧游残灯</t>
        </is>
      </c>
      <c r="D195" s="2" t="inlineStr">
        <is>
          <t>高级</t>
        </is>
      </c>
      <c r="E195" s="2" t="inlineStr">
        <is>
          <t>task1</t>
        </is>
      </c>
      <c r="F195" s="2" t="inlineStr">
        <is>
          <t>否</t>
        </is>
      </c>
      <c r="G195" s="2" t="inlineStr">
        <is>
          <t>否</t>
        </is>
      </c>
      <c r="H195" s="2" t="n">
        <v>3</v>
      </c>
      <c r="I195" s="2" t="n">
        <v>1800</v>
      </c>
      <c r="J195" s="2" t="inlineStr">
        <is>
          <t>每日开放</t>
        </is>
      </c>
      <c r="K195" s="2" t="inlineStr">
        <is>
          <t>无</t>
        </is>
      </c>
      <c r="L195" s="2" t="inlineStr">
        <is>
          <t>固定掉落</t>
        </is>
      </c>
      <c r="M195" s="2" t="inlineStr">
        <is>
          <t>silver</t>
        </is>
      </c>
      <c r="N195" s="2" t="inlineStr">
        <is>
          <t>silver</t>
        </is>
      </c>
      <c r="O195" s="2" t="inlineStr">
        <is>
          <t>银两</t>
        </is>
      </c>
      <c r="P195" s="2" t="inlineStr">
        <is>
          <t>资源</t>
        </is>
      </c>
      <c r="Q195" s="2" t="inlineStr">
        <is>
          <t>资源</t>
        </is>
      </c>
      <c r="R195" s="5" t="n">
        <v>1</v>
      </c>
      <c r="S195" s="2" t="n">
        <v>60000</v>
      </c>
      <c r="T195" s="2" t="n"/>
      <c r="U195" s="2" t="inlineStr">
        <is>
          <t>否</t>
        </is>
      </c>
      <c r="V195" s="2" t="inlineStr">
        <is>
          <t>60000</t>
        </is>
      </c>
      <c r="W195" s="2" t="n"/>
      <c r="X195" s="5">
        <f>R195</f>
        <v>1</v>
      </c>
      <c r="Y195" s="6">
        <f>X195*S195</f>
        <v>60000</v>
      </c>
      <c r="Z195" s="2" t="inlineStr">
        <is>
          <t>个人任务</t>
        </is>
      </c>
      <c r="AA195" s="2" t="n"/>
      <c r="AB195" s="2" t="inlineStr">
        <is>
          <t>挑战者庄园</t>
        </is>
      </c>
      <c r="AC195" s="2" t="inlineStr">
        <is>
          <t>玩家进攻胜利（attacker），非撤退，返程结算发放</t>
        </is>
      </c>
      <c r="AD195" s="2" t="inlineStr">
        <is>
          <t>data/mission_templates.yaml:L1158:drop_table.silver</t>
        </is>
      </c>
    </row>
    <row r="196">
      <c r="A196" s="2" t="n">
        <v>24</v>
      </c>
      <c r="B196" s="2" t="inlineStr">
        <is>
          <t>biyou_candeng</t>
        </is>
      </c>
      <c r="C196" s="2" t="inlineStr">
        <is>
          <t>封神之战：碧游残灯</t>
        </is>
      </c>
      <c r="D196" s="2" t="inlineStr">
        <is>
          <t>高级</t>
        </is>
      </c>
      <c r="E196" s="2" t="inlineStr">
        <is>
          <t>task1</t>
        </is>
      </c>
      <c r="F196" s="2" t="inlineStr">
        <is>
          <t>否</t>
        </is>
      </c>
      <c r="G196" s="2" t="inlineStr">
        <is>
          <t>否</t>
        </is>
      </c>
      <c r="H196" s="2" t="n">
        <v>3</v>
      </c>
      <c r="I196" s="2" t="n">
        <v>1800</v>
      </c>
      <c r="J196" s="2" t="inlineStr">
        <is>
          <t>每日开放</t>
        </is>
      </c>
      <c r="K196" s="2" t="inlineStr">
        <is>
          <t>无</t>
        </is>
      </c>
      <c r="L196" s="2" t="inlineStr">
        <is>
          <t>概率掉落</t>
        </is>
      </c>
      <c r="M196" s="2" t="inlineStr">
        <is>
          <t>experience_pineapple</t>
        </is>
      </c>
      <c r="N196" s="2" t="inlineStr">
        <is>
          <t>experience_pineapple</t>
        </is>
      </c>
      <c r="O196" s="2" t="inlineStr">
        <is>
          <t>经验菠萝</t>
        </is>
      </c>
      <c r="P196" s="2" t="inlineStr">
        <is>
          <t>经验道具</t>
        </is>
      </c>
      <c r="Q196" s="2" t="inlineStr">
        <is>
          <t>稀有/蓝</t>
        </is>
      </c>
      <c r="R196" s="5" t="n">
        <v>0.65</v>
      </c>
      <c r="S196" s="2" t="n">
        <v>8</v>
      </c>
      <c r="T196" s="2" t="n"/>
      <c r="U196" s="2" t="inlineStr">
        <is>
          <t>否</t>
        </is>
      </c>
      <c r="V196" s="2" t="inlineStr">
        <is>
          <t>{"chance":0.65,"count":8}</t>
        </is>
      </c>
      <c r="W196" s="2" t="n"/>
      <c r="X196" s="5">
        <f>R196</f>
        <v>0.65</v>
      </c>
      <c r="Y196" s="6">
        <f>X196*S196</f>
        <v>5.2</v>
      </c>
      <c r="Z196" s="2" t="inlineStr">
        <is>
          <t>个人任务</t>
        </is>
      </c>
      <c r="AA196" s="2" t="n"/>
      <c r="AB196" s="2" t="inlineStr">
        <is>
          <t>挑战者庄园</t>
        </is>
      </c>
      <c r="AC196" s="2" t="inlineStr">
        <is>
          <t>玩家进攻胜利（attacker），非撤退，返程结算发放</t>
        </is>
      </c>
      <c r="AD196" s="2" t="inlineStr">
        <is>
          <t>data/mission_templates.yaml:L1158:drop_table.experience_pineapple</t>
        </is>
      </c>
    </row>
    <row r="197">
      <c r="A197" s="2" t="n">
        <v>24</v>
      </c>
      <c r="B197" s="2" t="inlineStr">
        <is>
          <t>biyou_candeng</t>
        </is>
      </c>
      <c r="C197" s="2" t="inlineStr">
        <is>
          <t>封神之战：碧游残灯</t>
        </is>
      </c>
      <c r="D197" s="2" t="inlineStr">
        <is>
          <t>高级</t>
        </is>
      </c>
      <c r="E197" s="2" t="inlineStr">
        <is>
          <t>task1</t>
        </is>
      </c>
      <c r="F197" s="2" t="inlineStr">
        <is>
          <t>否</t>
        </is>
      </c>
      <c r="G197" s="2" t="inlineStr">
        <is>
          <t>否</t>
        </is>
      </c>
      <c r="H197" s="2" t="n">
        <v>3</v>
      </c>
      <c r="I197" s="2" t="n">
        <v>1800</v>
      </c>
      <c r="J197" s="2" t="inlineStr">
        <is>
          <t>每日开放</t>
        </is>
      </c>
      <c r="K197" s="2" t="inlineStr">
        <is>
          <t>无</t>
        </is>
      </c>
      <c r="L197" s="2" t="inlineStr">
        <is>
          <t>概率掉落</t>
        </is>
      </c>
      <c r="M197" s="2" t="inlineStr">
        <is>
          <t>book_last_chance_revival</t>
        </is>
      </c>
      <c r="N197" s="2" t="inlineStr">
        <is>
          <t>book_last_chance_revival</t>
        </is>
      </c>
      <c r="O197" s="2" t="inlineStr">
        <is>
          <t>《绝处逢生》秘术</t>
        </is>
      </c>
      <c r="P197" s="2" t="inlineStr">
        <is>
          <t>技能书</t>
        </is>
      </c>
      <c r="Q197" s="2" t="inlineStr">
        <is>
          <t>稀有/蓝</t>
        </is>
      </c>
      <c r="R197" s="5" t="n">
        <v>0.05</v>
      </c>
      <c r="S197" s="2" t="n">
        <v>1</v>
      </c>
      <c r="T197" s="2" t="n"/>
      <c r="U197" s="2" t="inlineStr">
        <is>
          <t>否</t>
        </is>
      </c>
      <c r="V197" s="2" t="inlineStr">
        <is>
          <t>0.05</t>
        </is>
      </c>
      <c r="W197" s="2" t="n"/>
      <c r="X197" s="5">
        <f>R197</f>
        <v>0.05</v>
      </c>
      <c r="Y197" s="6">
        <f>X197*S197</f>
        <v>0.05</v>
      </c>
      <c r="Z197" s="2" t="inlineStr">
        <is>
          <t>个人任务</t>
        </is>
      </c>
      <c r="AA197" s="2" t="n"/>
      <c r="AB197" s="2" t="inlineStr">
        <is>
          <t>挑战者庄园</t>
        </is>
      </c>
      <c r="AC197" s="2" t="inlineStr">
        <is>
          <t>玩家进攻胜利（attacker），非撤退，返程结算发放</t>
        </is>
      </c>
      <c r="AD197" s="2" t="inlineStr">
        <is>
          <t>data/mission_templates.yaml:L1158:drop_table.book_last_chance_revival</t>
        </is>
      </c>
    </row>
    <row r="198">
      <c r="A198" s="2" t="n">
        <v>24</v>
      </c>
      <c r="B198" s="2" t="inlineStr">
        <is>
          <t>biyou_candeng</t>
        </is>
      </c>
      <c r="C198" s="2" t="inlineStr">
        <is>
          <t>封神之战：碧游残灯</t>
        </is>
      </c>
      <c r="D198" s="2" t="inlineStr">
        <is>
          <t>高级</t>
        </is>
      </c>
      <c r="E198" s="2" t="inlineStr">
        <is>
          <t>task1</t>
        </is>
      </c>
      <c r="F198" s="2" t="inlineStr">
        <is>
          <t>否</t>
        </is>
      </c>
      <c r="G198" s="2" t="inlineStr">
        <is>
          <t>否</t>
        </is>
      </c>
      <c r="H198" s="2" t="n">
        <v>3</v>
      </c>
      <c r="I198" s="2" t="n">
        <v>1800</v>
      </c>
      <c r="J198" s="2" t="inlineStr">
        <is>
          <t>每日开放</t>
        </is>
      </c>
      <c r="K198" s="2" t="inlineStr">
        <is>
          <t>无</t>
        </is>
      </c>
      <c r="L198" s="2" t="inlineStr">
        <is>
          <t>概率掉落</t>
        </is>
      </c>
      <c r="M198" s="2" t="inlineStr">
        <is>
          <t>equip_baguajing</t>
        </is>
      </c>
      <c r="N198" s="2" t="inlineStr">
        <is>
          <t>equip_baguajing</t>
        </is>
      </c>
      <c r="O198" s="2" t="inlineStr">
        <is>
          <t>八卦镜</t>
        </is>
      </c>
      <c r="P198" s="2" t="inlineStr">
        <is>
          <t>饰品</t>
        </is>
      </c>
      <c r="Q198" s="2" t="inlineStr">
        <is>
          <t>史诗/紫</t>
        </is>
      </c>
      <c r="R198" s="5" t="n">
        <v>0.06</v>
      </c>
      <c r="S198" s="2" t="n">
        <v>1</v>
      </c>
      <c r="T198" s="2" t="n"/>
      <c r="U198" s="2" t="inlineStr">
        <is>
          <t>否</t>
        </is>
      </c>
      <c r="V198" s="2" t="inlineStr">
        <is>
          <t>0.06</t>
        </is>
      </c>
      <c r="W198" s="2" t="n"/>
      <c r="X198" s="5">
        <f>R198</f>
        <v>0.06</v>
      </c>
      <c r="Y198" s="6">
        <f>X198*S198</f>
        <v>0.06</v>
      </c>
      <c r="Z198" s="2" t="inlineStr">
        <is>
          <t>个人任务</t>
        </is>
      </c>
      <c r="AA198" s="2" t="n"/>
      <c r="AB198" s="2" t="inlineStr">
        <is>
          <t>挑战者庄园</t>
        </is>
      </c>
      <c r="AC198" s="2" t="inlineStr">
        <is>
          <t>玩家进攻胜利（attacker），非撤退，返程结算发放</t>
        </is>
      </c>
      <c r="AD198" s="2" t="inlineStr">
        <is>
          <t>data/mission_templates.yaml:L1158:drop_table.equip_baguajing</t>
        </is>
      </c>
    </row>
    <row r="199">
      <c r="A199" s="2" t="n">
        <v>24</v>
      </c>
      <c r="B199" s="2" t="inlineStr">
        <is>
          <t>biyou_candeng</t>
        </is>
      </c>
      <c r="C199" s="2" t="inlineStr">
        <is>
          <t>封神之战：碧游残灯</t>
        </is>
      </c>
      <c r="D199" s="2" t="inlineStr">
        <is>
          <t>高级</t>
        </is>
      </c>
      <c r="E199" s="2" t="inlineStr">
        <is>
          <t>task1</t>
        </is>
      </c>
      <c r="F199" s="2" t="inlineStr">
        <is>
          <t>否</t>
        </is>
      </c>
      <c r="G199" s="2" t="inlineStr">
        <is>
          <t>否</t>
        </is>
      </c>
      <c r="H199" s="2" t="n">
        <v>3</v>
      </c>
      <c r="I199" s="2" t="n">
        <v>1800</v>
      </c>
      <c r="J199" s="2" t="inlineStr">
        <is>
          <t>每日开放</t>
        </is>
      </c>
      <c r="K199" s="2" t="inlineStr">
        <is>
          <t>无</t>
        </is>
      </c>
      <c r="L199" s="2" t="inlineStr">
        <is>
          <t>概率掉落</t>
        </is>
      </c>
      <c r="M199" s="2" t="inlineStr">
        <is>
          <t>wanyin_flag_fragment</t>
        </is>
      </c>
      <c r="N199" s="2" t="inlineStr">
        <is>
          <t>wanyin_flag_fragment</t>
        </is>
      </c>
      <c r="O199" s="2" t="inlineStr">
        <is>
          <t>万仙阵旗残片</t>
        </is>
      </c>
      <c r="P199" s="2" t="inlineStr">
        <is>
          <t>资源</t>
        </is>
      </c>
      <c r="Q199" s="2" t="inlineStr">
        <is>
          <t>稀有/蓝</t>
        </is>
      </c>
      <c r="R199" s="5" t="n">
        <v>0.35</v>
      </c>
      <c r="S199" s="2" t="n">
        <v>1</v>
      </c>
      <c r="T199" s="2" t="n"/>
      <c r="U199" s="2" t="inlineStr">
        <is>
          <t>否</t>
        </is>
      </c>
      <c r="V199" s="2" t="inlineStr">
        <is>
          <t>{"chance":0.35,"count":1}</t>
        </is>
      </c>
      <c r="W199" s="2" t="n"/>
      <c r="X199" s="5">
        <f>R199</f>
        <v>0.35</v>
      </c>
      <c r="Y199" s="6">
        <f>X199*S199</f>
        <v>0.35</v>
      </c>
      <c r="Z199" s="2" t="inlineStr">
        <is>
          <t>个人任务</t>
        </is>
      </c>
      <c r="AA199" s="2" t="n"/>
      <c r="AB199" s="2" t="inlineStr">
        <is>
          <t>挑战者庄园</t>
        </is>
      </c>
      <c r="AC199" s="2" t="inlineStr">
        <is>
          <t>玩家进攻胜利（attacker），非撤退，返程结算发放</t>
        </is>
      </c>
      <c r="AD199" s="2" t="inlineStr">
        <is>
          <t>data/mission_templates.yaml:L1158:drop_table.wanyin_flag_fragment</t>
        </is>
      </c>
    </row>
    <row r="200">
      <c r="A200" s="2" t="n">
        <v>24</v>
      </c>
      <c r="B200" s="2" t="inlineStr">
        <is>
          <t>biyou_candeng</t>
        </is>
      </c>
      <c r="C200" s="2" t="inlineStr">
        <is>
          <t>封神之战：碧游残灯</t>
        </is>
      </c>
      <c r="D200" s="2" t="inlineStr">
        <is>
          <t>高级</t>
        </is>
      </c>
      <c r="E200" s="2" t="inlineStr">
        <is>
          <t>task1</t>
        </is>
      </c>
      <c r="F200" s="2" t="inlineStr">
        <is>
          <t>否</t>
        </is>
      </c>
      <c r="G200" s="2" t="inlineStr">
        <is>
          <t>否</t>
        </is>
      </c>
      <c r="H200" s="2" t="n">
        <v>3</v>
      </c>
      <c r="I200" s="2" t="n">
        <v>1800</v>
      </c>
      <c r="J200" s="2" t="inlineStr">
        <is>
          <t>每日开放</t>
        </is>
      </c>
      <c r="K200" s="2" t="inlineStr">
        <is>
          <t>无</t>
        </is>
      </c>
      <c r="L200" s="2" t="inlineStr">
        <is>
          <t>随机池掉落</t>
        </is>
      </c>
      <c r="M200" s="2" t="inlineStr">
        <is>
          <t>equip_xiaowei_set</t>
        </is>
      </c>
      <c r="N200" s="2" t="inlineStr">
        <is>
          <t>equip_xiaoweitoukui</t>
        </is>
      </c>
      <c r="O200" s="2" t="inlineStr">
        <is>
          <t>校尉头盔</t>
        </is>
      </c>
      <c r="P200" s="2" t="inlineStr">
        <is>
          <t>头盔</t>
        </is>
      </c>
      <c r="Q200" s="2" t="inlineStr">
        <is>
          <t>稀有/蓝</t>
        </is>
      </c>
      <c r="R200" s="5" t="n">
        <v>0.35</v>
      </c>
      <c r="S200" s="2" t="n">
        <v>1</v>
      </c>
      <c r="T200" s="2" t="n">
        <v>1</v>
      </c>
      <c r="U200" s="2" t="inlineStr">
        <is>
          <t>是</t>
        </is>
      </c>
      <c r="V200" s="2" t="inlineStr">
        <is>
          <t>{"chance":0.35,"choices":["equip_xiaoweitoukui","equip_xiaoweikaijia","equip_xiaoweichangxue","equip_xiaoweichangjian"]}</t>
        </is>
      </c>
      <c r="W200" s="3">
        <f>SUM(T200:T203)</f>
        <v>4</v>
      </c>
      <c r="X200" s="5">
        <f>R200*T200/W200</f>
        <v>0.0875</v>
      </c>
      <c r="Y200" s="6">
        <f>X200*S200</f>
        <v>0.0875</v>
      </c>
      <c r="Z200" s="2" t="inlineStr">
        <is>
          <t>个人任务</t>
        </is>
      </c>
      <c r="AA200" s="2" t="n"/>
      <c r="AB200" s="2" t="inlineStr">
        <is>
          <t>挑战者庄园</t>
        </is>
      </c>
      <c r="AC200" s="2" t="inlineStr">
        <is>
          <t>玩家进攻胜利（attacker），非撤退，返程结算发放</t>
        </is>
      </c>
      <c r="AD200" s="2" t="inlineStr">
        <is>
          <t>data/mission_templates.yaml:L1158:drop_table.equip_xiaowei_set</t>
        </is>
      </c>
    </row>
    <row r="201">
      <c r="A201" s="2" t="n">
        <v>24</v>
      </c>
      <c r="B201" s="2" t="inlineStr">
        <is>
          <t>biyou_candeng</t>
        </is>
      </c>
      <c r="C201" s="2" t="inlineStr">
        <is>
          <t>封神之战：碧游残灯</t>
        </is>
      </c>
      <c r="D201" s="2" t="inlineStr">
        <is>
          <t>高级</t>
        </is>
      </c>
      <c r="E201" s="2" t="inlineStr">
        <is>
          <t>task1</t>
        </is>
      </c>
      <c r="F201" s="2" t="inlineStr">
        <is>
          <t>否</t>
        </is>
      </c>
      <c r="G201" s="2" t="inlineStr">
        <is>
          <t>否</t>
        </is>
      </c>
      <c r="H201" s="2" t="n">
        <v>3</v>
      </c>
      <c r="I201" s="2" t="n">
        <v>1800</v>
      </c>
      <c r="J201" s="2" t="inlineStr">
        <is>
          <t>每日开放</t>
        </is>
      </c>
      <c r="K201" s="2" t="inlineStr">
        <is>
          <t>无</t>
        </is>
      </c>
      <c r="L201" s="2" t="inlineStr">
        <is>
          <t>随机池掉落</t>
        </is>
      </c>
      <c r="M201" s="2" t="inlineStr">
        <is>
          <t>equip_xiaowei_set</t>
        </is>
      </c>
      <c r="N201" s="2" t="inlineStr">
        <is>
          <t>equip_xiaoweikaijia</t>
        </is>
      </c>
      <c r="O201" s="2" t="inlineStr">
        <is>
          <t>校尉铠甲</t>
        </is>
      </c>
      <c r="P201" s="2" t="inlineStr">
        <is>
          <t>护甲</t>
        </is>
      </c>
      <c r="Q201" s="2" t="inlineStr">
        <is>
          <t>稀有/蓝</t>
        </is>
      </c>
      <c r="R201" s="5" t="n">
        <v>0.35</v>
      </c>
      <c r="S201" s="2" t="n">
        <v>1</v>
      </c>
      <c r="T201" s="2" t="n">
        <v>1</v>
      </c>
      <c r="U201" s="2" t="inlineStr">
        <is>
          <t>是</t>
        </is>
      </c>
      <c r="V201" s="2" t="inlineStr">
        <is>
          <t>{"chance":0.35,"choices":["equip_xiaoweitoukui","equip_xiaoweikaijia","equip_xiaoweichangxue","equip_xiaoweichangjian"]}</t>
        </is>
      </c>
      <c r="W201" s="3">
        <f>SUM(T200:T203)</f>
        <v>4</v>
      </c>
      <c r="X201" s="5">
        <f>R201*T201/W201</f>
        <v>0.0875</v>
      </c>
      <c r="Y201" s="6">
        <f>X201*S201</f>
        <v>0.0875</v>
      </c>
      <c r="Z201" s="2" t="inlineStr">
        <is>
          <t>个人任务</t>
        </is>
      </c>
      <c r="AA201" s="2" t="n"/>
      <c r="AB201" s="2" t="inlineStr">
        <is>
          <t>挑战者庄园</t>
        </is>
      </c>
      <c r="AC201" s="2" t="inlineStr">
        <is>
          <t>玩家进攻胜利（attacker），非撤退，返程结算发放</t>
        </is>
      </c>
      <c r="AD201" s="2" t="inlineStr">
        <is>
          <t>data/mission_templates.yaml:L1158:drop_table.equip_xiaowei_set</t>
        </is>
      </c>
    </row>
    <row r="202">
      <c r="A202" s="2" t="n">
        <v>24</v>
      </c>
      <c r="B202" s="2" t="inlineStr">
        <is>
          <t>biyou_candeng</t>
        </is>
      </c>
      <c r="C202" s="2" t="inlineStr">
        <is>
          <t>封神之战：碧游残灯</t>
        </is>
      </c>
      <c r="D202" s="2" t="inlineStr">
        <is>
          <t>高级</t>
        </is>
      </c>
      <c r="E202" s="2" t="inlineStr">
        <is>
          <t>task1</t>
        </is>
      </c>
      <c r="F202" s="2" t="inlineStr">
        <is>
          <t>否</t>
        </is>
      </c>
      <c r="G202" s="2" t="inlineStr">
        <is>
          <t>否</t>
        </is>
      </c>
      <c r="H202" s="2" t="n">
        <v>3</v>
      </c>
      <c r="I202" s="2" t="n">
        <v>1800</v>
      </c>
      <c r="J202" s="2" t="inlineStr">
        <is>
          <t>每日开放</t>
        </is>
      </c>
      <c r="K202" s="2" t="inlineStr">
        <is>
          <t>无</t>
        </is>
      </c>
      <c r="L202" s="2" t="inlineStr">
        <is>
          <t>随机池掉落</t>
        </is>
      </c>
      <c r="M202" s="2" t="inlineStr">
        <is>
          <t>equip_xiaowei_set</t>
        </is>
      </c>
      <c r="N202" s="2" t="inlineStr">
        <is>
          <t>equip_xiaoweichangxue</t>
        </is>
      </c>
      <c r="O202" s="2" t="inlineStr">
        <is>
          <t>校尉长靴</t>
        </is>
      </c>
      <c r="P202" s="2" t="inlineStr">
        <is>
          <t>鞋子</t>
        </is>
      </c>
      <c r="Q202" s="2" t="inlineStr">
        <is>
          <t>稀有/蓝</t>
        </is>
      </c>
      <c r="R202" s="5" t="n">
        <v>0.35</v>
      </c>
      <c r="S202" s="2" t="n">
        <v>1</v>
      </c>
      <c r="T202" s="2" t="n">
        <v>1</v>
      </c>
      <c r="U202" s="2" t="inlineStr">
        <is>
          <t>是</t>
        </is>
      </c>
      <c r="V202" s="2" t="inlineStr">
        <is>
          <t>{"chance":0.35,"choices":["equip_xiaoweitoukui","equip_xiaoweikaijia","equip_xiaoweichangxue","equip_xiaoweichangjian"]}</t>
        </is>
      </c>
      <c r="W202" s="3">
        <f>SUM(T200:T203)</f>
        <v>4</v>
      </c>
      <c r="X202" s="5">
        <f>R202*T202/W202</f>
        <v>0.0875</v>
      </c>
      <c r="Y202" s="6">
        <f>X202*S202</f>
        <v>0.0875</v>
      </c>
      <c r="Z202" s="2" t="inlineStr">
        <is>
          <t>个人任务</t>
        </is>
      </c>
      <c r="AA202" s="2" t="n"/>
      <c r="AB202" s="2" t="inlineStr">
        <is>
          <t>挑战者庄园</t>
        </is>
      </c>
      <c r="AC202" s="2" t="inlineStr">
        <is>
          <t>玩家进攻胜利（attacker），非撤退，返程结算发放</t>
        </is>
      </c>
      <c r="AD202" s="2" t="inlineStr">
        <is>
          <t>data/mission_templates.yaml:L1158:drop_table.equip_xiaowei_set</t>
        </is>
      </c>
    </row>
    <row r="203">
      <c r="A203" s="2" t="n">
        <v>24</v>
      </c>
      <c r="B203" s="2" t="inlineStr">
        <is>
          <t>biyou_candeng</t>
        </is>
      </c>
      <c r="C203" s="2" t="inlineStr">
        <is>
          <t>封神之战：碧游残灯</t>
        </is>
      </c>
      <c r="D203" s="2" t="inlineStr">
        <is>
          <t>高级</t>
        </is>
      </c>
      <c r="E203" s="2" t="inlineStr">
        <is>
          <t>task1</t>
        </is>
      </c>
      <c r="F203" s="2" t="inlineStr">
        <is>
          <t>否</t>
        </is>
      </c>
      <c r="G203" s="2" t="inlineStr">
        <is>
          <t>否</t>
        </is>
      </c>
      <c r="H203" s="2" t="n">
        <v>3</v>
      </c>
      <c r="I203" s="2" t="n">
        <v>1800</v>
      </c>
      <c r="J203" s="2" t="inlineStr">
        <is>
          <t>每日开放</t>
        </is>
      </c>
      <c r="K203" s="2" t="inlineStr">
        <is>
          <t>无</t>
        </is>
      </c>
      <c r="L203" s="2" t="inlineStr">
        <is>
          <t>随机池掉落</t>
        </is>
      </c>
      <c r="M203" s="2" t="inlineStr">
        <is>
          <t>equip_xiaowei_set</t>
        </is>
      </c>
      <c r="N203" s="2" t="inlineStr">
        <is>
          <t>equip_xiaoweichangjian</t>
        </is>
      </c>
      <c r="O203" s="2" t="inlineStr">
        <is>
          <t>校尉长剑</t>
        </is>
      </c>
      <c r="P203" s="2" t="inlineStr">
        <is>
          <t>武器</t>
        </is>
      </c>
      <c r="Q203" s="2" t="inlineStr">
        <is>
          <t>稀有/蓝</t>
        </is>
      </c>
      <c r="R203" s="5" t="n">
        <v>0.35</v>
      </c>
      <c r="S203" s="2" t="n">
        <v>1</v>
      </c>
      <c r="T203" s="2" t="n">
        <v>1</v>
      </c>
      <c r="U203" s="2" t="inlineStr">
        <is>
          <t>是</t>
        </is>
      </c>
      <c r="V203" s="2" t="inlineStr">
        <is>
          <t>{"chance":0.35,"choices":["equip_xiaoweitoukui","equip_xiaoweikaijia","equip_xiaoweichangxue","equip_xiaoweichangjian"]}</t>
        </is>
      </c>
      <c r="W203" s="3">
        <f>SUM(T200:T203)</f>
        <v>4</v>
      </c>
      <c r="X203" s="5">
        <f>R203*T203/W203</f>
        <v>0.0875</v>
      </c>
      <c r="Y203" s="6">
        <f>X203*S203</f>
        <v>0.0875</v>
      </c>
      <c r="Z203" s="2" t="inlineStr">
        <is>
          <t>个人任务</t>
        </is>
      </c>
      <c r="AA203" s="2" t="n"/>
      <c r="AB203" s="2" t="inlineStr">
        <is>
          <t>挑战者庄园</t>
        </is>
      </c>
      <c r="AC203" s="2" t="inlineStr">
        <is>
          <t>玩家进攻胜利（attacker），非撤退，返程结算发放</t>
        </is>
      </c>
      <c r="AD203" s="2" t="inlineStr">
        <is>
          <t>data/mission_templates.yaml:L1158:drop_table.equip_xiaowei_set</t>
        </is>
      </c>
    </row>
    <row r="204">
      <c r="A204" s="2" t="n">
        <v>24</v>
      </c>
      <c r="B204" s="2" t="inlineStr">
        <is>
          <t>biyou_candeng</t>
        </is>
      </c>
      <c r="C204" s="2" t="inlineStr">
        <is>
          <t>封神之战：碧游残灯</t>
        </is>
      </c>
      <c r="D204" s="2" t="inlineStr">
        <is>
          <t>高级</t>
        </is>
      </c>
      <c r="E204" s="2" t="inlineStr">
        <is>
          <t>task1</t>
        </is>
      </c>
      <c r="F204" s="2" t="inlineStr">
        <is>
          <t>否</t>
        </is>
      </c>
      <c r="G204" s="2" t="inlineStr">
        <is>
          <t>否</t>
        </is>
      </c>
      <c r="H204" s="2" t="n">
        <v>3</v>
      </c>
      <c r="I204" s="2" t="n">
        <v>1800</v>
      </c>
      <c r="J204" s="2" t="inlineStr">
        <is>
          <t>每日开放</t>
        </is>
      </c>
      <c r="K204" s="2" t="inlineStr">
        <is>
          <t>无</t>
        </is>
      </c>
      <c r="L204" s="2" t="inlineStr">
        <is>
          <t>随机池掉落</t>
        </is>
      </c>
      <c r="M204" s="2" t="inlineStr">
        <is>
          <t>equip_huxian_set</t>
        </is>
      </c>
      <c r="N204" s="2" t="inlineStr">
        <is>
          <t>equip_huxianpao</t>
        </is>
      </c>
      <c r="O204" s="2" t="inlineStr">
        <is>
          <t>狐仙袍</t>
        </is>
      </c>
      <c r="P204" s="2" t="inlineStr">
        <is>
          <t>护甲</t>
        </is>
      </c>
      <c r="Q204" s="2" t="inlineStr">
        <is>
          <t>史诗/紫</t>
        </is>
      </c>
      <c r="R204" s="5" t="n">
        <v>0.1</v>
      </c>
      <c r="S204" s="2" t="n">
        <v>1</v>
      </c>
      <c r="T204" s="2" t="n">
        <v>1</v>
      </c>
      <c r="U204" s="2" t="inlineStr">
        <is>
          <t>是</t>
        </is>
      </c>
      <c r="V204" s="2" t="inlineStr">
        <is>
          <t>{"chance":0.1,"choices":["equip_huxianpao","equip_huxianxie","equip_huxianjian"]}</t>
        </is>
      </c>
      <c r="W204" s="3">
        <f>SUM(T204:T206)</f>
        <v>3</v>
      </c>
      <c r="X204" s="5">
        <f>R204*T204/W204</f>
        <v>0.03333333333333333</v>
      </c>
      <c r="Y204" s="6">
        <f>X204*S204</f>
        <v>0.03333333333333333</v>
      </c>
      <c r="Z204" s="2" t="inlineStr">
        <is>
          <t>个人任务</t>
        </is>
      </c>
      <c r="AA204" s="2" t="n"/>
      <c r="AB204" s="2" t="inlineStr">
        <is>
          <t>挑战者庄园</t>
        </is>
      </c>
      <c r="AC204" s="2" t="inlineStr">
        <is>
          <t>玩家进攻胜利（attacker），非撤退，返程结算发放</t>
        </is>
      </c>
      <c r="AD204" s="2" t="inlineStr">
        <is>
          <t>data/mission_templates.yaml:L1158:drop_table.equip_huxian_set</t>
        </is>
      </c>
    </row>
    <row r="205">
      <c r="A205" s="2" t="n">
        <v>24</v>
      </c>
      <c r="B205" s="2" t="inlineStr">
        <is>
          <t>biyou_candeng</t>
        </is>
      </c>
      <c r="C205" s="2" t="inlineStr">
        <is>
          <t>封神之战：碧游残灯</t>
        </is>
      </c>
      <c r="D205" s="2" t="inlineStr">
        <is>
          <t>高级</t>
        </is>
      </c>
      <c r="E205" s="2" t="inlineStr">
        <is>
          <t>task1</t>
        </is>
      </c>
      <c r="F205" s="2" t="inlineStr">
        <is>
          <t>否</t>
        </is>
      </c>
      <c r="G205" s="2" t="inlineStr">
        <is>
          <t>否</t>
        </is>
      </c>
      <c r="H205" s="2" t="n">
        <v>3</v>
      </c>
      <c r="I205" s="2" t="n">
        <v>1800</v>
      </c>
      <c r="J205" s="2" t="inlineStr">
        <is>
          <t>每日开放</t>
        </is>
      </c>
      <c r="K205" s="2" t="inlineStr">
        <is>
          <t>无</t>
        </is>
      </c>
      <c r="L205" s="2" t="inlineStr">
        <is>
          <t>随机池掉落</t>
        </is>
      </c>
      <c r="M205" s="2" t="inlineStr">
        <is>
          <t>equip_huxian_set</t>
        </is>
      </c>
      <c r="N205" s="2" t="inlineStr">
        <is>
          <t>equip_huxianxie</t>
        </is>
      </c>
      <c r="O205" s="2" t="inlineStr">
        <is>
          <t>狐仙鞋</t>
        </is>
      </c>
      <c r="P205" s="2" t="inlineStr">
        <is>
          <t>鞋子</t>
        </is>
      </c>
      <c r="Q205" s="2" t="inlineStr">
        <is>
          <t>史诗/紫</t>
        </is>
      </c>
      <c r="R205" s="5" t="n">
        <v>0.1</v>
      </c>
      <c r="S205" s="2" t="n">
        <v>1</v>
      </c>
      <c r="T205" s="2" t="n">
        <v>1</v>
      </c>
      <c r="U205" s="2" t="inlineStr">
        <is>
          <t>是</t>
        </is>
      </c>
      <c r="V205" s="2" t="inlineStr">
        <is>
          <t>{"chance":0.1,"choices":["equip_huxianpao","equip_huxianxie","equip_huxianjian"]}</t>
        </is>
      </c>
      <c r="W205" s="3">
        <f>SUM(T204:T206)</f>
        <v>3</v>
      </c>
      <c r="X205" s="5">
        <f>R205*T205/W205</f>
        <v>0.03333333333333333</v>
      </c>
      <c r="Y205" s="6">
        <f>X205*S205</f>
        <v>0.03333333333333333</v>
      </c>
      <c r="Z205" s="2" t="inlineStr">
        <is>
          <t>个人任务</t>
        </is>
      </c>
      <c r="AA205" s="2" t="n"/>
      <c r="AB205" s="2" t="inlineStr">
        <is>
          <t>挑战者庄园</t>
        </is>
      </c>
      <c r="AC205" s="2" t="inlineStr">
        <is>
          <t>玩家进攻胜利（attacker），非撤退，返程结算发放</t>
        </is>
      </c>
      <c r="AD205" s="2" t="inlineStr">
        <is>
          <t>data/mission_templates.yaml:L1158:drop_table.equip_huxian_set</t>
        </is>
      </c>
    </row>
    <row r="206">
      <c r="A206" s="2" t="n">
        <v>24</v>
      </c>
      <c r="B206" s="2" t="inlineStr">
        <is>
          <t>biyou_candeng</t>
        </is>
      </c>
      <c r="C206" s="2" t="inlineStr">
        <is>
          <t>封神之战：碧游残灯</t>
        </is>
      </c>
      <c r="D206" s="2" t="inlineStr">
        <is>
          <t>高级</t>
        </is>
      </c>
      <c r="E206" s="2" t="inlineStr">
        <is>
          <t>task1</t>
        </is>
      </c>
      <c r="F206" s="2" t="inlineStr">
        <is>
          <t>否</t>
        </is>
      </c>
      <c r="G206" s="2" t="inlineStr">
        <is>
          <t>否</t>
        </is>
      </c>
      <c r="H206" s="2" t="n">
        <v>3</v>
      </c>
      <c r="I206" s="2" t="n">
        <v>1800</v>
      </c>
      <c r="J206" s="2" t="inlineStr">
        <is>
          <t>每日开放</t>
        </is>
      </c>
      <c r="K206" s="2" t="inlineStr">
        <is>
          <t>无</t>
        </is>
      </c>
      <c r="L206" s="2" t="inlineStr">
        <is>
          <t>随机池掉落</t>
        </is>
      </c>
      <c r="M206" s="2" t="inlineStr">
        <is>
          <t>equip_huxian_set</t>
        </is>
      </c>
      <c r="N206" s="2" t="inlineStr">
        <is>
          <t>equip_huxianjian</t>
        </is>
      </c>
      <c r="O206" s="2" t="inlineStr">
        <is>
          <t>狐仙剑</t>
        </is>
      </c>
      <c r="P206" s="2" t="inlineStr">
        <is>
          <t>武器</t>
        </is>
      </c>
      <c r="Q206" s="2" t="inlineStr">
        <is>
          <t>史诗/紫</t>
        </is>
      </c>
      <c r="R206" s="5" t="n">
        <v>0.1</v>
      </c>
      <c r="S206" s="2" t="n">
        <v>1</v>
      </c>
      <c r="T206" s="2" t="n">
        <v>1</v>
      </c>
      <c r="U206" s="2" t="inlineStr">
        <is>
          <t>是</t>
        </is>
      </c>
      <c r="V206" s="2" t="inlineStr">
        <is>
          <t>{"chance":0.1,"choices":["equip_huxianpao","equip_huxianxie","equip_huxianjian"]}</t>
        </is>
      </c>
      <c r="W206" s="3">
        <f>SUM(T204:T206)</f>
        <v>3</v>
      </c>
      <c r="X206" s="5">
        <f>R206*T206/W206</f>
        <v>0.03333333333333333</v>
      </c>
      <c r="Y206" s="6">
        <f>X206*S206</f>
        <v>0.03333333333333333</v>
      </c>
      <c r="Z206" s="2" t="inlineStr">
        <is>
          <t>个人任务</t>
        </is>
      </c>
      <c r="AA206" s="2" t="n"/>
      <c r="AB206" s="2" t="inlineStr">
        <is>
          <t>挑战者庄园</t>
        </is>
      </c>
      <c r="AC206" s="2" t="inlineStr">
        <is>
          <t>玩家进攻胜利（attacker），非撤退，返程结算发放</t>
        </is>
      </c>
      <c r="AD206" s="2" t="inlineStr">
        <is>
          <t>data/mission_templates.yaml:L1158:drop_table.equip_huxian_set</t>
        </is>
      </c>
    </row>
    <row r="207">
      <c r="A207" s="2" t="n">
        <v>25</v>
      </c>
      <c r="B207" s="2" t="inlineStr">
        <is>
          <t>shier_xianyin</t>
        </is>
      </c>
      <c r="C207" s="2" t="inlineStr">
        <is>
          <t>封神之战：十二仙印</t>
        </is>
      </c>
      <c r="D207" s="2" t="inlineStr">
        <is>
          <t>高级</t>
        </is>
      </c>
      <c r="E207" s="2" t="inlineStr">
        <is>
          <t>task1</t>
        </is>
      </c>
      <c r="F207" s="2" t="inlineStr">
        <is>
          <t>否</t>
        </is>
      </c>
      <c r="G207" s="2" t="inlineStr">
        <is>
          <t>否</t>
        </is>
      </c>
      <c r="H207" s="2" t="n">
        <v>2</v>
      </c>
      <c r="I207" s="2" t="n">
        <v>1800</v>
      </c>
      <c r="J207" s="2" t="inlineStr">
        <is>
          <t>每日开放</t>
        </is>
      </c>
      <c r="K207" s="2" t="inlineStr">
        <is>
          <t>万仙阵旗残片×1</t>
        </is>
      </c>
      <c r="L207" s="2" t="inlineStr">
        <is>
          <t>固定掉落</t>
        </is>
      </c>
      <c r="M207" s="2" t="inlineStr">
        <is>
          <t>silver</t>
        </is>
      </c>
      <c r="N207" s="2" t="inlineStr">
        <is>
          <t>silver</t>
        </is>
      </c>
      <c r="O207" s="2" t="inlineStr">
        <is>
          <t>银两</t>
        </is>
      </c>
      <c r="P207" s="2" t="inlineStr">
        <is>
          <t>资源</t>
        </is>
      </c>
      <c r="Q207" s="2" t="inlineStr">
        <is>
          <t>资源</t>
        </is>
      </c>
      <c r="R207" s="5" t="n">
        <v>1</v>
      </c>
      <c r="S207" s="2" t="n">
        <v>80000</v>
      </c>
      <c r="T207" s="2" t="n"/>
      <c r="U207" s="2" t="inlineStr">
        <is>
          <t>否</t>
        </is>
      </c>
      <c r="V207" s="2" t="inlineStr">
        <is>
          <t>80000</t>
        </is>
      </c>
      <c r="W207" s="2" t="n"/>
      <c r="X207" s="5">
        <f>R207</f>
        <v>1</v>
      </c>
      <c r="Y207" s="6">
        <f>X207*S207</f>
        <v>80000</v>
      </c>
      <c r="Z207" s="2" t="inlineStr">
        <is>
          <t>个人任务</t>
        </is>
      </c>
      <c r="AA207" s="2" t="n"/>
      <c r="AB207" s="2" t="inlineStr">
        <is>
          <t>挑战者庄园</t>
        </is>
      </c>
      <c r="AC207" s="2" t="inlineStr">
        <is>
          <t>玩家进攻胜利（attacker），非撤退，返程结算发放</t>
        </is>
      </c>
      <c r="AD207" s="2" t="inlineStr">
        <is>
          <t>data/mission_templates.yaml:L1212:drop_table.silver</t>
        </is>
      </c>
    </row>
    <row r="208">
      <c r="A208" s="2" t="n">
        <v>25</v>
      </c>
      <c r="B208" s="2" t="inlineStr">
        <is>
          <t>shier_xianyin</t>
        </is>
      </c>
      <c r="C208" s="2" t="inlineStr">
        <is>
          <t>封神之战：十二仙印</t>
        </is>
      </c>
      <c r="D208" s="2" t="inlineStr">
        <is>
          <t>高级</t>
        </is>
      </c>
      <c r="E208" s="2" t="inlineStr">
        <is>
          <t>task1</t>
        </is>
      </c>
      <c r="F208" s="2" t="inlineStr">
        <is>
          <t>否</t>
        </is>
      </c>
      <c r="G208" s="2" t="inlineStr">
        <is>
          <t>否</t>
        </is>
      </c>
      <c r="H208" s="2" t="n">
        <v>2</v>
      </c>
      <c r="I208" s="2" t="n">
        <v>1800</v>
      </c>
      <c r="J208" s="2" t="inlineStr">
        <is>
          <t>每日开放</t>
        </is>
      </c>
      <c r="K208" s="2" t="inlineStr">
        <is>
          <t>万仙阵旗残片×1</t>
        </is>
      </c>
      <c r="L208" s="2" t="inlineStr">
        <is>
          <t>概率掉落</t>
        </is>
      </c>
      <c r="M208" s="2" t="inlineStr">
        <is>
          <t>experience_pineapple</t>
        </is>
      </c>
      <c r="N208" s="2" t="inlineStr">
        <is>
          <t>experience_pineapple</t>
        </is>
      </c>
      <c r="O208" s="2" t="inlineStr">
        <is>
          <t>经验菠萝</t>
        </is>
      </c>
      <c r="P208" s="2" t="inlineStr">
        <is>
          <t>经验道具</t>
        </is>
      </c>
      <c r="Q208" s="2" t="inlineStr">
        <is>
          <t>稀有/蓝</t>
        </is>
      </c>
      <c r="R208" s="5" t="n">
        <v>0.7</v>
      </c>
      <c r="S208" s="2" t="n">
        <v>12</v>
      </c>
      <c r="T208" s="2" t="n"/>
      <c r="U208" s="2" t="inlineStr">
        <is>
          <t>否</t>
        </is>
      </c>
      <c r="V208" s="2" t="inlineStr">
        <is>
          <t>{"chance":0.7,"count":12}</t>
        </is>
      </c>
      <c r="W208" s="2" t="n"/>
      <c r="X208" s="5">
        <f>R208</f>
        <v>0.7</v>
      </c>
      <c r="Y208" s="6">
        <f>X208*S208</f>
        <v>8.399999999999999</v>
      </c>
      <c r="Z208" s="2" t="inlineStr">
        <is>
          <t>个人任务</t>
        </is>
      </c>
      <c r="AA208" s="2" t="n"/>
      <c r="AB208" s="2" t="inlineStr">
        <is>
          <t>挑战者庄园</t>
        </is>
      </c>
      <c r="AC208" s="2" t="inlineStr">
        <is>
          <t>玩家进攻胜利（attacker），非撤退，返程结算发放</t>
        </is>
      </c>
      <c r="AD208" s="2" t="inlineStr">
        <is>
          <t>data/mission_templates.yaml:L1212:drop_table.experience_pineapple</t>
        </is>
      </c>
    </row>
    <row r="209">
      <c r="A209" s="2" t="n">
        <v>25</v>
      </c>
      <c r="B209" s="2" t="inlineStr">
        <is>
          <t>shier_xianyin</t>
        </is>
      </c>
      <c r="C209" s="2" t="inlineStr">
        <is>
          <t>封神之战：十二仙印</t>
        </is>
      </c>
      <c r="D209" s="2" t="inlineStr">
        <is>
          <t>高级</t>
        </is>
      </c>
      <c r="E209" s="2" t="inlineStr">
        <is>
          <t>task1</t>
        </is>
      </c>
      <c r="F209" s="2" t="inlineStr">
        <is>
          <t>否</t>
        </is>
      </c>
      <c r="G209" s="2" t="inlineStr">
        <is>
          <t>否</t>
        </is>
      </c>
      <c r="H209" s="2" t="n">
        <v>2</v>
      </c>
      <c r="I209" s="2" t="n">
        <v>1800</v>
      </c>
      <c r="J209" s="2" t="inlineStr">
        <is>
          <t>每日开放</t>
        </is>
      </c>
      <c r="K209" s="2" t="inlineStr">
        <is>
          <t>万仙阵旗残片×1</t>
        </is>
      </c>
      <c r="L209" s="2" t="inlineStr">
        <is>
          <t>概率掉落</t>
        </is>
      </c>
      <c r="M209" s="2" t="inlineStr">
        <is>
          <t>book_five_thunder_descent</t>
        </is>
      </c>
      <c r="N209" s="2" t="inlineStr">
        <is>
          <t>book_five_thunder_descent</t>
        </is>
      </c>
      <c r="O209" s="2" t="inlineStr">
        <is>
          <t>《五雷降世》秘术</t>
        </is>
      </c>
      <c r="P209" s="2" t="inlineStr">
        <is>
          <t>技能书</t>
        </is>
      </c>
      <c r="Q209" s="2" t="inlineStr">
        <is>
          <t>史诗/紫</t>
        </is>
      </c>
      <c r="R209" s="5" t="n">
        <v>0.048</v>
      </c>
      <c r="S209" s="2" t="n">
        <v>1</v>
      </c>
      <c r="T209" s="2" t="n"/>
      <c r="U209" s="2" t="inlineStr">
        <is>
          <t>否</t>
        </is>
      </c>
      <c r="V209" s="2" t="inlineStr">
        <is>
          <t>0.048</t>
        </is>
      </c>
      <c r="W209" s="2" t="n"/>
      <c r="X209" s="5">
        <f>R209</f>
        <v>0.048</v>
      </c>
      <c r="Y209" s="6">
        <f>X209*S209</f>
        <v>0.048</v>
      </c>
      <c r="Z209" s="2" t="inlineStr">
        <is>
          <t>个人任务</t>
        </is>
      </c>
      <c r="AA209" s="2" t="n"/>
      <c r="AB209" s="2" t="inlineStr">
        <is>
          <t>挑战者庄园</t>
        </is>
      </c>
      <c r="AC209" s="2" t="inlineStr">
        <is>
          <t>玩家进攻胜利（attacker），非撤退，返程结算发放</t>
        </is>
      </c>
      <c r="AD209" s="2" t="inlineStr">
        <is>
          <t>data/mission_templates.yaml:L1212:drop_table.book_five_thunder_descent</t>
        </is>
      </c>
    </row>
    <row r="210">
      <c r="A210" s="2" t="n">
        <v>25</v>
      </c>
      <c r="B210" s="2" t="inlineStr">
        <is>
          <t>shier_xianyin</t>
        </is>
      </c>
      <c r="C210" s="2" t="inlineStr">
        <is>
          <t>封神之战：十二仙印</t>
        </is>
      </c>
      <c r="D210" s="2" t="inlineStr">
        <is>
          <t>高级</t>
        </is>
      </c>
      <c r="E210" s="2" t="inlineStr">
        <is>
          <t>task1</t>
        </is>
      </c>
      <c r="F210" s="2" t="inlineStr">
        <is>
          <t>否</t>
        </is>
      </c>
      <c r="G210" s="2" t="inlineStr">
        <is>
          <t>否</t>
        </is>
      </c>
      <c r="H210" s="2" t="n">
        <v>2</v>
      </c>
      <c r="I210" s="2" t="n">
        <v>1800</v>
      </c>
      <c r="J210" s="2" t="inlineStr">
        <is>
          <t>每日开放</t>
        </is>
      </c>
      <c r="K210" s="2" t="inlineStr">
        <is>
          <t>万仙阵旗残片×1</t>
        </is>
      </c>
      <c r="L210" s="2" t="inlineStr">
        <is>
          <t>概率掉落</t>
        </is>
      </c>
      <c r="M210" s="2" t="inlineStr">
        <is>
          <t>book_hell_instant_formation</t>
        </is>
      </c>
      <c r="N210" s="2" t="inlineStr">
        <is>
          <t>book_hell_instant_formation</t>
        </is>
      </c>
      <c r="O210" s="2" t="inlineStr">
        <is>
          <t>《瞬狱杀阵》秘术</t>
        </is>
      </c>
      <c r="P210" s="2" t="inlineStr">
        <is>
          <t>技能书</t>
        </is>
      </c>
      <c r="Q210" s="2" t="inlineStr">
        <is>
          <t>史诗/紫</t>
        </is>
      </c>
      <c r="R210" s="5" t="n">
        <v>0.048</v>
      </c>
      <c r="S210" s="2" t="n">
        <v>1</v>
      </c>
      <c r="T210" s="2" t="n"/>
      <c r="U210" s="2" t="inlineStr">
        <is>
          <t>否</t>
        </is>
      </c>
      <c r="V210" s="2" t="inlineStr">
        <is>
          <t>0.048</t>
        </is>
      </c>
      <c r="W210" s="2" t="n"/>
      <c r="X210" s="5">
        <f>R210</f>
        <v>0.048</v>
      </c>
      <c r="Y210" s="6">
        <f>X210*S210</f>
        <v>0.048</v>
      </c>
      <c r="Z210" s="2" t="inlineStr">
        <is>
          <t>个人任务</t>
        </is>
      </c>
      <c r="AA210" s="2" t="n"/>
      <c r="AB210" s="2" t="inlineStr">
        <is>
          <t>挑战者庄园</t>
        </is>
      </c>
      <c r="AC210" s="2" t="inlineStr">
        <is>
          <t>玩家进攻胜利（attacker），非撤退，返程结算发放</t>
        </is>
      </c>
      <c r="AD210" s="2" t="inlineStr">
        <is>
          <t>data/mission_templates.yaml:L1212:drop_table.book_hell_instant_formation</t>
        </is>
      </c>
    </row>
    <row r="211">
      <c r="A211" s="2" t="n">
        <v>25</v>
      </c>
      <c r="B211" s="2" t="inlineStr">
        <is>
          <t>shier_xianyin</t>
        </is>
      </c>
      <c r="C211" s="2" t="inlineStr">
        <is>
          <t>封神之战：十二仙印</t>
        </is>
      </c>
      <c r="D211" s="2" t="inlineStr">
        <is>
          <t>高级</t>
        </is>
      </c>
      <c r="E211" s="2" t="inlineStr">
        <is>
          <t>task1</t>
        </is>
      </c>
      <c r="F211" s="2" t="inlineStr">
        <is>
          <t>否</t>
        </is>
      </c>
      <c r="G211" s="2" t="inlineStr">
        <is>
          <t>否</t>
        </is>
      </c>
      <c r="H211" s="2" t="n">
        <v>2</v>
      </c>
      <c r="I211" s="2" t="n">
        <v>1800</v>
      </c>
      <c r="J211" s="2" t="inlineStr">
        <is>
          <t>每日开放</t>
        </is>
      </c>
      <c r="K211" s="2" t="inlineStr">
        <is>
          <t>万仙阵旗残片×1</t>
        </is>
      </c>
      <c r="L211" s="2" t="inlineStr">
        <is>
          <t>概率掉落</t>
        </is>
      </c>
      <c r="M211" s="2" t="inlineStr">
        <is>
          <t>equip_taiqingyuce</t>
        </is>
      </c>
      <c r="N211" s="2" t="inlineStr">
        <is>
          <t>equip_taiqingyuce</t>
        </is>
      </c>
      <c r="O211" s="2" t="inlineStr">
        <is>
          <t>太清玉册</t>
        </is>
      </c>
      <c r="P211" s="2" t="inlineStr">
        <is>
          <t>饰品</t>
        </is>
      </c>
      <c r="Q211" s="2" t="inlineStr">
        <is>
          <t>传说/橙</t>
        </is>
      </c>
      <c r="R211" s="5" t="n">
        <v>0.009599999999999999</v>
      </c>
      <c r="S211" s="2" t="n">
        <v>1</v>
      </c>
      <c r="T211" s="2" t="n"/>
      <c r="U211" s="2" t="inlineStr">
        <is>
          <t>否</t>
        </is>
      </c>
      <c r="V211" s="2" t="inlineStr">
        <is>
          <t>0.0096</t>
        </is>
      </c>
      <c r="W211" s="2" t="n"/>
      <c r="X211" s="5">
        <f>R211</f>
        <v>0.0096</v>
      </c>
      <c r="Y211" s="6">
        <f>X211*S211</f>
        <v>0.0096</v>
      </c>
      <c r="Z211" s="2" t="inlineStr">
        <is>
          <t>个人任务</t>
        </is>
      </c>
      <c r="AA211" s="2" t="n"/>
      <c r="AB211" s="2" t="inlineStr">
        <is>
          <t>挑战者庄园</t>
        </is>
      </c>
      <c r="AC211" s="2" t="inlineStr">
        <is>
          <t>玩家进攻胜利（attacker），非撤退，返程结算发放</t>
        </is>
      </c>
      <c r="AD211" s="2" t="inlineStr">
        <is>
          <t>data/mission_templates.yaml:L1212:drop_table.equip_taiqingyuce</t>
        </is>
      </c>
    </row>
    <row r="212">
      <c r="A212" s="2" t="n">
        <v>25</v>
      </c>
      <c r="B212" s="2" t="inlineStr">
        <is>
          <t>shier_xianyin</t>
        </is>
      </c>
      <c r="C212" s="2" t="inlineStr">
        <is>
          <t>封神之战：十二仙印</t>
        </is>
      </c>
      <c r="D212" s="2" t="inlineStr">
        <is>
          <t>高级</t>
        </is>
      </c>
      <c r="E212" s="2" t="inlineStr">
        <is>
          <t>task1</t>
        </is>
      </c>
      <c r="F212" s="2" t="inlineStr">
        <is>
          <t>否</t>
        </is>
      </c>
      <c r="G212" s="2" t="inlineStr">
        <is>
          <t>否</t>
        </is>
      </c>
      <c r="H212" s="2" t="n">
        <v>2</v>
      </c>
      <c r="I212" s="2" t="n">
        <v>1800</v>
      </c>
      <c r="J212" s="2" t="inlineStr">
        <is>
          <t>每日开放</t>
        </is>
      </c>
      <c r="K212" s="2" t="inlineStr">
        <is>
          <t>万仙阵旗残片×1</t>
        </is>
      </c>
      <c r="L212" s="2" t="inlineStr">
        <is>
          <t>概率掉落</t>
        </is>
      </c>
      <c r="M212" s="2" t="inlineStr">
        <is>
          <t>yuxu_broken_seal</t>
        </is>
      </c>
      <c r="N212" s="2" t="inlineStr">
        <is>
          <t>yuxu_broken_seal</t>
        </is>
      </c>
      <c r="O212" s="2" t="inlineStr">
        <is>
          <t>玉虚碎印</t>
        </is>
      </c>
      <c r="P212" s="2" t="inlineStr">
        <is>
          <t>资源</t>
        </is>
      </c>
      <c r="Q212" s="2" t="inlineStr">
        <is>
          <t>史诗/紫</t>
        </is>
      </c>
      <c r="R212" s="5" t="n">
        <v>0.25</v>
      </c>
      <c r="S212" s="2" t="n">
        <v>1</v>
      </c>
      <c r="T212" s="2" t="n"/>
      <c r="U212" s="2" t="inlineStr">
        <is>
          <t>否</t>
        </is>
      </c>
      <c r="V212" s="2" t="inlineStr">
        <is>
          <t>{"chance":0.25,"count":1}</t>
        </is>
      </c>
      <c r="W212" s="2" t="n"/>
      <c r="X212" s="5">
        <f>R212</f>
        <v>0.25</v>
      </c>
      <c r="Y212" s="6">
        <f>X212*S212</f>
        <v>0.25</v>
      </c>
      <c r="Z212" s="2" t="inlineStr">
        <is>
          <t>个人任务</t>
        </is>
      </c>
      <c r="AA212" s="2" t="n"/>
      <c r="AB212" s="2" t="inlineStr">
        <is>
          <t>挑战者庄园</t>
        </is>
      </c>
      <c r="AC212" s="2" t="inlineStr">
        <is>
          <t>玩家进攻胜利（attacker），非撤退，返程结算发放</t>
        </is>
      </c>
      <c r="AD212" s="2" t="inlineStr">
        <is>
          <t>data/mission_templates.yaml:L1212:drop_table.yuxu_broken_seal</t>
        </is>
      </c>
    </row>
    <row r="213">
      <c r="A213" s="2" t="n">
        <v>26</v>
      </c>
      <c r="B213" s="2" t="inlineStr">
        <is>
          <t>fengbang_tianmen</t>
        </is>
      </c>
      <c r="C213" s="2" t="inlineStr">
        <is>
          <t>封神之战：封榜天门</t>
        </is>
      </c>
      <c r="D213" s="2" t="inlineStr">
        <is>
          <t>高级</t>
        </is>
      </c>
      <c r="E213" s="2" t="inlineStr">
        <is>
          <t>task1</t>
        </is>
      </c>
      <c r="F213" s="2" t="inlineStr">
        <is>
          <t>否</t>
        </is>
      </c>
      <c r="G213" s="2" t="inlineStr">
        <is>
          <t>否</t>
        </is>
      </c>
      <c r="H213" s="2" t="n">
        <v>1</v>
      </c>
      <c r="I213" s="2" t="n">
        <v>1800</v>
      </c>
      <c r="J213" s="2" t="inlineStr">
        <is>
          <t>每日开放</t>
        </is>
      </c>
      <c r="K213" s="2" t="inlineStr">
        <is>
          <t>玉虚碎印×1</t>
        </is>
      </c>
      <c r="L213" s="2" t="inlineStr">
        <is>
          <t>固定掉落</t>
        </is>
      </c>
      <c r="M213" s="2" t="inlineStr">
        <is>
          <t>silver</t>
        </is>
      </c>
      <c r="N213" s="2" t="inlineStr">
        <is>
          <t>silver</t>
        </is>
      </c>
      <c r="O213" s="2" t="inlineStr">
        <is>
          <t>银两</t>
        </is>
      </c>
      <c r="P213" s="2" t="inlineStr">
        <is>
          <t>资源</t>
        </is>
      </c>
      <c r="Q213" s="2" t="inlineStr">
        <is>
          <t>资源</t>
        </is>
      </c>
      <c r="R213" s="5" t="n">
        <v>1</v>
      </c>
      <c r="S213" s="2" t="n">
        <v>100000</v>
      </c>
      <c r="T213" s="2" t="n"/>
      <c r="U213" s="2" t="inlineStr">
        <is>
          <t>否</t>
        </is>
      </c>
      <c r="V213" s="2" t="inlineStr">
        <is>
          <t>100000</t>
        </is>
      </c>
      <c r="W213" s="2" t="n"/>
      <c r="X213" s="5">
        <f>R213</f>
        <v>1</v>
      </c>
      <c r="Y213" s="6">
        <f>X213*S213</f>
        <v>100000</v>
      </c>
      <c r="Z213" s="2" t="inlineStr">
        <is>
          <t>个人任务</t>
        </is>
      </c>
      <c r="AA213" s="2" t="n"/>
      <c r="AB213" s="2" t="inlineStr">
        <is>
          <t>挑战者庄园</t>
        </is>
      </c>
      <c r="AC213" s="2" t="inlineStr">
        <is>
          <t>玩家进攻胜利（attacker），非撤退，返程结算发放</t>
        </is>
      </c>
      <c r="AD213" s="2" t="inlineStr">
        <is>
          <t>data/mission_templates.yaml:L1259:drop_table.silver</t>
        </is>
      </c>
    </row>
    <row r="214">
      <c r="A214" s="2" t="n">
        <v>26</v>
      </c>
      <c r="B214" s="2" t="inlineStr">
        <is>
          <t>fengbang_tianmen</t>
        </is>
      </c>
      <c r="C214" s="2" t="inlineStr">
        <is>
          <t>封神之战：封榜天门</t>
        </is>
      </c>
      <c r="D214" s="2" t="inlineStr">
        <is>
          <t>高级</t>
        </is>
      </c>
      <c r="E214" s="2" t="inlineStr">
        <is>
          <t>task1</t>
        </is>
      </c>
      <c r="F214" s="2" t="inlineStr">
        <is>
          <t>否</t>
        </is>
      </c>
      <c r="G214" s="2" t="inlineStr">
        <is>
          <t>否</t>
        </is>
      </c>
      <c r="H214" s="2" t="n">
        <v>1</v>
      </c>
      <c r="I214" s="2" t="n">
        <v>1800</v>
      </c>
      <c r="J214" s="2" t="inlineStr">
        <is>
          <t>每日开放</t>
        </is>
      </c>
      <c r="K214" s="2" t="inlineStr">
        <is>
          <t>玉虚碎印×1</t>
        </is>
      </c>
      <c r="L214" s="2" t="inlineStr">
        <is>
          <t>概率掉落</t>
        </is>
      </c>
      <c r="M214" s="2" t="inlineStr">
        <is>
          <t>experience_pineapple</t>
        </is>
      </c>
      <c r="N214" s="2" t="inlineStr">
        <is>
          <t>experience_pineapple</t>
        </is>
      </c>
      <c r="O214" s="2" t="inlineStr">
        <is>
          <t>经验菠萝</t>
        </is>
      </c>
      <c r="P214" s="2" t="inlineStr">
        <is>
          <t>经验道具</t>
        </is>
      </c>
      <c r="Q214" s="2" t="inlineStr">
        <is>
          <t>稀有/蓝</t>
        </is>
      </c>
      <c r="R214" s="5" t="n">
        <v>0.8</v>
      </c>
      <c r="S214" s="2" t="n">
        <v>15</v>
      </c>
      <c r="T214" s="2" t="n"/>
      <c r="U214" s="2" t="inlineStr">
        <is>
          <t>否</t>
        </is>
      </c>
      <c r="V214" s="2" t="inlineStr">
        <is>
          <t>{"chance":0.8,"count":15}</t>
        </is>
      </c>
      <c r="W214" s="2" t="n"/>
      <c r="X214" s="5">
        <f>R214</f>
        <v>0.8</v>
      </c>
      <c r="Y214" s="6">
        <f>X214*S214</f>
        <v>12.0</v>
      </c>
      <c r="Z214" s="2" t="inlineStr">
        <is>
          <t>个人任务</t>
        </is>
      </c>
      <c r="AA214" s="2" t="n"/>
      <c r="AB214" s="2" t="inlineStr">
        <is>
          <t>挑战者庄园</t>
        </is>
      </c>
      <c r="AC214" s="2" t="inlineStr">
        <is>
          <t>玩家进攻胜利（attacker），非撤退，返程结算发放</t>
        </is>
      </c>
      <c r="AD214" s="2" t="inlineStr">
        <is>
          <t>data/mission_templates.yaml:L1259:drop_table.experience_pineapple</t>
        </is>
      </c>
    </row>
    <row r="215">
      <c r="A215" s="2" t="n">
        <v>26</v>
      </c>
      <c r="B215" s="2" t="inlineStr">
        <is>
          <t>fengbang_tianmen</t>
        </is>
      </c>
      <c r="C215" s="2" t="inlineStr">
        <is>
          <t>封神之战：封榜天门</t>
        </is>
      </c>
      <c r="D215" s="2" t="inlineStr">
        <is>
          <t>高级</t>
        </is>
      </c>
      <c r="E215" s="2" t="inlineStr">
        <is>
          <t>task1</t>
        </is>
      </c>
      <c r="F215" s="2" t="inlineStr">
        <is>
          <t>否</t>
        </is>
      </c>
      <c r="G215" s="2" t="inlineStr">
        <is>
          <t>否</t>
        </is>
      </c>
      <c r="H215" s="2" t="n">
        <v>1</v>
      </c>
      <c r="I215" s="2" t="n">
        <v>1800</v>
      </c>
      <c r="J215" s="2" t="inlineStr">
        <is>
          <t>每日开放</t>
        </is>
      </c>
      <c r="K215" s="2" t="inlineStr">
        <is>
          <t>玉虚碎印×1</t>
        </is>
      </c>
      <c r="L215" s="2" t="inlineStr">
        <is>
          <t>概率掉落</t>
        </is>
      </c>
      <c r="M215" s="2" t="inlineStr">
        <is>
          <t>book_dragon_roar</t>
        </is>
      </c>
      <c r="N215" s="2" t="inlineStr">
        <is>
          <t>book_dragon_roar</t>
        </is>
      </c>
      <c r="O215" s="2" t="inlineStr">
        <is>
          <t>《龙吟破阵》秘术</t>
        </is>
      </c>
      <c r="P215" s="2" t="inlineStr">
        <is>
          <t>技能书</t>
        </is>
      </c>
      <c r="Q215" s="2" t="inlineStr">
        <is>
          <t>史诗/紫</t>
        </is>
      </c>
      <c r="R215" s="5" t="n">
        <v>0.024</v>
      </c>
      <c r="S215" s="2" t="n">
        <v>1</v>
      </c>
      <c r="T215" s="2" t="n"/>
      <c r="U215" s="2" t="inlineStr">
        <is>
          <t>否</t>
        </is>
      </c>
      <c r="V215" s="2" t="inlineStr">
        <is>
          <t>0.024</t>
        </is>
      </c>
      <c r="W215" s="2" t="n"/>
      <c r="X215" s="5">
        <f>R215</f>
        <v>0.024</v>
      </c>
      <c r="Y215" s="6">
        <f>X215*S215</f>
        <v>0.024</v>
      </c>
      <c r="Z215" s="2" t="inlineStr">
        <is>
          <t>个人任务</t>
        </is>
      </c>
      <c r="AA215" s="2" t="n"/>
      <c r="AB215" s="2" t="inlineStr">
        <is>
          <t>挑战者庄园</t>
        </is>
      </c>
      <c r="AC215" s="2" t="inlineStr">
        <is>
          <t>玩家进攻胜利（attacker），非撤退，返程结算发放</t>
        </is>
      </c>
      <c r="AD215" s="2" t="inlineStr">
        <is>
          <t>data/mission_templates.yaml:L1259:drop_table.book_dragon_roar</t>
        </is>
      </c>
    </row>
    <row r="216">
      <c r="A216" s="2" t="n">
        <v>26</v>
      </c>
      <c r="B216" s="2" t="inlineStr">
        <is>
          <t>fengbang_tianmen</t>
        </is>
      </c>
      <c r="C216" s="2" t="inlineStr">
        <is>
          <t>封神之战：封榜天门</t>
        </is>
      </c>
      <c r="D216" s="2" t="inlineStr">
        <is>
          <t>高级</t>
        </is>
      </c>
      <c r="E216" s="2" t="inlineStr">
        <is>
          <t>task1</t>
        </is>
      </c>
      <c r="F216" s="2" t="inlineStr">
        <is>
          <t>否</t>
        </is>
      </c>
      <c r="G216" s="2" t="inlineStr">
        <is>
          <t>否</t>
        </is>
      </c>
      <c r="H216" s="2" t="n">
        <v>1</v>
      </c>
      <c r="I216" s="2" t="n">
        <v>1800</v>
      </c>
      <c r="J216" s="2" t="inlineStr">
        <is>
          <t>每日开放</t>
        </is>
      </c>
      <c r="K216" s="2" t="inlineStr">
        <is>
          <t>玉虚碎印×1</t>
        </is>
      </c>
      <c r="L216" s="2" t="inlineStr">
        <is>
          <t>概率掉落</t>
        </is>
      </c>
      <c r="M216" s="2" t="inlineStr">
        <is>
          <t>book_five_thunder_descent</t>
        </is>
      </c>
      <c r="N216" s="2" t="inlineStr">
        <is>
          <t>book_five_thunder_descent</t>
        </is>
      </c>
      <c r="O216" s="2" t="inlineStr">
        <is>
          <t>《五雷降世》秘术</t>
        </is>
      </c>
      <c r="P216" s="2" t="inlineStr">
        <is>
          <t>技能书</t>
        </is>
      </c>
      <c r="Q216" s="2" t="inlineStr">
        <is>
          <t>史诗/紫</t>
        </is>
      </c>
      <c r="R216" s="5" t="n">
        <v>0.048</v>
      </c>
      <c r="S216" s="2" t="n">
        <v>1</v>
      </c>
      <c r="T216" s="2" t="n"/>
      <c r="U216" s="2" t="inlineStr">
        <is>
          <t>否</t>
        </is>
      </c>
      <c r="V216" s="2" t="inlineStr">
        <is>
          <t>0.048</t>
        </is>
      </c>
      <c r="W216" s="2" t="n"/>
      <c r="X216" s="5">
        <f>R216</f>
        <v>0.048</v>
      </c>
      <c r="Y216" s="6">
        <f>X216*S216</f>
        <v>0.048</v>
      </c>
      <c r="Z216" s="2" t="inlineStr">
        <is>
          <t>个人任务</t>
        </is>
      </c>
      <c r="AA216" s="2" t="n"/>
      <c r="AB216" s="2" t="inlineStr">
        <is>
          <t>挑战者庄园</t>
        </is>
      </c>
      <c r="AC216" s="2" t="inlineStr">
        <is>
          <t>玩家进攻胜利（attacker），非撤退，返程结算发放</t>
        </is>
      </c>
      <c r="AD216" s="2" t="inlineStr">
        <is>
          <t>data/mission_templates.yaml:L1259:drop_table.book_five_thunder_descent</t>
        </is>
      </c>
    </row>
    <row r="217">
      <c r="A217" s="2" t="n">
        <v>26</v>
      </c>
      <c r="B217" s="2" t="inlineStr">
        <is>
          <t>fengbang_tianmen</t>
        </is>
      </c>
      <c r="C217" s="2" t="inlineStr">
        <is>
          <t>封神之战：封榜天门</t>
        </is>
      </c>
      <c r="D217" s="2" t="inlineStr">
        <is>
          <t>高级</t>
        </is>
      </c>
      <c r="E217" s="2" t="inlineStr">
        <is>
          <t>task1</t>
        </is>
      </c>
      <c r="F217" s="2" t="inlineStr">
        <is>
          <t>否</t>
        </is>
      </c>
      <c r="G217" s="2" t="inlineStr">
        <is>
          <t>否</t>
        </is>
      </c>
      <c r="H217" s="2" t="n">
        <v>1</v>
      </c>
      <c r="I217" s="2" t="n">
        <v>1800</v>
      </c>
      <c r="J217" s="2" t="inlineStr">
        <is>
          <t>每日开放</t>
        </is>
      </c>
      <c r="K217" s="2" t="inlineStr">
        <is>
          <t>玉虚碎印×1</t>
        </is>
      </c>
      <c r="L217" s="2" t="inlineStr">
        <is>
          <t>概率掉落</t>
        </is>
      </c>
      <c r="M217" s="2" t="inlineStr">
        <is>
          <t>book_last_chance_revival</t>
        </is>
      </c>
      <c r="N217" s="2" t="inlineStr">
        <is>
          <t>book_last_chance_revival</t>
        </is>
      </c>
      <c r="O217" s="2" t="inlineStr">
        <is>
          <t>《绝处逢生》秘术</t>
        </is>
      </c>
      <c r="P217" s="2" t="inlineStr">
        <is>
          <t>技能书</t>
        </is>
      </c>
      <c r="Q217" s="2" t="inlineStr">
        <is>
          <t>稀有/蓝</t>
        </is>
      </c>
      <c r="R217" s="5" t="n">
        <v>0.07199999999999999</v>
      </c>
      <c r="S217" s="2" t="n">
        <v>1</v>
      </c>
      <c r="T217" s="2" t="n"/>
      <c r="U217" s="2" t="inlineStr">
        <is>
          <t>否</t>
        </is>
      </c>
      <c r="V217" s="2" t="inlineStr">
        <is>
          <t>0.072</t>
        </is>
      </c>
      <c r="W217" s="2" t="n"/>
      <c r="X217" s="5">
        <f>R217</f>
        <v>0.072</v>
      </c>
      <c r="Y217" s="6">
        <f>X217*S217</f>
        <v>0.072</v>
      </c>
      <c r="Z217" s="2" t="inlineStr">
        <is>
          <t>个人任务</t>
        </is>
      </c>
      <c r="AA217" s="2" t="n"/>
      <c r="AB217" s="2" t="inlineStr">
        <is>
          <t>挑战者庄园</t>
        </is>
      </c>
      <c r="AC217" s="2" t="inlineStr">
        <is>
          <t>玩家进攻胜利（attacker），非撤退，返程结算发放</t>
        </is>
      </c>
      <c r="AD217" s="2" t="inlineStr">
        <is>
          <t>data/mission_templates.yaml:L1259:drop_table.book_last_chance_revival</t>
        </is>
      </c>
    </row>
    <row r="218">
      <c r="A218" s="2" t="n">
        <v>26</v>
      </c>
      <c r="B218" s="2" t="inlineStr">
        <is>
          <t>fengbang_tianmen</t>
        </is>
      </c>
      <c r="C218" s="2" t="inlineStr">
        <is>
          <t>封神之战：封榜天门</t>
        </is>
      </c>
      <c r="D218" s="2" t="inlineStr">
        <is>
          <t>高级</t>
        </is>
      </c>
      <c r="E218" s="2" t="inlineStr">
        <is>
          <t>task1</t>
        </is>
      </c>
      <c r="F218" s="2" t="inlineStr">
        <is>
          <t>否</t>
        </is>
      </c>
      <c r="G218" s="2" t="inlineStr">
        <is>
          <t>否</t>
        </is>
      </c>
      <c r="H218" s="2" t="n">
        <v>1</v>
      </c>
      <c r="I218" s="2" t="n">
        <v>1800</v>
      </c>
      <c r="J218" s="2" t="inlineStr">
        <is>
          <t>每日开放</t>
        </is>
      </c>
      <c r="K218" s="2" t="inlineStr">
        <is>
          <t>玉虚碎印×1</t>
        </is>
      </c>
      <c r="L218" s="2" t="inlineStr">
        <is>
          <t>概率掉落</t>
        </is>
      </c>
      <c r="M218" s="2" t="inlineStr">
        <is>
          <t>equip_baguajing</t>
        </is>
      </c>
      <c r="N218" s="2" t="inlineStr">
        <is>
          <t>equip_baguajing</t>
        </is>
      </c>
      <c r="O218" s="2" t="inlineStr">
        <is>
          <t>八卦镜</t>
        </is>
      </c>
      <c r="P218" s="2" t="inlineStr">
        <is>
          <t>饰品</t>
        </is>
      </c>
      <c r="Q218" s="2" t="inlineStr">
        <is>
          <t>史诗/紫</t>
        </is>
      </c>
      <c r="R218" s="5" t="n">
        <v>0.08</v>
      </c>
      <c r="S218" s="2" t="n">
        <v>1</v>
      </c>
      <c r="T218" s="2" t="n"/>
      <c r="U218" s="2" t="inlineStr">
        <is>
          <t>否</t>
        </is>
      </c>
      <c r="V218" s="2" t="inlineStr">
        <is>
          <t>0.08</t>
        </is>
      </c>
      <c r="W218" s="2" t="n"/>
      <c r="X218" s="5">
        <f>R218</f>
        <v>0.08</v>
      </c>
      <c r="Y218" s="6">
        <f>X218*S218</f>
        <v>0.08</v>
      </c>
      <c r="Z218" s="2" t="inlineStr">
        <is>
          <t>个人任务</t>
        </is>
      </c>
      <c r="AA218" s="2" t="n"/>
      <c r="AB218" s="2" t="inlineStr">
        <is>
          <t>挑战者庄园</t>
        </is>
      </c>
      <c r="AC218" s="2" t="inlineStr">
        <is>
          <t>玩家进攻胜利（attacker），非撤退，返程结算发放</t>
        </is>
      </c>
      <c r="AD218" s="2" t="inlineStr">
        <is>
          <t>data/mission_templates.yaml:L1259:drop_table.equip_baguajing</t>
        </is>
      </c>
    </row>
    <row r="219">
      <c r="A219" s="2" t="n">
        <v>26</v>
      </c>
      <c r="B219" s="2" t="inlineStr">
        <is>
          <t>fengbang_tianmen</t>
        </is>
      </c>
      <c r="C219" s="2" t="inlineStr">
        <is>
          <t>封神之战：封榜天门</t>
        </is>
      </c>
      <c r="D219" s="2" t="inlineStr">
        <is>
          <t>高级</t>
        </is>
      </c>
      <c r="E219" s="2" t="inlineStr">
        <is>
          <t>task1</t>
        </is>
      </c>
      <c r="F219" s="2" t="inlineStr">
        <is>
          <t>否</t>
        </is>
      </c>
      <c r="G219" s="2" t="inlineStr">
        <is>
          <t>否</t>
        </is>
      </c>
      <c r="H219" s="2" t="n">
        <v>1</v>
      </c>
      <c r="I219" s="2" t="n">
        <v>1800</v>
      </c>
      <c r="J219" s="2" t="inlineStr">
        <is>
          <t>每日开放</t>
        </is>
      </c>
      <c r="K219" s="2" t="inlineStr">
        <is>
          <t>玉虚碎印×1</t>
        </is>
      </c>
      <c r="L219" s="2" t="inlineStr">
        <is>
          <t>概率掉落</t>
        </is>
      </c>
      <c r="M219" s="2" t="inlineStr">
        <is>
          <t>equip_taiqingyuce</t>
        </is>
      </c>
      <c r="N219" s="2" t="inlineStr">
        <is>
          <t>equip_taiqingyuce</t>
        </is>
      </c>
      <c r="O219" s="2" t="inlineStr">
        <is>
          <t>太清玉册</t>
        </is>
      </c>
      <c r="P219" s="2" t="inlineStr">
        <is>
          <t>饰品</t>
        </is>
      </c>
      <c r="Q219" s="2" t="inlineStr">
        <is>
          <t>传说/橙</t>
        </is>
      </c>
      <c r="R219" s="5" t="n">
        <v>0.012</v>
      </c>
      <c r="S219" s="2" t="n">
        <v>1</v>
      </c>
      <c r="T219" s="2" t="n"/>
      <c r="U219" s="2" t="inlineStr">
        <is>
          <t>否</t>
        </is>
      </c>
      <c r="V219" s="2" t="inlineStr">
        <is>
          <t>0.012</t>
        </is>
      </c>
      <c r="W219" s="2" t="n"/>
      <c r="X219" s="5">
        <f>R219</f>
        <v>0.012</v>
      </c>
      <c r="Y219" s="6">
        <f>X219*S219</f>
        <v>0.012</v>
      </c>
      <c r="Z219" s="2" t="inlineStr">
        <is>
          <t>个人任务</t>
        </is>
      </c>
      <c r="AA219" s="2" t="n"/>
      <c r="AB219" s="2" t="inlineStr">
        <is>
          <t>挑战者庄园</t>
        </is>
      </c>
      <c r="AC219" s="2" t="inlineStr">
        <is>
          <t>玩家进攻胜利（attacker），非撤退，返程结算发放</t>
        </is>
      </c>
      <c r="AD219" s="2" t="inlineStr">
        <is>
          <t>data/mission_templates.yaml:L1259:drop_table.equip_taiqingyuce</t>
        </is>
      </c>
    </row>
    <row r="220">
      <c r="A220" s="2" t="n">
        <v>26</v>
      </c>
      <c r="B220" s="2" t="inlineStr">
        <is>
          <t>fengbang_tianmen</t>
        </is>
      </c>
      <c r="C220" s="2" t="inlineStr">
        <is>
          <t>封神之战：封榜天门</t>
        </is>
      </c>
      <c r="D220" s="2" t="inlineStr">
        <is>
          <t>高级</t>
        </is>
      </c>
      <c r="E220" s="2" t="inlineStr">
        <is>
          <t>task1</t>
        </is>
      </c>
      <c r="F220" s="2" t="inlineStr">
        <is>
          <t>否</t>
        </is>
      </c>
      <c r="G220" s="2" t="inlineStr">
        <is>
          <t>否</t>
        </is>
      </c>
      <c r="H220" s="2" t="n">
        <v>1</v>
      </c>
      <c r="I220" s="2" t="n">
        <v>1800</v>
      </c>
      <c r="J220" s="2" t="inlineStr">
        <is>
          <t>每日开放</t>
        </is>
      </c>
      <c r="K220" s="2" t="inlineStr">
        <is>
          <t>玉虚碎印×1</t>
        </is>
      </c>
      <c r="L220" s="2" t="inlineStr">
        <is>
          <t>概率掉落</t>
        </is>
      </c>
      <c r="M220" s="2" t="inlineStr">
        <is>
          <t>equip_fengshenbang</t>
        </is>
      </c>
      <c r="N220" s="2" t="inlineStr">
        <is>
          <t>equip_fengshenbang</t>
        </is>
      </c>
      <c r="O220" s="2" t="inlineStr">
        <is>
          <t>封神榜</t>
        </is>
      </c>
      <c r="P220" s="2" t="inlineStr">
        <is>
          <t>饰品</t>
        </is>
      </c>
      <c r="Q220" s="2" t="inlineStr">
        <is>
          <t>传说/橙</t>
        </is>
      </c>
      <c r="R220" s="5" t="n">
        <v>0.006</v>
      </c>
      <c r="S220" s="2" t="n">
        <v>1</v>
      </c>
      <c r="T220" s="2" t="n"/>
      <c r="U220" s="2" t="inlineStr">
        <is>
          <t>否</t>
        </is>
      </c>
      <c r="V220" s="2" t="inlineStr">
        <is>
          <t>0.006</t>
        </is>
      </c>
      <c r="W220" s="2" t="n"/>
      <c r="X220" s="5">
        <f>R220</f>
        <v>0.006</v>
      </c>
      <c r="Y220" s="6">
        <f>X220*S220</f>
        <v>0.006</v>
      </c>
      <c r="Z220" s="2" t="inlineStr">
        <is>
          <t>个人任务</t>
        </is>
      </c>
      <c r="AA220" s="2" t="n"/>
      <c r="AB220" s="2" t="inlineStr">
        <is>
          <t>挑战者庄园</t>
        </is>
      </c>
      <c r="AC220" s="2" t="inlineStr">
        <is>
          <t>玩家进攻胜利（attacker），非撤退，返程结算发放</t>
        </is>
      </c>
      <c r="AD220" s="2" t="inlineStr">
        <is>
          <t>data/mission_templates.yaml:L1259:drop_table.equip_fengshenbang</t>
        </is>
      </c>
    </row>
    <row r="221">
      <c r="A221" s="2" t="n">
        <v>26</v>
      </c>
      <c r="B221" s="2" t="inlineStr">
        <is>
          <t>fengbang_tianmen</t>
        </is>
      </c>
      <c r="C221" s="2" t="inlineStr">
        <is>
          <t>封神之战：封榜天门</t>
        </is>
      </c>
      <c r="D221" s="2" t="inlineStr">
        <is>
          <t>高级</t>
        </is>
      </c>
      <c r="E221" s="2" t="inlineStr">
        <is>
          <t>task1</t>
        </is>
      </c>
      <c r="F221" s="2" t="inlineStr">
        <is>
          <t>否</t>
        </is>
      </c>
      <c r="G221" s="2" t="inlineStr">
        <is>
          <t>否</t>
        </is>
      </c>
      <c r="H221" s="2" t="n">
        <v>1</v>
      </c>
      <c r="I221" s="2" t="n">
        <v>1800</v>
      </c>
      <c r="J221" s="2" t="inlineStr">
        <is>
          <t>每日开放</t>
        </is>
      </c>
      <c r="K221" s="2" t="inlineStr">
        <is>
          <t>玉虚碎印×1</t>
        </is>
      </c>
      <c r="L221" s="2" t="inlineStr">
        <is>
          <t>概率掉落</t>
        </is>
      </c>
      <c r="M221" s="2" t="inlineStr">
        <is>
          <t>fengshen_equipment_box</t>
        </is>
      </c>
      <c r="N221" s="2" t="inlineStr">
        <is>
          <t>fengshen_equipment_box</t>
        </is>
      </c>
      <c r="O221" s="2" t="inlineStr">
        <is>
          <t>封神装备箱</t>
        </is>
      </c>
      <c r="P221" s="2" t="inlineStr">
        <is>
          <t>宝箱</t>
        </is>
      </c>
      <c r="Q221" s="2" t="inlineStr">
        <is>
          <t>史诗/紫</t>
        </is>
      </c>
      <c r="R221" s="5" t="n">
        <v>0.08</v>
      </c>
      <c r="S221" s="2" t="n">
        <v>1</v>
      </c>
      <c r="T221" s="2" t="n"/>
      <c r="U221" s="2" t="inlineStr">
        <is>
          <t>否</t>
        </is>
      </c>
      <c r="V221" s="2" t="inlineStr">
        <is>
          <t>0.08</t>
        </is>
      </c>
      <c r="W221" s="2" t="n"/>
      <c r="X221" s="5">
        <f>R221</f>
        <v>0.08</v>
      </c>
      <c r="Y221" s="6">
        <f>X221*S221</f>
        <v>0.08</v>
      </c>
      <c r="Z221" s="2" t="inlineStr">
        <is>
          <t>个人任务</t>
        </is>
      </c>
      <c r="AA221" s="2" t="n"/>
      <c r="AB221" s="2" t="inlineStr">
        <is>
          <t>挑战者庄园</t>
        </is>
      </c>
      <c r="AC221" s="2" t="inlineStr">
        <is>
          <t>玩家进攻胜利（attacker），非撤退，返程结算发放</t>
        </is>
      </c>
      <c r="AD221" s="2" t="inlineStr">
        <is>
          <t>data/mission_templates.yaml:L1259:drop_table.fengshen_equipment_box</t>
        </is>
      </c>
    </row>
    <row r="222">
      <c r="A222" s="2" t="n">
        <v>26</v>
      </c>
      <c r="B222" s="2" t="inlineStr">
        <is>
          <t>fengbang_tianmen</t>
        </is>
      </c>
      <c r="C222" s="2" t="inlineStr">
        <is>
          <t>封神之战：封榜天门</t>
        </is>
      </c>
      <c r="D222" s="2" t="inlineStr">
        <is>
          <t>高级</t>
        </is>
      </c>
      <c r="E222" s="2" t="inlineStr">
        <is>
          <t>task1</t>
        </is>
      </c>
      <c r="F222" s="2" t="inlineStr">
        <is>
          <t>否</t>
        </is>
      </c>
      <c r="G222" s="2" t="inlineStr">
        <is>
          <t>否</t>
        </is>
      </c>
      <c r="H222" s="2" t="n">
        <v>1</v>
      </c>
      <c r="I222" s="2" t="n">
        <v>1800</v>
      </c>
      <c r="J222" s="2" t="inlineStr">
        <is>
          <t>每日开放</t>
        </is>
      </c>
      <c r="K222" s="2" t="inlineStr">
        <is>
          <t>玉虚碎印×1</t>
        </is>
      </c>
      <c r="L222" s="2" t="inlineStr">
        <is>
          <t>随机池掉落</t>
        </is>
      </c>
      <c r="M222" s="2" t="inlineStr">
        <is>
          <t>blueprint_top_blue</t>
        </is>
      </c>
      <c r="N222" s="2" t="inlineStr">
        <is>
          <t>blueprint_qinglongkui</t>
        </is>
      </c>
      <c r="O222" s="2" t="inlineStr">
        <is>
          <t>青龙盔图纸</t>
        </is>
      </c>
      <c r="P222" s="2" t="inlineStr">
        <is>
          <t>装备图纸</t>
        </is>
      </c>
      <c r="Q222" s="2" t="inlineStr">
        <is>
          <t>稀有/蓝</t>
        </is>
      </c>
      <c r="R222" s="5" t="n">
        <v>0.45</v>
      </c>
      <c r="S222" s="2" t="n">
        <v>1</v>
      </c>
      <c r="T222" s="2" t="n">
        <v>1</v>
      </c>
      <c r="U222" s="2" t="inlineStr">
        <is>
          <t>是</t>
        </is>
      </c>
      <c r="V222" s="2" t="inlineStr">
        <is>
          <t>{"chance":0.45,"choices":["blueprint_qinglongkui","blueprint_qinglongjia","blueprint_qinglongxue","blueprint_qinglongdao"]}</t>
        </is>
      </c>
      <c r="W222" s="3">
        <f>SUM(T222:T225)</f>
        <v>4</v>
      </c>
      <c r="X222" s="5">
        <f>R222*T222/W222</f>
        <v>0.1125</v>
      </c>
      <c r="Y222" s="6">
        <f>X222*S222</f>
        <v>0.1125</v>
      </c>
      <c r="Z222" s="2" t="inlineStr">
        <is>
          <t>个人任务</t>
        </is>
      </c>
      <c r="AA222" s="2" t="n"/>
      <c r="AB222" s="2" t="inlineStr">
        <is>
          <t>挑战者庄园</t>
        </is>
      </c>
      <c r="AC222" s="2" t="inlineStr">
        <is>
          <t>玩家进攻胜利（attacker），非撤退，返程结算发放</t>
        </is>
      </c>
      <c r="AD222" s="2" t="inlineStr">
        <is>
          <t>data/mission_templates.yaml:L1259:drop_table.blueprint_top_blue</t>
        </is>
      </c>
    </row>
    <row r="223">
      <c r="A223" s="2" t="n">
        <v>26</v>
      </c>
      <c r="B223" s="2" t="inlineStr">
        <is>
          <t>fengbang_tianmen</t>
        </is>
      </c>
      <c r="C223" s="2" t="inlineStr">
        <is>
          <t>封神之战：封榜天门</t>
        </is>
      </c>
      <c r="D223" s="2" t="inlineStr">
        <is>
          <t>高级</t>
        </is>
      </c>
      <c r="E223" s="2" t="inlineStr">
        <is>
          <t>task1</t>
        </is>
      </c>
      <c r="F223" s="2" t="inlineStr">
        <is>
          <t>否</t>
        </is>
      </c>
      <c r="G223" s="2" t="inlineStr">
        <is>
          <t>否</t>
        </is>
      </c>
      <c r="H223" s="2" t="n">
        <v>1</v>
      </c>
      <c r="I223" s="2" t="n">
        <v>1800</v>
      </c>
      <c r="J223" s="2" t="inlineStr">
        <is>
          <t>每日开放</t>
        </is>
      </c>
      <c r="K223" s="2" t="inlineStr">
        <is>
          <t>玉虚碎印×1</t>
        </is>
      </c>
      <c r="L223" s="2" t="inlineStr">
        <is>
          <t>随机池掉落</t>
        </is>
      </c>
      <c r="M223" s="2" t="inlineStr">
        <is>
          <t>blueprint_top_blue</t>
        </is>
      </c>
      <c r="N223" s="2" t="inlineStr">
        <is>
          <t>blueprint_qinglongjia</t>
        </is>
      </c>
      <c r="O223" s="2" t="inlineStr">
        <is>
          <t>青龙甲图纸</t>
        </is>
      </c>
      <c r="P223" s="2" t="inlineStr">
        <is>
          <t>装备图纸</t>
        </is>
      </c>
      <c r="Q223" s="2" t="inlineStr">
        <is>
          <t>稀有/蓝</t>
        </is>
      </c>
      <c r="R223" s="5" t="n">
        <v>0.45</v>
      </c>
      <c r="S223" s="2" t="n">
        <v>1</v>
      </c>
      <c r="T223" s="2" t="n">
        <v>1</v>
      </c>
      <c r="U223" s="2" t="inlineStr">
        <is>
          <t>是</t>
        </is>
      </c>
      <c r="V223" s="2" t="inlineStr">
        <is>
          <t>{"chance":0.45,"choices":["blueprint_qinglongkui","blueprint_qinglongjia","blueprint_qinglongxue","blueprint_qinglongdao"]}</t>
        </is>
      </c>
      <c r="W223" s="3">
        <f>SUM(T222:T225)</f>
        <v>4</v>
      </c>
      <c r="X223" s="5">
        <f>R223*T223/W223</f>
        <v>0.1125</v>
      </c>
      <c r="Y223" s="6">
        <f>X223*S223</f>
        <v>0.1125</v>
      </c>
      <c r="Z223" s="2" t="inlineStr">
        <is>
          <t>个人任务</t>
        </is>
      </c>
      <c r="AA223" s="2" t="n"/>
      <c r="AB223" s="2" t="inlineStr">
        <is>
          <t>挑战者庄园</t>
        </is>
      </c>
      <c r="AC223" s="2" t="inlineStr">
        <is>
          <t>玩家进攻胜利（attacker），非撤退，返程结算发放</t>
        </is>
      </c>
      <c r="AD223" s="2" t="inlineStr">
        <is>
          <t>data/mission_templates.yaml:L1259:drop_table.blueprint_top_blue</t>
        </is>
      </c>
    </row>
    <row r="224">
      <c r="A224" s="2" t="n">
        <v>26</v>
      </c>
      <c r="B224" s="2" t="inlineStr">
        <is>
          <t>fengbang_tianmen</t>
        </is>
      </c>
      <c r="C224" s="2" t="inlineStr">
        <is>
          <t>封神之战：封榜天门</t>
        </is>
      </c>
      <c r="D224" s="2" t="inlineStr">
        <is>
          <t>高级</t>
        </is>
      </c>
      <c r="E224" s="2" t="inlineStr">
        <is>
          <t>task1</t>
        </is>
      </c>
      <c r="F224" s="2" t="inlineStr">
        <is>
          <t>否</t>
        </is>
      </c>
      <c r="G224" s="2" t="inlineStr">
        <is>
          <t>否</t>
        </is>
      </c>
      <c r="H224" s="2" t="n">
        <v>1</v>
      </c>
      <c r="I224" s="2" t="n">
        <v>1800</v>
      </c>
      <c r="J224" s="2" t="inlineStr">
        <is>
          <t>每日开放</t>
        </is>
      </c>
      <c r="K224" s="2" t="inlineStr">
        <is>
          <t>玉虚碎印×1</t>
        </is>
      </c>
      <c r="L224" s="2" t="inlineStr">
        <is>
          <t>随机池掉落</t>
        </is>
      </c>
      <c r="M224" s="2" t="inlineStr">
        <is>
          <t>blueprint_top_blue</t>
        </is>
      </c>
      <c r="N224" s="2" t="inlineStr">
        <is>
          <t>blueprint_qinglongxue</t>
        </is>
      </c>
      <c r="O224" s="2" t="inlineStr">
        <is>
          <t>青龙靴图纸</t>
        </is>
      </c>
      <c r="P224" s="2" t="inlineStr">
        <is>
          <t>装备图纸</t>
        </is>
      </c>
      <c r="Q224" s="2" t="inlineStr">
        <is>
          <t>稀有/蓝</t>
        </is>
      </c>
      <c r="R224" s="5" t="n">
        <v>0.45</v>
      </c>
      <c r="S224" s="2" t="n">
        <v>1</v>
      </c>
      <c r="T224" s="2" t="n">
        <v>1</v>
      </c>
      <c r="U224" s="2" t="inlineStr">
        <is>
          <t>是</t>
        </is>
      </c>
      <c r="V224" s="2" t="inlineStr">
        <is>
          <t>{"chance":0.45,"choices":["blueprint_qinglongkui","blueprint_qinglongjia","blueprint_qinglongxue","blueprint_qinglongdao"]}</t>
        </is>
      </c>
      <c r="W224" s="3">
        <f>SUM(T222:T225)</f>
        <v>4</v>
      </c>
      <c r="X224" s="5">
        <f>R224*T224/W224</f>
        <v>0.1125</v>
      </c>
      <c r="Y224" s="6">
        <f>X224*S224</f>
        <v>0.1125</v>
      </c>
      <c r="Z224" s="2" t="inlineStr">
        <is>
          <t>个人任务</t>
        </is>
      </c>
      <c r="AA224" s="2" t="n"/>
      <c r="AB224" s="2" t="inlineStr">
        <is>
          <t>挑战者庄园</t>
        </is>
      </c>
      <c r="AC224" s="2" t="inlineStr">
        <is>
          <t>玩家进攻胜利（attacker），非撤退，返程结算发放</t>
        </is>
      </c>
      <c r="AD224" s="2" t="inlineStr">
        <is>
          <t>data/mission_templates.yaml:L1259:drop_table.blueprint_top_blue</t>
        </is>
      </c>
    </row>
    <row r="225">
      <c r="A225" s="2" t="n">
        <v>26</v>
      </c>
      <c r="B225" s="2" t="inlineStr">
        <is>
          <t>fengbang_tianmen</t>
        </is>
      </c>
      <c r="C225" s="2" t="inlineStr">
        <is>
          <t>封神之战：封榜天门</t>
        </is>
      </c>
      <c r="D225" s="2" t="inlineStr">
        <is>
          <t>高级</t>
        </is>
      </c>
      <c r="E225" s="2" t="inlineStr">
        <is>
          <t>task1</t>
        </is>
      </c>
      <c r="F225" s="2" t="inlineStr">
        <is>
          <t>否</t>
        </is>
      </c>
      <c r="G225" s="2" t="inlineStr">
        <is>
          <t>否</t>
        </is>
      </c>
      <c r="H225" s="2" t="n">
        <v>1</v>
      </c>
      <c r="I225" s="2" t="n">
        <v>1800</v>
      </c>
      <c r="J225" s="2" t="inlineStr">
        <is>
          <t>每日开放</t>
        </is>
      </c>
      <c r="K225" s="2" t="inlineStr">
        <is>
          <t>玉虚碎印×1</t>
        </is>
      </c>
      <c r="L225" s="2" t="inlineStr">
        <is>
          <t>随机池掉落</t>
        </is>
      </c>
      <c r="M225" s="2" t="inlineStr">
        <is>
          <t>blueprint_top_blue</t>
        </is>
      </c>
      <c r="N225" s="2" t="inlineStr">
        <is>
          <t>blueprint_qinglongdao</t>
        </is>
      </c>
      <c r="O225" s="2" t="inlineStr">
        <is>
          <t>青龙刀图纸</t>
        </is>
      </c>
      <c r="P225" s="2" t="inlineStr">
        <is>
          <t>装备图纸</t>
        </is>
      </c>
      <c r="Q225" s="2" t="inlineStr">
        <is>
          <t>稀有/蓝</t>
        </is>
      </c>
      <c r="R225" s="5" t="n">
        <v>0.45</v>
      </c>
      <c r="S225" s="2" t="n">
        <v>1</v>
      </c>
      <c r="T225" s="2" t="n">
        <v>1</v>
      </c>
      <c r="U225" s="2" t="inlineStr">
        <is>
          <t>是</t>
        </is>
      </c>
      <c r="V225" s="2" t="inlineStr">
        <is>
          <t>{"chance":0.45,"choices":["blueprint_qinglongkui","blueprint_qinglongjia","blueprint_qinglongxue","blueprint_qinglongdao"]}</t>
        </is>
      </c>
      <c r="W225" s="3">
        <f>SUM(T222:T225)</f>
        <v>4</v>
      </c>
      <c r="X225" s="5">
        <f>R225*T225/W225</f>
        <v>0.1125</v>
      </c>
      <c r="Y225" s="6">
        <f>X225*S225</f>
        <v>0.1125</v>
      </c>
      <c r="Z225" s="2" t="inlineStr">
        <is>
          <t>个人任务</t>
        </is>
      </c>
      <c r="AA225" s="2" t="n"/>
      <c r="AB225" s="2" t="inlineStr">
        <is>
          <t>挑战者庄园</t>
        </is>
      </c>
      <c r="AC225" s="2" t="inlineStr">
        <is>
          <t>玩家进攻胜利（attacker），非撤退，返程结算发放</t>
        </is>
      </c>
      <c r="AD225" s="2" t="inlineStr">
        <is>
          <t>data/mission_templates.yaml:L1259:drop_table.blueprint_top_blue</t>
        </is>
      </c>
    </row>
    <row r="226">
      <c r="A226" s="2" t="n">
        <v>26</v>
      </c>
      <c r="B226" s="2" t="inlineStr">
        <is>
          <t>fengbang_tianmen</t>
        </is>
      </c>
      <c r="C226" s="2" t="inlineStr">
        <is>
          <t>封神之战：封榜天门</t>
        </is>
      </c>
      <c r="D226" s="2" t="inlineStr">
        <is>
          <t>高级</t>
        </is>
      </c>
      <c r="E226" s="2" t="inlineStr">
        <is>
          <t>task1</t>
        </is>
      </c>
      <c r="F226" s="2" t="inlineStr">
        <is>
          <t>否</t>
        </is>
      </c>
      <c r="G226" s="2" t="inlineStr">
        <is>
          <t>否</t>
        </is>
      </c>
      <c r="H226" s="2" t="n">
        <v>1</v>
      </c>
      <c r="I226" s="2" t="n">
        <v>1800</v>
      </c>
      <c r="J226" s="2" t="inlineStr">
        <is>
          <t>每日开放</t>
        </is>
      </c>
      <c r="K226" s="2" t="inlineStr">
        <is>
          <t>玉虚碎印×1</t>
        </is>
      </c>
      <c r="L226" s="2" t="inlineStr">
        <is>
          <t>随机池掉落</t>
        </is>
      </c>
      <c r="M226" s="2" t="inlineStr">
        <is>
          <t>blueprint_top_purple</t>
        </is>
      </c>
      <c r="N226" s="2" t="inlineStr">
        <is>
          <t>blueprint_qilinkui</t>
        </is>
      </c>
      <c r="O226" s="2" t="inlineStr">
        <is>
          <t>麒麟盔图纸</t>
        </is>
      </c>
      <c r="P226" s="2" t="inlineStr">
        <is>
          <t>装备图纸</t>
        </is>
      </c>
      <c r="Q226" s="2" t="inlineStr">
        <is>
          <t>史诗/紫</t>
        </is>
      </c>
      <c r="R226" s="5" t="n">
        <v>0.25</v>
      </c>
      <c r="S226" s="2" t="n">
        <v>1</v>
      </c>
      <c r="T226" s="2" t="n">
        <v>1</v>
      </c>
      <c r="U226" s="2" t="inlineStr">
        <is>
          <t>是</t>
        </is>
      </c>
      <c r="V226" s="2" t="inlineStr">
        <is>
          <t>{"chance":0.25,"choices":["blueprint_qilinkui","blueprint_qilinjia","blueprint_qilinxue","blueprint_qilindao"]}</t>
        </is>
      </c>
      <c r="W226" s="3">
        <f>SUM(T226:T229)</f>
        <v>4</v>
      </c>
      <c r="X226" s="5">
        <f>R226*T226/W226</f>
        <v>0.0625</v>
      </c>
      <c r="Y226" s="6">
        <f>X226*S226</f>
        <v>0.0625</v>
      </c>
      <c r="Z226" s="2" t="inlineStr">
        <is>
          <t>个人任务</t>
        </is>
      </c>
      <c r="AA226" s="2" t="n"/>
      <c r="AB226" s="2" t="inlineStr">
        <is>
          <t>挑战者庄园</t>
        </is>
      </c>
      <c r="AC226" s="2" t="inlineStr">
        <is>
          <t>玩家进攻胜利（attacker），非撤退，返程结算发放</t>
        </is>
      </c>
      <c r="AD226" s="2" t="inlineStr">
        <is>
          <t>data/mission_templates.yaml:L1259:drop_table.blueprint_top_purple</t>
        </is>
      </c>
    </row>
    <row r="227">
      <c r="A227" s="2" t="n">
        <v>26</v>
      </c>
      <c r="B227" s="2" t="inlineStr">
        <is>
          <t>fengbang_tianmen</t>
        </is>
      </c>
      <c r="C227" s="2" t="inlineStr">
        <is>
          <t>封神之战：封榜天门</t>
        </is>
      </c>
      <c r="D227" s="2" t="inlineStr">
        <is>
          <t>高级</t>
        </is>
      </c>
      <c r="E227" s="2" t="inlineStr">
        <is>
          <t>task1</t>
        </is>
      </c>
      <c r="F227" s="2" t="inlineStr">
        <is>
          <t>否</t>
        </is>
      </c>
      <c r="G227" s="2" t="inlineStr">
        <is>
          <t>否</t>
        </is>
      </c>
      <c r="H227" s="2" t="n">
        <v>1</v>
      </c>
      <c r="I227" s="2" t="n">
        <v>1800</v>
      </c>
      <c r="J227" s="2" t="inlineStr">
        <is>
          <t>每日开放</t>
        </is>
      </c>
      <c r="K227" s="2" t="inlineStr">
        <is>
          <t>玉虚碎印×1</t>
        </is>
      </c>
      <c r="L227" s="2" t="inlineStr">
        <is>
          <t>随机池掉落</t>
        </is>
      </c>
      <c r="M227" s="2" t="inlineStr">
        <is>
          <t>blueprint_top_purple</t>
        </is>
      </c>
      <c r="N227" s="2" t="inlineStr">
        <is>
          <t>blueprint_qilinjia</t>
        </is>
      </c>
      <c r="O227" s="2" t="inlineStr">
        <is>
          <t>麒麟甲图纸</t>
        </is>
      </c>
      <c r="P227" s="2" t="inlineStr">
        <is>
          <t>装备图纸</t>
        </is>
      </c>
      <c r="Q227" s="2" t="inlineStr">
        <is>
          <t>史诗/紫</t>
        </is>
      </c>
      <c r="R227" s="5" t="n">
        <v>0.25</v>
      </c>
      <c r="S227" s="2" t="n">
        <v>1</v>
      </c>
      <c r="T227" s="2" t="n">
        <v>1</v>
      </c>
      <c r="U227" s="2" t="inlineStr">
        <is>
          <t>是</t>
        </is>
      </c>
      <c r="V227" s="2" t="inlineStr">
        <is>
          <t>{"chance":0.25,"choices":["blueprint_qilinkui","blueprint_qilinjia","blueprint_qilinxue","blueprint_qilindao"]}</t>
        </is>
      </c>
      <c r="W227" s="3">
        <f>SUM(T226:T229)</f>
        <v>4</v>
      </c>
      <c r="X227" s="5">
        <f>R227*T227/W227</f>
        <v>0.0625</v>
      </c>
      <c r="Y227" s="6">
        <f>X227*S227</f>
        <v>0.0625</v>
      </c>
      <c r="Z227" s="2" t="inlineStr">
        <is>
          <t>个人任务</t>
        </is>
      </c>
      <c r="AA227" s="2" t="n"/>
      <c r="AB227" s="2" t="inlineStr">
        <is>
          <t>挑战者庄园</t>
        </is>
      </c>
      <c r="AC227" s="2" t="inlineStr">
        <is>
          <t>玩家进攻胜利（attacker），非撤退，返程结算发放</t>
        </is>
      </c>
      <c r="AD227" s="2" t="inlineStr">
        <is>
          <t>data/mission_templates.yaml:L1259:drop_table.blueprint_top_purple</t>
        </is>
      </c>
    </row>
    <row r="228">
      <c r="A228" s="2" t="n">
        <v>26</v>
      </c>
      <c r="B228" s="2" t="inlineStr">
        <is>
          <t>fengbang_tianmen</t>
        </is>
      </c>
      <c r="C228" s="2" t="inlineStr">
        <is>
          <t>封神之战：封榜天门</t>
        </is>
      </c>
      <c r="D228" s="2" t="inlineStr">
        <is>
          <t>高级</t>
        </is>
      </c>
      <c r="E228" s="2" t="inlineStr">
        <is>
          <t>task1</t>
        </is>
      </c>
      <c r="F228" s="2" t="inlineStr">
        <is>
          <t>否</t>
        </is>
      </c>
      <c r="G228" s="2" t="inlineStr">
        <is>
          <t>否</t>
        </is>
      </c>
      <c r="H228" s="2" t="n">
        <v>1</v>
      </c>
      <c r="I228" s="2" t="n">
        <v>1800</v>
      </c>
      <c r="J228" s="2" t="inlineStr">
        <is>
          <t>每日开放</t>
        </is>
      </c>
      <c r="K228" s="2" t="inlineStr">
        <is>
          <t>玉虚碎印×1</t>
        </is>
      </c>
      <c r="L228" s="2" t="inlineStr">
        <is>
          <t>随机池掉落</t>
        </is>
      </c>
      <c r="M228" s="2" t="inlineStr">
        <is>
          <t>blueprint_top_purple</t>
        </is>
      </c>
      <c r="N228" s="2" t="inlineStr">
        <is>
          <t>blueprint_qilinxue</t>
        </is>
      </c>
      <c r="O228" s="2" t="inlineStr">
        <is>
          <t>麒麟靴图纸</t>
        </is>
      </c>
      <c r="P228" s="2" t="inlineStr">
        <is>
          <t>装备图纸</t>
        </is>
      </c>
      <c r="Q228" s="2" t="inlineStr">
        <is>
          <t>史诗/紫</t>
        </is>
      </c>
      <c r="R228" s="5" t="n">
        <v>0.25</v>
      </c>
      <c r="S228" s="2" t="n">
        <v>1</v>
      </c>
      <c r="T228" s="2" t="n">
        <v>1</v>
      </c>
      <c r="U228" s="2" t="inlineStr">
        <is>
          <t>是</t>
        </is>
      </c>
      <c r="V228" s="2" t="inlineStr">
        <is>
          <t>{"chance":0.25,"choices":["blueprint_qilinkui","blueprint_qilinjia","blueprint_qilinxue","blueprint_qilindao"]}</t>
        </is>
      </c>
      <c r="W228" s="3">
        <f>SUM(T226:T229)</f>
        <v>4</v>
      </c>
      <c r="X228" s="5">
        <f>R228*T228/W228</f>
        <v>0.0625</v>
      </c>
      <c r="Y228" s="6">
        <f>X228*S228</f>
        <v>0.0625</v>
      </c>
      <c r="Z228" s="2" t="inlineStr">
        <is>
          <t>个人任务</t>
        </is>
      </c>
      <c r="AA228" s="2" t="n"/>
      <c r="AB228" s="2" t="inlineStr">
        <is>
          <t>挑战者庄园</t>
        </is>
      </c>
      <c r="AC228" s="2" t="inlineStr">
        <is>
          <t>玩家进攻胜利（attacker），非撤退，返程结算发放</t>
        </is>
      </c>
      <c r="AD228" s="2" t="inlineStr">
        <is>
          <t>data/mission_templates.yaml:L1259:drop_table.blueprint_top_purple</t>
        </is>
      </c>
    </row>
    <row r="229">
      <c r="A229" s="2" t="n">
        <v>26</v>
      </c>
      <c r="B229" s="2" t="inlineStr">
        <is>
          <t>fengbang_tianmen</t>
        </is>
      </c>
      <c r="C229" s="2" t="inlineStr">
        <is>
          <t>封神之战：封榜天门</t>
        </is>
      </c>
      <c r="D229" s="2" t="inlineStr">
        <is>
          <t>高级</t>
        </is>
      </c>
      <c r="E229" s="2" t="inlineStr">
        <is>
          <t>task1</t>
        </is>
      </c>
      <c r="F229" s="2" t="inlineStr">
        <is>
          <t>否</t>
        </is>
      </c>
      <c r="G229" s="2" t="inlineStr">
        <is>
          <t>否</t>
        </is>
      </c>
      <c r="H229" s="2" t="n">
        <v>1</v>
      </c>
      <c r="I229" s="2" t="n">
        <v>1800</v>
      </c>
      <c r="J229" s="2" t="inlineStr">
        <is>
          <t>每日开放</t>
        </is>
      </c>
      <c r="K229" s="2" t="inlineStr">
        <is>
          <t>玉虚碎印×1</t>
        </is>
      </c>
      <c r="L229" s="2" t="inlineStr">
        <is>
          <t>随机池掉落</t>
        </is>
      </c>
      <c r="M229" s="2" t="inlineStr">
        <is>
          <t>blueprint_top_purple</t>
        </is>
      </c>
      <c r="N229" s="2" t="inlineStr">
        <is>
          <t>blueprint_qilindao</t>
        </is>
      </c>
      <c r="O229" s="2" t="inlineStr">
        <is>
          <t>麒麟刀图纸</t>
        </is>
      </c>
      <c r="P229" s="2" t="inlineStr">
        <is>
          <t>装备图纸</t>
        </is>
      </c>
      <c r="Q229" s="2" t="inlineStr">
        <is>
          <t>史诗/紫</t>
        </is>
      </c>
      <c r="R229" s="5" t="n">
        <v>0.25</v>
      </c>
      <c r="S229" s="2" t="n">
        <v>1</v>
      </c>
      <c r="T229" s="2" t="n">
        <v>1</v>
      </c>
      <c r="U229" s="2" t="inlineStr">
        <is>
          <t>是</t>
        </is>
      </c>
      <c r="V229" s="2" t="inlineStr">
        <is>
          <t>{"chance":0.25,"choices":["blueprint_qilinkui","blueprint_qilinjia","blueprint_qilinxue","blueprint_qilindao"]}</t>
        </is>
      </c>
      <c r="W229" s="3">
        <f>SUM(T226:T229)</f>
        <v>4</v>
      </c>
      <c r="X229" s="5">
        <f>R229*T229/W229</f>
        <v>0.0625</v>
      </c>
      <c r="Y229" s="6">
        <f>X229*S229</f>
        <v>0.0625</v>
      </c>
      <c r="Z229" s="2" t="inlineStr">
        <is>
          <t>个人任务</t>
        </is>
      </c>
      <c r="AA229" s="2" t="n"/>
      <c r="AB229" s="2" t="inlineStr">
        <is>
          <t>挑战者庄园</t>
        </is>
      </c>
      <c r="AC229" s="2" t="inlineStr">
        <is>
          <t>玩家进攻胜利（attacker），非撤退，返程结算发放</t>
        </is>
      </c>
      <c r="AD229" s="2" t="inlineStr">
        <is>
          <t>data/mission_templates.yaml:L1259:drop_table.blueprint_top_purple</t>
        </is>
      </c>
    </row>
    <row r="230">
      <c r="A230" s="2" t="n">
        <v>26</v>
      </c>
      <c r="B230" s="2" t="inlineStr">
        <is>
          <t>fengbang_tianmen</t>
        </is>
      </c>
      <c r="C230" s="2" t="inlineStr">
        <is>
          <t>封神之战：封榜天门</t>
        </is>
      </c>
      <c r="D230" s="2" t="inlineStr">
        <is>
          <t>高级</t>
        </is>
      </c>
      <c r="E230" s="2" t="inlineStr">
        <is>
          <t>task1</t>
        </is>
      </c>
      <c r="F230" s="2" t="inlineStr">
        <is>
          <t>否</t>
        </is>
      </c>
      <c r="G230" s="2" t="inlineStr">
        <is>
          <t>否</t>
        </is>
      </c>
      <c r="H230" s="2" t="n">
        <v>1</v>
      </c>
      <c r="I230" s="2" t="n">
        <v>1800</v>
      </c>
      <c r="J230" s="2" t="inlineStr">
        <is>
          <t>每日开放</t>
        </is>
      </c>
      <c r="K230" s="2" t="inlineStr">
        <is>
          <t>玉虚碎印×1</t>
        </is>
      </c>
      <c r="L230" s="2" t="inlineStr">
        <is>
          <t>随机池掉落</t>
        </is>
      </c>
      <c r="M230" s="2" t="inlineStr">
        <is>
          <t>blueprint_top_orange</t>
        </is>
      </c>
      <c r="N230" s="2" t="inlineStr">
        <is>
          <t>blueprint_feiyuan</t>
        </is>
      </c>
      <c r="O230" s="2" t="inlineStr">
        <is>
          <t>飞鸢图纸</t>
        </is>
      </c>
      <c r="P230" s="2" t="inlineStr">
        <is>
          <t>装备图纸</t>
        </is>
      </c>
      <c r="Q230" s="2" t="inlineStr">
        <is>
          <t>传说/橙</t>
        </is>
      </c>
      <c r="R230" s="5" t="n">
        <v>0.03</v>
      </c>
      <c r="S230" s="2" t="n">
        <v>1</v>
      </c>
      <c r="T230" s="2" t="n">
        <v>1</v>
      </c>
      <c r="U230" s="2" t="inlineStr">
        <is>
          <t>是</t>
        </is>
      </c>
      <c r="V230" s="2" t="inlineStr">
        <is>
          <t>{"chance":0.03,"choices":["blueprint_feiyuan","blueprint_chixiaojifeng","blueprint_mojiajiguanren"]}</t>
        </is>
      </c>
      <c r="W230" s="3">
        <f>SUM(T230:T232)</f>
        <v>3</v>
      </c>
      <c r="X230" s="5">
        <f>R230*T230/W230</f>
        <v>0.01</v>
      </c>
      <c r="Y230" s="6">
        <f>X230*S230</f>
        <v>0.01</v>
      </c>
      <c r="Z230" s="2" t="inlineStr">
        <is>
          <t>个人任务</t>
        </is>
      </c>
      <c r="AA230" s="2" t="n"/>
      <c r="AB230" s="2" t="inlineStr">
        <is>
          <t>挑战者庄园</t>
        </is>
      </c>
      <c r="AC230" s="2" t="inlineStr">
        <is>
          <t>玩家进攻胜利（attacker），非撤退，返程结算发放</t>
        </is>
      </c>
      <c r="AD230" s="2" t="inlineStr">
        <is>
          <t>data/mission_templates.yaml:L1259:drop_table.blueprint_top_orange</t>
        </is>
      </c>
    </row>
    <row r="231">
      <c r="A231" s="2" t="n">
        <v>26</v>
      </c>
      <c r="B231" s="2" t="inlineStr">
        <is>
          <t>fengbang_tianmen</t>
        </is>
      </c>
      <c r="C231" s="2" t="inlineStr">
        <is>
          <t>封神之战：封榜天门</t>
        </is>
      </c>
      <c r="D231" s="2" t="inlineStr">
        <is>
          <t>高级</t>
        </is>
      </c>
      <c r="E231" s="2" t="inlineStr">
        <is>
          <t>task1</t>
        </is>
      </c>
      <c r="F231" s="2" t="inlineStr">
        <is>
          <t>否</t>
        </is>
      </c>
      <c r="G231" s="2" t="inlineStr">
        <is>
          <t>否</t>
        </is>
      </c>
      <c r="H231" s="2" t="n">
        <v>1</v>
      </c>
      <c r="I231" s="2" t="n">
        <v>1800</v>
      </c>
      <c r="J231" s="2" t="inlineStr">
        <is>
          <t>每日开放</t>
        </is>
      </c>
      <c r="K231" s="2" t="inlineStr">
        <is>
          <t>玉虚碎印×1</t>
        </is>
      </c>
      <c r="L231" s="2" t="inlineStr">
        <is>
          <t>随机池掉落</t>
        </is>
      </c>
      <c r="M231" s="2" t="inlineStr">
        <is>
          <t>blueprint_top_orange</t>
        </is>
      </c>
      <c r="N231" s="2" t="inlineStr">
        <is>
          <t>blueprint_chixiaojifeng</t>
        </is>
      </c>
      <c r="O231" s="2" t="inlineStr">
        <is>
          <t>赤霄机凤图纸</t>
        </is>
      </c>
      <c r="P231" s="2" t="inlineStr">
        <is>
          <t>装备图纸</t>
        </is>
      </c>
      <c r="Q231" s="2" t="inlineStr">
        <is>
          <t>传说/橙</t>
        </is>
      </c>
      <c r="R231" s="5" t="n">
        <v>0.03</v>
      </c>
      <c r="S231" s="2" t="n">
        <v>1</v>
      </c>
      <c r="T231" s="2" t="n">
        <v>1</v>
      </c>
      <c r="U231" s="2" t="inlineStr">
        <is>
          <t>是</t>
        </is>
      </c>
      <c r="V231" s="2" t="inlineStr">
        <is>
          <t>{"chance":0.03,"choices":["blueprint_feiyuan","blueprint_chixiaojifeng","blueprint_mojiajiguanren"]}</t>
        </is>
      </c>
      <c r="W231" s="3">
        <f>SUM(T230:T232)</f>
        <v>3</v>
      </c>
      <c r="X231" s="5">
        <f>R231*T231/W231</f>
        <v>0.01</v>
      </c>
      <c r="Y231" s="6">
        <f>X231*S231</f>
        <v>0.01</v>
      </c>
      <c r="Z231" s="2" t="inlineStr">
        <is>
          <t>个人任务</t>
        </is>
      </c>
      <c r="AA231" s="2" t="n"/>
      <c r="AB231" s="2" t="inlineStr">
        <is>
          <t>挑战者庄园</t>
        </is>
      </c>
      <c r="AC231" s="2" t="inlineStr">
        <is>
          <t>玩家进攻胜利（attacker），非撤退，返程结算发放</t>
        </is>
      </c>
      <c r="AD231" s="2" t="inlineStr">
        <is>
          <t>data/mission_templates.yaml:L1259:drop_table.blueprint_top_orange</t>
        </is>
      </c>
    </row>
    <row r="232">
      <c r="A232" s="2" t="n">
        <v>26</v>
      </c>
      <c r="B232" s="2" t="inlineStr">
        <is>
          <t>fengbang_tianmen</t>
        </is>
      </c>
      <c r="C232" s="2" t="inlineStr">
        <is>
          <t>封神之战：封榜天门</t>
        </is>
      </c>
      <c r="D232" s="2" t="inlineStr">
        <is>
          <t>高级</t>
        </is>
      </c>
      <c r="E232" s="2" t="inlineStr">
        <is>
          <t>task1</t>
        </is>
      </c>
      <c r="F232" s="2" t="inlineStr">
        <is>
          <t>否</t>
        </is>
      </c>
      <c r="G232" s="2" t="inlineStr">
        <is>
          <t>否</t>
        </is>
      </c>
      <c r="H232" s="2" t="n">
        <v>1</v>
      </c>
      <c r="I232" s="2" t="n">
        <v>1800</v>
      </c>
      <c r="J232" s="2" t="inlineStr">
        <is>
          <t>每日开放</t>
        </is>
      </c>
      <c r="K232" s="2" t="inlineStr">
        <is>
          <t>玉虚碎印×1</t>
        </is>
      </c>
      <c r="L232" s="2" t="inlineStr">
        <is>
          <t>随机池掉落</t>
        </is>
      </c>
      <c r="M232" s="2" t="inlineStr">
        <is>
          <t>blueprint_top_orange</t>
        </is>
      </c>
      <c r="N232" s="2" t="inlineStr">
        <is>
          <t>blueprint_mojiajiguanren</t>
        </is>
      </c>
      <c r="O232" s="2" t="inlineStr">
        <is>
          <t>墨家机关人图纸</t>
        </is>
      </c>
      <c r="P232" s="2" t="inlineStr">
        <is>
          <t>装备图纸</t>
        </is>
      </c>
      <c r="Q232" s="2" t="inlineStr">
        <is>
          <t>传说/橙</t>
        </is>
      </c>
      <c r="R232" s="5" t="n">
        <v>0.03</v>
      </c>
      <c r="S232" s="2" t="n">
        <v>1</v>
      </c>
      <c r="T232" s="2" t="n">
        <v>1</v>
      </c>
      <c r="U232" s="2" t="inlineStr">
        <is>
          <t>是</t>
        </is>
      </c>
      <c r="V232" s="2" t="inlineStr">
        <is>
          <t>{"chance":0.03,"choices":["blueprint_feiyuan","blueprint_chixiaojifeng","blueprint_mojiajiguanren"]}</t>
        </is>
      </c>
      <c r="W232" s="3">
        <f>SUM(T230:T232)</f>
        <v>3</v>
      </c>
      <c r="X232" s="5">
        <f>R232*T232/W232</f>
        <v>0.01</v>
      </c>
      <c r="Y232" s="6">
        <f>X232*S232</f>
        <v>0.01</v>
      </c>
      <c r="Z232" s="2" t="inlineStr">
        <is>
          <t>个人任务</t>
        </is>
      </c>
      <c r="AA232" s="2" t="n"/>
      <c r="AB232" s="2" t="inlineStr">
        <is>
          <t>挑战者庄园</t>
        </is>
      </c>
      <c r="AC232" s="2" t="inlineStr">
        <is>
          <t>玩家进攻胜利（attacker），非撤退，返程结算发放</t>
        </is>
      </c>
      <c r="AD232" s="2" t="inlineStr">
        <is>
          <t>data/mission_templates.yaml:L1259:drop_table.blueprint_top_orange</t>
        </is>
      </c>
    </row>
    <row r="233">
      <c r="A233" s="2" t="n">
        <v>27</v>
      </c>
      <c r="B233" s="2" t="inlineStr">
        <is>
          <t>zhuolu_zhongyuan</t>
        </is>
      </c>
      <c r="C233" s="2" t="inlineStr">
        <is>
          <t>逐鹿中原</t>
        </is>
      </c>
      <c r="D233" s="2" t="inlineStr">
        <is>
          <t>高级</t>
        </is>
      </c>
      <c r="E233" s="2" t="inlineStr">
        <is>
          <t>task1</t>
        </is>
      </c>
      <c r="F233" s="2" t="inlineStr">
        <is>
          <t>否</t>
        </is>
      </c>
      <c r="G233" s="2" t="inlineStr">
        <is>
          <t>否</t>
        </is>
      </c>
      <c r="H233" s="2" t="n">
        <v>1</v>
      </c>
      <c r="I233" s="2" t="n">
        <v>1800</v>
      </c>
      <c r="J233" s="2" t="inlineStr">
        <is>
          <t>每日开放</t>
        </is>
      </c>
      <c r="K233" s="2" t="inlineStr">
        <is>
          <t>无</t>
        </is>
      </c>
      <c r="L233" s="2" t="inlineStr">
        <is>
          <t>固定掉落</t>
        </is>
      </c>
      <c r="M233" s="2" t="inlineStr">
        <is>
          <t>silver</t>
        </is>
      </c>
      <c r="N233" s="2" t="inlineStr">
        <is>
          <t>silver</t>
        </is>
      </c>
      <c r="O233" s="2" t="inlineStr">
        <is>
          <t>银两</t>
        </is>
      </c>
      <c r="P233" s="2" t="inlineStr">
        <is>
          <t>资源</t>
        </is>
      </c>
      <c r="Q233" s="2" t="inlineStr">
        <is>
          <t>资源</t>
        </is>
      </c>
      <c r="R233" s="5" t="n">
        <v>1</v>
      </c>
      <c r="S233" s="2" t="n">
        <v>100000</v>
      </c>
      <c r="T233" s="2" t="n"/>
      <c r="U233" s="2" t="inlineStr">
        <is>
          <t>否</t>
        </is>
      </c>
      <c r="V233" s="2" t="inlineStr">
        <is>
          <t>100000</t>
        </is>
      </c>
      <c r="W233" s="2" t="n"/>
      <c r="X233" s="5">
        <f>R233</f>
        <v>1</v>
      </c>
      <c r="Y233" s="6">
        <f>X233*S233</f>
        <v>100000</v>
      </c>
      <c r="Z233" s="2" t="inlineStr">
        <is>
          <t>个人任务</t>
        </is>
      </c>
      <c r="AA233" s="2" t="n"/>
      <c r="AB233" s="2" t="inlineStr">
        <is>
          <t>挑战者庄园</t>
        </is>
      </c>
      <c r="AC233" s="2" t="inlineStr">
        <is>
          <t>玩家进攻胜利（attacker），非撤退，返程结算发放</t>
        </is>
      </c>
      <c r="AD233" s="2" t="inlineStr">
        <is>
          <t>data/mission_templates.yaml:L1326:drop_table.silver</t>
        </is>
      </c>
    </row>
    <row r="234">
      <c r="A234" s="2" t="n">
        <v>27</v>
      </c>
      <c r="B234" s="2" t="inlineStr">
        <is>
          <t>zhuolu_zhongyuan</t>
        </is>
      </c>
      <c r="C234" s="2" t="inlineStr">
        <is>
          <t>逐鹿中原</t>
        </is>
      </c>
      <c r="D234" s="2" t="inlineStr">
        <is>
          <t>高级</t>
        </is>
      </c>
      <c r="E234" s="2" t="inlineStr">
        <is>
          <t>task1</t>
        </is>
      </c>
      <c r="F234" s="2" t="inlineStr">
        <is>
          <t>否</t>
        </is>
      </c>
      <c r="G234" s="2" t="inlineStr">
        <is>
          <t>否</t>
        </is>
      </c>
      <c r="H234" s="2" t="n">
        <v>1</v>
      </c>
      <c r="I234" s="2" t="n">
        <v>1800</v>
      </c>
      <c r="J234" s="2" t="inlineStr">
        <is>
          <t>每日开放</t>
        </is>
      </c>
      <c r="K234" s="2" t="inlineStr">
        <is>
          <t>无</t>
        </is>
      </c>
      <c r="L234" s="2" t="inlineStr">
        <is>
          <t>概率掉落</t>
        </is>
      </c>
      <c r="M234" s="2" t="inlineStr">
        <is>
          <t>experience_watermelon</t>
        </is>
      </c>
      <c r="N234" s="2" t="inlineStr">
        <is>
          <t>experience_watermelon</t>
        </is>
      </c>
      <c r="O234" s="2" t="inlineStr">
        <is>
          <t>经验西瓜</t>
        </is>
      </c>
      <c r="P234" s="2" t="inlineStr">
        <is>
          <t>经验道具</t>
        </is>
      </c>
      <c r="Q234" s="2" t="inlineStr">
        <is>
          <t>史诗/紫</t>
        </is>
      </c>
      <c r="R234" s="5" t="n">
        <v>0.7</v>
      </c>
      <c r="S234" s="2" t="n">
        <v>4</v>
      </c>
      <c r="T234" s="2" t="n"/>
      <c r="U234" s="2" t="inlineStr">
        <is>
          <t>否</t>
        </is>
      </c>
      <c r="V234" s="2" t="inlineStr">
        <is>
          <t>{"chance":0.7,"count":4}</t>
        </is>
      </c>
      <c r="W234" s="2" t="n"/>
      <c r="X234" s="5">
        <f>R234</f>
        <v>0.7</v>
      </c>
      <c r="Y234" s="6">
        <f>X234*S234</f>
        <v>2.8</v>
      </c>
      <c r="Z234" s="2" t="inlineStr">
        <is>
          <t>个人任务</t>
        </is>
      </c>
      <c r="AA234" s="2" t="n"/>
      <c r="AB234" s="2" t="inlineStr">
        <is>
          <t>挑战者庄园</t>
        </is>
      </c>
      <c r="AC234" s="2" t="inlineStr">
        <is>
          <t>玩家进攻胜利（attacker），非撤退，返程结算发放</t>
        </is>
      </c>
      <c r="AD234" s="2" t="inlineStr">
        <is>
          <t>data/mission_templates.yaml:L1326:drop_table.experience_watermelon</t>
        </is>
      </c>
    </row>
    <row r="235">
      <c r="A235" s="2" t="n">
        <v>27</v>
      </c>
      <c r="B235" s="2" t="inlineStr">
        <is>
          <t>zhuolu_zhongyuan</t>
        </is>
      </c>
      <c r="C235" s="2" t="inlineStr">
        <is>
          <t>逐鹿中原</t>
        </is>
      </c>
      <c r="D235" s="2" t="inlineStr">
        <is>
          <t>高级</t>
        </is>
      </c>
      <c r="E235" s="2" t="inlineStr">
        <is>
          <t>task1</t>
        </is>
      </c>
      <c r="F235" s="2" t="inlineStr">
        <is>
          <t>否</t>
        </is>
      </c>
      <c r="G235" s="2" t="inlineStr">
        <is>
          <t>否</t>
        </is>
      </c>
      <c r="H235" s="2" t="n">
        <v>1</v>
      </c>
      <c r="I235" s="2" t="n">
        <v>1800</v>
      </c>
      <c r="J235" s="2" t="inlineStr">
        <is>
          <t>每日开放</t>
        </is>
      </c>
      <c r="K235" s="2" t="inlineStr">
        <is>
          <t>无</t>
        </is>
      </c>
      <c r="L235" s="2" t="inlineStr">
        <is>
          <t>概率掉落</t>
        </is>
      </c>
      <c r="M235" s="2" t="inlineStr">
        <is>
          <t>book_bloodthirsty_fury</t>
        </is>
      </c>
      <c r="N235" s="2" t="inlineStr">
        <is>
          <t>book_bloodthirsty_fury</t>
        </is>
      </c>
      <c r="O235" s="2" t="inlineStr">
        <is>
          <t>《嗜血狂怒》秘术</t>
        </is>
      </c>
      <c r="P235" s="2" t="inlineStr">
        <is>
          <t>技能书</t>
        </is>
      </c>
      <c r="Q235" s="2" t="inlineStr">
        <is>
          <t>史诗/紫</t>
        </is>
      </c>
      <c r="R235" s="5" t="n">
        <v>0.06</v>
      </c>
      <c r="S235" s="2" t="n">
        <v>1</v>
      </c>
      <c r="T235" s="2" t="n"/>
      <c r="U235" s="2" t="inlineStr">
        <is>
          <t>否</t>
        </is>
      </c>
      <c r="V235" s="2" t="inlineStr">
        <is>
          <t>0.06</t>
        </is>
      </c>
      <c r="W235" s="2" t="n"/>
      <c r="X235" s="5">
        <f>R235</f>
        <v>0.06</v>
      </c>
      <c r="Y235" s="6">
        <f>X235*S235</f>
        <v>0.06</v>
      </c>
      <c r="Z235" s="2" t="inlineStr">
        <is>
          <t>个人任务</t>
        </is>
      </c>
      <c r="AA235" s="2" t="n"/>
      <c r="AB235" s="2" t="inlineStr">
        <is>
          <t>挑战者庄园</t>
        </is>
      </c>
      <c r="AC235" s="2" t="inlineStr">
        <is>
          <t>玩家进攻胜利（attacker），非撤退，返程结算发放</t>
        </is>
      </c>
      <c r="AD235" s="2" t="inlineStr">
        <is>
          <t>data/mission_templates.yaml:L1326:drop_table.book_bloodthirsty_fury</t>
        </is>
      </c>
    </row>
    <row r="236">
      <c r="A236" s="2" t="n">
        <v>27</v>
      </c>
      <c r="B236" s="2" t="inlineStr">
        <is>
          <t>zhuolu_zhongyuan</t>
        </is>
      </c>
      <c r="C236" s="2" t="inlineStr">
        <is>
          <t>逐鹿中原</t>
        </is>
      </c>
      <c r="D236" s="2" t="inlineStr">
        <is>
          <t>高级</t>
        </is>
      </c>
      <c r="E236" s="2" t="inlineStr">
        <is>
          <t>task1</t>
        </is>
      </c>
      <c r="F236" s="2" t="inlineStr">
        <is>
          <t>否</t>
        </is>
      </c>
      <c r="G236" s="2" t="inlineStr">
        <is>
          <t>否</t>
        </is>
      </c>
      <c r="H236" s="2" t="n">
        <v>1</v>
      </c>
      <c r="I236" s="2" t="n">
        <v>1800</v>
      </c>
      <c r="J236" s="2" t="inlineStr">
        <is>
          <t>每日开放</t>
        </is>
      </c>
      <c r="K236" s="2" t="inlineStr">
        <is>
          <t>无</t>
        </is>
      </c>
      <c r="L236" s="2" t="inlineStr">
        <is>
          <t>概率掉落</t>
        </is>
      </c>
      <c r="M236" s="2" t="inlineStr">
        <is>
          <t>book_desperate_beast</t>
        </is>
      </c>
      <c r="N236" s="2" t="inlineStr">
        <is>
          <t>book_desperate_beast</t>
        </is>
      </c>
      <c r="O236" s="2" t="inlineStr">
        <is>
          <t>《困兽犹斗》秘术</t>
        </is>
      </c>
      <c r="P236" s="2" t="inlineStr">
        <is>
          <t>技能书</t>
        </is>
      </c>
      <c r="Q236" s="2" t="inlineStr">
        <is>
          <t>史诗/紫</t>
        </is>
      </c>
      <c r="R236" s="5" t="n">
        <v>0.06</v>
      </c>
      <c r="S236" s="2" t="n">
        <v>1</v>
      </c>
      <c r="T236" s="2" t="n"/>
      <c r="U236" s="2" t="inlineStr">
        <is>
          <t>否</t>
        </is>
      </c>
      <c r="V236" s="2" t="inlineStr">
        <is>
          <t>0.06</t>
        </is>
      </c>
      <c r="W236" s="2" t="n"/>
      <c r="X236" s="5">
        <f>R236</f>
        <v>0.06</v>
      </c>
      <c r="Y236" s="6">
        <f>X236*S236</f>
        <v>0.06</v>
      </c>
      <c r="Z236" s="2" t="inlineStr">
        <is>
          <t>个人任务</t>
        </is>
      </c>
      <c r="AA236" s="2" t="n"/>
      <c r="AB236" s="2" t="inlineStr">
        <is>
          <t>挑战者庄园</t>
        </is>
      </c>
      <c r="AC236" s="2" t="inlineStr">
        <is>
          <t>玩家进攻胜利（attacker），非撤退，返程结算发放</t>
        </is>
      </c>
      <c r="AD236" s="2" t="inlineStr">
        <is>
          <t>data/mission_templates.yaml:L1326:drop_table.book_desperate_beast</t>
        </is>
      </c>
    </row>
    <row r="237">
      <c r="A237" s="2" t="n">
        <v>27</v>
      </c>
      <c r="B237" s="2" t="inlineStr">
        <is>
          <t>zhuolu_zhongyuan</t>
        </is>
      </c>
      <c r="C237" s="2" t="inlineStr">
        <is>
          <t>逐鹿中原</t>
        </is>
      </c>
      <c r="D237" s="2" t="inlineStr">
        <is>
          <t>高级</t>
        </is>
      </c>
      <c r="E237" s="2" t="inlineStr">
        <is>
          <t>task1</t>
        </is>
      </c>
      <c r="F237" s="2" t="inlineStr">
        <is>
          <t>否</t>
        </is>
      </c>
      <c r="G237" s="2" t="inlineStr">
        <is>
          <t>否</t>
        </is>
      </c>
      <c r="H237" s="2" t="n">
        <v>1</v>
      </c>
      <c r="I237" s="2" t="n">
        <v>1800</v>
      </c>
      <c r="J237" s="2" t="inlineStr">
        <is>
          <t>每日开放</t>
        </is>
      </c>
      <c r="K237" s="2" t="inlineStr">
        <is>
          <t>无</t>
        </is>
      </c>
      <c r="L237" s="2" t="inlineStr">
        <is>
          <t>概率掉落</t>
        </is>
      </c>
      <c r="M237" s="2" t="inlineStr">
        <is>
          <t>book_prison_break_blade</t>
        </is>
      </c>
      <c r="N237" s="2" t="inlineStr">
        <is>
          <t>book_prison_break_blade</t>
        </is>
      </c>
      <c r="O237" s="2" t="inlineStr">
        <is>
          <t>《破狱狂刀》秘术</t>
        </is>
      </c>
      <c r="P237" s="2" t="inlineStr">
        <is>
          <t>技能书</t>
        </is>
      </c>
      <c r="Q237" s="2" t="inlineStr">
        <is>
          <t>史诗/紫</t>
        </is>
      </c>
      <c r="R237" s="5" t="n">
        <v>0.048</v>
      </c>
      <c r="S237" s="2" t="n">
        <v>1</v>
      </c>
      <c r="T237" s="2" t="n"/>
      <c r="U237" s="2" t="inlineStr">
        <is>
          <t>否</t>
        </is>
      </c>
      <c r="V237" s="2" t="inlineStr">
        <is>
          <t>0.048</t>
        </is>
      </c>
      <c r="W237" s="2" t="n"/>
      <c r="X237" s="5">
        <f>R237</f>
        <v>0.048</v>
      </c>
      <c r="Y237" s="6">
        <f>X237*S237</f>
        <v>0.048</v>
      </c>
      <c r="Z237" s="2" t="inlineStr">
        <is>
          <t>个人任务</t>
        </is>
      </c>
      <c r="AA237" s="2" t="n"/>
      <c r="AB237" s="2" t="inlineStr">
        <is>
          <t>挑战者庄园</t>
        </is>
      </c>
      <c r="AC237" s="2" t="inlineStr">
        <is>
          <t>玩家进攻胜利（attacker），非撤退，返程结算发放</t>
        </is>
      </c>
      <c r="AD237" s="2" t="inlineStr">
        <is>
          <t>data/mission_templates.yaml:L1326:drop_table.book_prison_break_blade</t>
        </is>
      </c>
    </row>
    <row r="238">
      <c r="A238" s="2" t="n">
        <v>27</v>
      </c>
      <c r="B238" s="2" t="inlineStr">
        <is>
          <t>zhuolu_zhongyuan</t>
        </is>
      </c>
      <c r="C238" s="2" t="inlineStr">
        <is>
          <t>逐鹿中原</t>
        </is>
      </c>
      <c r="D238" s="2" t="inlineStr">
        <is>
          <t>高级</t>
        </is>
      </c>
      <c r="E238" s="2" t="inlineStr">
        <is>
          <t>task1</t>
        </is>
      </c>
      <c r="F238" s="2" t="inlineStr">
        <is>
          <t>否</t>
        </is>
      </c>
      <c r="G238" s="2" t="inlineStr">
        <is>
          <t>否</t>
        </is>
      </c>
      <c r="H238" s="2" t="n">
        <v>1</v>
      </c>
      <c r="I238" s="2" t="n">
        <v>1800</v>
      </c>
      <c r="J238" s="2" t="inlineStr">
        <is>
          <t>每日开放</t>
        </is>
      </c>
      <c r="K238" s="2" t="inlineStr">
        <is>
          <t>无</t>
        </is>
      </c>
      <c r="L238" s="2" t="inlineStr">
        <is>
          <t>概率掉落</t>
        </is>
      </c>
      <c r="M238" s="2" t="inlineStr">
        <is>
          <t>book_city_felling_strike</t>
        </is>
      </c>
      <c r="N238" s="2" t="inlineStr">
        <is>
          <t>book_city_felling_strike</t>
        </is>
      </c>
      <c r="O238" s="2" t="inlineStr">
        <is>
          <t>《倾城一击》秘术</t>
        </is>
      </c>
      <c r="P238" s="2" t="inlineStr">
        <is>
          <t>技能书</t>
        </is>
      </c>
      <c r="Q238" s="2" t="inlineStr">
        <is>
          <t>史诗/紫</t>
        </is>
      </c>
      <c r="R238" s="5" t="n">
        <v>0.048</v>
      </c>
      <c r="S238" s="2" t="n">
        <v>1</v>
      </c>
      <c r="T238" s="2" t="n"/>
      <c r="U238" s="2" t="inlineStr">
        <is>
          <t>否</t>
        </is>
      </c>
      <c r="V238" s="2" t="inlineStr">
        <is>
          <t>0.048</t>
        </is>
      </c>
      <c r="W238" s="2" t="n"/>
      <c r="X238" s="5">
        <f>R238</f>
        <v>0.048</v>
      </c>
      <c r="Y238" s="6">
        <f>X238*S238</f>
        <v>0.048</v>
      </c>
      <c r="Z238" s="2" t="inlineStr">
        <is>
          <t>个人任务</t>
        </is>
      </c>
      <c r="AA238" s="2" t="n"/>
      <c r="AB238" s="2" t="inlineStr">
        <is>
          <t>挑战者庄园</t>
        </is>
      </c>
      <c r="AC238" s="2" t="inlineStr">
        <is>
          <t>玩家进攻胜利（attacker），非撤退，返程结算发放</t>
        </is>
      </c>
      <c r="AD238" s="2" t="inlineStr">
        <is>
          <t>data/mission_templates.yaml:L1326:drop_table.book_city_felling_strike</t>
        </is>
      </c>
    </row>
    <row r="239">
      <c r="A239" s="2" t="n">
        <v>27</v>
      </c>
      <c r="B239" s="2" t="inlineStr">
        <is>
          <t>zhuolu_zhongyuan</t>
        </is>
      </c>
      <c r="C239" s="2" t="inlineStr">
        <is>
          <t>逐鹿中原</t>
        </is>
      </c>
      <c r="D239" s="2" t="inlineStr">
        <is>
          <t>高级</t>
        </is>
      </c>
      <c r="E239" s="2" t="inlineStr">
        <is>
          <t>task1</t>
        </is>
      </c>
      <c r="F239" s="2" t="inlineStr">
        <is>
          <t>否</t>
        </is>
      </c>
      <c r="G239" s="2" t="inlineStr">
        <is>
          <t>否</t>
        </is>
      </c>
      <c r="H239" s="2" t="n">
        <v>1</v>
      </c>
      <c r="I239" s="2" t="n">
        <v>1800</v>
      </c>
      <c r="J239" s="2" t="inlineStr">
        <is>
          <t>每日开放</t>
        </is>
      </c>
      <c r="K239" s="2" t="inlineStr">
        <is>
          <t>无</t>
        </is>
      </c>
      <c r="L239" s="2" t="inlineStr">
        <is>
          <t>概率掉落</t>
        </is>
      </c>
      <c r="M239" s="2" t="inlineStr">
        <is>
          <t>equip_shanheshejitu</t>
        </is>
      </c>
      <c r="N239" s="2" t="inlineStr">
        <is>
          <t>equip_shanheshejitu</t>
        </is>
      </c>
      <c r="O239" s="2" t="inlineStr">
        <is>
          <t>山河社稷图</t>
        </is>
      </c>
      <c r="P239" s="2" t="inlineStr">
        <is>
          <t>饰品</t>
        </is>
      </c>
      <c r="Q239" s="2" t="inlineStr">
        <is>
          <t>传说/橙</t>
        </is>
      </c>
      <c r="R239" s="5" t="n">
        <v>0.012</v>
      </c>
      <c r="S239" s="2" t="n">
        <v>1</v>
      </c>
      <c r="T239" s="2" t="n"/>
      <c r="U239" s="2" t="inlineStr">
        <is>
          <t>否</t>
        </is>
      </c>
      <c r="V239" s="2" t="inlineStr">
        <is>
          <t>0.012</t>
        </is>
      </c>
      <c r="W239" s="2" t="n"/>
      <c r="X239" s="5">
        <f>R239</f>
        <v>0.012</v>
      </c>
      <c r="Y239" s="6">
        <f>X239*S239</f>
        <v>0.012</v>
      </c>
      <c r="Z239" s="2" t="inlineStr">
        <is>
          <t>个人任务</t>
        </is>
      </c>
      <c r="AA239" s="2" t="n"/>
      <c r="AB239" s="2" t="inlineStr">
        <is>
          <t>挑战者庄园</t>
        </is>
      </c>
      <c r="AC239" s="2" t="inlineStr">
        <is>
          <t>玩家进攻胜利（attacker），非撤退，返程结算发放</t>
        </is>
      </c>
      <c r="AD239" s="2" t="inlineStr">
        <is>
          <t>data/mission_templates.yaml:L1326:drop_table.equip_shanheshejitu</t>
        </is>
      </c>
    </row>
    <row r="240">
      <c r="A240" s="2" t="n">
        <v>27</v>
      </c>
      <c r="B240" s="2" t="inlineStr">
        <is>
          <t>zhuolu_zhongyuan</t>
        </is>
      </c>
      <c r="C240" s="2" t="inlineStr">
        <is>
          <t>逐鹿中原</t>
        </is>
      </c>
      <c r="D240" s="2" t="inlineStr">
        <is>
          <t>高级</t>
        </is>
      </c>
      <c r="E240" s="2" t="inlineStr">
        <is>
          <t>task1</t>
        </is>
      </c>
      <c r="F240" s="2" t="inlineStr">
        <is>
          <t>否</t>
        </is>
      </c>
      <c r="G240" s="2" t="inlineStr">
        <is>
          <t>否</t>
        </is>
      </c>
      <c r="H240" s="2" t="n">
        <v>1</v>
      </c>
      <c r="I240" s="2" t="n">
        <v>1800</v>
      </c>
      <c r="J240" s="2" t="inlineStr">
        <is>
          <t>每日开放</t>
        </is>
      </c>
      <c r="K240" s="2" t="inlineStr">
        <is>
          <t>无</t>
        </is>
      </c>
      <c r="L240" s="2" t="inlineStr">
        <is>
          <t>概率掉落</t>
        </is>
      </c>
      <c r="M240" s="2" t="inlineStr">
        <is>
          <t>equip_zhoutianxingpan</t>
        </is>
      </c>
      <c r="N240" s="2" t="inlineStr">
        <is>
          <t>equip_zhoutianxingpan</t>
        </is>
      </c>
      <c r="O240" s="2" t="inlineStr">
        <is>
          <t>周天星盘</t>
        </is>
      </c>
      <c r="P240" s="2" t="inlineStr">
        <is>
          <t>饰品</t>
        </is>
      </c>
      <c r="Q240" s="2" t="inlineStr">
        <is>
          <t>传说/橙</t>
        </is>
      </c>
      <c r="R240" s="5" t="n">
        <v>0.012</v>
      </c>
      <c r="S240" s="2" t="n">
        <v>1</v>
      </c>
      <c r="T240" s="2" t="n"/>
      <c r="U240" s="2" t="inlineStr">
        <is>
          <t>否</t>
        </is>
      </c>
      <c r="V240" s="2" t="inlineStr">
        <is>
          <t>0.012</t>
        </is>
      </c>
      <c r="W240" s="2" t="n"/>
      <c r="X240" s="5">
        <f>R240</f>
        <v>0.012</v>
      </c>
      <c r="Y240" s="6">
        <f>X240*S240</f>
        <v>0.012</v>
      </c>
      <c r="Z240" s="2" t="inlineStr">
        <is>
          <t>个人任务</t>
        </is>
      </c>
      <c r="AA240" s="2" t="n"/>
      <c r="AB240" s="2" t="inlineStr">
        <is>
          <t>挑战者庄园</t>
        </is>
      </c>
      <c r="AC240" s="2" t="inlineStr">
        <is>
          <t>玩家进攻胜利（attacker），非撤退，返程结算发放</t>
        </is>
      </c>
      <c r="AD240" s="2" t="inlineStr">
        <is>
          <t>data/mission_templates.yaml:L1326:drop_table.equip_zhoutianxingpan</t>
        </is>
      </c>
    </row>
    <row r="241">
      <c r="A241" s="2" t="n">
        <v>27</v>
      </c>
      <c r="B241" s="2" t="inlineStr">
        <is>
          <t>zhuolu_zhongyuan</t>
        </is>
      </c>
      <c r="C241" s="2" t="inlineStr">
        <is>
          <t>逐鹿中原</t>
        </is>
      </c>
      <c r="D241" s="2" t="inlineStr">
        <is>
          <t>高级</t>
        </is>
      </c>
      <c r="E241" s="2" t="inlineStr">
        <is>
          <t>task1</t>
        </is>
      </c>
      <c r="F241" s="2" t="inlineStr">
        <is>
          <t>否</t>
        </is>
      </c>
      <c r="G241" s="2" t="inlineStr">
        <is>
          <t>否</t>
        </is>
      </c>
      <c r="H241" s="2" t="n">
        <v>1</v>
      </c>
      <c r="I241" s="2" t="n">
        <v>1800</v>
      </c>
      <c r="J241" s="2" t="inlineStr">
        <is>
          <t>每日开放</t>
        </is>
      </c>
      <c r="K241" s="2" t="inlineStr">
        <is>
          <t>无</t>
        </is>
      </c>
      <c r="L241" s="2" t="inlineStr">
        <is>
          <t>概率掉落</t>
        </is>
      </c>
      <c r="M241" s="2" t="inlineStr">
        <is>
          <t>equip_xuanyuanjian</t>
        </is>
      </c>
      <c r="N241" s="2" t="inlineStr">
        <is>
          <t>equip_xuanyuanjian</t>
        </is>
      </c>
      <c r="O241" s="2" t="inlineStr">
        <is>
          <t>轩辕剑</t>
        </is>
      </c>
      <c r="P241" s="2" t="inlineStr">
        <is>
          <t>武器</t>
        </is>
      </c>
      <c r="Q241" s="2" t="inlineStr">
        <is>
          <t>传说/橙</t>
        </is>
      </c>
      <c r="R241" s="5" t="n">
        <v>0.006</v>
      </c>
      <c r="S241" s="2" t="n">
        <v>1</v>
      </c>
      <c r="T241" s="2" t="n"/>
      <c r="U241" s="2" t="inlineStr">
        <is>
          <t>否</t>
        </is>
      </c>
      <c r="V241" s="2" t="inlineStr">
        <is>
          <t>0.006</t>
        </is>
      </c>
      <c r="W241" s="2" t="n"/>
      <c r="X241" s="5">
        <f>R241</f>
        <v>0.006</v>
      </c>
      <c r="Y241" s="6">
        <f>X241*S241</f>
        <v>0.006</v>
      </c>
      <c r="Z241" s="2" t="inlineStr">
        <is>
          <t>个人任务</t>
        </is>
      </c>
      <c r="AA241" s="2" t="n"/>
      <c r="AB241" s="2" t="inlineStr">
        <is>
          <t>挑战者庄园</t>
        </is>
      </c>
      <c r="AC241" s="2" t="inlineStr">
        <is>
          <t>玩家进攻胜利（attacker），非撤退，返程结算发放</t>
        </is>
      </c>
      <c r="AD241" s="2" t="inlineStr">
        <is>
          <t>data/mission_templates.yaml:L1326:drop_table.equip_xuanyuanjian</t>
        </is>
      </c>
    </row>
    <row r="242">
      <c r="A242" s="2" t="n">
        <v>27</v>
      </c>
      <c r="B242" s="2" t="inlineStr">
        <is>
          <t>zhuolu_zhongyuan</t>
        </is>
      </c>
      <c r="C242" s="2" t="inlineStr">
        <is>
          <t>逐鹿中原</t>
        </is>
      </c>
      <c r="D242" s="2" t="inlineStr">
        <is>
          <t>高级</t>
        </is>
      </c>
      <c r="E242" s="2" t="inlineStr">
        <is>
          <t>task1</t>
        </is>
      </c>
      <c r="F242" s="2" t="inlineStr">
        <is>
          <t>否</t>
        </is>
      </c>
      <c r="G242" s="2" t="inlineStr">
        <is>
          <t>否</t>
        </is>
      </c>
      <c r="H242" s="2" t="n">
        <v>1</v>
      </c>
      <c r="I242" s="2" t="n">
        <v>1800</v>
      </c>
      <c r="J242" s="2" t="inlineStr">
        <is>
          <t>每日开放</t>
        </is>
      </c>
      <c r="K242" s="2" t="inlineStr">
        <is>
          <t>无</t>
        </is>
      </c>
      <c r="L242" s="2" t="inlineStr">
        <is>
          <t>随机池掉落</t>
        </is>
      </c>
      <c r="M242" s="2" t="inlineStr">
        <is>
          <t>blueprint_top_blue</t>
        </is>
      </c>
      <c r="N242" s="2" t="inlineStr">
        <is>
          <t>blueprint_qinglongkui</t>
        </is>
      </c>
      <c r="O242" s="2" t="inlineStr">
        <is>
          <t>青龙盔图纸</t>
        </is>
      </c>
      <c r="P242" s="2" t="inlineStr">
        <is>
          <t>装备图纸</t>
        </is>
      </c>
      <c r="Q242" s="2" t="inlineStr">
        <is>
          <t>稀有/蓝</t>
        </is>
      </c>
      <c r="R242" s="5" t="n">
        <v>0.45</v>
      </c>
      <c r="S242" s="2" t="n">
        <v>1</v>
      </c>
      <c r="T242" s="2" t="n">
        <v>1</v>
      </c>
      <c r="U242" s="2" t="inlineStr">
        <is>
          <t>是</t>
        </is>
      </c>
      <c r="V242" s="2" t="inlineStr">
        <is>
          <t>{"chance":0.45,"choices":["blueprint_qinglongkui","blueprint_qinglongjia","blueprint_qinglongxue","blueprint_qinglongdao"]}</t>
        </is>
      </c>
      <c r="W242" s="3">
        <f>SUM(T242:T245)</f>
        <v>4</v>
      </c>
      <c r="X242" s="5">
        <f>R242*T242/W242</f>
        <v>0.1125</v>
      </c>
      <c r="Y242" s="6">
        <f>X242*S242</f>
        <v>0.1125</v>
      </c>
      <c r="Z242" s="2" t="inlineStr">
        <is>
          <t>个人任务</t>
        </is>
      </c>
      <c r="AA242" s="2" t="n"/>
      <c r="AB242" s="2" t="inlineStr">
        <is>
          <t>挑战者庄园</t>
        </is>
      </c>
      <c r="AC242" s="2" t="inlineStr">
        <is>
          <t>玩家进攻胜利（attacker），非撤退，返程结算发放</t>
        </is>
      </c>
      <c r="AD242" s="2" t="inlineStr">
        <is>
          <t>data/mission_templates.yaml:L1326:drop_table.blueprint_top_blue</t>
        </is>
      </c>
    </row>
    <row r="243">
      <c r="A243" s="2" t="n">
        <v>27</v>
      </c>
      <c r="B243" s="2" t="inlineStr">
        <is>
          <t>zhuolu_zhongyuan</t>
        </is>
      </c>
      <c r="C243" s="2" t="inlineStr">
        <is>
          <t>逐鹿中原</t>
        </is>
      </c>
      <c r="D243" s="2" t="inlineStr">
        <is>
          <t>高级</t>
        </is>
      </c>
      <c r="E243" s="2" t="inlineStr">
        <is>
          <t>task1</t>
        </is>
      </c>
      <c r="F243" s="2" t="inlineStr">
        <is>
          <t>否</t>
        </is>
      </c>
      <c r="G243" s="2" t="inlineStr">
        <is>
          <t>否</t>
        </is>
      </c>
      <c r="H243" s="2" t="n">
        <v>1</v>
      </c>
      <c r="I243" s="2" t="n">
        <v>1800</v>
      </c>
      <c r="J243" s="2" t="inlineStr">
        <is>
          <t>每日开放</t>
        </is>
      </c>
      <c r="K243" s="2" t="inlineStr">
        <is>
          <t>无</t>
        </is>
      </c>
      <c r="L243" s="2" t="inlineStr">
        <is>
          <t>随机池掉落</t>
        </is>
      </c>
      <c r="M243" s="2" t="inlineStr">
        <is>
          <t>blueprint_top_blue</t>
        </is>
      </c>
      <c r="N243" s="2" t="inlineStr">
        <is>
          <t>blueprint_qinglongjia</t>
        </is>
      </c>
      <c r="O243" s="2" t="inlineStr">
        <is>
          <t>青龙甲图纸</t>
        </is>
      </c>
      <c r="P243" s="2" t="inlineStr">
        <is>
          <t>装备图纸</t>
        </is>
      </c>
      <c r="Q243" s="2" t="inlineStr">
        <is>
          <t>稀有/蓝</t>
        </is>
      </c>
      <c r="R243" s="5" t="n">
        <v>0.45</v>
      </c>
      <c r="S243" s="2" t="n">
        <v>1</v>
      </c>
      <c r="T243" s="2" t="n">
        <v>1</v>
      </c>
      <c r="U243" s="2" t="inlineStr">
        <is>
          <t>是</t>
        </is>
      </c>
      <c r="V243" s="2" t="inlineStr">
        <is>
          <t>{"chance":0.45,"choices":["blueprint_qinglongkui","blueprint_qinglongjia","blueprint_qinglongxue","blueprint_qinglongdao"]}</t>
        </is>
      </c>
      <c r="W243" s="3">
        <f>SUM(T242:T245)</f>
        <v>4</v>
      </c>
      <c r="X243" s="5">
        <f>R243*T243/W243</f>
        <v>0.1125</v>
      </c>
      <c r="Y243" s="6">
        <f>X243*S243</f>
        <v>0.1125</v>
      </c>
      <c r="Z243" s="2" t="inlineStr">
        <is>
          <t>个人任务</t>
        </is>
      </c>
      <c r="AA243" s="2" t="n"/>
      <c r="AB243" s="2" t="inlineStr">
        <is>
          <t>挑战者庄园</t>
        </is>
      </c>
      <c r="AC243" s="2" t="inlineStr">
        <is>
          <t>玩家进攻胜利（attacker），非撤退，返程结算发放</t>
        </is>
      </c>
      <c r="AD243" s="2" t="inlineStr">
        <is>
          <t>data/mission_templates.yaml:L1326:drop_table.blueprint_top_blue</t>
        </is>
      </c>
    </row>
    <row r="244">
      <c r="A244" s="2" t="n">
        <v>27</v>
      </c>
      <c r="B244" s="2" t="inlineStr">
        <is>
          <t>zhuolu_zhongyuan</t>
        </is>
      </c>
      <c r="C244" s="2" t="inlineStr">
        <is>
          <t>逐鹿中原</t>
        </is>
      </c>
      <c r="D244" s="2" t="inlineStr">
        <is>
          <t>高级</t>
        </is>
      </c>
      <c r="E244" s="2" t="inlineStr">
        <is>
          <t>task1</t>
        </is>
      </c>
      <c r="F244" s="2" t="inlineStr">
        <is>
          <t>否</t>
        </is>
      </c>
      <c r="G244" s="2" t="inlineStr">
        <is>
          <t>否</t>
        </is>
      </c>
      <c r="H244" s="2" t="n">
        <v>1</v>
      </c>
      <c r="I244" s="2" t="n">
        <v>1800</v>
      </c>
      <c r="J244" s="2" t="inlineStr">
        <is>
          <t>每日开放</t>
        </is>
      </c>
      <c r="K244" s="2" t="inlineStr">
        <is>
          <t>无</t>
        </is>
      </c>
      <c r="L244" s="2" t="inlineStr">
        <is>
          <t>随机池掉落</t>
        </is>
      </c>
      <c r="M244" s="2" t="inlineStr">
        <is>
          <t>blueprint_top_blue</t>
        </is>
      </c>
      <c r="N244" s="2" t="inlineStr">
        <is>
          <t>blueprint_qinglongxue</t>
        </is>
      </c>
      <c r="O244" s="2" t="inlineStr">
        <is>
          <t>青龙靴图纸</t>
        </is>
      </c>
      <c r="P244" s="2" t="inlineStr">
        <is>
          <t>装备图纸</t>
        </is>
      </c>
      <c r="Q244" s="2" t="inlineStr">
        <is>
          <t>稀有/蓝</t>
        </is>
      </c>
      <c r="R244" s="5" t="n">
        <v>0.45</v>
      </c>
      <c r="S244" s="2" t="n">
        <v>1</v>
      </c>
      <c r="T244" s="2" t="n">
        <v>1</v>
      </c>
      <c r="U244" s="2" t="inlineStr">
        <is>
          <t>是</t>
        </is>
      </c>
      <c r="V244" s="2" t="inlineStr">
        <is>
          <t>{"chance":0.45,"choices":["blueprint_qinglongkui","blueprint_qinglongjia","blueprint_qinglongxue","blueprint_qinglongdao"]}</t>
        </is>
      </c>
      <c r="W244" s="3">
        <f>SUM(T242:T245)</f>
        <v>4</v>
      </c>
      <c r="X244" s="5">
        <f>R244*T244/W244</f>
        <v>0.1125</v>
      </c>
      <c r="Y244" s="6">
        <f>X244*S244</f>
        <v>0.1125</v>
      </c>
      <c r="Z244" s="2" t="inlineStr">
        <is>
          <t>个人任务</t>
        </is>
      </c>
      <c r="AA244" s="2" t="n"/>
      <c r="AB244" s="2" t="inlineStr">
        <is>
          <t>挑战者庄园</t>
        </is>
      </c>
      <c r="AC244" s="2" t="inlineStr">
        <is>
          <t>玩家进攻胜利（attacker），非撤退，返程结算发放</t>
        </is>
      </c>
      <c r="AD244" s="2" t="inlineStr">
        <is>
          <t>data/mission_templates.yaml:L1326:drop_table.blueprint_top_blue</t>
        </is>
      </c>
    </row>
    <row r="245">
      <c r="A245" s="2" t="n">
        <v>27</v>
      </c>
      <c r="B245" s="2" t="inlineStr">
        <is>
          <t>zhuolu_zhongyuan</t>
        </is>
      </c>
      <c r="C245" s="2" t="inlineStr">
        <is>
          <t>逐鹿中原</t>
        </is>
      </c>
      <c r="D245" s="2" t="inlineStr">
        <is>
          <t>高级</t>
        </is>
      </c>
      <c r="E245" s="2" t="inlineStr">
        <is>
          <t>task1</t>
        </is>
      </c>
      <c r="F245" s="2" t="inlineStr">
        <is>
          <t>否</t>
        </is>
      </c>
      <c r="G245" s="2" t="inlineStr">
        <is>
          <t>否</t>
        </is>
      </c>
      <c r="H245" s="2" t="n">
        <v>1</v>
      </c>
      <c r="I245" s="2" t="n">
        <v>1800</v>
      </c>
      <c r="J245" s="2" t="inlineStr">
        <is>
          <t>每日开放</t>
        </is>
      </c>
      <c r="K245" s="2" t="inlineStr">
        <is>
          <t>无</t>
        </is>
      </c>
      <c r="L245" s="2" t="inlineStr">
        <is>
          <t>随机池掉落</t>
        </is>
      </c>
      <c r="M245" s="2" t="inlineStr">
        <is>
          <t>blueprint_top_blue</t>
        </is>
      </c>
      <c r="N245" s="2" t="inlineStr">
        <is>
          <t>blueprint_qinglongdao</t>
        </is>
      </c>
      <c r="O245" s="2" t="inlineStr">
        <is>
          <t>青龙刀图纸</t>
        </is>
      </c>
      <c r="P245" s="2" t="inlineStr">
        <is>
          <t>装备图纸</t>
        </is>
      </c>
      <c r="Q245" s="2" t="inlineStr">
        <is>
          <t>稀有/蓝</t>
        </is>
      </c>
      <c r="R245" s="5" t="n">
        <v>0.45</v>
      </c>
      <c r="S245" s="2" t="n">
        <v>1</v>
      </c>
      <c r="T245" s="2" t="n">
        <v>1</v>
      </c>
      <c r="U245" s="2" t="inlineStr">
        <is>
          <t>是</t>
        </is>
      </c>
      <c r="V245" s="2" t="inlineStr">
        <is>
          <t>{"chance":0.45,"choices":["blueprint_qinglongkui","blueprint_qinglongjia","blueprint_qinglongxue","blueprint_qinglongdao"]}</t>
        </is>
      </c>
      <c r="W245" s="3">
        <f>SUM(T242:T245)</f>
        <v>4</v>
      </c>
      <c r="X245" s="5">
        <f>R245*T245/W245</f>
        <v>0.1125</v>
      </c>
      <c r="Y245" s="6">
        <f>X245*S245</f>
        <v>0.1125</v>
      </c>
      <c r="Z245" s="2" t="inlineStr">
        <is>
          <t>个人任务</t>
        </is>
      </c>
      <c r="AA245" s="2" t="n"/>
      <c r="AB245" s="2" t="inlineStr">
        <is>
          <t>挑战者庄园</t>
        </is>
      </c>
      <c r="AC245" s="2" t="inlineStr">
        <is>
          <t>玩家进攻胜利（attacker），非撤退，返程结算发放</t>
        </is>
      </c>
      <c r="AD245" s="2" t="inlineStr">
        <is>
          <t>data/mission_templates.yaml:L1326:drop_table.blueprint_top_blue</t>
        </is>
      </c>
    </row>
    <row r="246">
      <c r="A246" s="2" t="n">
        <v>27</v>
      </c>
      <c r="B246" s="2" t="inlineStr">
        <is>
          <t>zhuolu_zhongyuan</t>
        </is>
      </c>
      <c r="C246" s="2" t="inlineStr">
        <is>
          <t>逐鹿中原</t>
        </is>
      </c>
      <c r="D246" s="2" t="inlineStr">
        <is>
          <t>高级</t>
        </is>
      </c>
      <c r="E246" s="2" t="inlineStr">
        <is>
          <t>task1</t>
        </is>
      </c>
      <c r="F246" s="2" t="inlineStr">
        <is>
          <t>否</t>
        </is>
      </c>
      <c r="G246" s="2" t="inlineStr">
        <is>
          <t>否</t>
        </is>
      </c>
      <c r="H246" s="2" t="n">
        <v>1</v>
      </c>
      <c r="I246" s="2" t="n">
        <v>1800</v>
      </c>
      <c r="J246" s="2" t="inlineStr">
        <is>
          <t>每日开放</t>
        </is>
      </c>
      <c r="K246" s="2" t="inlineStr">
        <is>
          <t>无</t>
        </is>
      </c>
      <c r="L246" s="2" t="inlineStr">
        <is>
          <t>随机池掉落</t>
        </is>
      </c>
      <c r="M246" s="2" t="inlineStr">
        <is>
          <t>blueprint_top_purple</t>
        </is>
      </c>
      <c r="N246" s="2" t="inlineStr">
        <is>
          <t>blueprint_qilinkui</t>
        </is>
      </c>
      <c r="O246" s="2" t="inlineStr">
        <is>
          <t>麒麟盔图纸</t>
        </is>
      </c>
      <c r="P246" s="2" t="inlineStr">
        <is>
          <t>装备图纸</t>
        </is>
      </c>
      <c r="Q246" s="2" t="inlineStr">
        <is>
          <t>史诗/紫</t>
        </is>
      </c>
      <c r="R246" s="5" t="n">
        <v>0.25</v>
      </c>
      <c r="S246" s="2" t="n">
        <v>1</v>
      </c>
      <c r="T246" s="2" t="n">
        <v>1</v>
      </c>
      <c r="U246" s="2" t="inlineStr">
        <is>
          <t>是</t>
        </is>
      </c>
      <c r="V246" s="2" t="inlineStr">
        <is>
          <t>{"chance":0.25,"choices":["blueprint_qilinkui","blueprint_qilinjia","blueprint_qilinxue","blueprint_qilindao"]}</t>
        </is>
      </c>
      <c r="W246" s="3">
        <f>SUM(T246:T249)</f>
        <v>4</v>
      </c>
      <c r="X246" s="5">
        <f>R246*T246/W246</f>
        <v>0.0625</v>
      </c>
      <c r="Y246" s="6">
        <f>X246*S246</f>
        <v>0.0625</v>
      </c>
      <c r="Z246" s="2" t="inlineStr">
        <is>
          <t>个人任务</t>
        </is>
      </c>
      <c r="AA246" s="2" t="n"/>
      <c r="AB246" s="2" t="inlineStr">
        <is>
          <t>挑战者庄园</t>
        </is>
      </c>
      <c r="AC246" s="2" t="inlineStr">
        <is>
          <t>玩家进攻胜利（attacker），非撤退，返程结算发放</t>
        </is>
      </c>
      <c r="AD246" s="2" t="inlineStr">
        <is>
          <t>data/mission_templates.yaml:L1326:drop_table.blueprint_top_purple</t>
        </is>
      </c>
    </row>
    <row r="247">
      <c r="A247" s="2" t="n">
        <v>27</v>
      </c>
      <c r="B247" s="2" t="inlineStr">
        <is>
          <t>zhuolu_zhongyuan</t>
        </is>
      </c>
      <c r="C247" s="2" t="inlineStr">
        <is>
          <t>逐鹿中原</t>
        </is>
      </c>
      <c r="D247" s="2" t="inlineStr">
        <is>
          <t>高级</t>
        </is>
      </c>
      <c r="E247" s="2" t="inlineStr">
        <is>
          <t>task1</t>
        </is>
      </c>
      <c r="F247" s="2" t="inlineStr">
        <is>
          <t>否</t>
        </is>
      </c>
      <c r="G247" s="2" t="inlineStr">
        <is>
          <t>否</t>
        </is>
      </c>
      <c r="H247" s="2" t="n">
        <v>1</v>
      </c>
      <c r="I247" s="2" t="n">
        <v>1800</v>
      </c>
      <c r="J247" s="2" t="inlineStr">
        <is>
          <t>每日开放</t>
        </is>
      </c>
      <c r="K247" s="2" t="inlineStr">
        <is>
          <t>无</t>
        </is>
      </c>
      <c r="L247" s="2" t="inlineStr">
        <is>
          <t>随机池掉落</t>
        </is>
      </c>
      <c r="M247" s="2" t="inlineStr">
        <is>
          <t>blueprint_top_purple</t>
        </is>
      </c>
      <c r="N247" s="2" t="inlineStr">
        <is>
          <t>blueprint_qilinjia</t>
        </is>
      </c>
      <c r="O247" s="2" t="inlineStr">
        <is>
          <t>麒麟甲图纸</t>
        </is>
      </c>
      <c r="P247" s="2" t="inlineStr">
        <is>
          <t>装备图纸</t>
        </is>
      </c>
      <c r="Q247" s="2" t="inlineStr">
        <is>
          <t>史诗/紫</t>
        </is>
      </c>
      <c r="R247" s="5" t="n">
        <v>0.25</v>
      </c>
      <c r="S247" s="2" t="n">
        <v>1</v>
      </c>
      <c r="T247" s="2" t="n">
        <v>1</v>
      </c>
      <c r="U247" s="2" t="inlineStr">
        <is>
          <t>是</t>
        </is>
      </c>
      <c r="V247" s="2" t="inlineStr">
        <is>
          <t>{"chance":0.25,"choices":["blueprint_qilinkui","blueprint_qilinjia","blueprint_qilinxue","blueprint_qilindao"]}</t>
        </is>
      </c>
      <c r="W247" s="3">
        <f>SUM(T246:T249)</f>
        <v>4</v>
      </c>
      <c r="X247" s="5">
        <f>R247*T247/W247</f>
        <v>0.0625</v>
      </c>
      <c r="Y247" s="6">
        <f>X247*S247</f>
        <v>0.0625</v>
      </c>
      <c r="Z247" s="2" t="inlineStr">
        <is>
          <t>个人任务</t>
        </is>
      </c>
      <c r="AA247" s="2" t="n"/>
      <c r="AB247" s="2" t="inlineStr">
        <is>
          <t>挑战者庄园</t>
        </is>
      </c>
      <c r="AC247" s="2" t="inlineStr">
        <is>
          <t>玩家进攻胜利（attacker），非撤退，返程结算发放</t>
        </is>
      </c>
      <c r="AD247" s="2" t="inlineStr">
        <is>
          <t>data/mission_templates.yaml:L1326:drop_table.blueprint_top_purple</t>
        </is>
      </c>
    </row>
    <row r="248">
      <c r="A248" s="2" t="n">
        <v>27</v>
      </c>
      <c r="B248" s="2" t="inlineStr">
        <is>
          <t>zhuolu_zhongyuan</t>
        </is>
      </c>
      <c r="C248" s="2" t="inlineStr">
        <is>
          <t>逐鹿中原</t>
        </is>
      </c>
      <c r="D248" s="2" t="inlineStr">
        <is>
          <t>高级</t>
        </is>
      </c>
      <c r="E248" s="2" t="inlineStr">
        <is>
          <t>task1</t>
        </is>
      </c>
      <c r="F248" s="2" t="inlineStr">
        <is>
          <t>否</t>
        </is>
      </c>
      <c r="G248" s="2" t="inlineStr">
        <is>
          <t>否</t>
        </is>
      </c>
      <c r="H248" s="2" t="n">
        <v>1</v>
      </c>
      <c r="I248" s="2" t="n">
        <v>1800</v>
      </c>
      <c r="J248" s="2" t="inlineStr">
        <is>
          <t>每日开放</t>
        </is>
      </c>
      <c r="K248" s="2" t="inlineStr">
        <is>
          <t>无</t>
        </is>
      </c>
      <c r="L248" s="2" t="inlineStr">
        <is>
          <t>随机池掉落</t>
        </is>
      </c>
      <c r="M248" s="2" t="inlineStr">
        <is>
          <t>blueprint_top_purple</t>
        </is>
      </c>
      <c r="N248" s="2" t="inlineStr">
        <is>
          <t>blueprint_qilinxue</t>
        </is>
      </c>
      <c r="O248" s="2" t="inlineStr">
        <is>
          <t>麒麟靴图纸</t>
        </is>
      </c>
      <c r="P248" s="2" t="inlineStr">
        <is>
          <t>装备图纸</t>
        </is>
      </c>
      <c r="Q248" s="2" t="inlineStr">
        <is>
          <t>史诗/紫</t>
        </is>
      </c>
      <c r="R248" s="5" t="n">
        <v>0.25</v>
      </c>
      <c r="S248" s="2" t="n">
        <v>1</v>
      </c>
      <c r="T248" s="2" t="n">
        <v>1</v>
      </c>
      <c r="U248" s="2" t="inlineStr">
        <is>
          <t>是</t>
        </is>
      </c>
      <c r="V248" s="2" t="inlineStr">
        <is>
          <t>{"chance":0.25,"choices":["blueprint_qilinkui","blueprint_qilinjia","blueprint_qilinxue","blueprint_qilindao"]}</t>
        </is>
      </c>
      <c r="W248" s="3">
        <f>SUM(T246:T249)</f>
        <v>4</v>
      </c>
      <c r="X248" s="5">
        <f>R248*T248/W248</f>
        <v>0.0625</v>
      </c>
      <c r="Y248" s="6">
        <f>X248*S248</f>
        <v>0.0625</v>
      </c>
      <c r="Z248" s="2" t="inlineStr">
        <is>
          <t>个人任务</t>
        </is>
      </c>
      <c r="AA248" s="2" t="n"/>
      <c r="AB248" s="2" t="inlineStr">
        <is>
          <t>挑战者庄园</t>
        </is>
      </c>
      <c r="AC248" s="2" t="inlineStr">
        <is>
          <t>玩家进攻胜利（attacker），非撤退，返程结算发放</t>
        </is>
      </c>
      <c r="AD248" s="2" t="inlineStr">
        <is>
          <t>data/mission_templates.yaml:L1326:drop_table.blueprint_top_purple</t>
        </is>
      </c>
    </row>
    <row r="249">
      <c r="A249" s="2" t="n">
        <v>27</v>
      </c>
      <c r="B249" s="2" t="inlineStr">
        <is>
          <t>zhuolu_zhongyuan</t>
        </is>
      </c>
      <c r="C249" s="2" t="inlineStr">
        <is>
          <t>逐鹿中原</t>
        </is>
      </c>
      <c r="D249" s="2" t="inlineStr">
        <is>
          <t>高级</t>
        </is>
      </c>
      <c r="E249" s="2" t="inlineStr">
        <is>
          <t>task1</t>
        </is>
      </c>
      <c r="F249" s="2" t="inlineStr">
        <is>
          <t>否</t>
        </is>
      </c>
      <c r="G249" s="2" t="inlineStr">
        <is>
          <t>否</t>
        </is>
      </c>
      <c r="H249" s="2" t="n">
        <v>1</v>
      </c>
      <c r="I249" s="2" t="n">
        <v>1800</v>
      </c>
      <c r="J249" s="2" t="inlineStr">
        <is>
          <t>每日开放</t>
        </is>
      </c>
      <c r="K249" s="2" t="inlineStr">
        <is>
          <t>无</t>
        </is>
      </c>
      <c r="L249" s="2" t="inlineStr">
        <is>
          <t>随机池掉落</t>
        </is>
      </c>
      <c r="M249" s="2" t="inlineStr">
        <is>
          <t>blueprint_top_purple</t>
        </is>
      </c>
      <c r="N249" s="2" t="inlineStr">
        <is>
          <t>blueprint_qilindao</t>
        </is>
      </c>
      <c r="O249" s="2" t="inlineStr">
        <is>
          <t>麒麟刀图纸</t>
        </is>
      </c>
      <c r="P249" s="2" t="inlineStr">
        <is>
          <t>装备图纸</t>
        </is>
      </c>
      <c r="Q249" s="2" t="inlineStr">
        <is>
          <t>史诗/紫</t>
        </is>
      </c>
      <c r="R249" s="5" t="n">
        <v>0.25</v>
      </c>
      <c r="S249" s="2" t="n">
        <v>1</v>
      </c>
      <c r="T249" s="2" t="n">
        <v>1</v>
      </c>
      <c r="U249" s="2" t="inlineStr">
        <is>
          <t>是</t>
        </is>
      </c>
      <c r="V249" s="2" t="inlineStr">
        <is>
          <t>{"chance":0.25,"choices":["blueprint_qilinkui","blueprint_qilinjia","blueprint_qilinxue","blueprint_qilindao"]}</t>
        </is>
      </c>
      <c r="W249" s="3">
        <f>SUM(T246:T249)</f>
        <v>4</v>
      </c>
      <c r="X249" s="5">
        <f>R249*T249/W249</f>
        <v>0.0625</v>
      </c>
      <c r="Y249" s="6">
        <f>X249*S249</f>
        <v>0.0625</v>
      </c>
      <c r="Z249" s="2" t="inlineStr">
        <is>
          <t>个人任务</t>
        </is>
      </c>
      <c r="AA249" s="2" t="n"/>
      <c r="AB249" s="2" t="inlineStr">
        <is>
          <t>挑战者庄园</t>
        </is>
      </c>
      <c r="AC249" s="2" t="inlineStr">
        <is>
          <t>玩家进攻胜利（attacker），非撤退，返程结算发放</t>
        </is>
      </c>
      <c r="AD249" s="2" t="inlineStr">
        <is>
          <t>data/mission_templates.yaml:L1326:drop_table.blueprint_top_purple</t>
        </is>
      </c>
    </row>
    <row r="250">
      <c r="A250" s="2" t="n">
        <v>27</v>
      </c>
      <c r="B250" s="2" t="inlineStr">
        <is>
          <t>zhuolu_zhongyuan</t>
        </is>
      </c>
      <c r="C250" s="2" t="inlineStr">
        <is>
          <t>逐鹿中原</t>
        </is>
      </c>
      <c r="D250" s="2" t="inlineStr">
        <is>
          <t>高级</t>
        </is>
      </c>
      <c r="E250" s="2" t="inlineStr">
        <is>
          <t>task1</t>
        </is>
      </c>
      <c r="F250" s="2" t="inlineStr">
        <is>
          <t>否</t>
        </is>
      </c>
      <c r="G250" s="2" t="inlineStr">
        <is>
          <t>否</t>
        </is>
      </c>
      <c r="H250" s="2" t="n">
        <v>1</v>
      </c>
      <c r="I250" s="2" t="n">
        <v>1800</v>
      </c>
      <c r="J250" s="2" t="inlineStr">
        <is>
          <t>每日开放</t>
        </is>
      </c>
      <c r="K250" s="2" t="inlineStr">
        <is>
          <t>无</t>
        </is>
      </c>
      <c r="L250" s="2" t="inlineStr">
        <is>
          <t>随机池掉落</t>
        </is>
      </c>
      <c r="M250" s="2" t="inlineStr">
        <is>
          <t>blueprint_top_orange</t>
        </is>
      </c>
      <c r="N250" s="2" t="inlineStr">
        <is>
          <t>blueprint_feiyuan</t>
        </is>
      </c>
      <c r="O250" s="2" t="inlineStr">
        <is>
          <t>飞鸢图纸</t>
        </is>
      </c>
      <c r="P250" s="2" t="inlineStr">
        <is>
          <t>装备图纸</t>
        </is>
      </c>
      <c r="Q250" s="2" t="inlineStr">
        <is>
          <t>传说/橙</t>
        </is>
      </c>
      <c r="R250" s="5" t="n">
        <v>0.03</v>
      </c>
      <c r="S250" s="2" t="n">
        <v>1</v>
      </c>
      <c r="T250" s="2" t="n">
        <v>1</v>
      </c>
      <c r="U250" s="2" t="inlineStr">
        <is>
          <t>是</t>
        </is>
      </c>
      <c r="V250" s="2" t="inlineStr">
        <is>
          <t>{"chance":0.03,"choices":["blueprint_feiyuan","blueprint_chixiaojifeng","blueprint_mojiajiguanren"]}</t>
        </is>
      </c>
      <c r="W250" s="3">
        <f>SUM(T250:T252)</f>
        <v>3</v>
      </c>
      <c r="X250" s="5">
        <f>R250*T250/W250</f>
        <v>0.01</v>
      </c>
      <c r="Y250" s="6">
        <f>X250*S250</f>
        <v>0.01</v>
      </c>
      <c r="Z250" s="2" t="inlineStr">
        <is>
          <t>个人任务</t>
        </is>
      </c>
      <c r="AA250" s="2" t="n"/>
      <c r="AB250" s="2" t="inlineStr">
        <is>
          <t>挑战者庄园</t>
        </is>
      </c>
      <c r="AC250" s="2" t="inlineStr">
        <is>
          <t>玩家进攻胜利（attacker），非撤退，返程结算发放</t>
        </is>
      </c>
      <c r="AD250" s="2" t="inlineStr">
        <is>
          <t>data/mission_templates.yaml:L1326:drop_table.blueprint_top_orange</t>
        </is>
      </c>
    </row>
    <row r="251">
      <c r="A251" s="2" t="n">
        <v>27</v>
      </c>
      <c r="B251" s="2" t="inlineStr">
        <is>
          <t>zhuolu_zhongyuan</t>
        </is>
      </c>
      <c r="C251" s="2" t="inlineStr">
        <is>
          <t>逐鹿中原</t>
        </is>
      </c>
      <c r="D251" s="2" t="inlineStr">
        <is>
          <t>高级</t>
        </is>
      </c>
      <c r="E251" s="2" t="inlineStr">
        <is>
          <t>task1</t>
        </is>
      </c>
      <c r="F251" s="2" t="inlineStr">
        <is>
          <t>否</t>
        </is>
      </c>
      <c r="G251" s="2" t="inlineStr">
        <is>
          <t>否</t>
        </is>
      </c>
      <c r="H251" s="2" t="n">
        <v>1</v>
      </c>
      <c r="I251" s="2" t="n">
        <v>1800</v>
      </c>
      <c r="J251" s="2" t="inlineStr">
        <is>
          <t>每日开放</t>
        </is>
      </c>
      <c r="K251" s="2" t="inlineStr">
        <is>
          <t>无</t>
        </is>
      </c>
      <c r="L251" s="2" t="inlineStr">
        <is>
          <t>随机池掉落</t>
        </is>
      </c>
      <c r="M251" s="2" t="inlineStr">
        <is>
          <t>blueprint_top_orange</t>
        </is>
      </c>
      <c r="N251" s="2" t="inlineStr">
        <is>
          <t>blueprint_chixiaojifeng</t>
        </is>
      </c>
      <c r="O251" s="2" t="inlineStr">
        <is>
          <t>赤霄机凤图纸</t>
        </is>
      </c>
      <c r="P251" s="2" t="inlineStr">
        <is>
          <t>装备图纸</t>
        </is>
      </c>
      <c r="Q251" s="2" t="inlineStr">
        <is>
          <t>传说/橙</t>
        </is>
      </c>
      <c r="R251" s="5" t="n">
        <v>0.03</v>
      </c>
      <c r="S251" s="2" t="n">
        <v>1</v>
      </c>
      <c r="T251" s="2" t="n">
        <v>1</v>
      </c>
      <c r="U251" s="2" t="inlineStr">
        <is>
          <t>是</t>
        </is>
      </c>
      <c r="V251" s="2" t="inlineStr">
        <is>
          <t>{"chance":0.03,"choices":["blueprint_feiyuan","blueprint_chixiaojifeng","blueprint_mojiajiguanren"]}</t>
        </is>
      </c>
      <c r="W251" s="3">
        <f>SUM(T250:T252)</f>
        <v>3</v>
      </c>
      <c r="X251" s="5">
        <f>R251*T251/W251</f>
        <v>0.01</v>
      </c>
      <c r="Y251" s="6">
        <f>X251*S251</f>
        <v>0.01</v>
      </c>
      <c r="Z251" s="2" t="inlineStr">
        <is>
          <t>个人任务</t>
        </is>
      </c>
      <c r="AA251" s="2" t="n"/>
      <c r="AB251" s="2" t="inlineStr">
        <is>
          <t>挑战者庄园</t>
        </is>
      </c>
      <c r="AC251" s="2" t="inlineStr">
        <is>
          <t>玩家进攻胜利（attacker），非撤退，返程结算发放</t>
        </is>
      </c>
      <c r="AD251" s="2" t="inlineStr">
        <is>
          <t>data/mission_templates.yaml:L1326:drop_table.blueprint_top_orange</t>
        </is>
      </c>
    </row>
    <row r="252">
      <c r="A252" s="2" t="n">
        <v>27</v>
      </c>
      <c r="B252" s="2" t="inlineStr">
        <is>
          <t>zhuolu_zhongyuan</t>
        </is>
      </c>
      <c r="C252" s="2" t="inlineStr">
        <is>
          <t>逐鹿中原</t>
        </is>
      </c>
      <c r="D252" s="2" t="inlineStr">
        <is>
          <t>高级</t>
        </is>
      </c>
      <c r="E252" s="2" t="inlineStr">
        <is>
          <t>task1</t>
        </is>
      </c>
      <c r="F252" s="2" t="inlineStr">
        <is>
          <t>否</t>
        </is>
      </c>
      <c r="G252" s="2" t="inlineStr">
        <is>
          <t>否</t>
        </is>
      </c>
      <c r="H252" s="2" t="n">
        <v>1</v>
      </c>
      <c r="I252" s="2" t="n">
        <v>1800</v>
      </c>
      <c r="J252" s="2" t="inlineStr">
        <is>
          <t>每日开放</t>
        </is>
      </c>
      <c r="K252" s="2" t="inlineStr">
        <is>
          <t>无</t>
        </is>
      </c>
      <c r="L252" s="2" t="inlineStr">
        <is>
          <t>随机池掉落</t>
        </is>
      </c>
      <c r="M252" s="2" t="inlineStr">
        <is>
          <t>blueprint_top_orange</t>
        </is>
      </c>
      <c r="N252" s="2" t="inlineStr">
        <is>
          <t>blueprint_mojiajiguanren</t>
        </is>
      </c>
      <c r="O252" s="2" t="inlineStr">
        <is>
          <t>墨家机关人图纸</t>
        </is>
      </c>
      <c r="P252" s="2" t="inlineStr">
        <is>
          <t>装备图纸</t>
        </is>
      </c>
      <c r="Q252" s="2" t="inlineStr">
        <is>
          <t>传说/橙</t>
        </is>
      </c>
      <c r="R252" s="5" t="n">
        <v>0.03</v>
      </c>
      <c r="S252" s="2" t="n">
        <v>1</v>
      </c>
      <c r="T252" s="2" t="n">
        <v>1</v>
      </c>
      <c r="U252" s="2" t="inlineStr">
        <is>
          <t>是</t>
        </is>
      </c>
      <c r="V252" s="2" t="inlineStr">
        <is>
          <t>{"chance":0.03,"choices":["blueprint_feiyuan","blueprint_chixiaojifeng","blueprint_mojiajiguanren"]}</t>
        </is>
      </c>
      <c r="W252" s="3">
        <f>SUM(T250:T252)</f>
        <v>3</v>
      </c>
      <c r="X252" s="5">
        <f>R252*T252/W252</f>
        <v>0.01</v>
      </c>
      <c r="Y252" s="6">
        <f>X252*S252</f>
        <v>0.01</v>
      </c>
      <c r="Z252" s="2" t="inlineStr">
        <is>
          <t>个人任务</t>
        </is>
      </c>
      <c r="AA252" s="2" t="n"/>
      <c r="AB252" s="2" t="inlineStr">
        <is>
          <t>挑战者庄园</t>
        </is>
      </c>
      <c r="AC252" s="2" t="inlineStr">
        <is>
          <t>玩家进攻胜利（attacker），非撤退，返程结算发放</t>
        </is>
      </c>
      <c r="AD252" s="2" t="inlineStr">
        <is>
          <t>data/mission_templates.yaml:L1326:drop_table.blueprint_top_orange</t>
        </is>
      </c>
    </row>
    <row r="253">
      <c r="A253" s="2" t="n">
        <v>28</v>
      </c>
      <c r="B253" s="2" t="inlineStr">
        <is>
          <t>guandu_zhizhan</t>
        </is>
      </c>
      <c r="C253" s="2" t="inlineStr">
        <is>
          <t>官渡之战</t>
        </is>
      </c>
      <c r="D253" s="2" t="inlineStr">
        <is>
          <t>高级</t>
        </is>
      </c>
      <c r="E253" s="2" t="inlineStr">
        <is>
          <t>task1</t>
        </is>
      </c>
      <c r="F253" s="2" t="inlineStr">
        <is>
          <t>否</t>
        </is>
      </c>
      <c r="G253" s="2" t="inlineStr">
        <is>
          <t>否</t>
        </is>
      </c>
      <c r="H253" s="2" t="n">
        <v>1</v>
      </c>
      <c r="I253" s="2" t="n">
        <v>2400</v>
      </c>
      <c r="J253" s="2" t="inlineStr">
        <is>
          <t>每日开放</t>
        </is>
      </c>
      <c r="K253" s="2" t="inlineStr">
        <is>
          <t>无</t>
        </is>
      </c>
      <c r="L253" s="2" t="inlineStr">
        <is>
          <t>固定掉落</t>
        </is>
      </c>
      <c r="M253" s="2" t="inlineStr">
        <is>
          <t>silver</t>
        </is>
      </c>
      <c r="N253" s="2" t="inlineStr">
        <is>
          <t>silver</t>
        </is>
      </c>
      <c r="O253" s="2" t="inlineStr">
        <is>
          <t>银两</t>
        </is>
      </c>
      <c r="P253" s="2" t="inlineStr">
        <is>
          <t>资源</t>
        </is>
      </c>
      <c r="Q253" s="2" t="inlineStr">
        <is>
          <t>资源</t>
        </is>
      </c>
      <c r="R253" s="5" t="n">
        <v>1</v>
      </c>
      <c r="S253" s="2" t="n">
        <v>120000</v>
      </c>
      <c r="T253" s="2" t="n"/>
      <c r="U253" s="2" t="inlineStr">
        <is>
          <t>否</t>
        </is>
      </c>
      <c r="V253" s="2" t="inlineStr">
        <is>
          <t>120000</t>
        </is>
      </c>
      <c r="W253" s="2" t="n"/>
      <c r="X253" s="5">
        <f>R253</f>
        <v>1</v>
      </c>
      <c r="Y253" s="6">
        <f>X253*S253</f>
        <v>120000</v>
      </c>
      <c r="Z253" s="2" t="inlineStr">
        <is>
          <t>个人任务</t>
        </is>
      </c>
      <c r="AA253" s="2" t="n"/>
      <c r="AB253" s="2" t="inlineStr">
        <is>
          <t>挑战者庄园</t>
        </is>
      </c>
      <c r="AC253" s="2" t="inlineStr">
        <is>
          <t>玩家进攻胜利（attacker），非撤退，返程结算发放</t>
        </is>
      </c>
      <c r="AD253" s="2" t="inlineStr">
        <is>
          <t>data/mission_templates.yaml:L1391:drop_table.silver</t>
        </is>
      </c>
    </row>
    <row r="254">
      <c r="A254" s="2" t="n">
        <v>28</v>
      </c>
      <c r="B254" s="2" t="inlineStr">
        <is>
          <t>guandu_zhizhan</t>
        </is>
      </c>
      <c r="C254" s="2" t="inlineStr">
        <is>
          <t>官渡之战</t>
        </is>
      </c>
      <c r="D254" s="2" t="inlineStr">
        <is>
          <t>高级</t>
        </is>
      </c>
      <c r="E254" s="2" t="inlineStr">
        <is>
          <t>task1</t>
        </is>
      </c>
      <c r="F254" s="2" t="inlineStr">
        <is>
          <t>否</t>
        </is>
      </c>
      <c r="G254" s="2" t="inlineStr">
        <is>
          <t>否</t>
        </is>
      </c>
      <c r="H254" s="2" t="n">
        <v>1</v>
      </c>
      <c r="I254" s="2" t="n">
        <v>2400</v>
      </c>
      <c r="J254" s="2" t="inlineStr">
        <is>
          <t>每日开放</t>
        </is>
      </c>
      <c r="K254" s="2" t="inlineStr">
        <is>
          <t>无</t>
        </is>
      </c>
      <c r="L254" s="2" t="inlineStr">
        <is>
          <t>概率掉落</t>
        </is>
      </c>
      <c r="M254" s="2" t="inlineStr">
        <is>
          <t>experience_watermelon</t>
        </is>
      </c>
      <c r="N254" s="2" t="inlineStr">
        <is>
          <t>experience_watermelon</t>
        </is>
      </c>
      <c r="O254" s="2" t="inlineStr">
        <is>
          <t>经验西瓜</t>
        </is>
      </c>
      <c r="P254" s="2" t="inlineStr">
        <is>
          <t>经验道具</t>
        </is>
      </c>
      <c r="Q254" s="2" t="inlineStr">
        <is>
          <t>史诗/紫</t>
        </is>
      </c>
      <c r="R254" s="5" t="n">
        <v>0.75</v>
      </c>
      <c r="S254" s="2" t="n">
        <v>5</v>
      </c>
      <c r="T254" s="2" t="n"/>
      <c r="U254" s="2" t="inlineStr">
        <is>
          <t>否</t>
        </is>
      </c>
      <c r="V254" s="2" t="inlineStr">
        <is>
          <t>{"chance":0.75,"count":5}</t>
        </is>
      </c>
      <c r="W254" s="2" t="n"/>
      <c r="X254" s="5">
        <f>R254</f>
        <v>0.75</v>
      </c>
      <c r="Y254" s="6">
        <f>X254*S254</f>
        <v>3.75</v>
      </c>
      <c r="Z254" s="2" t="inlineStr">
        <is>
          <t>个人任务</t>
        </is>
      </c>
      <c r="AA254" s="2" t="n"/>
      <c r="AB254" s="2" t="inlineStr">
        <is>
          <t>挑战者庄园</t>
        </is>
      </c>
      <c r="AC254" s="2" t="inlineStr">
        <is>
          <t>玩家进攻胜利（attacker），非撤退，返程结算发放</t>
        </is>
      </c>
      <c r="AD254" s="2" t="inlineStr">
        <is>
          <t>data/mission_templates.yaml:L1391:drop_table.experience_watermelon</t>
        </is>
      </c>
    </row>
    <row r="255">
      <c r="A255" s="2" t="n">
        <v>28</v>
      </c>
      <c r="B255" s="2" t="inlineStr">
        <is>
          <t>guandu_zhizhan</t>
        </is>
      </c>
      <c r="C255" s="2" t="inlineStr">
        <is>
          <t>官渡之战</t>
        </is>
      </c>
      <c r="D255" s="2" t="inlineStr">
        <is>
          <t>高级</t>
        </is>
      </c>
      <c r="E255" s="2" t="inlineStr">
        <is>
          <t>task1</t>
        </is>
      </c>
      <c r="F255" s="2" t="inlineStr">
        <is>
          <t>否</t>
        </is>
      </c>
      <c r="G255" s="2" t="inlineStr">
        <is>
          <t>否</t>
        </is>
      </c>
      <c r="H255" s="2" t="n">
        <v>1</v>
      </c>
      <c r="I255" s="2" t="n">
        <v>2400</v>
      </c>
      <c r="J255" s="2" t="inlineStr">
        <is>
          <t>每日开放</t>
        </is>
      </c>
      <c r="K255" s="2" t="inlineStr">
        <is>
          <t>无</t>
        </is>
      </c>
      <c r="L255" s="2" t="inlineStr">
        <is>
          <t>概率掉落</t>
        </is>
      </c>
      <c r="M255" s="2" t="inlineStr">
        <is>
          <t>equip_taixudiguan</t>
        </is>
      </c>
      <c r="N255" s="2" t="inlineStr">
        <is>
          <t>equip_taixudiguan</t>
        </is>
      </c>
      <c r="O255" s="2" t="inlineStr">
        <is>
          <t>太虚帝冠</t>
        </is>
      </c>
      <c r="P255" s="2" t="inlineStr">
        <is>
          <t>头盔</t>
        </is>
      </c>
      <c r="Q255" s="2" t="inlineStr">
        <is>
          <t>传说/橙</t>
        </is>
      </c>
      <c r="R255" s="5" t="n">
        <v>0.012</v>
      </c>
      <c r="S255" s="2" t="n">
        <v>1</v>
      </c>
      <c r="T255" s="2" t="n"/>
      <c r="U255" s="2" t="inlineStr">
        <is>
          <t>否</t>
        </is>
      </c>
      <c r="V255" s="2" t="inlineStr">
        <is>
          <t>0.012</t>
        </is>
      </c>
      <c r="W255" s="2" t="n"/>
      <c r="X255" s="5">
        <f>R255</f>
        <v>0.012</v>
      </c>
      <c r="Y255" s="6">
        <f>X255*S255</f>
        <v>0.012</v>
      </c>
      <c r="Z255" s="2" t="inlineStr">
        <is>
          <t>个人任务</t>
        </is>
      </c>
      <c r="AA255" s="2" t="n"/>
      <c r="AB255" s="2" t="inlineStr">
        <is>
          <t>挑战者庄园</t>
        </is>
      </c>
      <c r="AC255" s="2" t="inlineStr">
        <is>
          <t>玩家进攻胜利（attacker），非撤退，返程结算发放</t>
        </is>
      </c>
      <c r="AD255" s="2" t="inlineStr">
        <is>
          <t>data/mission_templates.yaml:L1391:drop_table.equip_taixudiguan</t>
        </is>
      </c>
    </row>
    <row r="256">
      <c r="A256" s="2" t="n">
        <v>28</v>
      </c>
      <c r="B256" s="2" t="inlineStr">
        <is>
          <t>guandu_zhizhan</t>
        </is>
      </c>
      <c r="C256" s="2" t="inlineStr">
        <is>
          <t>官渡之战</t>
        </is>
      </c>
      <c r="D256" s="2" t="inlineStr">
        <is>
          <t>高级</t>
        </is>
      </c>
      <c r="E256" s="2" t="inlineStr">
        <is>
          <t>task1</t>
        </is>
      </c>
      <c r="F256" s="2" t="inlineStr">
        <is>
          <t>否</t>
        </is>
      </c>
      <c r="G256" s="2" t="inlineStr">
        <is>
          <t>否</t>
        </is>
      </c>
      <c r="H256" s="2" t="n">
        <v>1</v>
      </c>
      <c r="I256" s="2" t="n">
        <v>2400</v>
      </c>
      <c r="J256" s="2" t="inlineStr">
        <is>
          <t>每日开放</t>
        </is>
      </c>
      <c r="K256" s="2" t="inlineStr">
        <is>
          <t>无</t>
        </is>
      </c>
      <c r="L256" s="2" t="inlineStr">
        <is>
          <t>概率掉落</t>
        </is>
      </c>
      <c r="M256" s="2" t="inlineStr">
        <is>
          <t>equip_hundunlongpao</t>
        </is>
      </c>
      <c r="N256" s="2" t="inlineStr">
        <is>
          <t>equip_hundunlongpao</t>
        </is>
      </c>
      <c r="O256" s="2" t="inlineStr">
        <is>
          <t>混沌龙袍</t>
        </is>
      </c>
      <c r="P256" s="2" t="inlineStr">
        <is>
          <t>护甲</t>
        </is>
      </c>
      <c r="Q256" s="2" t="inlineStr">
        <is>
          <t>传说/橙</t>
        </is>
      </c>
      <c r="R256" s="5" t="n">
        <v>0.012</v>
      </c>
      <c r="S256" s="2" t="n">
        <v>1</v>
      </c>
      <c r="T256" s="2" t="n"/>
      <c r="U256" s="2" t="inlineStr">
        <is>
          <t>否</t>
        </is>
      </c>
      <c r="V256" s="2" t="inlineStr">
        <is>
          <t>0.012</t>
        </is>
      </c>
      <c r="W256" s="2" t="n"/>
      <c r="X256" s="5">
        <f>R256</f>
        <v>0.012</v>
      </c>
      <c r="Y256" s="6">
        <f>X256*S256</f>
        <v>0.012</v>
      </c>
      <c r="Z256" s="2" t="inlineStr">
        <is>
          <t>个人任务</t>
        </is>
      </c>
      <c r="AA256" s="2" t="n"/>
      <c r="AB256" s="2" t="inlineStr">
        <is>
          <t>挑战者庄园</t>
        </is>
      </c>
      <c r="AC256" s="2" t="inlineStr">
        <is>
          <t>玩家进攻胜利（attacker），非撤退，返程结算发放</t>
        </is>
      </c>
      <c r="AD256" s="2" t="inlineStr">
        <is>
          <t>data/mission_templates.yaml:L1391:drop_table.equip_hundunlongpao</t>
        </is>
      </c>
    </row>
    <row r="257">
      <c r="A257" s="2" t="n">
        <v>28</v>
      </c>
      <c r="B257" s="2" t="inlineStr">
        <is>
          <t>guandu_zhizhan</t>
        </is>
      </c>
      <c r="C257" s="2" t="inlineStr">
        <is>
          <t>官渡之战</t>
        </is>
      </c>
      <c r="D257" s="2" t="inlineStr">
        <is>
          <t>高级</t>
        </is>
      </c>
      <c r="E257" s="2" t="inlineStr">
        <is>
          <t>task1</t>
        </is>
      </c>
      <c r="F257" s="2" t="inlineStr">
        <is>
          <t>否</t>
        </is>
      </c>
      <c r="G257" s="2" t="inlineStr">
        <is>
          <t>否</t>
        </is>
      </c>
      <c r="H257" s="2" t="n">
        <v>1</v>
      </c>
      <c r="I257" s="2" t="n">
        <v>2400</v>
      </c>
      <c r="J257" s="2" t="inlineStr">
        <is>
          <t>每日开放</t>
        </is>
      </c>
      <c r="K257" s="2" t="inlineStr">
        <is>
          <t>无</t>
        </is>
      </c>
      <c r="L257" s="2" t="inlineStr">
        <is>
          <t>概率掉落</t>
        </is>
      </c>
      <c r="M257" s="2" t="inlineStr">
        <is>
          <t>equip_changshengjian</t>
        </is>
      </c>
      <c r="N257" s="2" t="inlineStr">
        <is>
          <t>equip_changshengjian</t>
        </is>
      </c>
      <c r="O257" s="2" t="inlineStr">
        <is>
          <t>长生剑</t>
        </is>
      </c>
      <c r="P257" s="2" t="inlineStr">
        <is>
          <t>武器</t>
        </is>
      </c>
      <c r="Q257" s="2" t="inlineStr">
        <is>
          <t>传说/橙</t>
        </is>
      </c>
      <c r="R257" s="5" t="n">
        <v>0.009599999999999999</v>
      </c>
      <c r="S257" s="2" t="n">
        <v>1</v>
      </c>
      <c r="T257" s="2" t="n"/>
      <c r="U257" s="2" t="inlineStr">
        <is>
          <t>否</t>
        </is>
      </c>
      <c r="V257" s="2" t="inlineStr">
        <is>
          <t>0.0096</t>
        </is>
      </c>
      <c r="W257" s="2" t="n"/>
      <c r="X257" s="5">
        <f>R257</f>
        <v>0.0096</v>
      </c>
      <c r="Y257" s="6">
        <f>X257*S257</f>
        <v>0.0096</v>
      </c>
      <c r="Z257" s="2" t="inlineStr">
        <is>
          <t>个人任务</t>
        </is>
      </c>
      <c r="AA257" s="2" t="n"/>
      <c r="AB257" s="2" t="inlineStr">
        <is>
          <t>挑战者庄园</t>
        </is>
      </c>
      <c r="AC257" s="2" t="inlineStr">
        <is>
          <t>玩家进攻胜利（attacker），非撤退，返程结算发放</t>
        </is>
      </c>
      <c r="AD257" s="2" t="inlineStr">
        <is>
          <t>data/mission_templates.yaml:L1391:drop_table.equip_changshengjian</t>
        </is>
      </c>
    </row>
    <row r="258">
      <c r="A258" s="2" t="n">
        <v>28</v>
      </c>
      <c r="B258" s="2" t="inlineStr">
        <is>
          <t>guandu_zhizhan</t>
        </is>
      </c>
      <c r="C258" s="2" t="inlineStr">
        <is>
          <t>官渡之战</t>
        </is>
      </c>
      <c r="D258" s="2" t="inlineStr">
        <is>
          <t>高级</t>
        </is>
      </c>
      <c r="E258" s="2" t="inlineStr">
        <is>
          <t>task1</t>
        </is>
      </c>
      <c r="F258" s="2" t="inlineStr">
        <is>
          <t>否</t>
        </is>
      </c>
      <c r="G258" s="2" t="inlineStr">
        <is>
          <t>否</t>
        </is>
      </c>
      <c r="H258" s="2" t="n">
        <v>1</v>
      </c>
      <c r="I258" s="2" t="n">
        <v>2400</v>
      </c>
      <c r="J258" s="2" t="inlineStr">
        <is>
          <t>每日开放</t>
        </is>
      </c>
      <c r="K258" s="2" t="inlineStr">
        <is>
          <t>无</t>
        </is>
      </c>
      <c r="L258" s="2" t="inlineStr">
        <is>
          <t>概率掉落</t>
        </is>
      </c>
      <c r="M258" s="2" t="inlineStr">
        <is>
          <t>equip_panlonggun</t>
        </is>
      </c>
      <c r="N258" s="2" t="inlineStr">
        <is>
          <t>equip_panlonggun</t>
        </is>
      </c>
      <c r="O258" s="2" t="inlineStr">
        <is>
          <t>盘龙棍</t>
        </is>
      </c>
      <c r="P258" s="2" t="inlineStr">
        <is>
          <t>武器</t>
        </is>
      </c>
      <c r="Q258" s="2" t="inlineStr">
        <is>
          <t>传说/橙</t>
        </is>
      </c>
      <c r="R258" s="5" t="n">
        <v>0.009599999999999999</v>
      </c>
      <c r="S258" s="2" t="n">
        <v>1</v>
      </c>
      <c r="T258" s="2" t="n"/>
      <c r="U258" s="2" t="inlineStr">
        <is>
          <t>否</t>
        </is>
      </c>
      <c r="V258" s="2" t="inlineStr">
        <is>
          <t>0.0096</t>
        </is>
      </c>
      <c r="W258" s="2" t="n"/>
      <c r="X258" s="5">
        <f>R258</f>
        <v>0.0096</v>
      </c>
      <c r="Y258" s="6">
        <f>X258*S258</f>
        <v>0.0096</v>
      </c>
      <c r="Z258" s="2" t="inlineStr">
        <is>
          <t>个人任务</t>
        </is>
      </c>
      <c r="AA258" s="2" t="n"/>
      <c r="AB258" s="2" t="inlineStr">
        <is>
          <t>挑战者庄园</t>
        </is>
      </c>
      <c r="AC258" s="2" t="inlineStr">
        <is>
          <t>玩家进攻胜利（attacker），非撤退，返程结算发放</t>
        </is>
      </c>
      <c r="AD258" s="2" t="inlineStr">
        <is>
          <t>data/mission_templates.yaml:L1391:drop_table.equip_panlonggun</t>
        </is>
      </c>
    </row>
    <row r="259">
      <c r="A259" s="2" t="n">
        <v>28</v>
      </c>
      <c r="B259" s="2" t="inlineStr">
        <is>
          <t>guandu_zhizhan</t>
        </is>
      </c>
      <c r="C259" s="2" t="inlineStr">
        <is>
          <t>官渡之战</t>
        </is>
      </c>
      <c r="D259" s="2" t="inlineStr">
        <is>
          <t>高级</t>
        </is>
      </c>
      <c r="E259" s="2" t="inlineStr">
        <is>
          <t>task1</t>
        </is>
      </c>
      <c r="F259" s="2" t="inlineStr">
        <is>
          <t>否</t>
        </is>
      </c>
      <c r="G259" s="2" t="inlineStr">
        <is>
          <t>否</t>
        </is>
      </c>
      <c r="H259" s="2" t="n">
        <v>1</v>
      </c>
      <c r="I259" s="2" t="n">
        <v>2400</v>
      </c>
      <c r="J259" s="2" t="inlineStr">
        <is>
          <t>每日开放</t>
        </is>
      </c>
      <c r="K259" s="2" t="inlineStr">
        <is>
          <t>无</t>
        </is>
      </c>
      <c r="L259" s="2" t="inlineStr">
        <is>
          <t>概率掉落</t>
        </is>
      </c>
      <c r="M259" s="2" t="inlineStr">
        <is>
          <t>equip_qiankunshengong</t>
        </is>
      </c>
      <c r="N259" s="2" t="inlineStr">
        <is>
          <t>equip_qiankunshengong</t>
        </is>
      </c>
      <c r="O259" s="2" t="inlineStr">
        <is>
          <t>乾坤神弓</t>
        </is>
      </c>
      <c r="P259" s="2" t="inlineStr">
        <is>
          <t>武器</t>
        </is>
      </c>
      <c r="Q259" s="2" t="inlineStr">
        <is>
          <t>传说/橙</t>
        </is>
      </c>
      <c r="R259" s="5" t="n">
        <v>0.009599999999999999</v>
      </c>
      <c r="S259" s="2" t="n">
        <v>1</v>
      </c>
      <c r="T259" s="2" t="n"/>
      <c r="U259" s="2" t="inlineStr">
        <is>
          <t>否</t>
        </is>
      </c>
      <c r="V259" s="2" t="inlineStr">
        <is>
          <t>0.0096</t>
        </is>
      </c>
      <c r="W259" s="2" t="n"/>
      <c r="X259" s="5">
        <f>R259</f>
        <v>0.0096</v>
      </c>
      <c r="Y259" s="6">
        <f>X259*S259</f>
        <v>0.0096</v>
      </c>
      <c r="Z259" s="2" t="inlineStr">
        <is>
          <t>个人任务</t>
        </is>
      </c>
      <c r="AA259" s="2" t="n"/>
      <c r="AB259" s="2" t="inlineStr">
        <is>
          <t>挑战者庄园</t>
        </is>
      </c>
      <c r="AC259" s="2" t="inlineStr">
        <is>
          <t>玩家进攻胜利（attacker），非撤退，返程结算发放</t>
        </is>
      </c>
      <c r="AD259" s="2" t="inlineStr">
        <is>
          <t>data/mission_templates.yaml:L1391:drop_table.equip_qiankunshengong</t>
        </is>
      </c>
    </row>
    <row r="260">
      <c r="A260" s="2" t="n">
        <v>28</v>
      </c>
      <c r="B260" s="2" t="inlineStr">
        <is>
          <t>guandu_zhizhan</t>
        </is>
      </c>
      <c r="C260" s="2" t="inlineStr">
        <is>
          <t>官渡之战</t>
        </is>
      </c>
      <c r="D260" s="2" t="inlineStr">
        <is>
          <t>高级</t>
        </is>
      </c>
      <c r="E260" s="2" t="inlineStr">
        <is>
          <t>task1</t>
        </is>
      </c>
      <c r="F260" s="2" t="inlineStr">
        <is>
          <t>否</t>
        </is>
      </c>
      <c r="G260" s="2" t="inlineStr">
        <is>
          <t>否</t>
        </is>
      </c>
      <c r="H260" s="2" t="n">
        <v>1</v>
      </c>
      <c r="I260" s="2" t="n">
        <v>2400</v>
      </c>
      <c r="J260" s="2" t="inlineStr">
        <is>
          <t>每日开放</t>
        </is>
      </c>
      <c r="K260" s="2" t="inlineStr">
        <is>
          <t>无</t>
        </is>
      </c>
      <c r="L260" s="2" t="inlineStr">
        <is>
          <t>概率掉落</t>
        </is>
      </c>
      <c r="M260" s="2" t="inlineStr">
        <is>
          <t>equip_tuwujian</t>
        </is>
      </c>
      <c r="N260" s="2" t="inlineStr">
        <is>
          <t>equip_tuwujian</t>
        </is>
      </c>
      <c r="O260" s="2" t="inlineStr">
        <is>
          <t>屠巫剑</t>
        </is>
      </c>
      <c r="P260" s="2" t="inlineStr">
        <is>
          <t>武器</t>
        </is>
      </c>
      <c r="Q260" s="2" t="inlineStr">
        <is>
          <t>传说/橙</t>
        </is>
      </c>
      <c r="R260" s="5" t="n">
        <v>0.006</v>
      </c>
      <c r="S260" s="2" t="n">
        <v>1</v>
      </c>
      <c r="T260" s="2" t="n"/>
      <c r="U260" s="2" t="inlineStr">
        <is>
          <t>否</t>
        </is>
      </c>
      <c r="V260" s="2" t="inlineStr">
        <is>
          <t>0.006</t>
        </is>
      </c>
      <c r="W260" s="2" t="n"/>
      <c r="X260" s="5">
        <f>R260</f>
        <v>0.006</v>
      </c>
      <c r="Y260" s="6">
        <f>X260*S260</f>
        <v>0.006</v>
      </c>
      <c r="Z260" s="2" t="inlineStr">
        <is>
          <t>个人任务</t>
        </is>
      </c>
      <c r="AA260" s="2" t="n"/>
      <c r="AB260" s="2" t="inlineStr">
        <is>
          <t>挑战者庄园</t>
        </is>
      </c>
      <c r="AC260" s="2" t="inlineStr">
        <is>
          <t>玩家进攻胜利（attacker），非撤退，返程结算发放</t>
        </is>
      </c>
      <c r="AD260" s="2" t="inlineStr">
        <is>
          <t>data/mission_templates.yaml:L1391:drop_table.equip_tuwujian</t>
        </is>
      </c>
    </row>
    <row r="261">
      <c r="A261" s="2" t="n">
        <v>28</v>
      </c>
      <c r="B261" s="2" t="inlineStr">
        <is>
          <t>guandu_zhizhan</t>
        </is>
      </c>
      <c r="C261" s="2" t="inlineStr">
        <is>
          <t>官渡之战</t>
        </is>
      </c>
      <c r="D261" s="2" t="inlineStr">
        <is>
          <t>高级</t>
        </is>
      </c>
      <c r="E261" s="2" t="inlineStr">
        <is>
          <t>task1</t>
        </is>
      </c>
      <c r="F261" s="2" t="inlineStr">
        <is>
          <t>否</t>
        </is>
      </c>
      <c r="G261" s="2" t="inlineStr">
        <is>
          <t>否</t>
        </is>
      </c>
      <c r="H261" s="2" t="n">
        <v>1</v>
      </c>
      <c r="I261" s="2" t="n">
        <v>2400</v>
      </c>
      <c r="J261" s="2" t="inlineStr">
        <is>
          <t>每日开放</t>
        </is>
      </c>
      <c r="K261" s="2" t="inlineStr">
        <is>
          <t>无</t>
        </is>
      </c>
      <c r="L261" s="2" t="inlineStr">
        <is>
          <t>概率掉落</t>
        </is>
      </c>
      <c r="M261" s="2" t="inlineStr">
        <is>
          <t>equip_jianghuling</t>
        </is>
      </c>
      <c r="N261" s="2" t="inlineStr">
        <is>
          <t>equip_jianghuling</t>
        </is>
      </c>
      <c r="O261" s="2" t="inlineStr">
        <is>
          <t>江湖令</t>
        </is>
      </c>
      <c r="P261" s="2" t="inlineStr">
        <is>
          <t>饰品</t>
        </is>
      </c>
      <c r="Q261" s="2" t="inlineStr">
        <is>
          <t>传说/橙</t>
        </is>
      </c>
      <c r="R261" s="5" t="n">
        <v>0.012</v>
      </c>
      <c r="S261" s="2" t="n">
        <v>1</v>
      </c>
      <c r="T261" s="2" t="n"/>
      <c r="U261" s="2" t="inlineStr">
        <is>
          <t>否</t>
        </is>
      </c>
      <c r="V261" s="2" t="inlineStr">
        <is>
          <t>0.012</t>
        </is>
      </c>
      <c r="W261" s="2" t="n"/>
      <c r="X261" s="5">
        <f>R261</f>
        <v>0.012</v>
      </c>
      <c r="Y261" s="6">
        <f>X261*S261</f>
        <v>0.012</v>
      </c>
      <c r="Z261" s="2" t="inlineStr">
        <is>
          <t>个人任务</t>
        </is>
      </c>
      <c r="AA261" s="2" t="n"/>
      <c r="AB261" s="2" t="inlineStr">
        <is>
          <t>挑战者庄园</t>
        </is>
      </c>
      <c r="AC261" s="2" t="inlineStr">
        <is>
          <t>玩家进攻胜利（attacker），非撤退，返程结算发放</t>
        </is>
      </c>
      <c r="AD261" s="2" t="inlineStr">
        <is>
          <t>data/mission_templates.yaml:L1391:drop_table.equip_jianghuling</t>
        </is>
      </c>
    </row>
    <row r="262">
      <c r="A262" s="2" t="n">
        <v>29</v>
      </c>
      <c r="B262" s="2" t="inlineStr">
        <is>
          <t>huashan_lunjian_advanced</t>
        </is>
      </c>
      <c r="C262" s="2" t="inlineStr">
        <is>
          <t>华山论剑</t>
        </is>
      </c>
      <c r="D262" s="2" t="inlineStr">
        <is>
          <t>高级</t>
        </is>
      </c>
      <c r="E262" s="2" t="inlineStr">
        <is>
          <t>task1</t>
        </is>
      </c>
      <c r="F262" s="2" t="inlineStr">
        <is>
          <t>否</t>
        </is>
      </c>
      <c r="G262" s="2" t="inlineStr">
        <is>
          <t>是</t>
        </is>
      </c>
      <c r="H262" s="2" t="n">
        <v>1</v>
      </c>
      <c r="I262" s="2" t="n">
        <v>2400</v>
      </c>
      <c r="J262" s="2" t="inlineStr">
        <is>
          <t>每日开放</t>
        </is>
      </c>
      <c r="K262" s="2" t="inlineStr">
        <is>
          <t>无</t>
        </is>
      </c>
      <c r="L262" s="2" t="inlineStr">
        <is>
          <t>固定掉落</t>
        </is>
      </c>
      <c r="M262" s="2" t="inlineStr">
        <is>
          <t>silver</t>
        </is>
      </c>
      <c r="N262" s="2" t="inlineStr">
        <is>
          <t>silver</t>
        </is>
      </c>
      <c r="O262" s="2" t="inlineStr">
        <is>
          <t>银两</t>
        </is>
      </c>
      <c r="P262" s="2" t="inlineStr">
        <is>
          <t>资源</t>
        </is>
      </c>
      <c r="Q262" s="2" t="inlineStr">
        <is>
          <t>资源</t>
        </is>
      </c>
      <c r="R262" s="5" t="n">
        <v>1</v>
      </c>
      <c r="S262" s="2" t="n">
        <v>120000</v>
      </c>
      <c r="T262" s="2" t="n"/>
      <c r="U262" s="2" t="inlineStr">
        <is>
          <t>否</t>
        </is>
      </c>
      <c r="V262" s="2" t="inlineStr">
        <is>
          <t>120000</t>
        </is>
      </c>
      <c r="W262" s="2" t="n"/>
      <c r="X262" s="5">
        <f>R262</f>
        <v>1</v>
      </c>
      <c r="Y262" s="6">
        <f>X262*S262</f>
        <v>120000</v>
      </c>
      <c r="Z262" s="2" t="inlineStr">
        <is>
          <t>个人任务</t>
        </is>
      </c>
      <c r="AA262" s="2" t="n"/>
      <c r="AB262" s="2" t="inlineStr">
        <is>
          <t>挑战者庄园</t>
        </is>
      </c>
      <c r="AC262" s="2" t="inlineStr">
        <is>
          <t>玩家进攻胜利（attacker），非撤退，返程结算发放</t>
        </is>
      </c>
      <c r="AD262" s="2" t="inlineStr">
        <is>
          <t>data/mission_templates.yaml:L1437:drop_table.silver</t>
        </is>
      </c>
    </row>
    <row r="263">
      <c r="A263" s="2" t="n">
        <v>29</v>
      </c>
      <c r="B263" s="2" t="inlineStr">
        <is>
          <t>huashan_lunjian_advanced</t>
        </is>
      </c>
      <c r="C263" s="2" t="inlineStr">
        <is>
          <t>华山论剑</t>
        </is>
      </c>
      <c r="D263" s="2" t="inlineStr">
        <is>
          <t>高级</t>
        </is>
      </c>
      <c r="E263" s="2" t="inlineStr">
        <is>
          <t>task1</t>
        </is>
      </c>
      <c r="F263" s="2" t="inlineStr">
        <is>
          <t>否</t>
        </is>
      </c>
      <c r="G263" s="2" t="inlineStr">
        <is>
          <t>是</t>
        </is>
      </c>
      <c r="H263" s="2" t="n">
        <v>1</v>
      </c>
      <c r="I263" s="2" t="n">
        <v>2400</v>
      </c>
      <c r="J263" s="2" t="inlineStr">
        <is>
          <t>每日开放</t>
        </is>
      </c>
      <c r="K263" s="2" t="inlineStr">
        <is>
          <t>无</t>
        </is>
      </c>
      <c r="L263" s="2" t="inlineStr">
        <is>
          <t>固定掉落</t>
        </is>
      </c>
      <c r="M263" s="2" t="inlineStr">
        <is>
          <t>huashan_wulin_chest</t>
        </is>
      </c>
      <c r="N263" s="2" t="inlineStr">
        <is>
          <t>huashan_wulin_chest</t>
        </is>
      </c>
      <c r="O263" s="2" t="inlineStr">
        <is>
          <t>武林宝箱</t>
        </is>
      </c>
      <c r="P263" s="2" t="inlineStr">
        <is>
          <t>宝箱</t>
        </is>
      </c>
      <c r="Q263" s="2" t="inlineStr">
        <is>
          <t>史诗/紫</t>
        </is>
      </c>
      <c r="R263" s="5" t="n">
        <v>1</v>
      </c>
      <c r="S263" s="2" t="n">
        <v>1</v>
      </c>
      <c r="T263" s="2" t="n"/>
      <c r="U263" s="2" t="inlineStr">
        <is>
          <t>否</t>
        </is>
      </c>
      <c r="V263" s="2" t="inlineStr">
        <is>
          <t>1</t>
        </is>
      </c>
      <c r="W263" s="2" t="n"/>
      <c r="X263" s="5">
        <f>R263</f>
        <v>1</v>
      </c>
      <c r="Y263" s="6">
        <f>X263*S263</f>
        <v>1</v>
      </c>
      <c r="Z263" s="2" t="inlineStr">
        <is>
          <t>个人任务</t>
        </is>
      </c>
      <c r="AA263" s="2" t="n"/>
      <c r="AB263" s="2" t="inlineStr">
        <is>
          <t>挑战者庄园</t>
        </is>
      </c>
      <c r="AC263" s="2" t="inlineStr">
        <is>
          <t>玩家进攻胜利（attacker），非撤退，返程结算发放</t>
        </is>
      </c>
      <c r="AD263" s="2" t="inlineStr">
        <is>
          <t>data/mission_templates.yaml:L1437:drop_table.huashan_wulin_chest</t>
        </is>
      </c>
    </row>
    <row r="264">
      <c r="A264" s="2" t="n">
        <v>30</v>
      </c>
      <c r="B264" s="2" t="inlineStr">
        <is>
          <t>sishui_huaxiong_chengwei</t>
        </is>
      </c>
      <c r="C264" s="2" t="inlineStr">
        <is>
          <t>飞将浮沉录：汜水关华雄逞威</t>
        </is>
      </c>
      <c r="D264" s="2" t="inlineStr">
        <is>
          <t>高级</t>
        </is>
      </c>
      <c r="E264" s="2" t="inlineStr">
        <is>
          <t>task1</t>
        </is>
      </c>
      <c r="F264" s="2" t="inlineStr">
        <is>
          <t>否</t>
        </is>
      </c>
      <c r="G264" s="2" t="inlineStr">
        <is>
          <t>否</t>
        </is>
      </c>
      <c r="H264" s="2" t="n">
        <v>1</v>
      </c>
      <c r="I264" s="2" t="n">
        <v>2400</v>
      </c>
      <c r="J264" s="2" t="inlineStr">
        <is>
          <t>每日开放</t>
        </is>
      </c>
      <c r="K264" s="2" t="inlineStr">
        <is>
          <t>无</t>
        </is>
      </c>
      <c r="L264" s="2" t="inlineStr">
        <is>
          <t>固定掉落</t>
        </is>
      </c>
      <c r="M264" s="2" t="inlineStr">
        <is>
          <t>silver</t>
        </is>
      </c>
      <c r="N264" s="2" t="inlineStr">
        <is>
          <t>silver</t>
        </is>
      </c>
      <c r="O264" s="2" t="inlineStr">
        <is>
          <t>银两</t>
        </is>
      </c>
      <c r="P264" s="2" t="inlineStr">
        <is>
          <t>资源</t>
        </is>
      </c>
      <c r="Q264" s="2" t="inlineStr">
        <is>
          <t>资源</t>
        </is>
      </c>
      <c r="R264" s="5" t="n">
        <v>1</v>
      </c>
      <c r="S264" s="2" t="n">
        <v>90000</v>
      </c>
      <c r="T264" s="2" t="n"/>
      <c r="U264" s="2" t="inlineStr">
        <is>
          <t>否</t>
        </is>
      </c>
      <c r="V264" s="2" t="inlineStr">
        <is>
          <t>90000</t>
        </is>
      </c>
      <c r="W264" s="2" t="n"/>
      <c r="X264" s="5">
        <f>R264</f>
        <v>1</v>
      </c>
      <c r="Y264" s="6">
        <f>X264*S264</f>
        <v>90000</v>
      </c>
      <c r="Z264" s="2" t="inlineStr">
        <is>
          <t>个人任务</t>
        </is>
      </c>
      <c r="AA264" s="2" t="n"/>
      <c r="AB264" s="2" t="inlineStr">
        <is>
          <t>挑战者庄园</t>
        </is>
      </c>
      <c r="AC264" s="2" t="inlineStr">
        <is>
          <t>玩家进攻胜利（attacker），非撤退，返程结算发放</t>
        </is>
      </c>
      <c r="AD264" s="2" t="inlineStr">
        <is>
          <t>data/mission_templates.yaml:L1511:drop_table.silver</t>
        </is>
      </c>
    </row>
    <row r="265">
      <c r="A265" s="2" t="n">
        <v>30</v>
      </c>
      <c r="B265" s="2" t="inlineStr">
        <is>
          <t>sishui_huaxiong_chengwei</t>
        </is>
      </c>
      <c r="C265" s="2" t="inlineStr">
        <is>
          <t>飞将浮沉录：汜水关华雄逞威</t>
        </is>
      </c>
      <c r="D265" s="2" t="inlineStr">
        <is>
          <t>高级</t>
        </is>
      </c>
      <c r="E265" s="2" t="inlineStr">
        <is>
          <t>task1</t>
        </is>
      </c>
      <c r="F265" s="2" t="inlineStr">
        <is>
          <t>否</t>
        </is>
      </c>
      <c r="G265" s="2" t="inlineStr">
        <is>
          <t>否</t>
        </is>
      </c>
      <c r="H265" s="2" t="n">
        <v>1</v>
      </c>
      <c r="I265" s="2" t="n">
        <v>2400</v>
      </c>
      <c r="J265" s="2" t="inlineStr">
        <is>
          <t>每日开放</t>
        </is>
      </c>
      <c r="K265" s="2" t="inlineStr">
        <is>
          <t>无</t>
        </is>
      </c>
      <c r="L265" s="2" t="inlineStr">
        <is>
          <t>概率掉落</t>
        </is>
      </c>
      <c r="M265" s="2" t="inlineStr">
        <is>
          <t>experience_watermelon</t>
        </is>
      </c>
      <c r="N265" s="2" t="inlineStr">
        <is>
          <t>experience_watermelon</t>
        </is>
      </c>
      <c r="O265" s="2" t="inlineStr">
        <is>
          <t>经验西瓜</t>
        </is>
      </c>
      <c r="P265" s="2" t="inlineStr">
        <is>
          <t>经验道具</t>
        </is>
      </c>
      <c r="Q265" s="2" t="inlineStr">
        <is>
          <t>史诗/紫</t>
        </is>
      </c>
      <c r="R265" s="5" t="n">
        <v>0.85</v>
      </c>
      <c r="S265" s="2" t="n">
        <v>5</v>
      </c>
      <c r="T265" s="2" t="n"/>
      <c r="U265" s="2" t="inlineStr">
        <is>
          <t>否</t>
        </is>
      </c>
      <c r="V265" s="2" t="inlineStr">
        <is>
          <t>{"chance":0.85,"count":5}</t>
        </is>
      </c>
      <c r="W265" s="2" t="n"/>
      <c r="X265" s="5">
        <f>R265</f>
        <v>0.85</v>
      </c>
      <c r="Y265" s="6">
        <f>X265*S265</f>
        <v>4.25</v>
      </c>
      <c r="Z265" s="2" t="inlineStr">
        <is>
          <t>个人任务</t>
        </is>
      </c>
      <c r="AA265" s="2" t="n"/>
      <c r="AB265" s="2" t="inlineStr">
        <is>
          <t>挑战者庄园</t>
        </is>
      </c>
      <c r="AC265" s="2" t="inlineStr">
        <is>
          <t>玩家进攻胜利（attacker），非撤退，返程结算发放</t>
        </is>
      </c>
      <c r="AD265" s="2" t="inlineStr">
        <is>
          <t>data/mission_templates.yaml:L1511:drop_table.experience_watermelon</t>
        </is>
      </c>
    </row>
    <row r="266">
      <c r="A266" s="2" t="n">
        <v>30</v>
      </c>
      <c r="B266" s="2" t="inlineStr">
        <is>
          <t>sishui_huaxiong_chengwei</t>
        </is>
      </c>
      <c r="C266" s="2" t="inlineStr">
        <is>
          <t>飞将浮沉录：汜水关华雄逞威</t>
        </is>
      </c>
      <c r="D266" s="2" t="inlineStr">
        <is>
          <t>高级</t>
        </is>
      </c>
      <c r="E266" s="2" t="inlineStr">
        <is>
          <t>task1</t>
        </is>
      </c>
      <c r="F266" s="2" t="inlineStr">
        <is>
          <t>否</t>
        </is>
      </c>
      <c r="G266" s="2" t="inlineStr">
        <is>
          <t>否</t>
        </is>
      </c>
      <c r="H266" s="2" t="n">
        <v>1</v>
      </c>
      <c r="I266" s="2" t="n">
        <v>2400</v>
      </c>
      <c r="J266" s="2" t="inlineStr">
        <is>
          <t>每日开放</t>
        </is>
      </c>
      <c r="K266" s="2" t="inlineStr">
        <is>
          <t>无</t>
        </is>
      </c>
      <c r="L266" s="2" t="inlineStr">
        <is>
          <t>随机池掉落</t>
        </is>
      </c>
      <c r="M266" s="2" t="inlineStr">
        <is>
          <t>sishui_equipment_pool</t>
        </is>
      </c>
      <c r="N266" s="2" t="inlineStr">
        <is>
          <t>equip_pozhenqiang</t>
        </is>
      </c>
      <c r="O266" s="2" t="inlineStr">
        <is>
          <t>破阵枪</t>
        </is>
      </c>
      <c r="P266" s="2" t="inlineStr">
        <is>
          <t>武器</t>
        </is>
      </c>
      <c r="Q266" s="2" t="inlineStr">
        <is>
          <t>稀有/蓝</t>
        </is>
      </c>
      <c r="R266" s="5" t="n">
        <v>0.1</v>
      </c>
      <c r="S266" s="2" t="n">
        <v>1</v>
      </c>
      <c r="T266" s="2" t="n">
        <v>1</v>
      </c>
      <c r="U266" s="2" t="inlineStr">
        <is>
          <t>是</t>
        </is>
      </c>
      <c r="V266" s="2" t="inlineStr">
        <is>
          <t>{"chance":0.1,"count":1,"choices":["equip_pozhenqiang","equip_chuanyungong","equip_longwenyupei"]}</t>
        </is>
      </c>
      <c r="W266" s="3">
        <f>SUM(T266:T268)</f>
        <v>3</v>
      </c>
      <c r="X266" s="5">
        <f>R266*T266/W266</f>
        <v>0.03333333333333333</v>
      </c>
      <c r="Y266" s="6">
        <f>X266*S266</f>
        <v>0.03333333333333333</v>
      </c>
      <c r="Z266" s="2" t="inlineStr">
        <is>
          <t>个人任务</t>
        </is>
      </c>
      <c r="AA266" s="2" t="n"/>
      <c r="AB266" s="2" t="inlineStr">
        <is>
          <t>挑战者庄园</t>
        </is>
      </c>
      <c r="AC266" s="2" t="inlineStr">
        <is>
          <t>玩家进攻胜利（attacker），非撤退，返程结算发放</t>
        </is>
      </c>
      <c r="AD266" s="2" t="inlineStr">
        <is>
          <t>data/mission_templates.yaml:L1511:drop_table.sishui_equipment_pool</t>
        </is>
      </c>
    </row>
    <row r="267">
      <c r="A267" s="2" t="n">
        <v>30</v>
      </c>
      <c r="B267" s="2" t="inlineStr">
        <is>
          <t>sishui_huaxiong_chengwei</t>
        </is>
      </c>
      <c r="C267" s="2" t="inlineStr">
        <is>
          <t>飞将浮沉录：汜水关华雄逞威</t>
        </is>
      </c>
      <c r="D267" s="2" t="inlineStr">
        <is>
          <t>高级</t>
        </is>
      </c>
      <c r="E267" s="2" t="inlineStr">
        <is>
          <t>task1</t>
        </is>
      </c>
      <c r="F267" s="2" t="inlineStr">
        <is>
          <t>否</t>
        </is>
      </c>
      <c r="G267" s="2" t="inlineStr">
        <is>
          <t>否</t>
        </is>
      </c>
      <c r="H267" s="2" t="n">
        <v>1</v>
      </c>
      <c r="I267" s="2" t="n">
        <v>2400</v>
      </c>
      <c r="J267" s="2" t="inlineStr">
        <is>
          <t>每日开放</t>
        </is>
      </c>
      <c r="K267" s="2" t="inlineStr">
        <is>
          <t>无</t>
        </is>
      </c>
      <c r="L267" s="2" t="inlineStr">
        <is>
          <t>随机池掉落</t>
        </is>
      </c>
      <c r="M267" s="2" t="inlineStr">
        <is>
          <t>sishui_equipment_pool</t>
        </is>
      </c>
      <c r="N267" s="2" t="inlineStr">
        <is>
          <t>equip_chuanyungong</t>
        </is>
      </c>
      <c r="O267" s="2" t="inlineStr">
        <is>
          <t>穿云弓</t>
        </is>
      </c>
      <c r="P267" s="2" t="inlineStr">
        <is>
          <t>武器</t>
        </is>
      </c>
      <c r="Q267" s="2" t="inlineStr">
        <is>
          <t>稀有/蓝</t>
        </is>
      </c>
      <c r="R267" s="5" t="n">
        <v>0.1</v>
      </c>
      <c r="S267" s="2" t="n">
        <v>1</v>
      </c>
      <c r="T267" s="2" t="n">
        <v>1</v>
      </c>
      <c r="U267" s="2" t="inlineStr">
        <is>
          <t>是</t>
        </is>
      </c>
      <c r="V267" s="2" t="inlineStr">
        <is>
          <t>{"chance":0.1,"count":1,"choices":["equip_pozhenqiang","equip_chuanyungong","equip_longwenyupei"]}</t>
        </is>
      </c>
      <c r="W267" s="3">
        <f>SUM(T266:T268)</f>
        <v>3</v>
      </c>
      <c r="X267" s="5">
        <f>R267*T267/W267</f>
        <v>0.03333333333333333</v>
      </c>
      <c r="Y267" s="6">
        <f>X267*S267</f>
        <v>0.03333333333333333</v>
      </c>
      <c r="Z267" s="2" t="inlineStr">
        <is>
          <t>个人任务</t>
        </is>
      </c>
      <c r="AA267" s="2" t="n"/>
      <c r="AB267" s="2" t="inlineStr">
        <is>
          <t>挑战者庄园</t>
        </is>
      </c>
      <c r="AC267" s="2" t="inlineStr">
        <is>
          <t>玩家进攻胜利（attacker），非撤退，返程结算发放</t>
        </is>
      </c>
      <c r="AD267" s="2" t="inlineStr">
        <is>
          <t>data/mission_templates.yaml:L1511:drop_table.sishui_equipment_pool</t>
        </is>
      </c>
    </row>
    <row r="268">
      <c r="A268" s="2" t="n">
        <v>30</v>
      </c>
      <c r="B268" s="2" t="inlineStr">
        <is>
          <t>sishui_huaxiong_chengwei</t>
        </is>
      </c>
      <c r="C268" s="2" t="inlineStr">
        <is>
          <t>飞将浮沉录：汜水关华雄逞威</t>
        </is>
      </c>
      <c r="D268" s="2" t="inlineStr">
        <is>
          <t>高级</t>
        </is>
      </c>
      <c r="E268" s="2" t="inlineStr">
        <is>
          <t>task1</t>
        </is>
      </c>
      <c r="F268" s="2" t="inlineStr">
        <is>
          <t>否</t>
        </is>
      </c>
      <c r="G268" s="2" t="inlineStr">
        <is>
          <t>否</t>
        </is>
      </c>
      <c r="H268" s="2" t="n">
        <v>1</v>
      </c>
      <c r="I268" s="2" t="n">
        <v>2400</v>
      </c>
      <c r="J268" s="2" t="inlineStr">
        <is>
          <t>每日开放</t>
        </is>
      </c>
      <c r="K268" s="2" t="inlineStr">
        <is>
          <t>无</t>
        </is>
      </c>
      <c r="L268" s="2" t="inlineStr">
        <is>
          <t>随机池掉落</t>
        </is>
      </c>
      <c r="M268" s="2" t="inlineStr">
        <is>
          <t>sishui_equipment_pool</t>
        </is>
      </c>
      <c r="N268" s="2" t="inlineStr">
        <is>
          <t>equip_longwenyupei</t>
        </is>
      </c>
      <c r="O268" s="2" t="inlineStr">
        <is>
          <t>龙纹玉佩</t>
        </is>
      </c>
      <c r="P268" s="2" t="inlineStr">
        <is>
          <t>饰品</t>
        </is>
      </c>
      <c r="Q268" s="2" t="inlineStr">
        <is>
          <t>稀有/蓝</t>
        </is>
      </c>
      <c r="R268" s="5" t="n">
        <v>0.1</v>
      </c>
      <c r="S268" s="2" t="n">
        <v>1</v>
      </c>
      <c r="T268" s="2" t="n">
        <v>1</v>
      </c>
      <c r="U268" s="2" t="inlineStr">
        <is>
          <t>是</t>
        </is>
      </c>
      <c r="V268" s="2" t="inlineStr">
        <is>
          <t>{"chance":0.1,"count":1,"choices":["equip_pozhenqiang","equip_chuanyungong","equip_longwenyupei"]}</t>
        </is>
      </c>
      <c r="W268" s="3">
        <f>SUM(T266:T268)</f>
        <v>3</v>
      </c>
      <c r="X268" s="5">
        <f>R268*T268/W268</f>
        <v>0.03333333333333333</v>
      </c>
      <c r="Y268" s="6">
        <f>X268*S268</f>
        <v>0.03333333333333333</v>
      </c>
      <c r="Z268" s="2" t="inlineStr">
        <is>
          <t>个人任务</t>
        </is>
      </c>
      <c r="AA268" s="2" t="n"/>
      <c r="AB268" s="2" t="inlineStr">
        <is>
          <t>挑战者庄园</t>
        </is>
      </c>
      <c r="AC268" s="2" t="inlineStr">
        <is>
          <t>玩家进攻胜利（attacker），非撤退，返程结算发放</t>
        </is>
      </c>
      <c r="AD268" s="2" t="inlineStr">
        <is>
          <t>data/mission_templates.yaml:L1511:drop_table.sishui_equipment_pool</t>
        </is>
      </c>
    </row>
    <row r="269">
      <c r="A269" s="2" t="n">
        <v>30</v>
      </c>
      <c r="B269" s="2" t="inlineStr">
        <is>
          <t>sishui_huaxiong_chengwei</t>
        </is>
      </c>
      <c r="C269" s="2" t="inlineStr">
        <is>
          <t>飞将浮沉录：汜水关华雄逞威</t>
        </is>
      </c>
      <c r="D269" s="2" t="inlineStr">
        <is>
          <t>高级</t>
        </is>
      </c>
      <c r="E269" s="2" t="inlineStr">
        <is>
          <t>task1</t>
        </is>
      </c>
      <c r="F269" s="2" t="inlineStr">
        <is>
          <t>否</t>
        </is>
      </c>
      <c r="G269" s="2" t="inlineStr">
        <is>
          <t>否</t>
        </is>
      </c>
      <c r="H269" s="2" t="n">
        <v>1</v>
      </c>
      <c r="I269" s="2" t="n">
        <v>2400</v>
      </c>
      <c r="J269" s="2" t="inlineStr">
        <is>
          <t>每日开放</t>
        </is>
      </c>
      <c r="K269" s="2" t="inlineStr">
        <is>
          <t>无</t>
        </is>
      </c>
      <c r="L269" s="2" t="inlineStr">
        <is>
          <t>概率掉落</t>
        </is>
      </c>
      <c r="M269" s="2" t="inlineStr">
        <is>
          <t>equip_zhuyuye</t>
        </is>
      </c>
      <c r="N269" s="2" t="inlineStr">
        <is>
          <t>equip_zhuyuye</t>
        </is>
      </c>
      <c r="O269" s="2" t="inlineStr">
        <is>
          <t>茱萸叶</t>
        </is>
      </c>
      <c r="P269" s="2" t="inlineStr">
        <is>
          <t>饰品</t>
        </is>
      </c>
      <c r="Q269" s="2" t="inlineStr">
        <is>
          <t>史诗/紫</t>
        </is>
      </c>
      <c r="R269" s="5" t="n">
        <v>0.005</v>
      </c>
      <c r="S269" s="2" t="n">
        <v>1</v>
      </c>
      <c r="T269" s="2" t="n"/>
      <c r="U269" s="2" t="inlineStr">
        <is>
          <t>否</t>
        </is>
      </c>
      <c r="V269" s="2" t="inlineStr">
        <is>
          <t>0.005</t>
        </is>
      </c>
      <c r="W269" s="2" t="n"/>
      <c r="X269" s="5">
        <f>R269</f>
        <v>0.005</v>
      </c>
      <c r="Y269" s="6">
        <f>X269*S269</f>
        <v>0.005</v>
      </c>
      <c r="Z269" s="2" t="inlineStr">
        <is>
          <t>个人任务</t>
        </is>
      </c>
      <c r="AA269" s="2" t="n"/>
      <c r="AB269" s="2" t="inlineStr">
        <is>
          <t>挑战者庄园</t>
        </is>
      </c>
      <c r="AC269" s="2" t="inlineStr">
        <is>
          <t>玩家进攻胜利（attacker），非撤退，返程结算发放</t>
        </is>
      </c>
      <c r="AD269" s="2" t="inlineStr">
        <is>
          <t>data/mission_templates.yaml:L1511:drop_table.equip_zhuyuye</t>
        </is>
      </c>
    </row>
    <row r="270">
      <c r="A270" s="2" t="n">
        <v>30</v>
      </c>
      <c r="B270" s="2" t="inlineStr">
        <is>
          <t>sishui_huaxiong_chengwei</t>
        </is>
      </c>
      <c r="C270" s="2" t="inlineStr">
        <is>
          <t>飞将浮沉录：汜水关华雄逞威</t>
        </is>
      </c>
      <c r="D270" s="2" t="inlineStr">
        <is>
          <t>高级</t>
        </is>
      </c>
      <c r="E270" s="2" t="inlineStr">
        <is>
          <t>task1</t>
        </is>
      </c>
      <c r="F270" s="2" t="inlineStr">
        <is>
          <t>否</t>
        </is>
      </c>
      <c r="G270" s="2" t="inlineStr">
        <is>
          <t>否</t>
        </is>
      </c>
      <c r="H270" s="2" t="n">
        <v>1</v>
      </c>
      <c r="I270" s="2" t="n">
        <v>2400</v>
      </c>
      <c r="J270" s="2" t="inlineStr">
        <is>
          <t>每日开放</t>
        </is>
      </c>
      <c r="K270" s="2" t="inlineStr">
        <is>
          <t>无</t>
        </is>
      </c>
      <c r="L270" s="2" t="inlineStr">
        <is>
          <t>固定掉落</t>
        </is>
      </c>
      <c r="M270" s="2" t="inlineStr">
        <is>
          <t>sishui_battle_report</t>
        </is>
      </c>
      <c r="N270" s="2" t="inlineStr">
        <is>
          <t>sishui_battle_report</t>
        </is>
      </c>
      <c r="O270" s="2" t="inlineStr">
        <is>
          <t>汜水关战报</t>
        </is>
      </c>
      <c r="P270" s="2" t="inlineStr">
        <is>
          <t>资源</t>
        </is>
      </c>
      <c r="Q270" s="2" t="inlineStr">
        <is>
          <t>稀有/蓝</t>
        </is>
      </c>
      <c r="R270" s="5" t="n">
        <v>1</v>
      </c>
      <c r="S270" s="2" t="n">
        <v>1</v>
      </c>
      <c r="T270" s="2" t="n"/>
      <c r="U270" s="2" t="inlineStr">
        <is>
          <t>否</t>
        </is>
      </c>
      <c r="V270" s="2" t="inlineStr">
        <is>
          <t>1</t>
        </is>
      </c>
      <c r="W270" s="2" t="n"/>
      <c r="X270" s="5">
        <f>R270</f>
        <v>1</v>
      </c>
      <c r="Y270" s="6">
        <f>X270*S270</f>
        <v>1</v>
      </c>
      <c r="Z270" s="2" t="inlineStr">
        <is>
          <t>个人任务</t>
        </is>
      </c>
      <c r="AA270" s="2" t="n"/>
      <c r="AB270" s="2" t="inlineStr">
        <is>
          <t>挑战者庄园</t>
        </is>
      </c>
      <c r="AC270" s="2" t="inlineStr">
        <is>
          <t>玩家进攻胜利（attacker），非撤退，返程结算发放</t>
        </is>
      </c>
      <c r="AD270" s="2" t="inlineStr">
        <is>
          <t>data/mission_templates.yaml:L1511:drop_table.sishui_battle_report</t>
        </is>
      </c>
    </row>
    <row r="271">
      <c r="A271" s="2" t="n">
        <v>31</v>
      </c>
      <c r="B271" s="2" t="inlineStr">
        <is>
          <t>hulao_qunying_zhan_lvbu</t>
        </is>
      </c>
      <c r="C271" s="2" t="inlineStr">
        <is>
          <t>飞将浮沉录：虎牢关群英战吕布</t>
        </is>
      </c>
      <c r="D271" s="2" t="inlineStr">
        <is>
          <t>高级</t>
        </is>
      </c>
      <c r="E271" s="2" t="inlineStr">
        <is>
          <t>task1</t>
        </is>
      </c>
      <c r="F271" s="2" t="inlineStr">
        <is>
          <t>否</t>
        </is>
      </c>
      <c r="G271" s="2" t="inlineStr">
        <is>
          <t>否</t>
        </is>
      </c>
      <c r="H271" s="2" t="n">
        <v>1</v>
      </c>
      <c r="I271" s="2" t="n">
        <v>2400</v>
      </c>
      <c r="J271" s="2" t="inlineStr">
        <is>
          <t>每日开放</t>
        </is>
      </c>
      <c r="K271" s="2" t="inlineStr">
        <is>
          <t>汜水关战报×1</t>
        </is>
      </c>
      <c r="L271" s="2" t="inlineStr">
        <is>
          <t>固定掉落</t>
        </is>
      </c>
      <c r="M271" s="2" t="inlineStr">
        <is>
          <t>silver</t>
        </is>
      </c>
      <c r="N271" s="2" t="inlineStr">
        <is>
          <t>silver</t>
        </is>
      </c>
      <c r="O271" s="2" t="inlineStr">
        <is>
          <t>银两</t>
        </is>
      </c>
      <c r="P271" s="2" t="inlineStr">
        <is>
          <t>资源</t>
        </is>
      </c>
      <c r="Q271" s="2" t="inlineStr">
        <is>
          <t>资源</t>
        </is>
      </c>
      <c r="R271" s="5" t="n">
        <v>1</v>
      </c>
      <c r="S271" s="2" t="n">
        <v>110000</v>
      </c>
      <c r="T271" s="2" t="n"/>
      <c r="U271" s="2" t="inlineStr">
        <is>
          <t>否</t>
        </is>
      </c>
      <c r="V271" s="2" t="inlineStr">
        <is>
          <t>110000</t>
        </is>
      </c>
      <c r="W271" s="2" t="n"/>
      <c r="X271" s="5">
        <f>R271</f>
        <v>1</v>
      </c>
      <c r="Y271" s="6">
        <f>X271*S271</f>
        <v>110000</v>
      </c>
      <c r="Z271" s="2" t="inlineStr">
        <is>
          <t>个人任务</t>
        </is>
      </c>
      <c r="AA271" s="2" t="n"/>
      <c r="AB271" s="2" t="inlineStr">
        <is>
          <t>挑战者庄园</t>
        </is>
      </c>
      <c r="AC271" s="2" t="inlineStr">
        <is>
          <t>玩家进攻胜利（attacker），非撤退，返程结算发放</t>
        </is>
      </c>
      <c r="AD271" s="2" t="inlineStr">
        <is>
          <t>data/mission_templates.yaml:L1556:drop_table.silver</t>
        </is>
      </c>
    </row>
    <row r="272">
      <c r="A272" s="2" t="n">
        <v>31</v>
      </c>
      <c r="B272" s="2" t="inlineStr">
        <is>
          <t>hulao_qunying_zhan_lvbu</t>
        </is>
      </c>
      <c r="C272" s="2" t="inlineStr">
        <is>
          <t>飞将浮沉录：虎牢关群英战吕布</t>
        </is>
      </c>
      <c r="D272" s="2" t="inlineStr">
        <is>
          <t>高级</t>
        </is>
      </c>
      <c r="E272" s="2" t="inlineStr">
        <is>
          <t>task1</t>
        </is>
      </c>
      <c r="F272" s="2" t="inlineStr">
        <is>
          <t>否</t>
        </is>
      </c>
      <c r="G272" s="2" t="inlineStr">
        <is>
          <t>否</t>
        </is>
      </c>
      <c r="H272" s="2" t="n">
        <v>1</v>
      </c>
      <c r="I272" s="2" t="n">
        <v>2400</v>
      </c>
      <c r="J272" s="2" t="inlineStr">
        <is>
          <t>每日开放</t>
        </is>
      </c>
      <c r="K272" s="2" t="inlineStr">
        <is>
          <t>汜水关战报×1</t>
        </is>
      </c>
      <c r="L272" s="2" t="inlineStr">
        <is>
          <t>概率掉落</t>
        </is>
      </c>
      <c r="M272" s="2" t="inlineStr">
        <is>
          <t>experience_watermelon</t>
        </is>
      </c>
      <c r="N272" s="2" t="inlineStr">
        <is>
          <t>experience_watermelon</t>
        </is>
      </c>
      <c r="O272" s="2" t="inlineStr">
        <is>
          <t>经验西瓜</t>
        </is>
      </c>
      <c r="P272" s="2" t="inlineStr">
        <is>
          <t>经验道具</t>
        </is>
      </c>
      <c r="Q272" s="2" t="inlineStr">
        <is>
          <t>史诗/紫</t>
        </is>
      </c>
      <c r="R272" s="5" t="n">
        <v>0.75</v>
      </c>
      <c r="S272" s="2" t="n">
        <v>5</v>
      </c>
      <c r="T272" s="2" t="n"/>
      <c r="U272" s="2" t="inlineStr">
        <is>
          <t>否</t>
        </is>
      </c>
      <c r="V272" s="2" t="inlineStr">
        <is>
          <t>{"chance":0.75,"count":5}</t>
        </is>
      </c>
      <c r="W272" s="2" t="n"/>
      <c r="X272" s="5">
        <f>R272</f>
        <v>0.75</v>
      </c>
      <c r="Y272" s="6">
        <f>X272*S272</f>
        <v>3.75</v>
      </c>
      <c r="Z272" s="2" t="inlineStr">
        <is>
          <t>个人任务</t>
        </is>
      </c>
      <c r="AA272" s="2" t="n"/>
      <c r="AB272" s="2" t="inlineStr">
        <is>
          <t>挑战者庄园</t>
        </is>
      </c>
      <c r="AC272" s="2" t="inlineStr">
        <is>
          <t>玩家进攻胜利（attacker），非撤退，返程结算发放</t>
        </is>
      </c>
      <c r="AD272" s="2" t="inlineStr">
        <is>
          <t>data/mission_templates.yaml:L1556:drop_table.experience_watermelon</t>
        </is>
      </c>
    </row>
    <row r="273">
      <c r="A273" s="2" t="n">
        <v>31</v>
      </c>
      <c r="B273" s="2" t="inlineStr">
        <is>
          <t>hulao_qunying_zhan_lvbu</t>
        </is>
      </c>
      <c r="C273" s="2" t="inlineStr">
        <is>
          <t>飞将浮沉录：虎牢关群英战吕布</t>
        </is>
      </c>
      <c r="D273" s="2" t="inlineStr">
        <is>
          <t>高级</t>
        </is>
      </c>
      <c r="E273" s="2" t="inlineStr">
        <is>
          <t>task1</t>
        </is>
      </c>
      <c r="F273" s="2" t="inlineStr">
        <is>
          <t>否</t>
        </is>
      </c>
      <c r="G273" s="2" t="inlineStr">
        <is>
          <t>否</t>
        </is>
      </c>
      <c r="H273" s="2" t="n">
        <v>1</v>
      </c>
      <c r="I273" s="2" t="n">
        <v>2400</v>
      </c>
      <c r="J273" s="2" t="inlineStr">
        <is>
          <t>每日开放</t>
        </is>
      </c>
      <c r="K273" s="2" t="inlineStr">
        <is>
          <t>汜水关战报×1</t>
        </is>
      </c>
      <c r="L273" s="2" t="inlineStr">
        <is>
          <t>固定掉落</t>
        </is>
      </c>
      <c r="M273" s="2" t="inlineStr">
        <is>
          <t>hulao_war_banner</t>
        </is>
      </c>
      <c r="N273" s="2" t="inlineStr">
        <is>
          <t>hulao_war_banner</t>
        </is>
      </c>
      <c r="O273" s="2" t="inlineStr">
        <is>
          <t>虎牢关战旗</t>
        </is>
      </c>
      <c r="P273" s="2" t="inlineStr">
        <is>
          <t>资源</t>
        </is>
      </c>
      <c r="Q273" s="2" t="inlineStr">
        <is>
          <t>史诗/紫</t>
        </is>
      </c>
      <c r="R273" s="5" t="n">
        <v>1</v>
      </c>
      <c r="S273" s="2" t="n">
        <v>1</v>
      </c>
      <c r="T273" s="2" t="n"/>
      <c r="U273" s="2" t="inlineStr">
        <is>
          <t>否</t>
        </is>
      </c>
      <c r="V273" s="2" t="inlineStr">
        <is>
          <t>1</t>
        </is>
      </c>
      <c r="W273" s="2" t="n"/>
      <c r="X273" s="5">
        <f>R273</f>
        <v>1</v>
      </c>
      <c r="Y273" s="6">
        <f>X273*S273</f>
        <v>1</v>
      </c>
      <c r="Z273" s="2" t="inlineStr">
        <is>
          <t>个人任务</t>
        </is>
      </c>
      <c r="AA273" s="2" t="n"/>
      <c r="AB273" s="2" t="inlineStr">
        <is>
          <t>挑战者庄园</t>
        </is>
      </c>
      <c r="AC273" s="2" t="inlineStr">
        <is>
          <t>玩家进攻胜利（attacker），非撤退，返程结算发放</t>
        </is>
      </c>
      <c r="AD273" s="2" t="inlineStr">
        <is>
          <t>data/mission_templates.yaml:L1556:drop_table.hulao_war_banner</t>
        </is>
      </c>
    </row>
    <row r="274">
      <c r="A274" s="2" t="n">
        <v>31</v>
      </c>
      <c r="B274" s="2" t="inlineStr">
        <is>
          <t>hulao_qunying_zhan_lvbu</t>
        </is>
      </c>
      <c r="C274" s="2" t="inlineStr">
        <is>
          <t>飞将浮沉录：虎牢关群英战吕布</t>
        </is>
      </c>
      <c r="D274" s="2" t="inlineStr">
        <is>
          <t>高级</t>
        </is>
      </c>
      <c r="E274" s="2" t="inlineStr">
        <is>
          <t>task1</t>
        </is>
      </c>
      <c r="F274" s="2" t="inlineStr">
        <is>
          <t>否</t>
        </is>
      </c>
      <c r="G274" s="2" t="inlineStr">
        <is>
          <t>否</t>
        </is>
      </c>
      <c r="H274" s="2" t="n">
        <v>1</v>
      </c>
      <c r="I274" s="2" t="n">
        <v>2400</v>
      </c>
      <c r="J274" s="2" t="inlineStr">
        <is>
          <t>每日开放</t>
        </is>
      </c>
      <c r="K274" s="2" t="inlineStr">
        <is>
          <t>汜水关战报×1</t>
        </is>
      </c>
      <c r="L274" s="2" t="inlineStr">
        <is>
          <t>概率掉落</t>
        </is>
      </c>
      <c r="M274" s="2" t="inlineStr">
        <is>
          <t>equip_fangtianhuaji</t>
        </is>
      </c>
      <c r="N274" s="2" t="inlineStr">
        <is>
          <t>equip_fangtianhuaji</t>
        </is>
      </c>
      <c r="O274" s="2" t="inlineStr">
        <is>
          <t>方天画戟</t>
        </is>
      </c>
      <c r="P274" s="2" t="inlineStr">
        <is>
          <t>武器</t>
        </is>
      </c>
      <c r="Q274" s="2" t="inlineStr">
        <is>
          <t>传说/橙</t>
        </is>
      </c>
      <c r="R274" s="5" t="n">
        <v>0.009599999999999999</v>
      </c>
      <c r="S274" s="2" t="n">
        <v>1</v>
      </c>
      <c r="T274" s="2" t="n"/>
      <c r="U274" s="2" t="inlineStr">
        <is>
          <t>否</t>
        </is>
      </c>
      <c r="V274" s="2" t="inlineStr">
        <is>
          <t>0.0096</t>
        </is>
      </c>
      <c r="W274" s="2" t="n"/>
      <c r="X274" s="5">
        <f>R274</f>
        <v>0.0096</v>
      </c>
      <c r="Y274" s="6">
        <f>X274*S274</f>
        <v>0.0096</v>
      </c>
      <c r="Z274" s="2" t="inlineStr">
        <is>
          <t>个人任务</t>
        </is>
      </c>
      <c r="AA274" s="2" t="n"/>
      <c r="AB274" s="2" t="inlineStr">
        <is>
          <t>挑战者庄园</t>
        </is>
      </c>
      <c r="AC274" s="2" t="inlineStr">
        <is>
          <t>玩家进攻胜利（attacker），非撤退，返程结算发放</t>
        </is>
      </c>
      <c r="AD274" s="2" t="inlineStr">
        <is>
          <t>data/mission_templates.yaml:L1556:drop_table.equip_fangtianhuaji</t>
        </is>
      </c>
    </row>
    <row r="275">
      <c r="A275" s="2" t="n">
        <v>31</v>
      </c>
      <c r="B275" s="2" t="inlineStr">
        <is>
          <t>hulao_qunying_zhan_lvbu</t>
        </is>
      </c>
      <c r="C275" s="2" t="inlineStr">
        <is>
          <t>飞将浮沉录：虎牢关群英战吕布</t>
        </is>
      </c>
      <c r="D275" s="2" t="inlineStr">
        <is>
          <t>高级</t>
        </is>
      </c>
      <c r="E275" s="2" t="inlineStr">
        <is>
          <t>task1</t>
        </is>
      </c>
      <c r="F275" s="2" t="inlineStr">
        <is>
          <t>否</t>
        </is>
      </c>
      <c r="G275" s="2" t="inlineStr">
        <is>
          <t>否</t>
        </is>
      </c>
      <c r="H275" s="2" t="n">
        <v>1</v>
      </c>
      <c r="I275" s="2" t="n">
        <v>2400</v>
      </c>
      <c r="J275" s="2" t="inlineStr">
        <is>
          <t>每日开放</t>
        </is>
      </c>
      <c r="K275" s="2" t="inlineStr">
        <is>
          <t>汜水关战报×1</t>
        </is>
      </c>
      <c r="L275" s="2" t="inlineStr">
        <is>
          <t>概率掉落</t>
        </is>
      </c>
      <c r="M275" s="2" t="inlineStr">
        <is>
          <t>equip_longlinzhanjia</t>
        </is>
      </c>
      <c r="N275" s="2" t="inlineStr">
        <is>
          <t>equip_longlinzhanjia</t>
        </is>
      </c>
      <c r="O275" s="2" t="inlineStr">
        <is>
          <t>龙鳞战甲</t>
        </is>
      </c>
      <c r="P275" s="2" t="inlineStr">
        <is>
          <t>护甲</t>
        </is>
      </c>
      <c r="Q275" s="2" t="inlineStr">
        <is>
          <t>传说/橙</t>
        </is>
      </c>
      <c r="R275" s="5" t="n">
        <v>0.0072</v>
      </c>
      <c r="S275" s="2" t="n">
        <v>1</v>
      </c>
      <c r="T275" s="2" t="n"/>
      <c r="U275" s="2" t="inlineStr">
        <is>
          <t>否</t>
        </is>
      </c>
      <c r="V275" s="2" t="inlineStr">
        <is>
          <t>0.0072</t>
        </is>
      </c>
      <c r="W275" s="2" t="n"/>
      <c r="X275" s="5">
        <f>R275</f>
        <v>0.0072</v>
      </c>
      <c r="Y275" s="6">
        <f>X275*S275</f>
        <v>0.0072</v>
      </c>
      <c r="Z275" s="2" t="inlineStr">
        <is>
          <t>个人任务</t>
        </is>
      </c>
      <c r="AA275" s="2" t="n"/>
      <c r="AB275" s="2" t="inlineStr">
        <is>
          <t>挑战者庄园</t>
        </is>
      </c>
      <c r="AC275" s="2" t="inlineStr">
        <is>
          <t>玩家进攻胜利（attacker），非撤退，返程结算发放</t>
        </is>
      </c>
      <c r="AD275" s="2" t="inlineStr">
        <is>
          <t>data/mission_templates.yaml:L1556:drop_table.equip_longlinzhanjia</t>
        </is>
      </c>
    </row>
    <row r="276">
      <c r="A276" s="2" t="n">
        <v>31</v>
      </c>
      <c r="B276" s="2" t="inlineStr">
        <is>
          <t>hulao_qunying_zhan_lvbu</t>
        </is>
      </c>
      <c r="C276" s="2" t="inlineStr">
        <is>
          <t>飞将浮沉录：虎牢关群英战吕布</t>
        </is>
      </c>
      <c r="D276" s="2" t="inlineStr">
        <is>
          <t>高级</t>
        </is>
      </c>
      <c r="E276" s="2" t="inlineStr">
        <is>
          <t>task1</t>
        </is>
      </c>
      <c r="F276" s="2" t="inlineStr">
        <is>
          <t>否</t>
        </is>
      </c>
      <c r="G276" s="2" t="inlineStr">
        <is>
          <t>否</t>
        </is>
      </c>
      <c r="H276" s="2" t="n">
        <v>1</v>
      </c>
      <c r="I276" s="2" t="n">
        <v>2400</v>
      </c>
      <c r="J276" s="2" t="inlineStr">
        <is>
          <t>每日开放</t>
        </is>
      </c>
      <c r="K276" s="2" t="inlineStr">
        <is>
          <t>汜水关战报×1</t>
        </is>
      </c>
      <c r="L276" s="2" t="inlineStr">
        <is>
          <t>概率掉落</t>
        </is>
      </c>
      <c r="M276" s="2" t="inlineStr">
        <is>
          <t>equip_chituma</t>
        </is>
      </c>
      <c r="N276" s="2" t="inlineStr">
        <is>
          <t>equip_chituma</t>
        </is>
      </c>
      <c r="O276" s="2" t="inlineStr">
        <is>
          <t>赤兔马</t>
        </is>
      </c>
      <c r="P276" s="2" t="inlineStr">
        <is>
          <t>坐骑</t>
        </is>
      </c>
      <c r="Q276" s="2" t="inlineStr">
        <is>
          <t>传说/橙</t>
        </is>
      </c>
      <c r="R276" s="5" t="n">
        <v>0.006</v>
      </c>
      <c r="S276" s="2" t="n">
        <v>1</v>
      </c>
      <c r="T276" s="2" t="n"/>
      <c r="U276" s="2" t="inlineStr">
        <is>
          <t>否</t>
        </is>
      </c>
      <c r="V276" s="2" t="inlineStr">
        <is>
          <t>0.006</t>
        </is>
      </c>
      <c r="W276" s="2" t="n"/>
      <c r="X276" s="5">
        <f>R276</f>
        <v>0.006</v>
      </c>
      <c r="Y276" s="6">
        <f>X276*S276</f>
        <v>0.006</v>
      </c>
      <c r="Z276" s="2" t="inlineStr">
        <is>
          <t>个人任务</t>
        </is>
      </c>
      <c r="AA276" s="2" t="n"/>
      <c r="AB276" s="2" t="inlineStr">
        <is>
          <t>挑战者庄园</t>
        </is>
      </c>
      <c r="AC276" s="2" t="inlineStr">
        <is>
          <t>玩家进攻胜利（attacker），非撤退，返程结算发放</t>
        </is>
      </c>
      <c r="AD276" s="2" t="inlineStr">
        <is>
          <t>data/mission_templates.yaml:L1556:drop_table.equip_chituma</t>
        </is>
      </c>
    </row>
    <row r="277">
      <c r="A277" s="2" t="n">
        <v>32</v>
      </c>
      <c r="B277" s="2" t="inlineStr">
        <is>
          <t>baimenlou_mingyun_jueze</t>
        </is>
      </c>
      <c r="C277" s="2" t="inlineStr">
        <is>
          <t>飞将浮沉录：白门楼命运抉择</t>
        </is>
      </c>
      <c r="D277" s="2" t="inlineStr">
        <is>
          <t>高级</t>
        </is>
      </c>
      <c r="E277" s="2" t="inlineStr">
        <is>
          <t>task1</t>
        </is>
      </c>
      <c r="F277" s="2" t="inlineStr">
        <is>
          <t>否</t>
        </is>
      </c>
      <c r="G277" s="2" t="inlineStr">
        <is>
          <t>否</t>
        </is>
      </c>
      <c r="H277" s="2" t="n">
        <v>1</v>
      </c>
      <c r="I277" s="2" t="n">
        <v>2700</v>
      </c>
      <c r="J277" s="2" t="inlineStr">
        <is>
          <t>每日开放</t>
        </is>
      </c>
      <c r="K277" s="2" t="inlineStr">
        <is>
          <t>虎牢关战旗×1</t>
        </is>
      </c>
      <c r="L277" s="2" t="inlineStr">
        <is>
          <t>固定掉落</t>
        </is>
      </c>
      <c r="M277" s="2" t="inlineStr">
        <is>
          <t>silver</t>
        </is>
      </c>
      <c r="N277" s="2" t="inlineStr">
        <is>
          <t>silver</t>
        </is>
      </c>
      <c r="O277" s="2" t="inlineStr">
        <is>
          <t>银两</t>
        </is>
      </c>
      <c r="P277" s="2" t="inlineStr">
        <is>
          <t>资源</t>
        </is>
      </c>
      <c r="Q277" s="2" t="inlineStr">
        <is>
          <t>资源</t>
        </is>
      </c>
      <c r="R277" s="5" t="n">
        <v>1</v>
      </c>
      <c r="S277" s="2" t="n">
        <v>180000</v>
      </c>
      <c r="T277" s="2" t="n"/>
      <c r="U277" s="2" t="inlineStr">
        <is>
          <t>否</t>
        </is>
      </c>
      <c r="V277" s="2" t="inlineStr">
        <is>
          <t>180000</t>
        </is>
      </c>
      <c r="W277" s="2" t="n"/>
      <c r="X277" s="5">
        <f>R277</f>
        <v>1</v>
      </c>
      <c r="Y277" s="6">
        <f>X277*S277</f>
        <v>180000</v>
      </c>
      <c r="Z277" s="2" t="inlineStr">
        <is>
          <t>个人任务</t>
        </is>
      </c>
      <c r="AA277" s="2" t="n"/>
      <c r="AB277" s="2" t="inlineStr">
        <is>
          <t>挑战者庄园</t>
        </is>
      </c>
      <c r="AC277" s="2" t="inlineStr">
        <is>
          <t>玩家进攻胜利（attacker），非撤退，返程结算发放</t>
        </is>
      </c>
      <c r="AD277" s="2" t="inlineStr">
        <is>
          <t>data/mission_templates.yaml:L1602:drop_table.silver</t>
        </is>
      </c>
    </row>
    <row r="278">
      <c r="A278" s="2" t="n">
        <v>32</v>
      </c>
      <c r="B278" s="2" t="inlineStr">
        <is>
          <t>baimenlou_mingyun_jueze</t>
        </is>
      </c>
      <c r="C278" s="2" t="inlineStr">
        <is>
          <t>飞将浮沉录：白门楼命运抉择</t>
        </is>
      </c>
      <c r="D278" s="2" t="inlineStr">
        <is>
          <t>高级</t>
        </is>
      </c>
      <c r="E278" s="2" t="inlineStr">
        <is>
          <t>task1</t>
        </is>
      </c>
      <c r="F278" s="2" t="inlineStr">
        <is>
          <t>否</t>
        </is>
      </c>
      <c r="G278" s="2" t="inlineStr">
        <is>
          <t>否</t>
        </is>
      </c>
      <c r="H278" s="2" t="n">
        <v>1</v>
      </c>
      <c r="I278" s="2" t="n">
        <v>2700</v>
      </c>
      <c r="J278" s="2" t="inlineStr">
        <is>
          <t>每日开放</t>
        </is>
      </c>
      <c r="K278" s="2" t="inlineStr">
        <is>
          <t>虎牢关战旗×1</t>
        </is>
      </c>
      <c r="L278" s="2" t="inlineStr">
        <is>
          <t>概率掉落</t>
        </is>
      </c>
      <c r="M278" s="2" t="inlineStr">
        <is>
          <t>experience_watermelon</t>
        </is>
      </c>
      <c r="N278" s="2" t="inlineStr">
        <is>
          <t>experience_watermelon</t>
        </is>
      </c>
      <c r="O278" s="2" t="inlineStr">
        <is>
          <t>经验西瓜</t>
        </is>
      </c>
      <c r="P278" s="2" t="inlineStr">
        <is>
          <t>经验道具</t>
        </is>
      </c>
      <c r="Q278" s="2" t="inlineStr">
        <is>
          <t>史诗/紫</t>
        </is>
      </c>
      <c r="R278" s="5" t="n">
        <v>0.9</v>
      </c>
      <c r="S278" s="2" t="n">
        <v>8</v>
      </c>
      <c r="T278" s="2" t="n"/>
      <c r="U278" s="2" t="inlineStr">
        <is>
          <t>否</t>
        </is>
      </c>
      <c r="V278" s="2" t="inlineStr">
        <is>
          <t>{"chance":0.9,"count":8}</t>
        </is>
      </c>
      <c r="W278" s="2" t="n"/>
      <c r="X278" s="5">
        <f>R278</f>
        <v>0.9</v>
      </c>
      <c r="Y278" s="6">
        <f>X278*S278</f>
        <v>7.2</v>
      </c>
      <c r="Z278" s="2" t="inlineStr">
        <is>
          <t>个人任务</t>
        </is>
      </c>
      <c r="AA278" s="2" t="n"/>
      <c r="AB278" s="2" t="inlineStr">
        <is>
          <t>挑战者庄园</t>
        </is>
      </c>
      <c r="AC278" s="2" t="inlineStr">
        <is>
          <t>玩家进攻胜利（attacker），非撤退，返程结算发放</t>
        </is>
      </c>
      <c r="AD278" s="2" t="inlineStr">
        <is>
          <t>data/mission_templates.yaml:L1602:drop_table.experience_watermelon</t>
        </is>
      </c>
    </row>
    <row r="279">
      <c r="A279" s="2" t="n">
        <v>32</v>
      </c>
      <c r="B279" s="2" t="inlineStr">
        <is>
          <t>baimenlou_mingyun_jueze</t>
        </is>
      </c>
      <c r="C279" s="2" t="inlineStr">
        <is>
          <t>飞将浮沉录：白门楼命运抉择</t>
        </is>
      </c>
      <c r="D279" s="2" t="inlineStr">
        <is>
          <t>高级</t>
        </is>
      </c>
      <c r="E279" s="2" t="inlineStr">
        <is>
          <t>task1</t>
        </is>
      </c>
      <c r="F279" s="2" t="inlineStr">
        <is>
          <t>否</t>
        </is>
      </c>
      <c r="G279" s="2" t="inlineStr">
        <is>
          <t>否</t>
        </is>
      </c>
      <c r="H279" s="2" t="n">
        <v>1</v>
      </c>
      <c r="I279" s="2" t="n">
        <v>2700</v>
      </c>
      <c r="J279" s="2" t="inlineStr">
        <is>
          <t>每日开放</t>
        </is>
      </c>
      <c r="K279" s="2" t="inlineStr">
        <is>
          <t>虎牢关战旗×1</t>
        </is>
      </c>
      <c r="L279" s="2" t="inlineStr">
        <is>
          <t>概率掉落</t>
        </is>
      </c>
      <c r="M279" s="2" t="inlineStr">
        <is>
          <t>lvbu_guest_scroll</t>
        </is>
      </c>
      <c r="N279" s="2" t="inlineStr">
        <is>
          <t>lvbu_guest_scroll</t>
        </is>
      </c>
      <c r="O279" s="2" t="inlineStr">
        <is>
          <t>吕布招募卷轴</t>
        </is>
      </c>
      <c r="P279" s="2" t="inlineStr">
        <is>
          <t>道具</t>
        </is>
      </c>
      <c r="Q279" s="2" t="inlineStr">
        <is>
          <t>传说/橙</t>
        </is>
      </c>
      <c r="R279" s="5" t="n">
        <v>0.05</v>
      </c>
      <c r="S279" s="2" t="n">
        <v>1</v>
      </c>
      <c r="T279" s="2" t="n"/>
      <c r="U279" s="2" t="inlineStr">
        <is>
          <t>否</t>
        </is>
      </c>
      <c r="V279" s="2" t="inlineStr">
        <is>
          <t>0.05</t>
        </is>
      </c>
      <c r="W279" s="2" t="n"/>
      <c r="X279" s="5">
        <f>R279</f>
        <v>0.05</v>
      </c>
      <c r="Y279" s="6">
        <f>X279*S279</f>
        <v>0.05</v>
      </c>
      <c r="Z279" s="2" t="inlineStr">
        <is>
          <t>个人任务</t>
        </is>
      </c>
      <c r="AA279" s="2" t="n"/>
      <c r="AB279" s="2" t="inlineStr">
        <is>
          <t>挑战者庄园</t>
        </is>
      </c>
      <c r="AC279" s="2" t="inlineStr">
        <is>
          <t>玩家进攻胜利（attacker），非撤退，返程结算发放</t>
        </is>
      </c>
      <c r="AD279" s="2" t="inlineStr">
        <is>
          <t>data/mission_templates.yaml:L1602:drop_table.lvbu_guest_scroll</t>
        </is>
      </c>
    </row>
    <row r="280">
      <c r="A280" s="2" t="n">
        <v>32</v>
      </c>
      <c r="B280" s="2" t="inlineStr">
        <is>
          <t>baimenlou_mingyun_jueze</t>
        </is>
      </c>
      <c r="C280" s="2" t="inlineStr">
        <is>
          <t>飞将浮沉录：白门楼命运抉择</t>
        </is>
      </c>
      <c r="D280" s="2" t="inlineStr">
        <is>
          <t>高级</t>
        </is>
      </c>
      <c r="E280" s="2" t="inlineStr">
        <is>
          <t>task1</t>
        </is>
      </c>
      <c r="F280" s="2" t="inlineStr">
        <is>
          <t>否</t>
        </is>
      </c>
      <c r="G280" s="2" t="inlineStr">
        <is>
          <t>否</t>
        </is>
      </c>
      <c r="H280" s="2" t="n">
        <v>1</v>
      </c>
      <c r="I280" s="2" t="n">
        <v>2700</v>
      </c>
      <c r="J280" s="2" t="inlineStr">
        <is>
          <t>每日开放</t>
        </is>
      </c>
      <c r="K280" s="2" t="inlineStr">
        <is>
          <t>虎牢关战旗×1</t>
        </is>
      </c>
      <c r="L280" s="2" t="inlineStr">
        <is>
          <t>概率掉落</t>
        </is>
      </c>
      <c r="M280" s="2" t="inlineStr">
        <is>
          <t>super_guest_disguise_card</t>
        </is>
      </c>
      <c r="N280" s="2" t="inlineStr">
        <is>
          <t>super_guest_disguise_card</t>
        </is>
      </c>
      <c r="O280" s="2" t="inlineStr">
        <is>
          <t>超级门客易容卡</t>
        </is>
      </c>
      <c r="P280" s="2" t="inlineStr">
        <is>
          <t>道具</t>
        </is>
      </c>
      <c r="Q280" s="2" t="inlineStr">
        <is>
          <t>传说/橙</t>
        </is>
      </c>
      <c r="R280" s="5" t="n">
        <v>0.01</v>
      </c>
      <c r="S280" s="2" t="n">
        <v>1</v>
      </c>
      <c r="T280" s="2" t="n"/>
      <c r="U280" s="2" t="inlineStr">
        <is>
          <t>否</t>
        </is>
      </c>
      <c r="V280" s="2" t="inlineStr">
        <is>
          <t>0.01</t>
        </is>
      </c>
      <c r="W280" s="2" t="n"/>
      <c r="X280" s="5">
        <f>R280</f>
        <v>0.01</v>
      </c>
      <c r="Y280" s="6">
        <f>X280*S280</f>
        <v>0.01</v>
      </c>
      <c r="Z280" s="2" t="inlineStr">
        <is>
          <t>个人任务</t>
        </is>
      </c>
      <c r="AA280" s="2" t="n"/>
      <c r="AB280" s="2" t="inlineStr">
        <is>
          <t>挑战者庄园</t>
        </is>
      </c>
      <c r="AC280" s="2" t="inlineStr">
        <is>
          <t>玩家进攻胜利（attacker），非撤退，返程结算发放</t>
        </is>
      </c>
      <c r="AD280" s="2" t="inlineStr">
        <is>
          <t>data/mission_templates.yaml:L1602:drop_table.super_guest_disguise_card</t>
        </is>
      </c>
    </row>
    <row r="281">
      <c r="A281" s="2" t="n">
        <v>32</v>
      </c>
      <c r="B281" s="2" t="inlineStr">
        <is>
          <t>baimenlou_mingyun_jueze</t>
        </is>
      </c>
      <c r="C281" s="2" t="inlineStr">
        <is>
          <t>飞将浮沉录：白门楼命运抉择</t>
        </is>
      </c>
      <c r="D281" s="2" t="inlineStr">
        <is>
          <t>高级</t>
        </is>
      </c>
      <c r="E281" s="2" t="inlineStr">
        <is>
          <t>task1</t>
        </is>
      </c>
      <c r="F281" s="2" t="inlineStr">
        <is>
          <t>否</t>
        </is>
      </c>
      <c r="G281" s="2" t="inlineStr">
        <is>
          <t>否</t>
        </is>
      </c>
      <c r="H281" s="2" t="n">
        <v>1</v>
      </c>
      <c r="I281" s="2" t="n">
        <v>2700</v>
      </c>
      <c r="J281" s="2" t="inlineStr">
        <is>
          <t>每日开放</t>
        </is>
      </c>
      <c r="K281" s="2" t="inlineStr">
        <is>
          <t>虎牢关战旗×1</t>
        </is>
      </c>
      <c r="L281" s="2" t="inlineStr">
        <is>
          <t>概率掉落</t>
        </is>
      </c>
      <c r="M281" s="2" t="inlineStr">
        <is>
          <t>diaochan_guest_scroll</t>
        </is>
      </c>
      <c r="N281" s="2" t="inlineStr">
        <is>
          <t>diaochan_guest_scroll</t>
        </is>
      </c>
      <c r="O281" s="2" t="inlineStr">
        <is>
          <t>貂蝉招募卷轴</t>
        </is>
      </c>
      <c r="P281" s="2" t="inlineStr">
        <is>
          <t>道具</t>
        </is>
      </c>
      <c r="Q281" s="2" t="inlineStr">
        <is>
          <t>史诗/紫</t>
        </is>
      </c>
      <c r="R281" s="5" t="n">
        <v>0.02</v>
      </c>
      <c r="S281" s="2" t="n">
        <v>1</v>
      </c>
      <c r="T281" s="2" t="n"/>
      <c r="U281" s="2" t="inlineStr">
        <is>
          <t>否</t>
        </is>
      </c>
      <c r="V281" s="2" t="inlineStr">
        <is>
          <t>0.02</t>
        </is>
      </c>
      <c r="W281" s="2" t="n"/>
      <c r="X281" s="5">
        <f>R281</f>
        <v>0.02</v>
      </c>
      <c r="Y281" s="6">
        <f>X281*S281</f>
        <v>0.02</v>
      </c>
      <c r="Z281" s="2" t="inlineStr">
        <is>
          <t>个人任务</t>
        </is>
      </c>
      <c r="AA281" s="2" t="n"/>
      <c r="AB281" s="2" t="inlineStr">
        <is>
          <t>挑战者庄园</t>
        </is>
      </c>
      <c r="AC281" s="2" t="inlineStr">
        <is>
          <t>玩家进攻胜利（attacker），非撤退，返程结算发放</t>
        </is>
      </c>
      <c r="AD281" s="2" t="inlineStr">
        <is>
          <t>data/mission_templates.yaml:L1602:drop_table.diaochan_guest_scroll</t>
        </is>
      </c>
    </row>
    <row r="282">
      <c r="A282" s="2" t="n">
        <v>32</v>
      </c>
      <c r="B282" s="2" t="inlineStr">
        <is>
          <t>baimenlou_mingyun_jueze</t>
        </is>
      </c>
      <c r="C282" s="2" t="inlineStr">
        <is>
          <t>飞将浮沉录：白门楼命运抉择</t>
        </is>
      </c>
      <c r="D282" s="2" t="inlineStr">
        <is>
          <t>高级</t>
        </is>
      </c>
      <c r="E282" s="2" t="inlineStr">
        <is>
          <t>task1</t>
        </is>
      </c>
      <c r="F282" s="2" t="inlineStr">
        <is>
          <t>否</t>
        </is>
      </c>
      <c r="G282" s="2" t="inlineStr">
        <is>
          <t>否</t>
        </is>
      </c>
      <c r="H282" s="2" t="n">
        <v>1</v>
      </c>
      <c r="I282" s="2" t="n">
        <v>2700</v>
      </c>
      <c r="J282" s="2" t="inlineStr">
        <is>
          <t>每日开放</t>
        </is>
      </c>
      <c r="K282" s="2" t="inlineStr">
        <is>
          <t>虎牢关战旗×1</t>
        </is>
      </c>
      <c r="L282" s="2" t="inlineStr">
        <is>
          <t>概率掉落</t>
        </is>
      </c>
      <c r="M282" s="2" t="inlineStr">
        <is>
          <t>equip_panlonggun</t>
        </is>
      </c>
      <c r="N282" s="2" t="inlineStr">
        <is>
          <t>equip_panlonggun</t>
        </is>
      </c>
      <c r="O282" s="2" t="inlineStr">
        <is>
          <t>盘龙棍</t>
        </is>
      </c>
      <c r="P282" s="2" t="inlineStr">
        <is>
          <t>武器</t>
        </is>
      </c>
      <c r="Q282" s="2" t="inlineStr">
        <is>
          <t>传说/橙</t>
        </is>
      </c>
      <c r="R282" s="5" t="n">
        <v>0.009599999999999999</v>
      </c>
      <c r="S282" s="2" t="n">
        <v>1</v>
      </c>
      <c r="T282" s="2" t="n"/>
      <c r="U282" s="2" t="inlineStr">
        <is>
          <t>否</t>
        </is>
      </c>
      <c r="V282" s="2" t="inlineStr">
        <is>
          <t>0.0096</t>
        </is>
      </c>
      <c r="W282" s="2" t="n"/>
      <c r="X282" s="5">
        <f>R282</f>
        <v>0.0096</v>
      </c>
      <c r="Y282" s="6">
        <f>X282*S282</f>
        <v>0.0096</v>
      </c>
      <c r="Z282" s="2" t="inlineStr">
        <is>
          <t>个人任务</t>
        </is>
      </c>
      <c r="AA282" s="2" t="n"/>
      <c r="AB282" s="2" t="inlineStr">
        <is>
          <t>挑战者庄园</t>
        </is>
      </c>
      <c r="AC282" s="2" t="inlineStr">
        <is>
          <t>玩家进攻胜利（attacker），非撤退，返程结算发放</t>
        </is>
      </c>
      <c r="AD282" s="2" t="inlineStr">
        <is>
          <t>data/mission_templates.yaml:L1602:drop_table.equip_panlonggun</t>
        </is>
      </c>
    </row>
    <row r="283">
      <c r="A283" s="2" t="n">
        <v>32</v>
      </c>
      <c r="B283" s="2" t="inlineStr">
        <is>
          <t>baimenlou_mingyun_jueze</t>
        </is>
      </c>
      <c r="C283" s="2" t="inlineStr">
        <is>
          <t>飞将浮沉录：白门楼命运抉择</t>
        </is>
      </c>
      <c r="D283" s="2" t="inlineStr">
        <is>
          <t>高级</t>
        </is>
      </c>
      <c r="E283" s="2" t="inlineStr">
        <is>
          <t>task1</t>
        </is>
      </c>
      <c r="F283" s="2" t="inlineStr">
        <is>
          <t>否</t>
        </is>
      </c>
      <c r="G283" s="2" t="inlineStr">
        <is>
          <t>否</t>
        </is>
      </c>
      <c r="H283" s="2" t="n">
        <v>1</v>
      </c>
      <c r="I283" s="2" t="n">
        <v>2700</v>
      </c>
      <c r="J283" s="2" t="inlineStr">
        <is>
          <t>每日开放</t>
        </is>
      </c>
      <c r="K283" s="2" t="inlineStr">
        <is>
          <t>虎牢关战旗×1</t>
        </is>
      </c>
      <c r="L283" s="2" t="inlineStr">
        <is>
          <t>概率掉落</t>
        </is>
      </c>
      <c r="M283" s="2" t="inlineStr">
        <is>
          <t>equip_pojunzhanjia</t>
        </is>
      </c>
      <c r="N283" s="2" t="inlineStr">
        <is>
          <t>equip_pojunzhanjia</t>
        </is>
      </c>
      <c r="O283" s="2" t="inlineStr">
        <is>
          <t>破军战甲</t>
        </is>
      </c>
      <c r="P283" s="2" t="inlineStr">
        <is>
          <t>护甲</t>
        </is>
      </c>
      <c r="Q283" s="2" t="inlineStr">
        <is>
          <t>史诗/紫</t>
        </is>
      </c>
      <c r="R283" s="5" t="n">
        <v>0.02</v>
      </c>
      <c r="S283" s="2" t="n">
        <v>1</v>
      </c>
      <c r="T283" s="2" t="n"/>
      <c r="U283" s="2" t="inlineStr">
        <is>
          <t>否</t>
        </is>
      </c>
      <c r="V283" s="2" t="inlineStr">
        <is>
          <t>0.02</t>
        </is>
      </c>
      <c r="W283" s="2" t="n"/>
      <c r="X283" s="5">
        <f>R283</f>
        <v>0.02</v>
      </c>
      <c r="Y283" s="6">
        <f>X283*S283</f>
        <v>0.02</v>
      </c>
      <c r="Z283" s="2" t="inlineStr">
        <is>
          <t>个人任务</t>
        </is>
      </c>
      <c r="AA283" s="2" t="n"/>
      <c r="AB283" s="2" t="inlineStr">
        <is>
          <t>挑战者庄园</t>
        </is>
      </c>
      <c r="AC283" s="2" t="inlineStr">
        <is>
          <t>玩家进攻胜利（attacker），非撤退，返程结算发放</t>
        </is>
      </c>
      <c r="AD283" s="2" t="inlineStr">
        <is>
          <t>data/mission_templates.yaml:L1602:drop_table.equip_pojunzhanjia</t>
        </is>
      </c>
    </row>
    <row r="284">
      <c r="A284" s="2" t="n">
        <v>32</v>
      </c>
      <c r="B284" s="2" t="inlineStr">
        <is>
          <t>baimenlou_mingyun_jueze</t>
        </is>
      </c>
      <c r="C284" s="2" t="inlineStr">
        <is>
          <t>飞将浮沉录：白门楼命运抉择</t>
        </is>
      </c>
      <c r="D284" s="2" t="inlineStr">
        <is>
          <t>高级</t>
        </is>
      </c>
      <c r="E284" s="2" t="inlineStr">
        <is>
          <t>task1</t>
        </is>
      </c>
      <c r="F284" s="2" t="inlineStr">
        <is>
          <t>否</t>
        </is>
      </c>
      <c r="G284" s="2" t="inlineStr">
        <is>
          <t>否</t>
        </is>
      </c>
      <c r="H284" s="2" t="n">
        <v>1</v>
      </c>
      <c r="I284" s="2" t="n">
        <v>2700</v>
      </c>
      <c r="J284" s="2" t="inlineStr">
        <is>
          <t>每日开放</t>
        </is>
      </c>
      <c r="K284" s="2" t="inlineStr">
        <is>
          <t>虎牢关战旗×1</t>
        </is>
      </c>
      <c r="L284" s="2" t="inlineStr">
        <is>
          <t>概率掉落</t>
        </is>
      </c>
      <c r="M284" s="2" t="inlineStr">
        <is>
          <t>equip_tianjiguan</t>
        </is>
      </c>
      <c r="N284" s="2" t="inlineStr">
        <is>
          <t>equip_tianjiguan</t>
        </is>
      </c>
      <c r="O284" s="2" t="inlineStr">
        <is>
          <t>天机冠</t>
        </is>
      </c>
      <c r="P284" s="2" t="inlineStr">
        <is>
          <t>头盔</t>
        </is>
      </c>
      <c r="Q284" s="2" t="inlineStr">
        <is>
          <t>史诗/紫</t>
        </is>
      </c>
      <c r="R284" s="5" t="n">
        <v>0.025</v>
      </c>
      <c r="S284" s="2" t="n">
        <v>1</v>
      </c>
      <c r="T284" s="2" t="n"/>
      <c r="U284" s="2" t="inlineStr">
        <is>
          <t>否</t>
        </is>
      </c>
      <c r="V284" s="2" t="inlineStr">
        <is>
          <t>0.025</t>
        </is>
      </c>
      <c r="W284" s="2" t="n"/>
      <c r="X284" s="5">
        <f>R284</f>
        <v>0.025</v>
      </c>
      <c r="Y284" s="6">
        <f>X284*S284</f>
        <v>0.025</v>
      </c>
      <c r="Z284" s="2" t="inlineStr">
        <is>
          <t>个人任务</t>
        </is>
      </c>
      <c r="AA284" s="2" t="n"/>
      <c r="AB284" s="2" t="inlineStr">
        <is>
          <t>挑战者庄园</t>
        </is>
      </c>
      <c r="AC284" s="2" t="inlineStr">
        <is>
          <t>玩家进攻胜利（attacker），非撤退，返程结算发放</t>
        </is>
      </c>
      <c r="AD284" s="2" t="inlineStr">
        <is>
          <t>data/mission_templates.yaml:L1602:drop_table.equip_tianjiguan</t>
        </is>
      </c>
    </row>
    <row r="285">
      <c r="A285" s="2" t="n">
        <v>32</v>
      </c>
      <c r="B285" s="2" t="inlineStr">
        <is>
          <t>baimenlou_mingyun_jueze</t>
        </is>
      </c>
      <c r="C285" s="2" t="inlineStr">
        <is>
          <t>飞将浮沉录：白门楼命运抉择</t>
        </is>
      </c>
      <c r="D285" s="2" t="inlineStr">
        <is>
          <t>高级</t>
        </is>
      </c>
      <c r="E285" s="2" t="inlineStr">
        <is>
          <t>task1</t>
        </is>
      </c>
      <c r="F285" s="2" t="inlineStr">
        <is>
          <t>否</t>
        </is>
      </c>
      <c r="G285" s="2" t="inlineStr">
        <is>
          <t>否</t>
        </is>
      </c>
      <c r="H285" s="2" t="n">
        <v>1</v>
      </c>
      <c r="I285" s="2" t="n">
        <v>2700</v>
      </c>
      <c r="J285" s="2" t="inlineStr">
        <is>
          <t>每日开放</t>
        </is>
      </c>
      <c r="K285" s="2" t="inlineStr">
        <is>
          <t>虎牢关战旗×1</t>
        </is>
      </c>
      <c r="L285" s="2" t="inlineStr">
        <is>
          <t>概率掉落</t>
        </is>
      </c>
      <c r="M285" s="2" t="inlineStr">
        <is>
          <t>book_dragon_roar</t>
        </is>
      </c>
      <c r="N285" s="2" t="inlineStr">
        <is>
          <t>book_dragon_roar</t>
        </is>
      </c>
      <c r="O285" s="2" t="inlineStr">
        <is>
          <t>《龙吟破阵》秘术</t>
        </is>
      </c>
      <c r="P285" s="2" t="inlineStr">
        <is>
          <t>技能书</t>
        </is>
      </c>
      <c r="Q285" s="2" t="inlineStr">
        <is>
          <t>史诗/紫</t>
        </is>
      </c>
      <c r="R285" s="5" t="n">
        <v>0.036</v>
      </c>
      <c r="S285" s="2" t="n">
        <v>1</v>
      </c>
      <c r="T285" s="2" t="n"/>
      <c r="U285" s="2" t="inlineStr">
        <is>
          <t>否</t>
        </is>
      </c>
      <c r="V285" s="2" t="inlineStr">
        <is>
          <t>0.036</t>
        </is>
      </c>
      <c r="W285" s="2" t="n"/>
      <c r="X285" s="5">
        <f>R285</f>
        <v>0.036</v>
      </c>
      <c r="Y285" s="6">
        <f>X285*S285</f>
        <v>0.036</v>
      </c>
      <c r="Z285" s="2" t="inlineStr">
        <is>
          <t>个人任务</t>
        </is>
      </c>
      <c r="AA285" s="2" t="n"/>
      <c r="AB285" s="2" t="inlineStr">
        <is>
          <t>挑战者庄园</t>
        </is>
      </c>
      <c r="AC285" s="2" t="inlineStr">
        <is>
          <t>玩家进攻胜利（attacker），非撤退，返程结算发放</t>
        </is>
      </c>
      <c r="AD285" s="2" t="inlineStr">
        <is>
          <t>data/mission_templates.yaml:L1602:drop_table.book_dragon_roar</t>
        </is>
      </c>
    </row>
    <row r="286">
      <c r="A286" s="2" t="n">
        <v>32</v>
      </c>
      <c r="B286" s="2" t="inlineStr">
        <is>
          <t>baimenlou_mingyun_jueze</t>
        </is>
      </c>
      <c r="C286" s="2" t="inlineStr">
        <is>
          <t>飞将浮沉录：白门楼命运抉择</t>
        </is>
      </c>
      <c r="D286" s="2" t="inlineStr">
        <is>
          <t>高级</t>
        </is>
      </c>
      <c r="E286" s="2" t="inlineStr">
        <is>
          <t>task1</t>
        </is>
      </c>
      <c r="F286" s="2" t="inlineStr">
        <is>
          <t>否</t>
        </is>
      </c>
      <c r="G286" s="2" t="inlineStr">
        <is>
          <t>否</t>
        </is>
      </c>
      <c r="H286" s="2" t="n">
        <v>1</v>
      </c>
      <c r="I286" s="2" t="n">
        <v>2700</v>
      </c>
      <c r="J286" s="2" t="inlineStr">
        <is>
          <t>每日开放</t>
        </is>
      </c>
      <c r="K286" s="2" t="inlineStr">
        <is>
          <t>虎牢关战旗×1</t>
        </is>
      </c>
      <c r="L286" s="2" t="inlineStr">
        <is>
          <t>概率掉落</t>
        </is>
      </c>
      <c r="M286" s="2" t="inlineStr">
        <is>
          <t>book_stratagem_burst</t>
        </is>
      </c>
      <c r="N286" s="2" t="inlineStr">
        <is>
          <t>book_stratagem_burst</t>
        </is>
      </c>
      <c r="O286" s="2" t="inlineStr">
        <is>
          <t>《奇策突袭》秘术</t>
        </is>
      </c>
      <c r="P286" s="2" t="inlineStr">
        <is>
          <t>技能书</t>
        </is>
      </c>
      <c r="Q286" s="2" t="inlineStr">
        <is>
          <t>史诗/紫</t>
        </is>
      </c>
      <c r="R286" s="5" t="n">
        <v>0.036</v>
      </c>
      <c r="S286" s="2" t="n">
        <v>1</v>
      </c>
      <c r="T286" s="2" t="n"/>
      <c r="U286" s="2" t="inlineStr">
        <is>
          <t>否</t>
        </is>
      </c>
      <c r="V286" s="2" t="inlineStr">
        <is>
          <t>0.036</t>
        </is>
      </c>
      <c r="W286" s="2" t="n"/>
      <c r="X286" s="5">
        <f>R286</f>
        <v>0.036</v>
      </c>
      <c r="Y286" s="6">
        <f>X286*S286</f>
        <v>0.036</v>
      </c>
      <c r="Z286" s="2" t="inlineStr">
        <is>
          <t>个人任务</t>
        </is>
      </c>
      <c r="AA286" s="2" t="n"/>
      <c r="AB286" s="2" t="inlineStr">
        <is>
          <t>挑战者庄园</t>
        </is>
      </c>
      <c r="AC286" s="2" t="inlineStr">
        <is>
          <t>玩家进攻胜利（attacker），非撤退，返程结算发放</t>
        </is>
      </c>
      <c r="AD286" s="2" t="inlineStr">
        <is>
          <t>data/mission_templates.yaml:L1602:drop_table.book_stratagem_burst</t>
        </is>
      </c>
    </row>
    <row r="287">
      <c r="A287" s="2" t="n">
        <v>32</v>
      </c>
      <c r="B287" s="2" t="inlineStr">
        <is>
          <t>baimenlou_mingyun_jueze</t>
        </is>
      </c>
      <c r="C287" s="2" t="inlineStr">
        <is>
          <t>飞将浮沉录：白门楼命运抉择</t>
        </is>
      </c>
      <c r="D287" s="2" t="inlineStr">
        <is>
          <t>高级</t>
        </is>
      </c>
      <c r="E287" s="2" t="inlineStr">
        <is>
          <t>task1</t>
        </is>
      </c>
      <c r="F287" s="2" t="inlineStr">
        <is>
          <t>否</t>
        </is>
      </c>
      <c r="G287" s="2" t="inlineStr">
        <is>
          <t>否</t>
        </is>
      </c>
      <c r="H287" s="2" t="n">
        <v>1</v>
      </c>
      <c r="I287" s="2" t="n">
        <v>2700</v>
      </c>
      <c r="J287" s="2" t="inlineStr">
        <is>
          <t>每日开放</t>
        </is>
      </c>
      <c r="K287" s="2" t="inlineStr">
        <is>
          <t>虎牢关战旗×1</t>
        </is>
      </c>
      <c r="L287" s="2" t="inlineStr">
        <is>
          <t>概率掉落</t>
        </is>
      </c>
      <c r="M287" s="2" t="inlineStr">
        <is>
          <t>book_prison_break_blade</t>
        </is>
      </c>
      <c r="N287" s="2" t="inlineStr">
        <is>
          <t>book_prison_break_blade</t>
        </is>
      </c>
      <c r="O287" s="2" t="inlineStr">
        <is>
          <t>《破狱狂刀》秘术</t>
        </is>
      </c>
      <c r="P287" s="2" t="inlineStr">
        <is>
          <t>技能书</t>
        </is>
      </c>
      <c r="Q287" s="2" t="inlineStr">
        <is>
          <t>史诗/紫</t>
        </is>
      </c>
      <c r="R287" s="5" t="n">
        <v>0.036</v>
      </c>
      <c r="S287" s="2" t="n">
        <v>1</v>
      </c>
      <c r="T287" s="2" t="n"/>
      <c r="U287" s="2" t="inlineStr">
        <is>
          <t>否</t>
        </is>
      </c>
      <c r="V287" s="2" t="inlineStr">
        <is>
          <t>0.036</t>
        </is>
      </c>
      <c r="W287" s="2" t="n"/>
      <c r="X287" s="5">
        <f>R287</f>
        <v>0.036</v>
      </c>
      <c r="Y287" s="6">
        <f>X287*S287</f>
        <v>0.036</v>
      </c>
      <c r="Z287" s="2" t="inlineStr">
        <is>
          <t>个人任务</t>
        </is>
      </c>
      <c r="AA287" s="2" t="n"/>
      <c r="AB287" s="2" t="inlineStr">
        <is>
          <t>挑战者庄园</t>
        </is>
      </c>
      <c r="AC287" s="2" t="inlineStr">
        <is>
          <t>玩家进攻胜利（attacker），非撤退，返程结算发放</t>
        </is>
      </c>
      <c r="AD287" s="2" t="inlineStr">
        <is>
          <t>data/mission_templates.yaml:L1602:drop_table.book_prison_break_blade</t>
        </is>
      </c>
    </row>
    <row r="288">
      <c r="A288" s="2" t="n">
        <v>33</v>
      </c>
      <c r="B288" s="2" t="inlineStr">
        <is>
          <t>guild_patrol_alpha</t>
        </is>
      </c>
      <c r="C288" s="2" t="inlineStr">
        <is>
          <t>夜袭乌鳞寨</t>
        </is>
      </c>
      <c r="D288" s="2" t="inlineStr">
        <is>
          <t>初级</t>
        </is>
      </c>
      <c r="E288" s="2" t="inlineStr">
        <is>
          <t>troop</t>
        </is>
      </c>
      <c r="F288" s="2" t="inlineStr">
        <is>
          <t>否</t>
        </is>
      </c>
      <c r="G288" s="2" t="inlineStr">
        <is>
          <t>否</t>
        </is>
      </c>
      <c r="H288" s="2" t="n"/>
      <c r="I288" s="2" t="n">
        <v>1500</v>
      </c>
      <c r="J288" s="2" t="inlineStr">
        <is>
          <t>每日开放</t>
        </is>
      </c>
      <c r="K288" s="2" t="inlineStr">
        <is>
          <t>无</t>
        </is>
      </c>
      <c r="L288" s="2" t="inlineStr">
        <is>
          <t>帮会固定奖励</t>
        </is>
      </c>
      <c r="M288" s="2" t="inlineStr">
        <is>
          <t>red_ruby</t>
        </is>
      </c>
      <c r="N288" s="2" t="inlineStr">
        <is>
          <t>red_ruby</t>
        </is>
      </c>
      <c r="O288" s="2" t="inlineStr">
        <is>
          <t>红宝石</t>
        </is>
      </c>
      <c r="P288" s="2" t="inlineStr">
        <is>
          <t>资源</t>
        </is>
      </c>
      <c r="Q288" s="2" t="inlineStr">
        <is>
          <t>稀有/蓝</t>
        </is>
      </c>
      <c r="R288" s="5" t="n">
        <v>1</v>
      </c>
      <c r="S288" s="2" t="n">
        <v>96</v>
      </c>
      <c r="T288" s="2" t="n"/>
      <c r="U288" s="2" t="inlineStr">
        <is>
          <t>否</t>
        </is>
      </c>
      <c r="V288" s="2" t="inlineStr">
        <is>
          <t>96</t>
        </is>
      </c>
      <c r="W288" s="2" t="n"/>
      <c r="X288" s="5">
        <f>R288</f>
        <v>1</v>
      </c>
      <c r="Y288" s="6">
        <f>X288*S288</f>
        <v>96</v>
      </c>
      <c r="Z288" s="2" t="inlineStr">
        <is>
          <t>帮会任务</t>
        </is>
      </c>
      <c r="AA288" s="2" t="n">
        <v>3</v>
      </c>
      <c r="AB288" s="2" t="inlineStr">
        <is>
          <t>帮会仓库</t>
        </is>
      </c>
      <c r="AC288" s="2" t="inlineStr">
        <is>
          <t>帮会任务胜利（attacker），非撤退，结算发放</t>
        </is>
      </c>
      <c r="AD288" s="2" t="inlineStr">
        <is>
          <t>data/guild_mission_templates.yaml:L9:ruby_reward</t>
        </is>
      </c>
    </row>
    <row r="289">
      <c r="A289" s="2" t="n">
        <v>34</v>
      </c>
      <c r="B289" s="2" t="inlineStr">
        <is>
          <t>guild_supply_escort</t>
        </is>
      </c>
      <c r="C289" s="2" t="inlineStr">
        <is>
          <t>血旗镖局风云</t>
        </is>
      </c>
      <c r="D289" s="2" t="inlineStr">
        <is>
          <t>中级</t>
        </is>
      </c>
      <c r="E289" s="2" t="inlineStr">
        <is>
          <t>troop</t>
        </is>
      </c>
      <c r="F289" s="2" t="inlineStr">
        <is>
          <t>否</t>
        </is>
      </c>
      <c r="G289" s="2" t="inlineStr">
        <is>
          <t>否</t>
        </is>
      </c>
      <c r="H289" s="2" t="n"/>
      <c r="I289" s="2" t="n">
        <v>2100</v>
      </c>
      <c r="J289" s="2" t="inlineStr">
        <is>
          <t>每日开放</t>
        </is>
      </c>
      <c r="K289" s="2" t="inlineStr">
        <is>
          <t>无</t>
        </is>
      </c>
      <c r="L289" s="2" t="inlineStr">
        <is>
          <t>帮会固定奖励</t>
        </is>
      </c>
      <c r="M289" s="2" t="inlineStr">
        <is>
          <t>red_ruby</t>
        </is>
      </c>
      <c r="N289" s="2" t="inlineStr">
        <is>
          <t>red_ruby</t>
        </is>
      </c>
      <c r="O289" s="2" t="inlineStr">
        <is>
          <t>红宝石</t>
        </is>
      </c>
      <c r="P289" s="2" t="inlineStr">
        <is>
          <t>资源</t>
        </is>
      </c>
      <c r="Q289" s="2" t="inlineStr">
        <is>
          <t>稀有/蓝</t>
        </is>
      </c>
      <c r="R289" s="5" t="n">
        <v>1</v>
      </c>
      <c r="S289" s="2" t="n">
        <v>168</v>
      </c>
      <c r="T289" s="2" t="n"/>
      <c r="U289" s="2" t="inlineStr">
        <is>
          <t>否</t>
        </is>
      </c>
      <c r="V289" s="2" t="inlineStr">
        <is>
          <t>168</t>
        </is>
      </c>
      <c r="W289" s="2" t="n"/>
      <c r="X289" s="5">
        <f>R289</f>
        <v>1</v>
      </c>
      <c r="Y289" s="6">
        <f>X289*S289</f>
        <v>168</v>
      </c>
      <c r="Z289" s="2" t="inlineStr">
        <is>
          <t>帮会任务</t>
        </is>
      </c>
      <c r="AA289" s="2" t="n">
        <v>3</v>
      </c>
      <c r="AB289" s="2" t="inlineStr">
        <is>
          <t>帮会仓库</t>
        </is>
      </c>
      <c r="AC289" s="2" t="inlineStr">
        <is>
          <t>帮会任务胜利（attacker），非撤退，结算发放</t>
        </is>
      </c>
      <c r="AD289" s="2" t="inlineStr">
        <is>
          <t>data/guild_mission_templates.yaml:L47:ruby_reward</t>
        </is>
      </c>
    </row>
    <row r="290">
      <c r="A290" s="2" t="n">
        <v>35</v>
      </c>
      <c r="B290" s="2" t="inlineStr">
        <is>
          <t>guild_blackwind_assault</t>
        </is>
      </c>
      <c r="C290" s="2" t="inlineStr">
        <is>
          <t>黑风关总攻</t>
        </is>
      </c>
      <c r="D290" s="2" t="inlineStr">
        <is>
          <t>高级</t>
        </is>
      </c>
      <c r="E290" s="2" t="inlineStr">
        <is>
          <t>troop</t>
        </is>
      </c>
      <c r="F290" s="2" t="inlineStr">
        <is>
          <t>否</t>
        </is>
      </c>
      <c r="G290" s="2" t="inlineStr">
        <is>
          <t>否</t>
        </is>
      </c>
      <c r="H290" s="2" t="n"/>
      <c r="I290" s="2" t="n">
        <v>3000</v>
      </c>
      <c r="J290" s="2" t="inlineStr">
        <is>
          <t>每日开放</t>
        </is>
      </c>
      <c r="K290" s="2" t="inlineStr">
        <is>
          <t>无</t>
        </is>
      </c>
      <c r="L290" s="2" t="inlineStr">
        <is>
          <t>帮会固定奖励</t>
        </is>
      </c>
      <c r="M290" s="2" t="inlineStr">
        <is>
          <t>red_ruby</t>
        </is>
      </c>
      <c r="N290" s="2" t="inlineStr">
        <is>
          <t>red_ruby</t>
        </is>
      </c>
      <c r="O290" s="2" t="inlineStr">
        <is>
          <t>红宝石</t>
        </is>
      </c>
      <c r="P290" s="2" t="inlineStr">
        <is>
          <t>资源</t>
        </is>
      </c>
      <c r="Q290" s="2" t="inlineStr">
        <is>
          <t>稀有/蓝</t>
        </is>
      </c>
      <c r="R290" s="5" t="n">
        <v>1</v>
      </c>
      <c r="S290" s="2" t="n">
        <v>288</v>
      </c>
      <c r="T290" s="2" t="n"/>
      <c r="U290" s="2" t="inlineStr">
        <is>
          <t>否</t>
        </is>
      </c>
      <c r="V290" s="2" t="inlineStr">
        <is>
          <t>288</t>
        </is>
      </c>
      <c r="W290" s="2" t="n"/>
      <c r="X290" s="5">
        <f>R290</f>
        <v>1</v>
      </c>
      <c r="Y290" s="6">
        <f>X290*S290</f>
        <v>288</v>
      </c>
      <c r="Z290" s="2" t="inlineStr">
        <is>
          <t>帮会任务</t>
        </is>
      </c>
      <c r="AA290" s="2" t="n">
        <v>3</v>
      </c>
      <c r="AB290" s="2" t="inlineStr">
        <is>
          <t>帮会仓库</t>
        </is>
      </c>
      <c r="AC290" s="2" t="inlineStr">
        <is>
          <t>帮会任务胜利（attacker），非撤退，结算发放</t>
        </is>
      </c>
      <c r="AD290" s="2" t="inlineStr">
        <is>
          <t>data/guild_mission_templates.yaml:L89:ruby_reward</t>
        </is>
      </c>
    </row>
  </sheetData>
  <autoFilter ref="A1:AD290"/>
  <pageMargins left="0.75" right="0.75" top="1" bottom="1" header="0.5" footer="0.5"/>
  <legacyDrawing r:id="anysvml"/>
</worksheet>
</file>

<file path=xl/worksheets/sheet3.xml><?xml version="1.0" encoding="utf-8"?>
<worksheet xmlns="http://schemas.openxmlformats.org/spreadsheetml/2006/main">
  <sheetPr>
    <outlinePr summaryBelow="1" summaryRight="1"/>
    <pageSetUpPr/>
  </sheetPr>
  <dimension ref="A1:N2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8" customWidth="1" min="1" max="1"/>
    <col width="32" customWidth="1" min="2" max="2"/>
    <col width="20" customWidth="1" min="3" max="3"/>
    <col width="18" customWidth="1" min="4" max="4"/>
    <col width="36" customWidth="1" min="5" max="5"/>
    <col width="34" customWidth="1" min="6" max="6"/>
    <col width="20" customWidth="1" min="7" max="7"/>
    <col width="24" customWidth="1" min="8" max="8"/>
    <col width="12" customWidth="1" min="9" max="9"/>
    <col width="38" customWidth="1" min="10" max="10"/>
    <col width="16" customWidth="1" min="11" max="11"/>
    <col width="20" customWidth="1" min="12" max="12"/>
    <col width="24" customWidth="1" min="13" max="13"/>
    <col width="80" customWidth="1" min="14" max="14"/>
  </cols>
  <sheetData>
    <row r="1" ht="32" customHeight="1">
      <c r="A1" s="1" t="inlineStr">
        <is>
          <t>物品key</t>
        </is>
      </c>
      <c r="B1" s="1" t="inlineStr">
        <is>
          <t>物品名称</t>
        </is>
      </c>
      <c r="C1" s="1" t="inlineStr">
        <is>
          <t>物品类型</t>
        </is>
      </c>
      <c r="D1" s="1" t="inlineStr">
        <is>
          <t>稀有度</t>
        </is>
      </c>
      <c r="E1" s="1" t="inlineStr">
        <is>
          <t>任务key</t>
        </is>
      </c>
      <c r="F1" s="1" t="inlineStr">
        <is>
          <t>任务名称</t>
        </is>
      </c>
      <c r="G1" s="1" t="inlineStr">
        <is>
          <t>掉落类型</t>
        </is>
      </c>
      <c r="H1" s="1" t="inlineStr">
        <is>
          <t>单项实际掉落概率</t>
        </is>
      </c>
      <c r="I1" s="1" t="inlineStr">
        <is>
          <t>数量</t>
        </is>
      </c>
      <c r="J1" s="1" t="inlineStr">
        <is>
          <t>掉落配置key</t>
        </is>
      </c>
      <c r="K1" s="1" t="inlineStr">
        <is>
          <t>任务分类</t>
        </is>
      </c>
      <c r="L1" s="1" t="inlineStr">
        <is>
          <t>奖励接收方</t>
        </is>
      </c>
      <c r="M1" s="1" t="inlineStr">
        <is>
          <t>单次胜利期望数量</t>
        </is>
      </c>
      <c r="N1" s="1" t="inlineStr">
        <is>
          <t>数据来源</t>
        </is>
      </c>
    </row>
    <row r="2">
      <c r="A2" s="2" t="inlineStr">
        <is>
          <t>blueprint_chixiaojifeng</t>
        </is>
      </c>
      <c r="B2" s="2" t="inlineStr">
        <is>
          <t>赤霄机凤图纸</t>
        </is>
      </c>
      <c r="C2" s="2" t="inlineStr">
        <is>
          <t>装备图纸</t>
        </is>
      </c>
      <c r="D2" s="2" t="inlineStr">
        <is>
          <t>传说/橙</t>
        </is>
      </c>
      <c r="E2" s="2" t="inlineStr">
        <is>
          <t>fengbang_tianmen</t>
        </is>
      </c>
      <c r="F2" s="2" t="inlineStr">
        <is>
          <t>封神之战：封榜天门</t>
        </is>
      </c>
      <c r="G2" s="2" t="inlineStr">
        <is>
          <t>随机池掉落</t>
        </is>
      </c>
      <c r="H2" s="5">
        <f>'任务掉落明细'!X231</f>
        <v>0.01</v>
      </c>
      <c r="I2" s="2" t="n">
        <v>1</v>
      </c>
      <c r="J2" s="2" t="inlineStr">
        <is>
          <t>blueprint_top_orange</t>
        </is>
      </c>
      <c r="K2" s="2" t="inlineStr">
        <is>
          <t>个人任务</t>
        </is>
      </c>
      <c r="L2" s="2" t="inlineStr">
        <is>
          <t>挑战者庄园</t>
        </is>
      </c>
      <c r="M2" s="6">
        <f>'任务掉落明细'!Y231</f>
        <v>0.01</v>
      </c>
      <c r="N2" s="2" t="inlineStr">
        <is>
          <t>data/mission_templates.yaml:L1259:drop_table.blueprint_top_orange</t>
        </is>
      </c>
    </row>
    <row r="3">
      <c r="A3" s="2" t="inlineStr">
        <is>
          <t>blueprint_chixiaojifeng</t>
        </is>
      </c>
      <c r="B3" s="2" t="inlineStr">
        <is>
          <t>赤霄机凤图纸</t>
        </is>
      </c>
      <c r="C3" s="2" t="inlineStr">
        <is>
          <t>装备图纸</t>
        </is>
      </c>
      <c r="D3" s="2" t="inlineStr">
        <is>
          <t>传说/橙</t>
        </is>
      </c>
      <c r="E3" s="2" t="inlineStr">
        <is>
          <t>zhuolu_zhongyuan</t>
        </is>
      </c>
      <c r="F3" s="2" t="inlineStr">
        <is>
          <t>逐鹿中原</t>
        </is>
      </c>
      <c r="G3" s="2" t="inlineStr">
        <is>
          <t>随机池掉落</t>
        </is>
      </c>
      <c r="H3" s="5">
        <f>'任务掉落明细'!X251</f>
        <v>0.01</v>
      </c>
      <c r="I3" s="2" t="n">
        <v>1</v>
      </c>
      <c r="J3" s="2" t="inlineStr">
        <is>
          <t>blueprint_top_orange</t>
        </is>
      </c>
      <c r="K3" s="2" t="inlineStr">
        <is>
          <t>个人任务</t>
        </is>
      </c>
      <c r="L3" s="2" t="inlineStr">
        <is>
          <t>挑战者庄园</t>
        </is>
      </c>
      <c r="M3" s="6">
        <f>'任务掉落明细'!Y251</f>
        <v>0.01</v>
      </c>
      <c r="N3" s="2" t="inlineStr">
        <is>
          <t>data/mission_templates.yaml:L1326:drop_table.blueprint_top_orange</t>
        </is>
      </c>
    </row>
    <row r="4">
      <c r="A4" s="2" t="inlineStr">
        <is>
          <t>blueprint_feiyuan</t>
        </is>
      </c>
      <c r="B4" s="2" t="inlineStr">
        <is>
          <t>飞鸢图纸</t>
        </is>
      </c>
      <c r="C4" s="2" t="inlineStr">
        <is>
          <t>装备图纸</t>
        </is>
      </c>
      <c r="D4" s="2" t="inlineStr">
        <is>
          <t>传说/橙</t>
        </is>
      </c>
      <c r="E4" s="2" t="inlineStr">
        <is>
          <t>fengbang_tianmen</t>
        </is>
      </c>
      <c r="F4" s="2" t="inlineStr">
        <is>
          <t>封神之战：封榜天门</t>
        </is>
      </c>
      <c r="G4" s="2" t="inlineStr">
        <is>
          <t>随机池掉落</t>
        </is>
      </c>
      <c r="H4" s="5">
        <f>'任务掉落明细'!X230</f>
        <v>0.01</v>
      </c>
      <c r="I4" s="2" t="n">
        <v>1</v>
      </c>
      <c r="J4" s="2" t="inlineStr">
        <is>
          <t>blueprint_top_orange</t>
        </is>
      </c>
      <c r="K4" s="2" t="inlineStr">
        <is>
          <t>个人任务</t>
        </is>
      </c>
      <c r="L4" s="2" t="inlineStr">
        <is>
          <t>挑战者庄园</t>
        </is>
      </c>
      <c r="M4" s="6">
        <f>'任务掉落明细'!Y230</f>
        <v>0.01</v>
      </c>
      <c r="N4" s="2" t="inlineStr">
        <is>
          <t>data/mission_templates.yaml:L1259:drop_table.blueprint_top_orange</t>
        </is>
      </c>
    </row>
    <row r="5">
      <c r="A5" s="2" t="inlineStr">
        <is>
          <t>blueprint_feiyuan</t>
        </is>
      </c>
      <c r="B5" s="2" t="inlineStr">
        <is>
          <t>飞鸢图纸</t>
        </is>
      </c>
      <c r="C5" s="2" t="inlineStr">
        <is>
          <t>装备图纸</t>
        </is>
      </c>
      <c r="D5" s="2" t="inlineStr">
        <is>
          <t>传说/橙</t>
        </is>
      </c>
      <c r="E5" s="2" t="inlineStr">
        <is>
          <t>zhuolu_zhongyuan</t>
        </is>
      </c>
      <c r="F5" s="2" t="inlineStr">
        <is>
          <t>逐鹿中原</t>
        </is>
      </c>
      <c r="G5" s="2" t="inlineStr">
        <is>
          <t>随机池掉落</t>
        </is>
      </c>
      <c r="H5" s="5">
        <f>'任务掉落明细'!X250</f>
        <v>0.01</v>
      </c>
      <c r="I5" s="2" t="n">
        <v>1</v>
      </c>
      <c r="J5" s="2" t="inlineStr">
        <is>
          <t>blueprint_top_orange</t>
        </is>
      </c>
      <c r="K5" s="2" t="inlineStr">
        <is>
          <t>个人任务</t>
        </is>
      </c>
      <c r="L5" s="2" t="inlineStr">
        <is>
          <t>挑战者庄园</t>
        </is>
      </c>
      <c r="M5" s="6">
        <f>'任务掉落明细'!Y250</f>
        <v>0.01</v>
      </c>
      <c r="N5" s="2" t="inlineStr">
        <is>
          <t>data/mission_templates.yaml:L1326:drop_table.blueprint_top_orange</t>
        </is>
      </c>
    </row>
    <row r="6">
      <c r="A6" s="2" t="inlineStr">
        <is>
          <t>blueprint_huxianjian</t>
        </is>
      </c>
      <c r="B6" s="2" t="inlineStr">
        <is>
          <t>狐仙剑图纸</t>
        </is>
      </c>
      <c r="C6" s="2" t="inlineStr">
        <is>
          <t>装备图纸</t>
        </is>
      </c>
      <c r="D6" s="2" t="inlineStr">
        <is>
          <t>史诗/紫</t>
        </is>
      </c>
      <c r="E6" s="2" t="inlineStr">
        <is>
          <t>tianpeng_dijiao_2</t>
        </is>
      </c>
      <c r="F6" s="2" t="inlineStr">
        <is>
          <t>天蓬元帅的地窖（第二层）</t>
        </is>
      </c>
      <c r="G6" s="2" t="inlineStr">
        <is>
          <t>概率掉落</t>
        </is>
      </c>
      <c r="H6" s="5">
        <f>'任务掉落明细'!X125</f>
        <v>0.05</v>
      </c>
      <c r="I6" s="2" t="n">
        <v>1</v>
      </c>
      <c r="J6" s="2" t="inlineStr">
        <is>
          <t>blueprint_huxianjian</t>
        </is>
      </c>
      <c r="K6" s="2" t="inlineStr">
        <is>
          <t>个人任务</t>
        </is>
      </c>
      <c r="L6" s="2" t="inlineStr">
        <is>
          <t>挑战者庄园</t>
        </is>
      </c>
      <c r="M6" s="6">
        <f>'任务掉落明细'!Y125</f>
        <v>0.05</v>
      </c>
      <c r="N6" s="2" t="inlineStr">
        <is>
          <t>data/mission_templates.yaml:L777:drop_table.blueprint_huxianjian</t>
        </is>
      </c>
    </row>
    <row r="7">
      <c r="A7" s="2" t="inlineStr">
        <is>
          <t>blueprint_huxianpao</t>
        </is>
      </c>
      <c r="B7" s="2" t="inlineStr">
        <is>
          <t>狐仙袍图纸</t>
        </is>
      </c>
      <c r="C7" s="2" t="inlineStr">
        <is>
          <t>装备图纸</t>
        </is>
      </c>
      <c r="D7" s="2" t="inlineStr">
        <is>
          <t>史诗/紫</t>
        </is>
      </c>
      <c r="E7" s="2" t="inlineStr">
        <is>
          <t>tianpeng_dijiao_2</t>
        </is>
      </c>
      <c r="F7" s="2" t="inlineStr">
        <is>
          <t>天蓬元帅的地窖（第二层）</t>
        </is>
      </c>
      <c r="G7" s="2" t="inlineStr">
        <is>
          <t>概率掉落</t>
        </is>
      </c>
      <c r="H7" s="5">
        <f>'任务掉落明细'!X126</f>
        <v>0.1</v>
      </c>
      <c r="I7" s="2" t="n">
        <v>1</v>
      </c>
      <c r="J7" s="2" t="inlineStr">
        <is>
          <t>blueprint_huxianpao</t>
        </is>
      </c>
      <c r="K7" s="2" t="inlineStr">
        <is>
          <t>个人任务</t>
        </is>
      </c>
      <c r="L7" s="2" t="inlineStr">
        <is>
          <t>挑战者庄园</t>
        </is>
      </c>
      <c r="M7" s="6">
        <f>'任务掉落明细'!Y126</f>
        <v>0.1</v>
      </c>
      <c r="N7" s="2" t="inlineStr">
        <is>
          <t>data/mission_templates.yaml:L777:drop_table.blueprint_huxianpao</t>
        </is>
      </c>
    </row>
    <row r="8">
      <c r="A8" s="2" t="inlineStr">
        <is>
          <t>blueprint_huxianxie</t>
        </is>
      </c>
      <c r="B8" s="2" t="inlineStr">
        <is>
          <t>狐仙鞋图纸</t>
        </is>
      </c>
      <c r="C8" s="2" t="inlineStr">
        <is>
          <t>装备图纸</t>
        </is>
      </c>
      <c r="D8" s="2" t="inlineStr">
        <is>
          <t>史诗/紫</t>
        </is>
      </c>
      <c r="E8" s="2" t="inlineStr">
        <is>
          <t>tianpeng_dijiao_2</t>
        </is>
      </c>
      <c r="F8" s="2" t="inlineStr">
        <is>
          <t>天蓬元帅的地窖（第二层）</t>
        </is>
      </c>
      <c r="G8" s="2" t="inlineStr">
        <is>
          <t>概率掉落</t>
        </is>
      </c>
      <c r="H8" s="5">
        <f>'任务掉落明细'!X127</f>
        <v>0.1</v>
      </c>
      <c r="I8" s="2" t="n">
        <v>1</v>
      </c>
      <c r="J8" s="2" t="inlineStr">
        <is>
          <t>blueprint_huxianxie</t>
        </is>
      </c>
      <c r="K8" s="2" t="inlineStr">
        <is>
          <t>个人任务</t>
        </is>
      </c>
      <c r="L8" s="2" t="inlineStr">
        <is>
          <t>挑战者庄园</t>
        </is>
      </c>
      <c r="M8" s="6">
        <f>'任务掉落明细'!Y127</f>
        <v>0.1</v>
      </c>
      <c r="N8" s="2" t="inlineStr">
        <is>
          <t>data/mission_templates.yaml:L777:drop_table.blueprint_huxianxie</t>
        </is>
      </c>
    </row>
    <row r="9">
      <c r="A9" s="2" t="inlineStr">
        <is>
          <t>blueprint_jiguanchuniao</t>
        </is>
      </c>
      <c r="B9" s="2" t="inlineStr">
        <is>
          <t>机关雏鸟图纸</t>
        </is>
      </c>
      <c r="C9" s="2" t="inlineStr">
        <is>
          <t>装备图纸</t>
        </is>
      </c>
      <c r="D9" s="2" t="inlineStr">
        <is>
          <t>稀有/蓝</t>
        </is>
      </c>
      <c r="E9" s="2" t="inlineStr">
        <is>
          <t>jiguan_chuniao</t>
        </is>
      </c>
      <c r="F9" s="2" t="inlineStr">
        <is>
          <t>机关雏鸟</t>
        </is>
      </c>
      <c r="G9" s="2" t="inlineStr">
        <is>
          <t>随机池掉落</t>
        </is>
      </c>
      <c r="H9" s="5">
        <f>'任务掉落明细'!X139</f>
        <v>0.05</v>
      </c>
      <c r="I9" s="2" t="n">
        <v>1</v>
      </c>
      <c r="J9" s="2" t="inlineStr">
        <is>
          <t>blueprint_mechanism_blue</t>
        </is>
      </c>
      <c r="K9" s="2" t="inlineStr">
        <is>
          <t>个人任务</t>
        </is>
      </c>
      <c r="L9" s="2" t="inlineStr">
        <is>
          <t>挑战者庄园</t>
        </is>
      </c>
      <c r="M9" s="6">
        <f>'任务掉落明细'!Y139</f>
        <v>0.05</v>
      </c>
      <c r="N9" s="2" t="inlineStr">
        <is>
          <t>data/mission_templates.yaml:L830:drop_table.blueprint_mechanism_blue</t>
        </is>
      </c>
    </row>
    <row r="10">
      <c r="A10" s="2" t="inlineStr">
        <is>
          <t>blueprint_jiguanxiong</t>
        </is>
      </c>
      <c r="B10" s="2" t="inlineStr">
        <is>
          <t>机关熊图纸</t>
        </is>
      </c>
      <c r="C10" s="2" t="inlineStr">
        <is>
          <t>装备图纸</t>
        </is>
      </c>
      <c r="D10" s="2" t="inlineStr">
        <is>
          <t>史诗/紫</t>
        </is>
      </c>
      <c r="E10" s="2" t="inlineStr">
        <is>
          <t>biwu_zhaoqin</t>
        </is>
      </c>
      <c r="F10" s="2" t="inlineStr">
        <is>
          <t>比武招亲</t>
        </is>
      </c>
      <c r="G10" s="2" t="inlineStr">
        <is>
          <t>概率掉落</t>
        </is>
      </c>
      <c r="H10" s="5">
        <f>'任务掉落明细'!X108</f>
        <v>0.02</v>
      </c>
      <c r="I10" s="2" t="n">
        <v>1</v>
      </c>
      <c r="J10" s="2" t="inlineStr">
        <is>
          <t>blueprint_jiguanxiong</t>
        </is>
      </c>
      <c r="K10" s="2" t="inlineStr">
        <is>
          <t>个人任务</t>
        </is>
      </c>
      <c r="L10" s="2" t="inlineStr">
        <is>
          <t>挑战者庄园</t>
        </is>
      </c>
      <c r="M10" s="6">
        <f>'任务掉落明细'!Y108</f>
        <v>0.02</v>
      </c>
      <c r="N10" s="2" t="inlineStr">
        <is>
          <t>data/mission_templates.yaml:L698:drop_table.blueprint_jiguanxiong</t>
        </is>
      </c>
    </row>
    <row r="11">
      <c r="A11" s="2" t="inlineStr">
        <is>
          <t>blueprint_jixiemao</t>
        </is>
      </c>
      <c r="B11" s="2" t="inlineStr">
        <is>
          <t>机械猫图纸</t>
        </is>
      </c>
      <c r="C11" s="2" t="inlineStr">
        <is>
          <t>装备图纸</t>
        </is>
      </c>
      <c r="D11" s="2" t="inlineStr">
        <is>
          <t>稀有/蓝</t>
        </is>
      </c>
      <c r="E11" s="2" t="inlineStr">
        <is>
          <t>jiguan_chuniao</t>
        </is>
      </c>
      <c r="F11" s="2" t="inlineStr">
        <is>
          <t>机关雏鸟</t>
        </is>
      </c>
      <c r="G11" s="2" t="inlineStr">
        <is>
          <t>随机池掉落</t>
        </is>
      </c>
      <c r="H11" s="5">
        <f>'任务掉落明细'!X138</f>
        <v>0.05</v>
      </c>
      <c r="I11" s="2" t="n">
        <v>1</v>
      </c>
      <c r="J11" s="2" t="inlineStr">
        <is>
          <t>blueprint_mechanism_blue</t>
        </is>
      </c>
      <c r="K11" s="2" t="inlineStr">
        <is>
          <t>个人任务</t>
        </is>
      </c>
      <c r="L11" s="2" t="inlineStr">
        <is>
          <t>挑战者庄园</t>
        </is>
      </c>
      <c r="M11" s="6">
        <f>'任务掉落明细'!Y138</f>
        <v>0.05</v>
      </c>
      <c r="N11" s="2" t="inlineStr">
        <is>
          <t>data/mission_templates.yaml:L830:drop_table.blueprint_mechanism_blue</t>
        </is>
      </c>
    </row>
    <row r="12">
      <c r="A12" s="2" t="inlineStr">
        <is>
          <t>blueprint_kuileimuren</t>
        </is>
      </c>
      <c r="B12" s="2" t="inlineStr">
        <is>
          <t>傀儡木人图纸</t>
        </is>
      </c>
      <c r="C12" s="2" t="inlineStr">
        <is>
          <t>装备图纸</t>
        </is>
      </c>
      <c r="D12" s="2" t="inlineStr">
        <is>
          <t>稀有/蓝</t>
        </is>
      </c>
      <c r="E12" s="2" t="inlineStr">
        <is>
          <t>jiguan_chuniao</t>
        </is>
      </c>
      <c r="F12" s="2" t="inlineStr">
        <is>
          <t>机关雏鸟</t>
        </is>
      </c>
      <c r="G12" s="2" t="inlineStr">
        <is>
          <t>随机池掉落</t>
        </is>
      </c>
      <c r="H12" s="5">
        <f>'任务掉落明细'!X140</f>
        <v>0.05</v>
      </c>
      <c r="I12" s="2" t="n">
        <v>1</v>
      </c>
      <c r="J12" s="2" t="inlineStr">
        <is>
          <t>blueprint_mechanism_blue</t>
        </is>
      </c>
      <c r="K12" s="2" t="inlineStr">
        <is>
          <t>个人任务</t>
        </is>
      </c>
      <c r="L12" s="2" t="inlineStr">
        <is>
          <t>挑战者庄园</t>
        </is>
      </c>
      <c r="M12" s="6">
        <f>'任务掉落明细'!Y140</f>
        <v>0.05</v>
      </c>
      <c r="N12" s="2" t="inlineStr">
        <is>
          <t>data/mission_templates.yaml:L830:drop_table.blueprint_mechanism_blue</t>
        </is>
      </c>
    </row>
    <row r="13">
      <c r="A13" s="2" t="inlineStr">
        <is>
          <t>blueprint_mojiajiguanren</t>
        </is>
      </c>
      <c r="B13" s="2" t="inlineStr">
        <is>
          <t>墨家机关人图纸</t>
        </is>
      </c>
      <c r="C13" s="2" t="inlineStr">
        <is>
          <t>装备图纸</t>
        </is>
      </c>
      <c r="D13" s="2" t="inlineStr">
        <is>
          <t>传说/橙</t>
        </is>
      </c>
      <c r="E13" s="2" t="inlineStr">
        <is>
          <t>fengbang_tianmen</t>
        </is>
      </c>
      <c r="F13" s="2" t="inlineStr">
        <is>
          <t>封神之战：封榜天门</t>
        </is>
      </c>
      <c r="G13" s="2" t="inlineStr">
        <is>
          <t>随机池掉落</t>
        </is>
      </c>
      <c r="H13" s="5">
        <f>'任务掉落明细'!X232</f>
        <v>0.01</v>
      </c>
      <c r="I13" s="2" t="n">
        <v>1</v>
      </c>
      <c r="J13" s="2" t="inlineStr">
        <is>
          <t>blueprint_top_orange</t>
        </is>
      </c>
      <c r="K13" s="2" t="inlineStr">
        <is>
          <t>个人任务</t>
        </is>
      </c>
      <c r="L13" s="2" t="inlineStr">
        <is>
          <t>挑战者庄园</t>
        </is>
      </c>
      <c r="M13" s="6">
        <f>'任务掉落明细'!Y232</f>
        <v>0.01</v>
      </c>
      <c r="N13" s="2" t="inlineStr">
        <is>
          <t>data/mission_templates.yaml:L1259:drop_table.blueprint_top_orange</t>
        </is>
      </c>
    </row>
    <row r="14">
      <c r="A14" s="2" t="inlineStr">
        <is>
          <t>blueprint_mojiajiguanren</t>
        </is>
      </c>
      <c r="B14" s="2" t="inlineStr">
        <is>
          <t>墨家机关人图纸</t>
        </is>
      </c>
      <c r="C14" s="2" t="inlineStr">
        <is>
          <t>装备图纸</t>
        </is>
      </c>
      <c r="D14" s="2" t="inlineStr">
        <is>
          <t>传说/橙</t>
        </is>
      </c>
      <c r="E14" s="2" t="inlineStr">
        <is>
          <t>zhuolu_zhongyuan</t>
        </is>
      </c>
      <c r="F14" s="2" t="inlineStr">
        <is>
          <t>逐鹿中原</t>
        </is>
      </c>
      <c r="G14" s="2" t="inlineStr">
        <is>
          <t>随机池掉落</t>
        </is>
      </c>
      <c r="H14" s="5">
        <f>'任务掉落明细'!X252</f>
        <v>0.01</v>
      </c>
      <c r="I14" s="2" t="n">
        <v>1</v>
      </c>
      <c r="J14" s="2" t="inlineStr">
        <is>
          <t>blueprint_top_orange</t>
        </is>
      </c>
      <c r="K14" s="2" t="inlineStr">
        <is>
          <t>个人任务</t>
        </is>
      </c>
      <c r="L14" s="2" t="inlineStr">
        <is>
          <t>挑战者庄园</t>
        </is>
      </c>
      <c r="M14" s="6">
        <f>'任务掉落明细'!Y252</f>
        <v>0.01</v>
      </c>
      <c r="N14" s="2" t="inlineStr">
        <is>
          <t>data/mission_templates.yaml:L1326:drop_table.blueprint_top_orange</t>
        </is>
      </c>
    </row>
    <row r="15">
      <c r="A15" s="2" t="inlineStr">
        <is>
          <t>blueprint_qilindao</t>
        </is>
      </c>
      <c r="B15" s="2" t="inlineStr">
        <is>
          <t>麒麟刀图纸</t>
        </is>
      </c>
      <c r="C15" s="2" t="inlineStr">
        <is>
          <t>装备图纸</t>
        </is>
      </c>
      <c r="D15" s="2" t="inlineStr">
        <is>
          <t>史诗/紫</t>
        </is>
      </c>
      <c r="E15" s="2" t="inlineStr">
        <is>
          <t>fengbang_tianmen</t>
        </is>
      </c>
      <c r="F15" s="2" t="inlineStr">
        <is>
          <t>封神之战：封榜天门</t>
        </is>
      </c>
      <c r="G15" s="2" t="inlineStr">
        <is>
          <t>随机池掉落</t>
        </is>
      </c>
      <c r="H15" s="5">
        <f>'任务掉落明细'!X229</f>
        <v>0.0625</v>
      </c>
      <c r="I15" s="2" t="n">
        <v>1</v>
      </c>
      <c r="J15" s="2" t="inlineStr">
        <is>
          <t>blueprint_top_purple</t>
        </is>
      </c>
      <c r="K15" s="2" t="inlineStr">
        <is>
          <t>个人任务</t>
        </is>
      </c>
      <c r="L15" s="2" t="inlineStr">
        <is>
          <t>挑战者庄园</t>
        </is>
      </c>
      <c r="M15" s="6">
        <f>'任务掉落明细'!Y229</f>
        <v>0.0625</v>
      </c>
      <c r="N15" s="2" t="inlineStr">
        <is>
          <t>data/mission_templates.yaml:L1259:drop_table.blueprint_top_purple</t>
        </is>
      </c>
    </row>
    <row r="16">
      <c r="A16" s="2" t="inlineStr">
        <is>
          <t>blueprint_qilindao</t>
        </is>
      </c>
      <c r="B16" s="2" t="inlineStr">
        <is>
          <t>麒麟刀图纸</t>
        </is>
      </c>
      <c r="C16" s="2" t="inlineStr">
        <is>
          <t>装备图纸</t>
        </is>
      </c>
      <c r="D16" s="2" t="inlineStr">
        <is>
          <t>史诗/紫</t>
        </is>
      </c>
      <c r="E16" s="2" t="inlineStr">
        <is>
          <t>zhuolu_zhongyuan</t>
        </is>
      </c>
      <c r="F16" s="2" t="inlineStr">
        <is>
          <t>逐鹿中原</t>
        </is>
      </c>
      <c r="G16" s="2" t="inlineStr">
        <is>
          <t>随机池掉落</t>
        </is>
      </c>
      <c r="H16" s="5">
        <f>'任务掉落明细'!X249</f>
        <v>0.0625</v>
      </c>
      <c r="I16" s="2" t="n">
        <v>1</v>
      </c>
      <c r="J16" s="2" t="inlineStr">
        <is>
          <t>blueprint_top_purple</t>
        </is>
      </c>
      <c r="K16" s="2" t="inlineStr">
        <is>
          <t>个人任务</t>
        </is>
      </c>
      <c r="L16" s="2" t="inlineStr">
        <is>
          <t>挑战者庄园</t>
        </is>
      </c>
      <c r="M16" s="6">
        <f>'任务掉落明细'!Y249</f>
        <v>0.0625</v>
      </c>
      <c r="N16" s="2" t="inlineStr">
        <is>
          <t>data/mission_templates.yaml:L1326:drop_table.blueprint_top_purple</t>
        </is>
      </c>
    </row>
    <row r="17">
      <c r="A17" s="2" t="inlineStr">
        <is>
          <t>blueprint_qilinjia</t>
        </is>
      </c>
      <c r="B17" s="2" t="inlineStr">
        <is>
          <t>麒麟甲图纸</t>
        </is>
      </c>
      <c r="C17" s="2" t="inlineStr">
        <is>
          <t>装备图纸</t>
        </is>
      </c>
      <c r="D17" s="2" t="inlineStr">
        <is>
          <t>史诗/紫</t>
        </is>
      </c>
      <c r="E17" s="2" t="inlineStr">
        <is>
          <t>fengbang_tianmen</t>
        </is>
      </c>
      <c r="F17" s="2" t="inlineStr">
        <is>
          <t>封神之战：封榜天门</t>
        </is>
      </c>
      <c r="G17" s="2" t="inlineStr">
        <is>
          <t>随机池掉落</t>
        </is>
      </c>
      <c r="H17" s="5">
        <f>'任务掉落明细'!X227</f>
        <v>0.0625</v>
      </c>
      <c r="I17" s="2" t="n">
        <v>1</v>
      </c>
      <c r="J17" s="2" t="inlineStr">
        <is>
          <t>blueprint_top_purple</t>
        </is>
      </c>
      <c r="K17" s="2" t="inlineStr">
        <is>
          <t>个人任务</t>
        </is>
      </c>
      <c r="L17" s="2" t="inlineStr">
        <is>
          <t>挑战者庄园</t>
        </is>
      </c>
      <c r="M17" s="6">
        <f>'任务掉落明细'!Y227</f>
        <v>0.0625</v>
      </c>
      <c r="N17" s="2" t="inlineStr">
        <is>
          <t>data/mission_templates.yaml:L1259:drop_table.blueprint_top_purple</t>
        </is>
      </c>
    </row>
    <row r="18">
      <c r="A18" s="2" t="inlineStr">
        <is>
          <t>blueprint_qilinjia</t>
        </is>
      </c>
      <c r="B18" s="2" t="inlineStr">
        <is>
          <t>麒麟甲图纸</t>
        </is>
      </c>
      <c r="C18" s="2" t="inlineStr">
        <is>
          <t>装备图纸</t>
        </is>
      </c>
      <c r="D18" s="2" t="inlineStr">
        <is>
          <t>史诗/紫</t>
        </is>
      </c>
      <c r="E18" s="2" t="inlineStr">
        <is>
          <t>zhuolu_zhongyuan</t>
        </is>
      </c>
      <c r="F18" s="2" t="inlineStr">
        <is>
          <t>逐鹿中原</t>
        </is>
      </c>
      <c r="G18" s="2" t="inlineStr">
        <is>
          <t>随机池掉落</t>
        </is>
      </c>
      <c r="H18" s="5">
        <f>'任务掉落明细'!X247</f>
        <v>0.0625</v>
      </c>
      <c r="I18" s="2" t="n">
        <v>1</v>
      </c>
      <c r="J18" s="2" t="inlineStr">
        <is>
          <t>blueprint_top_purple</t>
        </is>
      </c>
      <c r="K18" s="2" t="inlineStr">
        <is>
          <t>个人任务</t>
        </is>
      </c>
      <c r="L18" s="2" t="inlineStr">
        <is>
          <t>挑战者庄园</t>
        </is>
      </c>
      <c r="M18" s="6">
        <f>'任务掉落明细'!Y247</f>
        <v>0.0625</v>
      </c>
      <c r="N18" s="2" t="inlineStr">
        <is>
          <t>data/mission_templates.yaml:L1326:drop_table.blueprint_top_purple</t>
        </is>
      </c>
    </row>
    <row r="19">
      <c r="A19" s="2" t="inlineStr">
        <is>
          <t>blueprint_qilinkui</t>
        </is>
      </c>
      <c r="B19" s="2" t="inlineStr">
        <is>
          <t>麒麟盔图纸</t>
        </is>
      </c>
      <c r="C19" s="2" t="inlineStr">
        <is>
          <t>装备图纸</t>
        </is>
      </c>
      <c r="D19" s="2" t="inlineStr">
        <is>
          <t>史诗/紫</t>
        </is>
      </c>
      <c r="E19" s="2" t="inlineStr">
        <is>
          <t>fengbang_tianmen</t>
        </is>
      </c>
      <c r="F19" s="2" t="inlineStr">
        <is>
          <t>封神之战：封榜天门</t>
        </is>
      </c>
      <c r="G19" s="2" t="inlineStr">
        <is>
          <t>随机池掉落</t>
        </is>
      </c>
      <c r="H19" s="5">
        <f>'任务掉落明细'!X226</f>
        <v>0.0625</v>
      </c>
      <c r="I19" s="2" t="n">
        <v>1</v>
      </c>
      <c r="J19" s="2" t="inlineStr">
        <is>
          <t>blueprint_top_purple</t>
        </is>
      </c>
      <c r="K19" s="2" t="inlineStr">
        <is>
          <t>个人任务</t>
        </is>
      </c>
      <c r="L19" s="2" t="inlineStr">
        <is>
          <t>挑战者庄园</t>
        </is>
      </c>
      <c r="M19" s="6">
        <f>'任务掉落明细'!Y226</f>
        <v>0.0625</v>
      </c>
      <c r="N19" s="2" t="inlineStr">
        <is>
          <t>data/mission_templates.yaml:L1259:drop_table.blueprint_top_purple</t>
        </is>
      </c>
    </row>
    <row r="20">
      <c r="A20" s="2" t="inlineStr">
        <is>
          <t>blueprint_qilinkui</t>
        </is>
      </c>
      <c r="B20" s="2" t="inlineStr">
        <is>
          <t>麒麟盔图纸</t>
        </is>
      </c>
      <c r="C20" s="2" t="inlineStr">
        <is>
          <t>装备图纸</t>
        </is>
      </c>
      <c r="D20" s="2" t="inlineStr">
        <is>
          <t>史诗/紫</t>
        </is>
      </c>
      <c r="E20" s="2" t="inlineStr">
        <is>
          <t>zhuolu_zhongyuan</t>
        </is>
      </c>
      <c r="F20" s="2" t="inlineStr">
        <is>
          <t>逐鹿中原</t>
        </is>
      </c>
      <c r="G20" s="2" t="inlineStr">
        <is>
          <t>随机池掉落</t>
        </is>
      </c>
      <c r="H20" s="5">
        <f>'任务掉落明细'!X246</f>
        <v>0.0625</v>
      </c>
      <c r="I20" s="2" t="n">
        <v>1</v>
      </c>
      <c r="J20" s="2" t="inlineStr">
        <is>
          <t>blueprint_top_purple</t>
        </is>
      </c>
      <c r="K20" s="2" t="inlineStr">
        <is>
          <t>个人任务</t>
        </is>
      </c>
      <c r="L20" s="2" t="inlineStr">
        <is>
          <t>挑战者庄园</t>
        </is>
      </c>
      <c r="M20" s="6">
        <f>'任务掉落明细'!Y246</f>
        <v>0.0625</v>
      </c>
      <c r="N20" s="2" t="inlineStr">
        <is>
          <t>data/mission_templates.yaml:L1326:drop_table.blueprint_top_purple</t>
        </is>
      </c>
    </row>
    <row r="21">
      <c r="A21" s="2" t="inlineStr">
        <is>
          <t>blueprint_qilinxue</t>
        </is>
      </c>
      <c r="B21" s="2" t="inlineStr">
        <is>
          <t>麒麟靴图纸</t>
        </is>
      </c>
      <c r="C21" s="2" t="inlineStr">
        <is>
          <t>装备图纸</t>
        </is>
      </c>
      <c r="D21" s="2" t="inlineStr">
        <is>
          <t>史诗/紫</t>
        </is>
      </c>
      <c r="E21" s="2" t="inlineStr">
        <is>
          <t>fengbang_tianmen</t>
        </is>
      </c>
      <c r="F21" s="2" t="inlineStr">
        <is>
          <t>封神之战：封榜天门</t>
        </is>
      </c>
      <c r="G21" s="2" t="inlineStr">
        <is>
          <t>随机池掉落</t>
        </is>
      </c>
      <c r="H21" s="5">
        <f>'任务掉落明细'!X228</f>
        <v>0.0625</v>
      </c>
      <c r="I21" s="2" t="n">
        <v>1</v>
      </c>
      <c r="J21" s="2" t="inlineStr">
        <is>
          <t>blueprint_top_purple</t>
        </is>
      </c>
      <c r="K21" s="2" t="inlineStr">
        <is>
          <t>个人任务</t>
        </is>
      </c>
      <c r="L21" s="2" t="inlineStr">
        <is>
          <t>挑战者庄园</t>
        </is>
      </c>
      <c r="M21" s="6">
        <f>'任务掉落明细'!Y228</f>
        <v>0.0625</v>
      </c>
      <c r="N21" s="2" t="inlineStr">
        <is>
          <t>data/mission_templates.yaml:L1259:drop_table.blueprint_top_purple</t>
        </is>
      </c>
    </row>
    <row r="22">
      <c r="A22" s="2" t="inlineStr">
        <is>
          <t>blueprint_qilinxue</t>
        </is>
      </c>
      <c r="B22" s="2" t="inlineStr">
        <is>
          <t>麒麟靴图纸</t>
        </is>
      </c>
      <c r="C22" s="2" t="inlineStr">
        <is>
          <t>装备图纸</t>
        </is>
      </c>
      <c r="D22" s="2" t="inlineStr">
        <is>
          <t>史诗/紫</t>
        </is>
      </c>
      <c r="E22" s="2" t="inlineStr">
        <is>
          <t>zhuolu_zhongyuan</t>
        </is>
      </c>
      <c r="F22" s="2" t="inlineStr">
        <is>
          <t>逐鹿中原</t>
        </is>
      </c>
      <c r="G22" s="2" t="inlineStr">
        <is>
          <t>随机池掉落</t>
        </is>
      </c>
      <c r="H22" s="5">
        <f>'任务掉落明细'!X248</f>
        <v>0.0625</v>
      </c>
      <c r="I22" s="2" t="n">
        <v>1</v>
      </c>
      <c r="J22" s="2" t="inlineStr">
        <is>
          <t>blueprint_top_purple</t>
        </is>
      </c>
      <c r="K22" s="2" t="inlineStr">
        <is>
          <t>个人任务</t>
        </is>
      </c>
      <c r="L22" s="2" t="inlineStr">
        <is>
          <t>挑战者庄园</t>
        </is>
      </c>
      <c r="M22" s="6">
        <f>'任务掉落明细'!Y248</f>
        <v>0.0625</v>
      </c>
      <c r="N22" s="2" t="inlineStr">
        <is>
          <t>data/mission_templates.yaml:L1326:drop_table.blueprint_top_purple</t>
        </is>
      </c>
    </row>
    <row r="23">
      <c r="A23" s="2" t="inlineStr">
        <is>
          <t>blueprint_qingji</t>
        </is>
      </c>
      <c r="B23" s="2" t="inlineStr">
        <is>
          <t>庆忌图纸</t>
        </is>
      </c>
      <c r="C23" s="2" t="inlineStr">
        <is>
          <t>装备图纸</t>
        </is>
      </c>
      <c r="D23" s="2" t="inlineStr">
        <is>
          <t>稀有/蓝</t>
        </is>
      </c>
      <c r="E23" s="2" t="inlineStr">
        <is>
          <t>jiguan_chuniao</t>
        </is>
      </c>
      <c r="F23" s="2" t="inlineStr">
        <is>
          <t>机关雏鸟</t>
        </is>
      </c>
      <c r="G23" s="2" t="inlineStr">
        <is>
          <t>随机池掉落</t>
        </is>
      </c>
      <c r="H23" s="5">
        <f>'任务掉落明细'!X141</f>
        <v>0.05</v>
      </c>
      <c r="I23" s="2" t="n">
        <v>1</v>
      </c>
      <c r="J23" s="2" t="inlineStr">
        <is>
          <t>blueprint_mechanism_blue</t>
        </is>
      </c>
      <c r="K23" s="2" t="inlineStr">
        <is>
          <t>个人任务</t>
        </is>
      </c>
      <c r="L23" s="2" t="inlineStr">
        <is>
          <t>挑战者庄园</t>
        </is>
      </c>
      <c r="M23" s="6">
        <f>'任务掉落明细'!Y141</f>
        <v>0.05</v>
      </c>
      <c r="N23" s="2" t="inlineStr">
        <is>
          <t>data/mission_templates.yaml:L830:drop_table.blueprint_mechanism_blue</t>
        </is>
      </c>
    </row>
    <row r="24">
      <c r="A24" s="2" t="inlineStr">
        <is>
          <t>blueprint_qinglongdao</t>
        </is>
      </c>
      <c r="B24" s="2" t="inlineStr">
        <is>
          <t>青龙刀图纸</t>
        </is>
      </c>
      <c r="C24" s="2" t="inlineStr">
        <is>
          <t>装备图纸</t>
        </is>
      </c>
      <c r="D24" s="2" t="inlineStr">
        <is>
          <t>稀有/蓝</t>
        </is>
      </c>
      <c r="E24" s="2" t="inlineStr">
        <is>
          <t>fengbang_tianmen</t>
        </is>
      </c>
      <c r="F24" s="2" t="inlineStr">
        <is>
          <t>封神之战：封榜天门</t>
        </is>
      </c>
      <c r="G24" s="2" t="inlineStr">
        <is>
          <t>随机池掉落</t>
        </is>
      </c>
      <c r="H24" s="5">
        <f>'任务掉落明细'!X225</f>
        <v>0.1125</v>
      </c>
      <c r="I24" s="2" t="n">
        <v>1</v>
      </c>
      <c r="J24" s="2" t="inlineStr">
        <is>
          <t>blueprint_top_blue</t>
        </is>
      </c>
      <c r="K24" s="2" t="inlineStr">
        <is>
          <t>个人任务</t>
        </is>
      </c>
      <c r="L24" s="2" t="inlineStr">
        <is>
          <t>挑战者庄园</t>
        </is>
      </c>
      <c r="M24" s="6">
        <f>'任务掉落明细'!Y225</f>
        <v>0.1125</v>
      </c>
      <c r="N24" s="2" t="inlineStr">
        <is>
          <t>data/mission_templates.yaml:L1259:drop_table.blueprint_top_blue</t>
        </is>
      </c>
    </row>
    <row r="25">
      <c r="A25" s="2" t="inlineStr">
        <is>
          <t>blueprint_qinglongdao</t>
        </is>
      </c>
      <c r="B25" s="2" t="inlineStr">
        <is>
          <t>青龙刀图纸</t>
        </is>
      </c>
      <c r="C25" s="2" t="inlineStr">
        <is>
          <t>装备图纸</t>
        </is>
      </c>
      <c r="D25" s="2" t="inlineStr">
        <is>
          <t>稀有/蓝</t>
        </is>
      </c>
      <c r="E25" s="2" t="inlineStr">
        <is>
          <t>zhuolu_zhongyuan</t>
        </is>
      </c>
      <c r="F25" s="2" t="inlineStr">
        <is>
          <t>逐鹿中原</t>
        </is>
      </c>
      <c r="G25" s="2" t="inlineStr">
        <is>
          <t>随机池掉落</t>
        </is>
      </c>
      <c r="H25" s="5">
        <f>'任务掉落明细'!X245</f>
        <v>0.1125</v>
      </c>
      <c r="I25" s="2" t="n">
        <v>1</v>
      </c>
      <c r="J25" s="2" t="inlineStr">
        <is>
          <t>blueprint_top_blue</t>
        </is>
      </c>
      <c r="K25" s="2" t="inlineStr">
        <is>
          <t>个人任务</t>
        </is>
      </c>
      <c r="L25" s="2" t="inlineStr">
        <is>
          <t>挑战者庄园</t>
        </is>
      </c>
      <c r="M25" s="6">
        <f>'任务掉落明细'!Y245</f>
        <v>0.1125</v>
      </c>
      <c r="N25" s="2" t="inlineStr">
        <is>
          <t>data/mission_templates.yaml:L1326:drop_table.blueprint_top_blue</t>
        </is>
      </c>
    </row>
    <row r="26">
      <c r="A26" s="2" t="inlineStr">
        <is>
          <t>blueprint_qinglongjia</t>
        </is>
      </c>
      <c r="B26" s="2" t="inlineStr">
        <is>
          <t>青龙甲图纸</t>
        </is>
      </c>
      <c r="C26" s="2" t="inlineStr">
        <is>
          <t>装备图纸</t>
        </is>
      </c>
      <c r="D26" s="2" t="inlineStr">
        <is>
          <t>稀有/蓝</t>
        </is>
      </c>
      <c r="E26" s="2" t="inlineStr">
        <is>
          <t>fengbang_tianmen</t>
        </is>
      </c>
      <c r="F26" s="2" t="inlineStr">
        <is>
          <t>封神之战：封榜天门</t>
        </is>
      </c>
      <c r="G26" s="2" t="inlineStr">
        <is>
          <t>随机池掉落</t>
        </is>
      </c>
      <c r="H26" s="5">
        <f>'任务掉落明细'!X223</f>
        <v>0.1125</v>
      </c>
      <c r="I26" s="2" t="n">
        <v>1</v>
      </c>
      <c r="J26" s="2" t="inlineStr">
        <is>
          <t>blueprint_top_blue</t>
        </is>
      </c>
      <c r="K26" s="2" t="inlineStr">
        <is>
          <t>个人任务</t>
        </is>
      </c>
      <c r="L26" s="2" t="inlineStr">
        <is>
          <t>挑战者庄园</t>
        </is>
      </c>
      <c r="M26" s="6">
        <f>'任务掉落明细'!Y223</f>
        <v>0.1125</v>
      </c>
      <c r="N26" s="2" t="inlineStr">
        <is>
          <t>data/mission_templates.yaml:L1259:drop_table.blueprint_top_blue</t>
        </is>
      </c>
    </row>
    <row r="27">
      <c r="A27" s="2" t="inlineStr">
        <is>
          <t>blueprint_qinglongjia</t>
        </is>
      </c>
      <c r="B27" s="2" t="inlineStr">
        <is>
          <t>青龙甲图纸</t>
        </is>
      </c>
      <c r="C27" s="2" t="inlineStr">
        <is>
          <t>装备图纸</t>
        </is>
      </c>
      <c r="D27" s="2" t="inlineStr">
        <is>
          <t>稀有/蓝</t>
        </is>
      </c>
      <c r="E27" s="2" t="inlineStr">
        <is>
          <t>zhuolu_zhongyuan</t>
        </is>
      </c>
      <c r="F27" s="2" t="inlineStr">
        <is>
          <t>逐鹿中原</t>
        </is>
      </c>
      <c r="G27" s="2" t="inlineStr">
        <is>
          <t>随机池掉落</t>
        </is>
      </c>
      <c r="H27" s="5">
        <f>'任务掉落明细'!X243</f>
        <v>0.1125</v>
      </c>
      <c r="I27" s="2" t="n">
        <v>1</v>
      </c>
      <c r="J27" s="2" t="inlineStr">
        <is>
          <t>blueprint_top_blue</t>
        </is>
      </c>
      <c r="K27" s="2" t="inlineStr">
        <is>
          <t>个人任务</t>
        </is>
      </c>
      <c r="L27" s="2" t="inlineStr">
        <is>
          <t>挑战者庄园</t>
        </is>
      </c>
      <c r="M27" s="6">
        <f>'任务掉落明细'!Y243</f>
        <v>0.1125</v>
      </c>
      <c r="N27" s="2" t="inlineStr">
        <is>
          <t>data/mission_templates.yaml:L1326:drop_table.blueprint_top_blue</t>
        </is>
      </c>
    </row>
    <row r="28">
      <c r="A28" s="2" t="inlineStr">
        <is>
          <t>blueprint_qinglongkui</t>
        </is>
      </c>
      <c r="B28" s="2" t="inlineStr">
        <is>
          <t>青龙盔图纸</t>
        </is>
      </c>
      <c r="C28" s="2" t="inlineStr">
        <is>
          <t>装备图纸</t>
        </is>
      </c>
      <c r="D28" s="2" t="inlineStr">
        <is>
          <t>稀有/蓝</t>
        </is>
      </c>
      <c r="E28" s="2" t="inlineStr">
        <is>
          <t>fengbang_tianmen</t>
        </is>
      </c>
      <c r="F28" s="2" t="inlineStr">
        <is>
          <t>封神之战：封榜天门</t>
        </is>
      </c>
      <c r="G28" s="2" t="inlineStr">
        <is>
          <t>随机池掉落</t>
        </is>
      </c>
      <c r="H28" s="5">
        <f>'任务掉落明细'!X222</f>
        <v>0.1125</v>
      </c>
      <c r="I28" s="2" t="n">
        <v>1</v>
      </c>
      <c r="J28" s="2" t="inlineStr">
        <is>
          <t>blueprint_top_blue</t>
        </is>
      </c>
      <c r="K28" s="2" t="inlineStr">
        <is>
          <t>个人任务</t>
        </is>
      </c>
      <c r="L28" s="2" t="inlineStr">
        <is>
          <t>挑战者庄园</t>
        </is>
      </c>
      <c r="M28" s="6">
        <f>'任务掉落明细'!Y222</f>
        <v>0.1125</v>
      </c>
      <c r="N28" s="2" t="inlineStr">
        <is>
          <t>data/mission_templates.yaml:L1259:drop_table.blueprint_top_blue</t>
        </is>
      </c>
    </row>
    <row r="29">
      <c r="A29" s="2" t="inlineStr">
        <is>
          <t>blueprint_qinglongkui</t>
        </is>
      </c>
      <c r="B29" s="2" t="inlineStr">
        <is>
          <t>青龙盔图纸</t>
        </is>
      </c>
      <c r="C29" s="2" t="inlineStr">
        <is>
          <t>装备图纸</t>
        </is>
      </c>
      <c r="D29" s="2" t="inlineStr">
        <is>
          <t>稀有/蓝</t>
        </is>
      </c>
      <c r="E29" s="2" t="inlineStr">
        <is>
          <t>zhuolu_zhongyuan</t>
        </is>
      </c>
      <c r="F29" s="2" t="inlineStr">
        <is>
          <t>逐鹿中原</t>
        </is>
      </c>
      <c r="G29" s="2" t="inlineStr">
        <is>
          <t>随机池掉落</t>
        </is>
      </c>
      <c r="H29" s="5">
        <f>'任务掉落明细'!X242</f>
        <v>0.1125</v>
      </c>
      <c r="I29" s="2" t="n">
        <v>1</v>
      </c>
      <c r="J29" s="2" t="inlineStr">
        <is>
          <t>blueprint_top_blue</t>
        </is>
      </c>
      <c r="K29" s="2" t="inlineStr">
        <is>
          <t>个人任务</t>
        </is>
      </c>
      <c r="L29" s="2" t="inlineStr">
        <is>
          <t>挑战者庄园</t>
        </is>
      </c>
      <c r="M29" s="6">
        <f>'任务掉落明细'!Y242</f>
        <v>0.1125</v>
      </c>
      <c r="N29" s="2" t="inlineStr">
        <is>
          <t>data/mission_templates.yaml:L1326:drop_table.blueprint_top_blue</t>
        </is>
      </c>
    </row>
    <row r="30">
      <c r="A30" s="2" t="inlineStr">
        <is>
          <t>blueprint_qinglongxue</t>
        </is>
      </c>
      <c r="B30" s="2" t="inlineStr">
        <is>
          <t>青龙靴图纸</t>
        </is>
      </c>
      <c r="C30" s="2" t="inlineStr">
        <is>
          <t>装备图纸</t>
        </is>
      </c>
      <c r="D30" s="2" t="inlineStr">
        <is>
          <t>稀有/蓝</t>
        </is>
      </c>
      <c r="E30" s="2" t="inlineStr">
        <is>
          <t>fengbang_tianmen</t>
        </is>
      </c>
      <c r="F30" s="2" t="inlineStr">
        <is>
          <t>封神之战：封榜天门</t>
        </is>
      </c>
      <c r="G30" s="2" t="inlineStr">
        <is>
          <t>随机池掉落</t>
        </is>
      </c>
      <c r="H30" s="5">
        <f>'任务掉落明细'!X224</f>
        <v>0.1125</v>
      </c>
      <c r="I30" s="2" t="n">
        <v>1</v>
      </c>
      <c r="J30" s="2" t="inlineStr">
        <is>
          <t>blueprint_top_blue</t>
        </is>
      </c>
      <c r="K30" s="2" t="inlineStr">
        <is>
          <t>个人任务</t>
        </is>
      </c>
      <c r="L30" s="2" t="inlineStr">
        <is>
          <t>挑战者庄园</t>
        </is>
      </c>
      <c r="M30" s="6">
        <f>'任务掉落明细'!Y224</f>
        <v>0.1125</v>
      </c>
      <c r="N30" s="2" t="inlineStr">
        <is>
          <t>data/mission_templates.yaml:L1259:drop_table.blueprint_top_blue</t>
        </is>
      </c>
    </row>
    <row r="31">
      <c r="A31" s="2" t="inlineStr">
        <is>
          <t>blueprint_qinglongxue</t>
        </is>
      </c>
      <c r="B31" s="2" t="inlineStr">
        <is>
          <t>青龙靴图纸</t>
        </is>
      </c>
      <c r="C31" s="2" t="inlineStr">
        <is>
          <t>装备图纸</t>
        </is>
      </c>
      <c r="D31" s="2" t="inlineStr">
        <is>
          <t>稀有/蓝</t>
        </is>
      </c>
      <c r="E31" s="2" t="inlineStr">
        <is>
          <t>zhuolu_zhongyuan</t>
        </is>
      </c>
      <c r="F31" s="2" t="inlineStr">
        <is>
          <t>逐鹿中原</t>
        </is>
      </c>
      <c r="G31" s="2" t="inlineStr">
        <is>
          <t>随机池掉落</t>
        </is>
      </c>
      <c r="H31" s="5">
        <f>'任务掉落明细'!X244</f>
        <v>0.1125</v>
      </c>
      <c r="I31" s="2" t="n">
        <v>1</v>
      </c>
      <c r="J31" s="2" t="inlineStr">
        <is>
          <t>blueprint_top_blue</t>
        </is>
      </c>
      <c r="K31" s="2" t="inlineStr">
        <is>
          <t>个人任务</t>
        </is>
      </c>
      <c r="L31" s="2" t="inlineStr">
        <is>
          <t>挑战者庄园</t>
        </is>
      </c>
      <c r="M31" s="6">
        <f>'任务掉落明细'!Y244</f>
        <v>0.1125</v>
      </c>
      <c r="N31" s="2" t="inlineStr">
        <is>
          <t>data/mission_templates.yaml:L1326:drop_table.blueprint_top_blue</t>
        </is>
      </c>
    </row>
    <row r="32">
      <c r="A32" s="2" t="inlineStr">
        <is>
          <t>blueprint_xiaoweichangjian</t>
        </is>
      </c>
      <c r="B32" s="2" t="inlineStr">
        <is>
          <t>校尉长剑图纸</t>
        </is>
      </c>
      <c r="C32" s="2" t="inlineStr">
        <is>
          <t>装备图纸</t>
        </is>
      </c>
      <c r="D32" s="2" t="inlineStr">
        <is>
          <t>稀有/蓝</t>
        </is>
      </c>
      <c r="E32" s="2" t="inlineStr">
        <is>
          <t>shanhaiguan</t>
        </is>
      </c>
      <c r="F32" s="2" t="inlineStr">
        <is>
          <t>山海关</t>
        </is>
      </c>
      <c r="G32" s="2" t="inlineStr">
        <is>
          <t>随机池掉落</t>
        </is>
      </c>
      <c r="H32" s="5">
        <f>'任务掉落明细'!X92</f>
        <v>0.0875</v>
      </c>
      <c r="I32" s="2" t="n">
        <v>1</v>
      </c>
      <c r="J32" s="2" t="inlineStr">
        <is>
          <t>blueprint_xiaowei_set</t>
        </is>
      </c>
      <c r="K32" s="2" t="inlineStr">
        <is>
          <t>个人任务</t>
        </is>
      </c>
      <c r="L32" s="2" t="inlineStr">
        <is>
          <t>挑战者庄园</t>
        </is>
      </c>
      <c r="M32" s="6">
        <f>'任务掉落明细'!Y92</f>
        <v>0.0875</v>
      </c>
      <c r="N32" s="2" t="inlineStr">
        <is>
          <t>data/mission_templates.yaml:L559:drop_table.blueprint_xiaowei_set</t>
        </is>
      </c>
    </row>
    <row r="33">
      <c r="A33" s="2" t="inlineStr">
        <is>
          <t>blueprint_xiaoweichangxue</t>
        </is>
      </c>
      <c r="B33" s="2" t="inlineStr">
        <is>
          <t>校尉长靴图纸</t>
        </is>
      </c>
      <c r="C33" s="2" t="inlineStr">
        <is>
          <t>装备图纸</t>
        </is>
      </c>
      <c r="D33" s="2" t="inlineStr">
        <is>
          <t>稀有/蓝</t>
        </is>
      </c>
      <c r="E33" s="2" t="inlineStr">
        <is>
          <t>shanhaiguan</t>
        </is>
      </c>
      <c r="F33" s="2" t="inlineStr">
        <is>
          <t>山海关</t>
        </is>
      </c>
      <c r="G33" s="2" t="inlineStr">
        <is>
          <t>随机池掉落</t>
        </is>
      </c>
      <c r="H33" s="5">
        <f>'任务掉落明细'!X91</f>
        <v>0.0875</v>
      </c>
      <c r="I33" s="2" t="n">
        <v>1</v>
      </c>
      <c r="J33" s="2" t="inlineStr">
        <is>
          <t>blueprint_xiaowei_set</t>
        </is>
      </c>
      <c r="K33" s="2" t="inlineStr">
        <is>
          <t>个人任务</t>
        </is>
      </c>
      <c r="L33" s="2" t="inlineStr">
        <is>
          <t>挑战者庄园</t>
        </is>
      </c>
      <c r="M33" s="6">
        <f>'任务掉落明细'!Y91</f>
        <v>0.0875</v>
      </c>
      <c r="N33" s="2" t="inlineStr">
        <is>
          <t>data/mission_templates.yaml:L559:drop_table.blueprint_xiaowei_set</t>
        </is>
      </c>
    </row>
    <row r="34">
      <c r="A34" s="2" t="inlineStr">
        <is>
          <t>blueprint_xiaoweikaijia</t>
        </is>
      </c>
      <c r="B34" s="2" t="inlineStr">
        <is>
          <t>校尉铠甲图纸</t>
        </is>
      </c>
      <c r="C34" s="2" t="inlineStr">
        <is>
          <t>装备图纸</t>
        </is>
      </c>
      <c r="D34" s="2" t="inlineStr">
        <is>
          <t>稀有/蓝</t>
        </is>
      </c>
      <c r="E34" s="2" t="inlineStr">
        <is>
          <t>shanhaiguan</t>
        </is>
      </c>
      <c r="F34" s="2" t="inlineStr">
        <is>
          <t>山海关</t>
        </is>
      </c>
      <c r="G34" s="2" t="inlineStr">
        <is>
          <t>随机池掉落</t>
        </is>
      </c>
      <c r="H34" s="5">
        <f>'任务掉落明细'!X90</f>
        <v>0.0875</v>
      </c>
      <c r="I34" s="2" t="n">
        <v>1</v>
      </c>
      <c r="J34" s="2" t="inlineStr">
        <is>
          <t>blueprint_xiaowei_set</t>
        </is>
      </c>
      <c r="K34" s="2" t="inlineStr">
        <is>
          <t>个人任务</t>
        </is>
      </c>
      <c r="L34" s="2" t="inlineStr">
        <is>
          <t>挑战者庄园</t>
        </is>
      </c>
      <c r="M34" s="6">
        <f>'任务掉落明细'!Y90</f>
        <v>0.0875</v>
      </c>
      <c r="N34" s="2" t="inlineStr">
        <is>
          <t>data/mission_templates.yaml:L559:drop_table.blueprint_xiaowei_set</t>
        </is>
      </c>
    </row>
    <row r="35">
      <c r="A35" s="2" t="inlineStr">
        <is>
          <t>blueprint_xiaoweitoukie</t>
        </is>
      </c>
      <c r="B35" s="2" t="inlineStr">
        <is>
          <t>校尉头盔图纸</t>
        </is>
      </c>
      <c r="C35" s="2" t="inlineStr">
        <is>
          <t>装备图纸</t>
        </is>
      </c>
      <c r="D35" s="2" t="inlineStr">
        <is>
          <t>稀有/蓝</t>
        </is>
      </c>
      <c r="E35" s="2" t="inlineStr">
        <is>
          <t>shanhaiguan</t>
        </is>
      </c>
      <c r="F35" s="2" t="inlineStr">
        <is>
          <t>山海关</t>
        </is>
      </c>
      <c r="G35" s="2" t="inlineStr">
        <is>
          <t>随机池掉落</t>
        </is>
      </c>
      <c r="H35" s="5">
        <f>'任务掉落明细'!X89</f>
        <v>0.0875</v>
      </c>
      <c r="I35" s="2" t="n">
        <v>1</v>
      </c>
      <c r="J35" s="2" t="inlineStr">
        <is>
          <t>blueprint_xiaowei_set</t>
        </is>
      </c>
      <c r="K35" s="2" t="inlineStr">
        <is>
          <t>个人任务</t>
        </is>
      </c>
      <c r="L35" s="2" t="inlineStr">
        <is>
          <t>挑战者庄园</t>
        </is>
      </c>
      <c r="M35" s="6">
        <f>'任务掉落明细'!Y89</f>
        <v>0.0875</v>
      </c>
      <c r="N35" s="2" t="inlineStr">
        <is>
          <t>data/mission_templates.yaml:L559:drop_table.blueprint_xiaowei_set</t>
        </is>
      </c>
    </row>
    <row r="36">
      <c r="A36" s="2" t="inlineStr">
        <is>
          <t>book_bloodthirsty_fury</t>
        </is>
      </c>
      <c r="B36" s="2" t="inlineStr">
        <is>
          <t>《嗜血狂怒》秘术</t>
        </is>
      </c>
      <c r="C36" s="2" t="inlineStr">
        <is>
          <t>技能书</t>
        </is>
      </c>
      <c r="D36" s="2" t="inlineStr">
        <is>
          <t>史诗/紫</t>
        </is>
      </c>
      <c r="E36" s="2" t="inlineStr">
        <is>
          <t>zhuolu_zhongyuan</t>
        </is>
      </c>
      <c r="F36" s="2" t="inlineStr">
        <is>
          <t>逐鹿中原</t>
        </is>
      </c>
      <c r="G36" s="2" t="inlineStr">
        <is>
          <t>概率掉落</t>
        </is>
      </c>
      <c r="H36" s="5">
        <f>'任务掉落明细'!X235</f>
        <v>0.06</v>
      </c>
      <c r="I36" s="2" t="n">
        <v>1</v>
      </c>
      <c r="J36" s="2" t="inlineStr">
        <is>
          <t>book_bloodthirsty_fury</t>
        </is>
      </c>
      <c r="K36" s="2" t="inlineStr">
        <is>
          <t>个人任务</t>
        </is>
      </c>
      <c r="L36" s="2" t="inlineStr">
        <is>
          <t>挑战者庄园</t>
        </is>
      </c>
      <c r="M36" s="6">
        <f>'任务掉落明细'!Y235</f>
        <v>0.06</v>
      </c>
      <c r="N36" s="2" t="inlineStr">
        <is>
          <t>data/mission_templates.yaml:L1326:drop_table.book_bloodthirsty_fury</t>
        </is>
      </c>
    </row>
    <row r="37">
      <c r="A37" s="2" t="inlineStr">
        <is>
          <t>book_city_felling_strike</t>
        </is>
      </c>
      <c r="B37" s="2" t="inlineStr">
        <is>
          <t>《倾城一击》秘术</t>
        </is>
      </c>
      <c r="C37" s="2" t="inlineStr">
        <is>
          <t>技能书</t>
        </is>
      </c>
      <c r="D37" s="2" t="inlineStr">
        <is>
          <t>史诗/紫</t>
        </is>
      </c>
      <c r="E37" s="2" t="inlineStr">
        <is>
          <t>zhuolu_zhongyuan</t>
        </is>
      </c>
      <c r="F37" s="2" t="inlineStr">
        <is>
          <t>逐鹿中原</t>
        </is>
      </c>
      <c r="G37" s="2" t="inlineStr">
        <is>
          <t>概率掉落</t>
        </is>
      </c>
      <c r="H37" s="5">
        <f>'任务掉落明细'!X238</f>
        <v>0.048</v>
      </c>
      <c r="I37" s="2" t="n">
        <v>1</v>
      </c>
      <c r="J37" s="2" t="inlineStr">
        <is>
          <t>book_city_felling_strike</t>
        </is>
      </c>
      <c r="K37" s="2" t="inlineStr">
        <is>
          <t>个人任务</t>
        </is>
      </c>
      <c r="L37" s="2" t="inlineStr">
        <is>
          <t>挑战者庄园</t>
        </is>
      </c>
      <c r="M37" s="6">
        <f>'任务掉落明细'!Y238</f>
        <v>0.048</v>
      </c>
      <c r="N37" s="2" t="inlineStr">
        <is>
          <t>data/mission_templates.yaml:L1326:drop_table.book_city_felling_strike</t>
        </is>
      </c>
    </row>
    <row r="38">
      <c r="A38" s="2" t="inlineStr">
        <is>
          <t>book_desperate_beast</t>
        </is>
      </c>
      <c r="B38" s="2" t="inlineStr">
        <is>
          <t>《困兽犹斗》秘术</t>
        </is>
      </c>
      <c r="C38" s="2" t="inlineStr">
        <is>
          <t>技能书</t>
        </is>
      </c>
      <c r="D38" s="2" t="inlineStr">
        <is>
          <t>史诗/紫</t>
        </is>
      </c>
      <c r="E38" s="2" t="inlineStr">
        <is>
          <t>zhuolu_zhongyuan</t>
        </is>
      </c>
      <c r="F38" s="2" t="inlineStr">
        <is>
          <t>逐鹿中原</t>
        </is>
      </c>
      <c r="G38" s="2" t="inlineStr">
        <is>
          <t>概率掉落</t>
        </is>
      </c>
      <c r="H38" s="5">
        <f>'任务掉落明细'!X236</f>
        <v>0.06</v>
      </c>
      <c r="I38" s="2" t="n">
        <v>1</v>
      </c>
      <c r="J38" s="2" t="inlineStr">
        <is>
          <t>book_desperate_beast</t>
        </is>
      </c>
      <c r="K38" s="2" t="inlineStr">
        <is>
          <t>个人任务</t>
        </is>
      </c>
      <c r="L38" s="2" t="inlineStr">
        <is>
          <t>挑战者庄园</t>
        </is>
      </c>
      <c r="M38" s="6">
        <f>'任务掉落明细'!Y236</f>
        <v>0.06</v>
      </c>
      <c r="N38" s="2" t="inlineStr">
        <is>
          <t>data/mission_templates.yaml:L1326:drop_table.book_desperate_beast</t>
        </is>
      </c>
    </row>
    <row r="39">
      <c r="A39" s="2" t="inlineStr">
        <is>
          <t>book_dragon_break_curse</t>
        </is>
      </c>
      <c r="B39" s="2" t="inlineStr">
        <is>
          <t>《破龙咒》秘术</t>
        </is>
      </c>
      <c r="C39" s="2" t="inlineStr">
        <is>
          <t>技能书</t>
        </is>
      </c>
      <c r="D39" s="2" t="inlineStr">
        <is>
          <t>优秀/绿</t>
        </is>
      </c>
      <c r="E39" s="2" t="inlineStr">
        <is>
          <t>wulongshan</t>
        </is>
      </c>
      <c r="F39" s="2" t="inlineStr">
        <is>
          <t>乌龙山</t>
        </is>
      </c>
      <c r="G39" s="2" t="inlineStr">
        <is>
          <t>概率掉落</t>
        </is>
      </c>
      <c r="H39" s="5">
        <f>'任务掉落明细'!X46</f>
        <v>0.05</v>
      </c>
      <c r="I39" s="2" t="n">
        <v>1</v>
      </c>
      <c r="J39" s="2" t="inlineStr">
        <is>
          <t>book_dragon_break_curse</t>
        </is>
      </c>
      <c r="K39" s="2" t="inlineStr">
        <is>
          <t>个人任务</t>
        </is>
      </c>
      <c r="L39" s="2" t="inlineStr">
        <is>
          <t>挑战者庄园</t>
        </is>
      </c>
      <c r="M39" s="6">
        <f>'任务掉落明细'!Y46</f>
        <v>0.05</v>
      </c>
      <c r="N39" s="2" t="inlineStr">
        <is>
          <t>data/mission_templates.yaml:L408:drop_table.book_dragon_break_curse</t>
        </is>
      </c>
    </row>
    <row r="40">
      <c r="A40" s="2" t="inlineStr">
        <is>
          <t>book_dragon_roar</t>
        </is>
      </c>
      <c r="B40" s="2" t="inlineStr">
        <is>
          <t>《龙吟破阵》秘术</t>
        </is>
      </c>
      <c r="C40" s="2" t="inlineStr">
        <is>
          <t>技能书</t>
        </is>
      </c>
      <c r="D40" s="2" t="inlineStr">
        <is>
          <t>史诗/紫</t>
        </is>
      </c>
      <c r="E40" s="2" t="inlineStr">
        <is>
          <t>baimenlou_mingyun_jueze</t>
        </is>
      </c>
      <c r="F40" s="2" t="inlineStr">
        <is>
          <t>飞将浮沉录：白门楼命运抉择</t>
        </is>
      </c>
      <c r="G40" s="2" t="inlineStr">
        <is>
          <t>概率掉落</t>
        </is>
      </c>
      <c r="H40" s="5">
        <f>'任务掉落明细'!X285</f>
        <v>0.036</v>
      </c>
      <c r="I40" s="2" t="n">
        <v>1</v>
      </c>
      <c r="J40" s="2" t="inlineStr">
        <is>
          <t>book_dragon_roar</t>
        </is>
      </c>
      <c r="K40" s="2" t="inlineStr">
        <is>
          <t>个人任务</t>
        </is>
      </c>
      <c r="L40" s="2" t="inlineStr">
        <is>
          <t>挑战者庄园</t>
        </is>
      </c>
      <c r="M40" s="6">
        <f>'任务掉落明细'!Y285</f>
        <v>0.036</v>
      </c>
      <c r="N40" s="2" t="inlineStr">
        <is>
          <t>data/mission_templates.yaml:L1602:drop_table.book_dragon_roar</t>
        </is>
      </c>
    </row>
    <row r="41">
      <c r="A41" s="2" t="inlineStr">
        <is>
          <t>book_dragon_roar</t>
        </is>
      </c>
      <c r="B41" s="2" t="inlineStr">
        <is>
          <t>《龙吟破阵》秘术</t>
        </is>
      </c>
      <c r="C41" s="2" t="inlineStr">
        <is>
          <t>技能书</t>
        </is>
      </c>
      <c r="D41" s="2" t="inlineStr">
        <is>
          <t>史诗/紫</t>
        </is>
      </c>
      <c r="E41" s="2" t="inlineStr">
        <is>
          <t>fengbang_tianmen</t>
        </is>
      </c>
      <c r="F41" s="2" t="inlineStr">
        <is>
          <t>封神之战：封榜天门</t>
        </is>
      </c>
      <c r="G41" s="2" t="inlineStr">
        <is>
          <t>概率掉落</t>
        </is>
      </c>
      <c r="H41" s="5">
        <f>'任务掉落明细'!X215</f>
        <v>0.024</v>
      </c>
      <c r="I41" s="2" t="n">
        <v>1</v>
      </c>
      <c r="J41" s="2" t="inlineStr">
        <is>
          <t>book_dragon_roar</t>
        </is>
      </c>
      <c r="K41" s="2" t="inlineStr">
        <is>
          <t>个人任务</t>
        </is>
      </c>
      <c r="L41" s="2" t="inlineStr">
        <is>
          <t>挑战者庄园</t>
        </is>
      </c>
      <c r="M41" s="6">
        <f>'任务掉落明细'!Y215</f>
        <v>0.024</v>
      </c>
      <c r="N41" s="2" t="inlineStr">
        <is>
          <t>data/mission_templates.yaml:L1259:drop_table.book_dragon_roar</t>
        </is>
      </c>
    </row>
    <row r="42">
      <c r="A42" s="2" t="inlineStr">
        <is>
          <t>book_dragon_roar</t>
        </is>
      </c>
      <c r="B42" s="2" t="inlineStr">
        <is>
          <t>《龙吟破阵》秘术</t>
        </is>
      </c>
      <c r="C42" s="2" t="inlineStr">
        <is>
          <t>技能书</t>
        </is>
      </c>
      <c r="D42" s="2" t="inlineStr">
        <is>
          <t>史诗/紫</t>
        </is>
      </c>
      <c r="E42" s="2" t="inlineStr">
        <is>
          <t>zhuiji_manzu</t>
        </is>
      </c>
      <c r="F42" s="2" t="inlineStr">
        <is>
          <t>追击蛮族</t>
        </is>
      </c>
      <c r="G42" s="2" t="inlineStr">
        <is>
          <t>概率掉落</t>
        </is>
      </c>
      <c r="H42" s="5">
        <f>'任务掉落明细'!X183</f>
        <v>0.006</v>
      </c>
      <c r="I42" s="2" t="n">
        <v>1</v>
      </c>
      <c r="J42" s="2" t="inlineStr">
        <is>
          <t>book_dragon_roar</t>
        </is>
      </c>
      <c r="K42" s="2" t="inlineStr">
        <is>
          <t>个人任务</t>
        </is>
      </c>
      <c r="L42" s="2" t="inlineStr">
        <is>
          <t>挑战者庄园</t>
        </is>
      </c>
      <c r="M42" s="6">
        <f>'任务掉落明细'!Y183</f>
        <v>0.006</v>
      </c>
      <c r="N42" s="2" t="inlineStr">
        <is>
          <t>data/mission_templates.yaml:L1075:drop_table.book_dragon_roar</t>
        </is>
      </c>
    </row>
    <row r="43">
      <c r="A43" s="2" t="inlineStr">
        <is>
          <t>book_draw_enemy_blades</t>
        </is>
      </c>
      <c r="B43" s="2" t="inlineStr">
        <is>
          <t>《招锋引敌》秘术</t>
        </is>
      </c>
      <c r="C43" s="2" t="inlineStr">
        <is>
          <t>技能书</t>
        </is>
      </c>
      <c r="D43" s="2" t="inlineStr">
        <is>
          <t>稀有/蓝</t>
        </is>
      </c>
      <c r="E43" s="2" t="inlineStr">
        <is>
          <t>shizipo_heidian</t>
        </is>
      </c>
      <c r="F43" s="2" t="inlineStr">
        <is>
          <t>十字坡黑店</t>
        </is>
      </c>
      <c r="G43" s="2" t="inlineStr">
        <is>
          <t>随机池掉落</t>
        </is>
      </c>
      <c r="H43" s="5">
        <f>'任务掉落明细'!X69</f>
        <v>0.04</v>
      </c>
      <c r="I43" s="2" t="n">
        <v>1</v>
      </c>
      <c r="J43" s="2" t="inlineStr">
        <is>
          <t>shizipo_skill_book_random</t>
        </is>
      </c>
      <c r="K43" s="2" t="inlineStr">
        <is>
          <t>个人任务</t>
        </is>
      </c>
      <c r="L43" s="2" t="inlineStr">
        <is>
          <t>挑战者庄园</t>
        </is>
      </c>
      <c r="M43" s="6">
        <f>'任务掉落明细'!Y69</f>
        <v>0.04</v>
      </c>
      <c r="N43" s="2" t="inlineStr">
        <is>
          <t>data/mission_templates.yaml:L514:drop_table.shizipo_skill_book_random</t>
        </is>
      </c>
    </row>
    <row r="44">
      <c r="A44" s="2" t="inlineStr">
        <is>
          <t>book_endless_chatter</t>
        </is>
      </c>
      <c r="B44" s="2" t="inlineStr">
        <is>
          <t>《唧唧歪歪》秘术</t>
        </is>
      </c>
      <c r="C44" s="2" t="inlineStr">
        <is>
          <t>技能书</t>
        </is>
      </c>
      <c r="D44" s="2" t="inlineStr">
        <is>
          <t>优秀/绿</t>
        </is>
      </c>
      <c r="E44" s="2" t="inlineStr">
        <is>
          <t>biwu_zhaoqin</t>
        </is>
      </c>
      <c r="F44" s="2" t="inlineStr">
        <is>
          <t>比武招亲</t>
        </is>
      </c>
      <c r="G44" s="2" t="inlineStr">
        <is>
          <t>概率掉落</t>
        </is>
      </c>
      <c r="H44" s="5">
        <f>'任务掉落明细'!X107</f>
        <v>0.05</v>
      </c>
      <c r="I44" s="2" t="n">
        <v>1</v>
      </c>
      <c r="J44" s="2" t="inlineStr">
        <is>
          <t>book_endless_chatter</t>
        </is>
      </c>
      <c r="K44" s="2" t="inlineStr">
        <is>
          <t>个人任务</t>
        </is>
      </c>
      <c r="L44" s="2" t="inlineStr">
        <is>
          <t>挑战者庄园</t>
        </is>
      </c>
      <c r="M44" s="6">
        <f>'任务掉落明细'!Y107</f>
        <v>0.05</v>
      </c>
      <c r="N44" s="2" t="inlineStr">
        <is>
          <t>data/mission_templates.yaml:L698:drop_table.book_endless_chatter</t>
        </is>
      </c>
    </row>
    <row r="45">
      <c r="A45" s="2" t="inlineStr">
        <is>
          <t>book_fatal_chain_sword</t>
        </is>
      </c>
      <c r="B45" s="2" t="inlineStr">
        <is>
          <t>《夺命连环剑》秘术</t>
        </is>
      </c>
      <c r="C45" s="2" t="inlineStr">
        <is>
          <t>技能书</t>
        </is>
      </c>
      <c r="D45" s="2" t="inlineStr">
        <is>
          <t>稀有/蓝</t>
        </is>
      </c>
      <c r="E45" s="2" t="inlineStr">
        <is>
          <t>wagangzhai_nixi</t>
        </is>
      </c>
      <c r="F45" s="2" t="inlineStr">
        <is>
          <t>瓦岗寨的逆袭</t>
        </is>
      </c>
      <c r="G45" s="2" t="inlineStr">
        <is>
          <t>概率掉落</t>
        </is>
      </c>
      <c r="H45" s="5">
        <f>'任务掉落明细'!X33</f>
        <v>0.04</v>
      </c>
      <c r="I45" s="2" t="n">
        <v>1</v>
      </c>
      <c r="J45" s="2" t="inlineStr">
        <is>
          <t>book_fatal_chain_sword</t>
        </is>
      </c>
      <c r="K45" s="2" t="inlineStr">
        <is>
          <t>个人任务</t>
        </is>
      </c>
      <c r="L45" s="2" t="inlineStr">
        <is>
          <t>挑战者庄园</t>
        </is>
      </c>
      <c r="M45" s="6">
        <f>'任务掉落明细'!Y33</f>
        <v>0.04</v>
      </c>
      <c r="N45" s="2" t="inlineStr">
        <is>
          <t>data/mission_templates.yaml:L326:drop_table.book_fatal_chain_sword</t>
        </is>
      </c>
    </row>
    <row r="46">
      <c r="A46" s="2" t="inlineStr">
        <is>
          <t>book_five_thunder_descent</t>
        </is>
      </c>
      <c r="B46" s="2" t="inlineStr">
        <is>
          <t>《五雷降世》秘术</t>
        </is>
      </c>
      <c r="C46" s="2" t="inlineStr">
        <is>
          <t>技能书</t>
        </is>
      </c>
      <c r="D46" s="2" t="inlineStr">
        <is>
          <t>史诗/紫</t>
        </is>
      </c>
      <c r="E46" s="2" t="inlineStr">
        <is>
          <t>fengbang_tianmen</t>
        </is>
      </c>
      <c r="F46" s="2" t="inlineStr">
        <is>
          <t>封神之战：封榜天门</t>
        </is>
      </c>
      <c r="G46" s="2" t="inlineStr">
        <is>
          <t>概率掉落</t>
        </is>
      </c>
      <c r="H46" s="5">
        <f>'任务掉落明细'!X216</f>
        <v>0.048</v>
      </c>
      <c r="I46" s="2" t="n">
        <v>1</v>
      </c>
      <c r="J46" s="2" t="inlineStr">
        <is>
          <t>book_five_thunder_descent</t>
        </is>
      </c>
      <c r="K46" s="2" t="inlineStr">
        <is>
          <t>个人任务</t>
        </is>
      </c>
      <c r="L46" s="2" t="inlineStr">
        <is>
          <t>挑战者庄园</t>
        </is>
      </c>
      <c r="M46" s="6">
        <f>'任务掉落明细'!Y216</f>
        <v>0.048</v>
      </c>
      <c r="N46" s="2" t="inlineStr">
        <is>
          <t>data/mission_templates.yaml:L1259:drop_table.book_five_thunder_descent</t>
        </is>
      </c>
    </row>
    <row r="47">
      <c r="A47" s="2" t="inlineStr">
        <is>
          <t>book_five_thunder_descent</t>
        </is>
      </c>
      <c r="B47" s="2" t="inlineStr">
        <is>
          <t>《五雷降世》秘术</t>
        </is>
      </c>
      <c r="C47" s="2" t="inlineStr">
        <is>
          <t>技能书</t>
        </is>
      </c>
      <c r="D47" s="2" t="inlineStr">
        <is>
          <t>史诗/紫</t>
        </is>
      </c>
      <c r="E47" s="2" t="inlineStr">
        <is>
          <t>shier_xianyin</t>
        </is>
      </c>
      <c r="F47" s="2" t="inlineStr">
        <is>
          <t>封神之战：十二仙印</t>
        </is>
      </c>
      <c r="G47" s="2" t="inlineStr">
        <is>
          <t>概率掉落</t>
        </is>
      </c>
      <c r="H47" s="5">
        <f>'任务掉落明细'!X209</f>
        <v>0.048</v>
      </c>
      <c r="I47" s="2" t="n">
        <v>1</v>
      </c>
      <c r="J47" s="2" t="inlineStr">
        <is>
          <t>book_five_thunder_descent</t>
        </is>
      </c>
      <c r="K47" s="2" t="inlineStr">
        <is>
          <t>个人任务</t>
        </is>
      </c>
      <c r="L47" s="2" t="inlineStr">
        <is>
          <t>挑战者庄园</t>
        </is>
      </c>
      <c r="M47" s="6">
        <f>'任务掉落明细'!Y209</f>
        <v>0.048</v>
      </c>
      <c r="N47" s="2" t="inlineStr">
        <is>
          <t>data/mission_templates.yaml:L1212:drop_table.book_five_thunder_descent</t>
        </is>
      </c>
    </row>
    <row r="48">
      <c r="A48" s="2" t="inlineStr">
        <is>
          <t>book_flower_rain</t>
        </is>
      </c>
      <c r="B48" s="2" t="inlineStr">
        <is>
          <t>《天花乱坠》秘术</t>
        </is>
      </c>
      <c r="C48" s="2" t="inlineStr">
        <is>
          <t>技能书</t>
        </is>
      </c>
      <c r="D48" s="2" t="inlineStr">
        <is>
          <t>稀有/蓝</t>
        </is>
      </c>
      <c r="E48" s="2" t="inlineStr">
        <is>
          <t>shiren_daochang</t>
        </is>
      </c>
      <c r="F48" s="2" t="inlineStr">
        <is>
          <t>十人道场</t>
        </is>
      </c>
      <c r="G48" s="2" t="inlineStr">
        <is>
          <t>随机池掉落</t>
        </is>
      </c>
      <c r="H48" s="5">
        <f>'任务掉落明细'!X95</f>
        <v>0.05</v>
      </c>
      <c r="I48" s="2" t="n">
        <v>1</v>
      </c>
      <c r="J48" s="2" t="inlineStr">
        <is>
          <t>shiren_skill_book_random</t>
        </is>
      </c>
      <c r="K48" s="2" t="inlineStr">
        <is>
          <t>个人任务</t>
        </is>
      </c>
      <c r="L48" s="2" t="inlineStr">
        <is>
          <t>挑战者庄园</t>
        </is>
      </c>
      <c r="M48" s="6">
        <f>'任务掉落明细'!Y95</f>
        <v>0.05</v>
      </c>
      <c r="N48" s="2" t="inlineStr">
        <is>
          <t>data/mission_templates.yaml:L607:drop_table.shiren_skill_book_random</t>
        </is>
      </c>
    </row>
    <row r="49">
      <c r="A49" s="2" t="inlineStr">
        <is>
          <t>book_hell_instant_formation</t>
        </is>
      </c>
      <c r="B49" s="2" t="inlineStr">
        <is>
          <t>《瞬狱杀阵》秘术</t>
        </is>
      </c>
      <c r="C49" s="2" t="inlineStr">
        <is>
          <t>技能书</t>
        </is>
      </c>
      <c r="D49" s="2" t="inlineStr">
        <is>
          <t>史诗/紫</t>
        </is>
      </c>
      <c r="E49" s="2" t="inlineStr">
        <is>
          <t>shier_xianyin</t>
        </is>
      </c>
      <c r="F49" s="2" t="inlineStr">
        <is>
          <t>封神之战：十二仙印</t>
        </is>
      </c>
      <c r="G49" s="2" t="inlineStr">
        <is>
          <t>概率掉落</t>
        </is>
      </c>
      <c r="H49" s="5">
        <f>'任务掉落明细'!X210</f>
        <v>0.048</v>
      </c>
      <c r="I49" s="2" t="n">
        <v>1</v>
      </c>
      <c r="J49" s="2" t="inlineStr">
        <is>
          <t>book_hell_instant_formation</t>
        </is>
      </c>
      <c r="K49" s="2" t="inlineStr">
        <is>
          <t>个人任务</t>
        </is>
      </c>
      <c r="L49" s="2" t="inlineStr">
        <is>
          <t>挑战者庄园</t>
        </is>
      </c>
      <c r="M49" s="6">
        <f>'任务掉落明细'!Y210</f>
        <v>0.048</v>
      </c>
      <c r="N49" s="2" t="inlineStr">
        <is>
          <t>data/mission_templates.yaml:L1212:drop_table.book_hell_instant_formation</t>
        </is>
      </c>
    </row>
    <row r="50">
      <c r="A50" s="2" t="inlineStr">
        <is>
          <t>book_ice_curse</t>
        </is>
      </c>
      <c r="B50" s="2" t="inlineStr">
        <is>
          <t>《寒冰咒》秘术</t>
        </is>
      </c>
      <c r="C50" s="2" t="inlineStr">
        <is>
          <t>技能书</t>
        </is>
      </c>
      <c r="D50" s="2" t="inlineStr">
        <is>
          <t>优秀/绿</t>
        </is>
      </c>
      <c r="E50" s="2" t="inlineStr">
        <is>
          <t>wagangzhai_nixi</t>
        </is>
      </c>
      <c r="F50" s="2" t="inlineStr">
        <is>
          <t>瓦岗寨的逆袭</t>
        </is>
      </c>
      <c r="G50" s="2" t="inlineStr">
        <is>
          <t>概率掉落</t>
        </is>
      </c>
      <c r="H50" s="5">
        <f>'任务掉落明细'!X32</f>
        <v>0.2</v>
      </c>
      <c r="I50" s="2" t="n">
        <v>1</v>
      </c>
      <c r="J50" s="2" t="inlineStr">
        <is>
          <t>book_ice_curse</t>
        </is>
      </c>
      <c r="K50" s="2" t="inlineStr">
        <is>
          <t>个人任务</t>
        </is>
      </c>
      <c r="L50" s="2" t="inlineStr">
        <is>
          <t>挑战者庄园</t>
        </is>
      </c>
      <c r="M50" s="6">
        <f>'任务掉落明细'!Y32</f>
        <v>0.2</v>
      </c>
      <c r="N50" s="2" t="inlineStr">
        <is>
          <t>data/mission_templates.yaml:L326:drop_table.book_ice_curse</t>
        </is>
      </c>
    </row>
    <row r="51">
      <c r="A51" s="2" t="inlineStr">
        <is>
          <t>book_iron_wall_heart</t>
        </is>
      </c>
      <c r="B51" s="2" t="inlineStr">
        <is>
          <t>《铁壁心法》秘术</t>
        </is>
      </c>
      <c r="C51" s="2" t="inlineStr">
        <is>
          <t>技能书</t>
        </is>
      </c>
      <c r="D51" s="2" t="inlineStr">
        <is>
          <t>优秀/绿</t>
        </is>
      </c>
      <c r="E51" s="2" t="inlineStr">
        <is>
          <t>shanhaiguan</t>
        </is>
      </c>
      <c r="F51" s="2" t="inlineStr">
        <is>
          <t>山海关</t>
        </is>
      </c>
      <c r="G51" s="2" t="inlineStr">
        <is>
          <t>随机池掉落</t>
        </is>
      </c>
      <c r="H51" s="5">
        <f>'任务掉落明细'!X80</f>
        <v>0.049999999999999996</v>
      </c>
      <c r="I51" s="2" t="n">
        <v>1</v>
      </c>
      <c r="J51" s="2" t="inlineStr">
        <is>
          <t>shanhaiguan_skill_book_random</t>
        </is>
      </c>
      <c r="K51" s="2" t="inlineStr">
        <is>
          <t>个人任务</t>
        </is>
      </c>
      <c r="L51" s="2" t="inlineStr">
        <is>
          <t>挑战者庄园</t>
        </is>
      </c>
      <c r="M51" s="6">
        <f>'任务掉落明细'!Y80</f>
        <v>0.049999999999999996</v>
      </c>
      <c r="N51" s="2" t="inlineStr">
        <is>
          <t>data/mission_templates.yaml:L559:drop_table.shanhaiguan_skill_book_random</t>
        </is>
      </c>
    </row>
    <row r="52">
      <c r="A52" s="2" t="inlineStr">
        <is>
          <t>book_last_chance_revival</t>
        </is>
      </c>
      <c r="B52" s="2" t="inlineStr">
        <is>
          <t>《绝处逢生》秘术</t>
        </is>
      </c>
      <c r="C52" s="2" t="inlineStr">
        <is>
          <t>技能书</t>
        </is>
      </c>
      <c r="D52" s="2" t="inlineStr">
        <is>
          <t>稀有/蓝</t>
        </is>
      </c>
      <c r="E52" s="2" t="inlineStr">
        <is>
          <t>biyou_candeng</t>
        </is>
      </c>
      <c r="F52" s="2" t="inlineStr">
        <is>
          <t>封神之战：碧游残灯</t>
        </is>
      </c>
      <c r="G52" s="2" t="inlineStr">
        <is>
          <t>概率掉落</t>
        </is>
      </c>
      <c r="H52" s="5">
        <f>'任务掉落明细'!X197</f>
        <v>0.05</v>
      </c>
      <c r="I52" s="2" t="n">
        <v>1</v>
      </c>
      <c r="J52" s="2" t="inlineStr">
        <is>
          <t>book_last_chance_revival</t>
        </is>
      </c>
      <c r="K52" s="2" t="inlineStr">
        <is>
          <t>个人任务</t>
        </is>
      </c>
      <c r="L52" s="2" t="inlineStr">
        <is>
          <t>挑战者庄园</t>
        </is>
      </c>
      <c r="M52" s="6">
        <f>'任务掉落明细'!Y197</f>
        <v>0.05</v>
      </c>
      <c r="N52" s="2" t="inlineStr">
        <is>
          <t>data/mission_templates.yaml:L1158:drop_table.book_last_chance_revival</t>
        </is>
      </c>
    </row>
    <row r="53">
      <c r="A53" s="2" t="inlineStr">
        <is>
          <t>book_last_chance_revival</t>
        </is>
      </c>
      <c r="B53" s="2" t="inlineStr">
        <is>
          <t>《绝处逢生》秘术</t>
        </is>
      </c>
      <c r="C53" s="2" t="inlineStr">
        <is>
          <t>技能书</t>
        </is>
      </c>
      <c r="D53" s="2" t="inlineStr">
        <is>
          <t>稀有/蓝</t>
        </is>
      </c>
      <c r="E53" s="2" t="inlineStr">
        <is>
          <t>fengbang_tianmen</t>
        </is>
      </c>
      <c r="F53" s="2" t="inlineStr">
        <is>
          <t>封神之战：封榜天门</t>
        </is>
      </c>
      <c r="G53" s="2" t="inlineStr">
        <is>
          <t>概率掉落</t>
        </is>
      </c>
      <c r="H53" s="5">
        <f>'任务掉落明细'!X217</f>
        <v>0.072</v>
      </c>
      <c r="I53" s="2" t="n">
        <v>1</v>
      </c>
      <c r="J53" s="2" t="inlineStr">
        <is>
          <t>book_last_chance_revival</t>
        </is>
      </c>
      <c r="K53" s="2" t="inlineStr">
        <is>
          <t>个人任务</t>
        </is>
      </c>
      <c r="L53" s="2" t="inlineStr">
        <is>
          <t>挑战者庄园</t>
        </is>
      </c>
      <c r="M53" s="6">
        <f>'任务掉落明细'!Y217</f>
        <v>0.072</v>
      </c>
      <c r="N53" s="2" t="inlineStr">
        <is>
          <t>data/mission_templates.yaml:L1259:drop_table.book_last_chance_revival</t>
        </is>
      </c>
    </row>
    <row r="54">
      <c r="A54" s="2" t="inlineStr">
        <is>
          <t>book_last_chance_revival</t>
        </is>
      </c>
      <c r="B54" s="2" t="inlineStr">
        <is>
          <t>《绝处逢生》秘术</t>
        </is>
      </c>
      <c r="C54" s="2" t="inlineStr">
        <is>
          <t>技能书</t>
        </is>
      </c>
      <c r="D54" s="2" t="inlineStr">
        <is>
          <t>稀有/蓝</t>
        </is>
      </c>
      <c r="E54" s="2" t="inlineStr">
        <is>
          <t>shanhaiguan</t>
        </is>
      </c>
      <c r="F54" s="2" t="inlineStr">
        <is>
          <t>山海关</t>
        </is>
      </c>
      <c r="G54" s="2" t="inlineStr">
        <is>
          <t>随机池掉落</t>
        </is>
      </c>
      <c r="H54" s="5">
        <f>'任务掉落明细'!X81</f>
        <v>0.04</v>
      </c>
      <c r="I54" s="2" t="n">
        <v>1</v>
      </c>
      <c r="J54" s="2" t="inlineStr">
        <is>
          <t>shanhaiguan_skill_book_random</t>
        </is>
      </c>
      <c r="K54" s="2" t="inlineStr">
        <is>
          <t>个人任务</t>
        </is>
      </c>
      <c r="L54" s="2" t="inlineStr">
        <is>
          <t>挑战者庄园</t>
        </is>
      </c>
      <c r="M54" s="6">
        <f>'任务掉落明细'!Y81</f>
        <v>0.04</v>
      </c>
      <c r="N54" s="2" t="inlineStr">
        <is>
          <t>data/mission_templates.yaml:L559:drop_table.shanhaiguan_skill_book_random</t>
        </is>
      </c>
    </row>
    <row r="55">
      <c r="A55" s="2" t="inlineStr">
        <is>
          <t>book_prison_break_blade</t>
        </is>
      </c>
      <c r="B55" s="2" t="inlineStr">
        <is>
          <t>《破狱狂刀》秘术</t>
        </is>
      </c>
      <c r="C55" s="2" t="inlineStr">
        <is>
          <t>技能书</t>
        </is>
      </c>
      <c r="D55" s="2" t="inlineStr">
        <is>
          <t>史诗/紫</t>
        </is>
      </c>
      <c r="E55" s="2" t="inlineStr">
        <is>
          <t>baimenlou_mingyun_jueze</t>
        </is>
      </c>
      <c r="F55" s="2" t="inlineStr">
        <is>
          <t>飞将浮沉录：白门楼命运抉择</t>
        </is>
      </c>
      <c r="G55" s="2" t="inlineStr">
        <is>
          <t>概率掉落</t>
        </is>
      </c>
      <c r="H55" s="5">
        <f>'任务掉落明细'!X287</f>
        <v>0.036</v>
      </c>
      <c r="I55" s="2" t="n">
        <v>1</v>
      </c>
      <c r="J55" s="2" t="inlineStr">
        <is>
          <t>book_prison_break_blade</t>
        </is>
      </c>
      <c r="K55" s="2" t="inlineStr">
        <is>
          <t>个人任务</t>
        </is>
      </c>
      <c r="L55" s="2" t="inlineStr">
        <is>
          <t>挑战者庄园</t>
        </is>
      </c>
      <c r="M55" s="6">
        <f>'任务掉落明细'!Y287</f>
        <v>0.036</v>
      </c>
      <c r="N55" s="2" t="inlineStr">
        <is>
          <t>data/mission_templates.yaml:L1602:drop_table.book_prison_break_blade</t>
        </is>
      </c>
    </row>
    <row r="56">
      <c r="A56" s="2" t="inlineStr">
        <is>
          <t>book_prison_break_blade</t>
        </is>
      </c>
      <c r="B56" s="2" t="inlineStr">
        <is>
          <t>《破狱狂刀》秘术</t>
        </is>
      </c>
      <c r="C56" s="2" t="inlineStr">
        <is>
          <t>技能书</t>
        </is>
      </c>
      <c r="D56" s="2" t="inlineStr">
        <is>
          <t>史诗/紫</t>
        </is>
      </c>
      <c r="E56" s="2" t="inlineStr">
        <is>
          <t>zhuolu_zhongyuan</t>
        </is>
      </c>
      <c r="F56" s="2" t="inlineStr">
        <is>
          <t>逐鹿中原</t>
        </is>
      </c>
      <c r="G56" s="2" t="inlineStr">
        <is>
          <t>概率掉落</t>
        </is>
      </c>
      <c r="H56" s="5">
        <f>'任务掉落明细'!X237</f>
        <v>0.048</v>
      </c>
      <c r="I56" s="2" t="n">
        <v>1</v>
      </c>
      <c r="J56" s="2" t="inlineStr">
        <is>
          <t>book_prison_break_blade</t>
        </is>
      </c>
      <c r="K56" s="2" t="inlineStr">
        <is>
          <t>个人任务</t>
        </is>
      </c>
      <c r="L56" s="2" t="inlineStr">
        <is>
          <t>挑战者庄园</t>
        </is>
      </c>
      <c r="M56" s="6">
        <f>'任务掉落明细'!Y237</f>
        <v>0.048</v>
      </c>
      <c r="N56" s="2" t="inlineStr">
        <is>
          <t>data/mission_templates.yaml:L1326:drop_table.book_prison_break_blade</t>
        </is>
      </c>
    </row>
    <row r="57">
      <c r="A57" s="2" t="inlineStr">
        <is>
          <t>book_red_lotus_dance</t>
        </is>
      </c>
      <c r="B57" s="2" t="inlineStr">
        <is>
          <t>《红莲之舞》秘术</t>
        </is>
      </c>
      <c r="C57" s="2" t="inlineStr">
        <is>
          <t>技能书</t>
        </is>
      </c>
      <c r="D57" s="2" t="inlineStr">
        <is>
          <t>稀有/蓝</t>
        </is>
      </c>
      <c r="E57" s="2" t="inlineStr">
        <is>
          <t>tianpeng_dijiao_1</t>
        </is>
      </c>
      <c r="F57" s="2" t="inlineStr">
        <is>
          <t>天蓬元帅的地窖（第一层）</t>
        </is>
      </c>
      <c r="G57" s="2" t="inlineStr">
        <is>
          <t>概率掉落</t>
        </is>
      </c>
      <c r="H57" s="5">
        <f>'任务掉落明细'!X114</f>
        <v>0.05</v>
      </c>
      <c r="I57" s="2" t="n">
        <v>1</v>
      </c>
      <c r="J57" s="2" t="inlineStr">
        <is>
          <t>book_red_lotus_dance</t>
        </is>
      </c>
      <c r="K57" s="2" t="inlineStr">
        <is>
          <t>个人任务</t>
        </is>
      </c>
      <c r="L57" s="2" t="inlineStr">
        <is>
          <t>挑战者庄园</t>
        </is>
      </c>
      <c r="M57" s="6">
        <f>'任务掉落明细'!Y114</f>
        <v>0.05</v>
      </c>
      <c r="N57" s="2" t="inlineStr">
        <is>
          <t>data/mission_templates.yaml:L731:drop_table.book_red_lotus_dance</t>
        </is>
      </c>
    </row>
    <row r="58">
      <c r="A58" s="2" t="inlineStr">
        <is>
          <t>book_soul_erode</t>
        </is>
      </c>
      <c r="B58" s="2" t="inlineStr">
        <is>
          <t>《销魂蚀骨》秘术</t>
        </is>
      </c>
      <c r="C58" s="2" t="inlineStr">
        <is>
          <t>技能书</t>
        </is>
      </c>
      <c r="D58" s="2" t="inlineStr">
        <is>
          <t>稀有/蓝</t>
        </is>
      </c>
      <c r="E58" s="2" t="inlineStr">
        <is>
          <t>shizipo_heidian</t>
        </is>
      </c>
      <c r="F58" s="2" t="inlineStr">
        <is>
          <t>十字坡黑店</t>
        </is>
      </c>
      <c r="G58" s="2" t="inlineStr">
        <is>
          <t>随机池掉落</t>
        </is>
      </c>
      <c r="H58" s="5">
        <f>'任务掉落明细'!X68</f>
        <v>0.04</v>
      </c>
      <c r="I58" s="2" t="n">
        <v>1</v>
      </c>
      <c r="J58" s="2" t="inlineStr">
        <is>
          <t>shizipo_skill_book_random</t>
        </is>
      </c>
      <c r="K58" s="2" t="inlineStr">
        <is>
          <t>个人任务</t>
        </is>
      </c>
      <c r="L58" s="2" t="inlineStr">
        <is>
          <t>挑战者庄园</t>
        </is>
      </c>
      <c r="M58" s="6">
        <f>'任务掉落明细'!Y68</f>
        <v>0.04</v>
      </c>
      <c r="N58" s="2" t="inlineStr">
        <is>
          <t>data/mission_templates.yaml:L514:drop_table.shizipo_skill_book_random</t>
        </is>
      </c>
    </row>
    <row r="59">
      <c r="A59" s="2" t="inlineStr">
        <is>
          <t>book_steadfast_planning</t>
        </is>
      </c>
      <c r="B59" s="2" t="inlineStr">
        <is>
          <t>《静水筹谋》秘术</t>
        </is>
      </c>
      <c r="C59" s="2" t="inlineStr">
        <is>
          <t>技能书</t>
        </is>
      </c>
      <c r="D59" s="2" t="inlineStr">
        <is>
          <t>优秀/绿</t>
        </is>
      </c>
      <c r="E59" s="2" t="inlineStr">
        <is>
          <t>fugui_shanzhuang</t>
        </is>
      </c>
      <c r="F59" s="2" t="inlineStr">
        <is>
          <t>富贵山庄</t>
        </is>
      </c>
      <c r="G59" s="2" t="inlineStr">
        <is>
          <t>概率掉落</t>
        </is>
      </c>
      <c r="H59" s="5">
        <f>'任务掉落明细'!X62</f>
        <v>0.05</v>
      </c>
      <c r="I59" s="2" t="n">
        <v>1</v>
      </c>
      <c r="J59" s="2" t="inlineStr">
        <is>
          <t>book_steadfast_planning</t>
        </is>
      </c>
      <c r="K59" s="2" t="inlineStr">
        <is>
          <t>个人任务</t>
        </is>
      </c>
      <c r="L59" s="2" t="inlineStr">
        <is>
          <t>挑战者庄园</t>
        </is>
      </c>
      <c r="M59" s="6">
        <f>'任务掉落明细'!Y62</f>
        <v>0.05</v>
      </c>
      <c r="N59" s="2" t="inlineStr">
        <is>
          <t>data/mission_templates.yaml:L482:drop_table.book_steadfast_planning</t>
        </is>
      </c>
    </row>
    <row r="60">
      <c r="A60" s="2" t="inlineStr">
        <is>
          <t>book_stratagem_burst</t>
        </is>
      </c>
      <c r="B60" s="2" t="inlineStr">
        <is>
          <t>《奇策突袭》秘术</t>
        </is>
      </c>
      <c r="C60" s="2" t="inlineStr">
        <is>
          <t>技能书</t>
        </is>
      </c>
      <c r="D60" s="2" t="inlineStr">
        <is>
          <t>史诗/紫</t>
        </is>
      </c>
      <c r="E60" s="2" t="inlineStr">
        <is>
          <t>baimenlou_mingyun_jueze</t>
        </is>
      </c>
      <c r="F60" s="2" t="inlineStr">
        <is>
          <t>飞将浮沉录：白门楼命运抉择</t>
        </is>
      </c>
      <c r="G60" s="2" t="inlineStr">
        <is>
          <t>概率掉落</t>
        </is>
      </c>
      <c r="H60" s="5">
        <f>'任务掉落明细'!X286</f>
        <v>0.036</v>
      </c>
      <c r="I60" s="2" t="n">
        <v>1</v>
      </c>
      <c r="J60" s="2" t="inlineStr">
        <is>
          <t>book_stratagem_burst</t>
        </is>
      </c>
      <c r="K60" s="2" t="inlineStr">
        <is>
          <t>个人任务</t>
        </is>
      </c>
      <c r="L60" s="2" t="inlineStr">
        <is>
          <t>挑战者庄园</t>
        </is>
      </c>
      <c r="M60" s="6">
        <f>'任务掉落明细'!Y286</f>
        <v>0.036</v>
      </c>
      <c r="N60" s="2" t="inlineStr">
        <is>
          <t>data/mission_templates.yaml:L1602:drop_table.book_stratagem_burst</t>
        </is>
      </c>
    </row>
    <row r="61">
      <c r="A61" s="2" t="inlineStr">
        <is>
          <t>book_taiyi_wind</t>
        </is>
      </c>
      <c r="B61" s="2" t="inlineStr">
        <is>
          <t>《太乙生风》秘术</t>
        </is>
      </c>
      <c r="C61" s="2" t="inlineStr">
        <is>
          <t>技能书</t>
        </is>
      </c>
      <c r="D61" s="2" t="inlineStr">
        <is>
          <t>优秀/绿</t>
        </is>
      </c>
      <c r="E61" s="2" t="inlineStr">
        <is>
          <t>shiren_daochang</t>
        </is>
      </c>
      <c r="F61" s="2" t="inlineStr">
        <is>
          <t>十人道场</t>
        </is>
      </c>
      <c r="G61" s="2" t="inlineStr">
        <is>
          <t>随机池掉落</t>
        </is>
      </c>
      <c r="H61" s="5">
        <f>'任务掉落明细'!X94</f>
        <v>0.05</v>
      </c>
      <c r="I61" s="2" t="n">
        <v>1</v>
      </c>
      <c r="J61" s="2" t="inlineStr">
        <is>
          <t>shiren_skill_book_random</t>
        </is>
      </c>
      <c r="K61" s="2" t="inlineStr">
        <is>
          <t>个人任务</t>
        </is>
      </c>
      <c r="L61" s="2" t="inlineStr">
        <is>
          <t>挑战者庄园</t>
        </is>
      </c>
      <c r="M61" s="6">
        <f>'任务掉落明细'!Y94</f>
        <v>0.05</v>
      </c>
      <c r="N61" s="2" t="inlineStr">
        <is>
          <t>data/mission_templates.yaml:L607:drop_table.shiren_skill_book_random</t>
        </is>
      </c>
    </row>
    <row r="62">
      <c r="A62" s="2" t="inlineStr">
        <is>
          <t>book_tangseng_sermon</t>
        </is>
      </c>
      <c r="B62" s="2" t="inlineStr">
        <is>
          <t>《唐僧说禅》秘术</t>
        </is>
      </c>
      <c r="C62" s="2" t="inlineStr">
        <is>
          <t>技能书</t>
        </is>
      </c>
      <c r="D62" s="2" t="inlineStr">
        <is>
          <t>稀有/蓝</t>
        </is>
      </c>
      <c r="E62" s="2" t="inlineStr">
        <is>
          <t>tianpeng_dijiao_1</t>
        </is>
      </c>
      <c r="F62" s="2" t="inlineStr">
        <is>
          <t>天蓬元帅的地窖（第一层）</t>
        </is>
      </c>
      <c r="G62" s="2" t="inlineStr">
        <is>
          <t>概率掉落</t>
        </is>
      </c>
      <c r="H62" s="5">
        <f>'任务掉落明细'!X115</f>
        <v>0.03</v>
      </c>
      <c r="I62" s="2" t="n">
        <v>1</v>
      </c>
      <c r="J62" s="2" t="inlineStr">
        <is>
          <t>book_tangseng_sermon</t>
        </is>
      </c>
      <c r="K62" s="2" t="inlineStr">
        <is>
          <t>个人任务</t>
        </is>
      </c>
      <c r="L62" s="2" t="inlineStr">
        <is>
          <t>挑战者庄园</t>
        </is>
      </c>
      <c r="M62" s="6">
        <f>'任务掉落明细'!Y115</f>
        <v>0.03</v>
      </c>
      <c r="N62" s="2" t="inlineStr">
        <is>
          <t>data/mission_templates.yaml:L731:drop_table.book_tangseng_sermon</t>
        </is>
      </c>
    </row>
    <row r="63">
      <c r="A63" s="2" t="inlineStr">
        <is>
          <t>book_thunder_control</t>
        </is>
      </c>
      <c r="B63" s="2" t="inlineStr">
        <is>
          <t>《驭雷术》秘术</t>
        </is>
      </c>
      <c r="C63" s="2" t="inlineStr">
        <is>
          <t>技能书</t>
        </is>
      </c>
      <c r="D63" s="2" t="inlineStr">
        <is>
          <t>优秀/绿</t>
        </is>
      </c>
      <c r="E63" s="2" t="inlineStr">
        <is>
          <t>huashan_lunjian</t>
        </is>
      </c>
      <c r="F63" s="2" t="inlineStr">
        <is>
          <t>华山论贱</t>
        </is>
      </c>
      <c r="G63" s="2" t="inlineStr">
        <is>
          <t>概率掉落</t>
        </is>
      </c>
      <c r="H63" s="5">
        <f>'任务掉落明细'!X28</f>
        <v>0.05</v>
      </c>
      <c r="I63" s="2" t="n">
        <v>1</v>
      </c>
      <c r="J63" s="2" t="inlineStr">
        <is>
          <t>book_thunder_control</t>
        </is>
      </c>
      <c r="K63" s="2" t="inlineStr">
        <is>
          <t>个人任务</t>
        </is>
      </c>
      <c r="L63" s="2" t="inlineStr">
        <is>
          <t>挑战者庄园</t>
        </is>
      </c>
      <c r="M63" s="6">
        <f>'任务掉落明细'!Y28</f>
        <v>0.05</v>
      </c>
      <c r="N63" s="2" t="inlineStr">
        <is>
          <t>data/mission_templates.yaml:L287:drop_table.book_thunder_control</t>
        </is>
      </c>
    </row>
    <row r="64">
      <c r="A64" s="2" t="inlineStr">
        <is>
          <t>book_thunder_nine_heavens</t>
        </is>
      </c>
      <c r="B64" s="2" t="inlineStr">
        <is>
          <t>《雷动九天》秘术</t>
        </is>
      </c>
      <c r="C64" s="2" t="inlineStr">
        <is>
          <t>技能书</t>
        </is>
      </c>
      <c r="D64" s="2" t="inlineStr">
        <is>
          <t>稀有/蓝</t>
        </is>
      </c>
      <c r="E64" s="2" t="inlineStr">
        <is>
          <t>jiguan_chuniao</t>
        </is>
      </c>
      <c r="F64" s="2" t="inlineStr">
        <is>
          <t>机关雏鸟</t>
        </is>
      </c>
      <c r="G64" s="2" t="inlineStr">
        <is>
          <t>概率掉落</t>
        </is>
      </c>
      <c r="H64" s="5">
        <f>'任务掉落明细'!X134</f>
        <v>0.04</v>
      </c>
      <c r="I64" s="2" t="n">
        <v>1</v>
      </c>
      <c r="J64" s="2" t="inlineStr">
        <is>
          <t>book_thunder_nine_heavens</t>
        </is>
      </c>
      <c r="K64" s="2" t="inlineStr">
        <is>
          <t>个人任务</t>
        </is>
      </c>
      <c r="L64" s="2" t="inlineStr">
        <is>
          <t>挑战者庄园</t>
        </is>
      </c>
      <c r="M64" s="6">
        <f>'任务掉落明细'!Y134</f>
        <v>0.04</v>
      </c>
      <c r="N64" s="2" t="inlineStr">
        <is>
          <t>data/mission_templates.yaml:L830:drop_table.book_thunder_nine_heavens</t>
        </is>
      </c>
    </row>
    <row r="65">
      <c r="A65" s="2" t="inlineStr">
        <is>
          <t>buxuedan</t>
        </is>
      </c>
      <c r="B65" s="2" t="inlineStr">
        <is>
          <t>补血丹</t>
        </is>
      </c>
      <c r="C65" s="2" t="inlineStr">
        <is>
          <t>药品</t>
        </is>
      </c>
      <c r="D65" s="2" t="inlineStr">
        <is>
          <t>普通/白</t>
        </is>
      </c>
      <c r="E65" s="2" t="inlineStr">
        <is>
          <t>kasukabe_daisakusen</t>
        </is>
      </c>
      <c r="F65" s="2" t="inlineStr">
        <is>
          <t>春日部大作战</t>
        </is>
      </c>
      <c r="G65" s="2" t="inlineStr">
        <is>
          <t>概率掉落</t>
        </is>
      </c>
      <c r="H65" s="5">
        <f>'任务掉落明细'!X19</f>
        <v>0.45</v>
      </c>
      <c r="I65" s="2" t="n">
        <v>6</v>
      </c>
      <c r="J65" s="2" t="inlineStr">
        <is>
          <t>buxuedan</t>
        </is>
      </c>
      <c r="K65" s="2" t="inlineStr">
        <is>
          <t>个人任务</t>
        </is>
      </c>
      <c r="L65" s="2" t="inlineStr">
        <is>
          <t>挑战者庄园</t>
        </is>
      </c>
      <c r="M65" s="6">
        <f>'任务掉落明细'!Y19</f>
        <v>2.7</v>
      </c>
      <c r="N65" s="2" t="inlineStr">
        <is>
          <t>data/mission_templates.yaml:L206:drop_table.buxuedan</t>
        </is>
      </c>
    </row>
    <row r="66">
      <c r="A66" s="2" t="inlineStr">
        <is>
          <t>chang_e_summon_scroll</t>
        </is>
      </c>
      <c r="B66" s="2" t="inlineStr">
        <is>
          <t>嫦娥召唤卷轴</t>
        </is>
      </c>
      <c r="C66" s="2" t="inlineStr">
        <is>
          <t>道具</t>
        </is>
      </c>
      <c r="D66" s="2" t="inlineStr">
        <is>
          <t>史诗/紫</t>
        </is>
      </c>
      <c r="E66" s="2" t="inlineStr">
        <is>
          <t>mid_autumn_moon_palace_trial</t>
        </is>
      </c>
      <c r="F66" s="2" t="inlineStr">
        <is>
          <t>广寒宫试炼</t>
        </is>
      </c>
      <c r="G66" s="2" t="inlineStr">
        <is>
          <t>概率掉落</t>
        </is>
      </c>
      <c r="H66" s="5">
        <f>'任务掉落明细'!X10</f>
        <v>0.03</v>
      </c>
      <c r="I66" s="2" t="n">
        <v>1</v>
      </c>
      <c r="J66" s="2" t="inlineStr">
        <is>
          <t>chang_e_summon_scroll</t>
        </is>
      </c>
      <c r="K66" s="2" t="inlineStr">
        <is>
          <t>个人任务</t>
        </is>
      </c>
      <c r="L66" s="2" t="inlineStr">
        <is>
          <t>挑战者庄园</t>
        </is>
      </c>
      <c r="M66" s="6">
        <f>'任务掉落明细'!Y10</f>
        <v>0.03</v>
      </c>
      <c r="N66" s="2" t="inlineStr">
        <is>
          <t>data/mission_templates.yaml:L139:drop_table.chang_e_summon_scroll</t>
        </is>
      </c>
    </row>
    <row r="67">
      <c r="A67" s="2" t="inlineStr">
        <is>
          <t>civil_skill_book_box</t>
        </is>
      </c>
      <c r="B67" s="2" t="inlineStr">
        <is>
          <t>文系技能宝箱</t>
        </is>
      </c>
      <c r="C67" s="2" t="inlineStr">
        <is>
          <t>宝箱</t>
        </is>
      </c>
      <c r="D67" s="2" t="inlineStr">
        <is>
          <t>稀有/蓝</t>
        </is>
      </c>
      <c r="E67" s="2" t="inlineStr">
        <is>
          <t>manzu_ruqin</t>
        </is>
      </c>
      <c r="F67" s="2" t="inlineStr">
        <is>
          <t>蛮族入侵</t>
        </is>
      </c>
      <c r="G67" s="2" t="inlineStr">
        <is>
          <t>概率掉落</t>
        </is>
      </c>
      <c r="H67" s="5">
        <f>'任务掉落明细'!X178</f>
        <v>0.18</v>
      </c>
      <c r="I67" s="2" t="n">
        <v>1</v>
      </c>
      <c r="J67" s="2" t="inlineStr">
        <is>
          <t>civil_skill_book_box</t>
        </is>
      </c>
      <c r="K67" s="2" t="inlineStr">
        <is>
          <t>个人任务</t>
        </is>
      </c>
      <c r="L67" s="2" t="inlineStr">
        <is>
          <t>挑战者庄园</t>
        </is>
      </c>
      <c r="M67" s="6">
        <f>'任务掉落明细'!Y178</f>
        <v>0.18</v>
      </c>
      <c r="N67" s="2" t="inlineStr">
        <is>
          <t>data/mission_templates.yaml:L1046:drop_table.civil_skill_book_box</t>
        </is>
      </c>
    </row>
    <row r="68">
      <c r="A68" s="2" t="inlineStr">
        <is>
          <t>diaochan_guest_scroll</t>
        </is>
      </c>
      <c r="B68" s="2" t="inlineStr">
        <is>
          <t>貂蝉招募卷轴</t>
        </is>
      </c>
      <c r="C68" s="2" t="inlineStr">
        <is>
          <t>道具</t>
        </is>
      </c>
      <c r="D68" s="2" t="inlineStr">
        <is>
          <t>史诗/紫</t>
        </is>
      </c>
      <c r="E68" s="2" t="inlineStr">
        <is>
          <t>baimenlou_mingyun_jueze</t>
        </is>
      </c>
      <c r="F68" s="2" t="inlineStr">
        <is>
          <t>飞将浮沉录：白门楼命运抉择</t>
        </is>
      </c>
      <c r="G68" s="2" t="inlineStr">
        <is>
          <t>概率掉落</t>
        </is>
      </c>
      <c r="H68" s="5">
        <f>'任务掉落明细'!X281</f>
        <v>0.02</v>
      </c>
      <c r="I68" s="2" t="n">
        <v>1</v>
      </c>
      <c r="J68" s="2" t="inlineStr">
        <is>
          <t>diaochan_guest_scroll</t>
        </is>
      </c>
      <c r="K68" s="2" t="inlineStr">
        <is>
          <t>个人任务</t>
        </is>
      </c>
      <c r="L68" s="2" t="inlineStr">
        <is>
          <t>挑战者庄园</t>
        </is>
      </c>
      <c r="M68" s="6">
        <f>'任务掉落明细'!Y281</f>
        <v>0.02</v>
      </c>
      <c r="N68" s="2" t="inlineStr">
        <is>
          <t>data/mission_templates.yaml:L1602:drop_table.diaochan_guest_scroll</t>
        </is>
      </c>
    </row>
    <row r="69">
      <c r="A69" s="2" t="inlineStr">
        <is>
          <t>equip_action_beam_glove</t>
        </is>
      </c>
      <c r="B69" s="2" t="inlineStr">
        <is>
          <t>动感光波手套</t>
        </is>
      </c>
      <c r="C69" s="2" t="inlineStr">
        <is>
          <t>武器</t>
        </is>
      </c>
      <c r="D69" s="2" t="inlineStr">
        <is>
          <t>稀有/蓝</t>
        </is>
      </c>
      <c r="E69" s="2" t="inlineStr">
        <is>
          <t>kasukabe_daisakusen</t>
        </is>
      </c>
      <c r="F69" s="2" t="inlineStr">
        <is>
          <t>春日部大作战</t>
        </is>
      </c>
      <c r="G69" s="2" t="inlineStr">
        <is>
          <t>概率掉落</t>
        </is>
      </c>
      <c r="H69" s="5">
        <f>'任务掉落明细'!X25</f>
        <v>0.06</v>
      </c>
      <c r="I69" s="2" t="n">
        <v>1</v>
      </c>
      <c r="J69" s="2" t="inlineStr">
        <is>
          <t>equip_action_beam_glove</t>
        </is>
      </c>
      <c r="K69" s="2" t="inlineStr">
        <is>
          <t>个人任务</t>
        </is>
      </c>
      <c r="L69" s="2" t="inlineStr">
        <is>
          <t>挑战者庄园</t>
        </is>
      </c>
      <c r="M69" s="6">
        <f>'任务掉落明细'!Y25</f>
        <v>0.06</v>
      </c>
      <c r="N69" s="2" t="inlineStr">
        <is>
          <t>data/mission_templates.yaml:L206:drop_table.equip_action_beam_glove</t>
        </is>
      </c>
    </row>
    <row r="70">
      <c r="A70" s="2" t="inlineStr">
        <is>
          <t>equip_action_mask</t>
        </is>
      </c>
      <c r="B70" s="2" t="inlineStr">
        <is>
          <t>动感超人面具</t>
        </is>
      </c>
      <c r="C70" s="2" t="inlineStr">
        <is>
          <t>头盔</t>
        </is>
      </c>
      <c r="D70" s="2" t="inlineStr">
        <is>
          <t>稀有/蓝</t>
        </is>
      </c>
      <c r="E70" s="2" t="inlineStr">
        <is>
          <t>kasukabe_daisakusen</t>
        </is>
      </c>
      <c r="F70" s="2" t="inlineStr">
        <is>
          <t>春日部大作战</t>
        </is>
      </c>
      <c r="G70" s="2" t="inlineStr">
        <is>
          <t>概率掉落</t>
        </is>
      </c>
      <c r="H70" s="5">
        <f>'任务掉落明细'!X22</f>
        <v>0.1</v>
      </c>
      <c r="I70" s="2" t="n">
        <v>1</v>
      </c>
      <c r="J70" s="2" t="inlineStr">
        <is>
          <t>equip_action_mask</t>
        </is>
      </c>
      <c r="K70" s="2" t="inlineStr">
        <is>
          <t>个人任务</t>
        </is>
      </c>
      <c r="L70" s="2" t="inlineStr">
        <is>
          <t>挑战者庄园</t>
        </is>
      </c>
      <c r="M70" s="6">
        <f>'任务掉落明细'!Y22</f>
        <v>0.1</v>
      </c>
      <c r="N70" s="2" t="inlineStr">
        <is>
          <t>data/mission_templates.yaml:L206:drop_table.equip_action_mask</t>
        </is>
      </c>
    </row>
    <row r="71">
      <c r="A71" s="2" t="inlineStr">
        <is>
          <t>equip_baguadao</t>
        </is>
      </c>
      <c r="B71" s="2" t="inlineStr">
        <is>
          <t>八卦刀</t>
        </is>
      </c>
      <c r="C71" s="2" t="inlineStr">
        <is>
          <t>武器</t>
        </is>
      </c>
      <c r="D71" s="2" t="inlineStr">
        <is>
          <t>稀有/蓝</t>
        </is>
      </c>
      <c r="E71" s="2" t="inlineStr">
        <is>
          <t>liangshanbo_zhuyingtai</t>
        </is>
      </c>
      <c r="F71" s="2" t="inlineStr">
        <is>
          <t>梁山伯与祝英台</t>
        </is>
      </c>
      <c r="G71" s="2" t="inlineStr">
        <is>
          <t>概率掉落</t>
        </is>
      </c>
      <c r="H71" s="5">
        <f>'任务掉落明细'!X189</f>
        <v>0.1</v>
      </c>
      <c r="I71" s="2" t="n">
        <v>1</v>
      </c>
      <c r="J71" s="2" t="inlineStr">
        <is>
          <t>equip_baguadao</t>
        </is>
      </c>
      <c r="K71" s="2" t="inlineStr">
        <is>
          <t>个人任务</t>
        </is>
      </c>
      <c r="L71" s="2" t="inlineStr">
        <is>
          <t>挑战者庄园</t>
        </is>
      </c>
      <c r="M71" s="6">
        <f>'任务掉落明细'!Y189</f>
        <v>0.1</v>
      </c>
      <c r="N71" s="2" t="inlineStr">
        <is>
          <t>data/mission_templates.yaml:L1108:drop_table.equip_baguadao</t>
        </is>
      </c>
    </row>
    <row r="72">
      <c r="A72" s="2" t="inlineStr">
        <is>
          <t>equip_baguajing</t>
        </is>
      </c>
      <c r="B72" s="2" t="inlineStr">
        <is>
          <t>八卦镜</t>
        </is>
      </c>
      <c r="C72" s="2" t="inlineStr">
        <is>
          <t>饰品</t>
        </is>
      </c>
      <c r="D72" s="2" t="inlineStr">
        <is>
          <t>史诗/紫</t>
        </is>
      </c>
      <c r="E72" s="2" t="inlineStr">
        <is>
          <t>biyou_candeng</t>
        </is>
      </c>
      <c r="F72" s="2" t="inlineStr">
        <is>
          <t>封神之战：碧游残灯</t>
        </is>
      </c>
      <c r="G72" s="2" t="inlineStr">
        <is>
          <t>概率掉落</t>
        </is>
      </c>
      <c r="H72" s="5">
        <f>'任务掉落明细'!X198</f>
        <v>0.06</v>
      </c>
      <c r="I72" s="2" t="n">
        <v>1</v>
      </c>
      <c r="J72" s="2" t="inlineStr">
        <is>
          <t>equip_baguajing</t>
        </is>
      </c>
      <c r="K72" s="2" t="inlineStr">
        <is>
          <t>个人任务</t>
        </is>
      </c>
      <c r="L72" s="2" t="inlineStr">
        <is>
          <t>挑战者庄园</t>
        </is>
      </c>
      <c r="M72" s="6">
        <f>'任务掉落明细'!Y198</f>
        <v>0.06</v>
      </c>
      <c r="N72" s="2" t="inlineStr">
        <is>
          <t>data/mission_templates.yaml:L1158:drop_table.equip_baguajing</t>
        </is>
      </c>
    </row>
    <row r="73">
      <c r="A73" s="2" t="inlineStr">
        <is>
          <t>equip_baguajing</t>
        </is>
      </c>
      <c r="B73" s="2" t="inlineStr">
        <is>
          <t>八卦镜</t>
        </is>
      </c>
      <c r="C73" s="2" t="inlineStr">
        <is>
          <t>饰品</t>
        </is>
      </c>
      <c r="D73" s="2" t="inlineStr">
        <is>
          <t>史诗/紫</t>
        </is>
      </c>
      <c r="E73" s="2" t="inlineStr">
        <is>
          <t>fengbang_tianmen</t>
        </is>
      </c>
      <c r="F73" s="2" t="inlineStr">
        <is>
          <t>封神之战：封榜天门</t>
        </is>
      </c>
      <c r="G73" s="2" t="inlineStr">
        <is>
          <t>概率掉落</t>
        </is>
      </c>
      <c r="H73" s="5">
        <f>'任务掉落明细'!X218</f>
        <v>0.08</v>
      </c>
      <c r="I73" s="2" t="n">
        <v>1</v>
      </c>
      <c r="J73" s="2" t="inlineStr">
        <is>
          <t>equip_baguajing</t>
        </is>
      </c>
      <c r="K73" s="2" t="inlineStr">
        <is>
          <t>个人任务</t>
        </is>
      </c>
      <c r="L73" s="2" t="inlineStr">
        <is>
          <t>挑战者庄园</t>
        </is>
      </c>
      <c r="M73" s="6">
        <f>'任务掉落明细'!Y218</f>
        <v>0.08</v>
      </c>
      <c r="N73" s="2" t="inlineStr">
        <is>
          <t>data/mission_templates.yaml:L1259:drop_table.equip_baguajing</t>
        </is>
      </c>
    </row>
    <row r="74">
      <c r="A74" s="2" t="inlineStr">
        <is>
          <t>equip_bailongju</t>
        </is>
      </c>
      <c r="B74" s="2" t="inlineStr">
        <is>
          <t>白龙驹</t>
        </is>
      </c>
      <c r="C74" s="2" t="inlineStr">
        <is>
          <t>坐骑</t>
        </is>
      </c>
      <c r="D74" s="2" t="inlineStr">
        <is>
          <t>稀有/蓝</t>
        </is>
      </c>
      <c r="E74" s="2" t="inlineStr">
        <is>
          <t>shanhaiguan</t>
        </is>
      </c>
      <c r="F74" s="2" t="inlineStr">
        <is>
          <t>山海关</t>
        </is>
      </c>
      <c r="G74" s="2" t="inlineStr">
        <is>
          <t>概率掉落</t>
        </is>
      </c>
      <c r="H74" s="5">
        <f>'任务掉落明细'!X88</f>
        <v>0.1</v>
      </c>
      <c r="I74" s="2" t="n">
        <v>1</v>
      </c>
      <c r="J74" s="2" t="inlineStr">
        <is>
          <t>equip_bailongju</t>
        </is>
      </c>
      <c r="K74" s="2" t="inlineStr">
        <is>
          <t>个人任务</t>
        </is>
      </c>
      <c r="L74" s="2" t="inlineStr">
        <is>
          <t>挑战者庄园</t>
        </is>
      </c>
      <c r="M74" s="6">
        <f>'任务掉落明细'!Y88</f>
        <v>0.1</v>
      </c>
      <c r="N74" s="2" t="inlineStr">
        <is>
          <t>data/mission_templates.yaml:L559:drop_table.equip_bailongju</t>
        </is>
      </c>
    </row>
    <row r="75">
      <c r="A75" s="2" t="inlineStr">
        <is>
          <t>equip_baoutoukui</t>
        </is>
      </c>
      <c r="B75" s="2" t="inlineStr">
        <is>
          <t>豹头盔</t>
        </is>
      </c>
      <c r="C75" s="2" t="inlineStr">
        <is>
          <t>头盔</t>
        </is>
      </c>
      <c r="D75" s="2" t="inlineStr">
        <is>
          <t>优秀/绿</t>
        </is>
      </c>
      <c r="E75" s="2" t="inlineStr">
        <is>
          <t>wulongshan</t>
        </is>
      </c>
      <c r="F75" s="2" t="inlineStr">
        <is>
          <t>乌龙山</t>
        </is>
      </c>
      <c r="G75" s="2" t="inlineStr">
        <is>
          <t>随机池掉落</t>
        </is>
      </c>
      <c r="H75" s="5">
        <f>'任务掉落明细'!X47</f>
        <v>0.175</v>
      </c>
      <c r="I75" s="2" t="n">
        <v>1</v>
      </c>
      <c r="J75" s="2" t="inlineStr">
        <is>
          <t>wulong_equipment_pool</t>
        </is>
      </c>
      <c r="K75" s="2" t="inlineStr">
        <is>
          <t>个人任务</t>
        </is>
      </c>
      <c r="L75" s="2" t="inlineStr">
        <is>
          <t>挑战者庄园</t>
        </is>
      </c>
      <c r="M75" s="6">
        <f>'任务掉落明细'!Y47</f>
        <v>0.175</v>
      </c>
      <c r="N75" s="2" t="inlineStr">
        <is>
          <t>data/mission_templates.yaml:L408:drop_table.wulong_equipment_pool</t>
        </is>
      </c>
    </row>
    <row r="76">
      <c r="A76" s="2" t="inlineStr">
        <is>
          <t>equip_bawangqiang</t>
        </is>
      </c>
      <c r="B76" s="2" t="inlineStr">
        <is>
          <t>霸王枪</t>
        </is>
      </c>
      <c r="C76" s="2" t="inlineStr">
        <is>
          <t>武器</t>
        </is>
      </c>
      <c r="D76" s="2" t="inlineStr">
        <is>
          <t>史诗/紫</t>
        </is>
      </c>
      <c r="E76" s="2" t="inlineStr">
        <is>
          <t>simian_chuge</t>
        </is>
      </c>
      <c r="F76" s="2" t="inlineStr">
        <is>
          <t>四面楚歌</t>
        </is>
      </c>
      <c r="G76" s="2" t="inlineStr">
        <is>
          <t>概率掉落</t>
        </is>
      </c>
      <c r="H76" s="5">
        <f>'任务掉落明细'!X174</f>
        <v>0.1</v>
      </c>
      <c r="I76" s="2" t="n">
        <v>1</v>
      </c>
      <c r="J76" s="2" t="inlineStr">
        <is>
          <t>equip_bawangqiang</t>
        </is>
      </c>
      <c r="K76" s="2" t="inlineStr">
        <is>
          <t>个人任务</t>
        </is>
      </c>
      <c r="L76" s="2" t="inlineStr">
        <is>
          <t>挑战者庄园</t>
        </is>
      </c>
      <c r="M76" s="6">
        <f>'任务掉落明细'!Y174</f>
        <v>0.1</v>
      </c>
      <c r="N76" s="2" t="inlineStr">
        <is>
          <t>data/mission_templates.yaml:L1007:drop_table.equip_bawangqiang</t>
        </is>
      </c>
    </row>
    <row r="77">
      <c r="A77" s="2" t="inlineStr">
        <is>
          <t>equip_changshengjian</t>
        </is>
      </c>
      <c r="B77" s="2" t="inlineStr">
        <is>
          <t>长生剑</t>
        </is>
      </c>
      <c r="C77" s="2" t="inlineStr">
        <is>
          <t>武器</t>
        </is>
      </c>
      <c r="D77" s="2" t="inlineStr">
        <is>
          <t>传说/橙</t>
        </is>
      </c>
      <c r="E77" s="2" t="inlineStr">
        <is>
          <t>guandu_zhizhan</t>
        </is>
      </c>
      <c r="F77" s="2" t="inlineStr">
        <is>
          <t>官渡之战</t>
        </is>
      </c>
      <c r="G77" s="2" t="inlineStr">
        <is>
          <t>概率掉落</t>
        </is>
      </c>
      <c r="H77" s="5">
        <f>'任务掉落明细'!X257</f>
        <v>0.0096</v>
      </c>
      <c r="I77" s="2" t="n">
        <v>1</v>
      </c>
      <c r="J77" s="2" t="inlineStr">
        <is>
          <t>equip_changshengjian</t>
        </is>
      </c>
      <c r="K77" s="2" t="inlineStr">
        <is>
          <t>个人任务</t>
        </is>
      </c>
      <c r="L77" s="2" t="inlineStr">
        <is>
          <t>挑战者庄园</t>
        </is>
      </c>
      <c r="M77" s="6">
        <f>'任务掉落明细'!Y257</f>
        <v>0.0096</v>
      </c>
      <c r="N77" s="2" t="inlineStr">
        <is>
          <t>data/mission_templates.yaml:L1391:drop_table.equip_changshengjian</t>
        </is>
      </c>
    </row>
    <row r="78">
      <c r="A78" s="2" t="inlineStr">
        <is>
          <t>equip_chibiao</t>
        </is>
      </c>
      <c r="B78" s="2" t="inlineStr">
        <is>
          <t>赤骠</t>
        </is>
      </c>
      <c r="C78" s="2" t="inlineStr">
        <is>
          <t>坐骑</t>
        </is>
      </c>
      <c r="D78" s="2" t="inlineStr">
        <is>
          <t>优秀/绿</t>
        </is>
      </c>
      <c r="E78" s="2" t="inlineStr">
        <is>
          <t>wagangzhai</t>
        </is>
      </c>
      <c r="F78" s="2" t="inlineStr">
        <is>
          <t>瓦岗寨</t>
        </is>
      </c>
      <c r="G78" s="2" t="inlineStr">
        <is>
          <t>随机池掉落</t>
        </is>
      </c>
      <c r="H78" s="5">
        <f>'任务掉落明细'!X60</f>
        <v>0.08333333333333333</v>
      </c>
      <c r="I78" s="2" t="n">
        <v>1</v>
      </c>
      <c r="J78" s="2" t="inlineStr">
        <is>
          <t>wagang_equipment_pool</t>
        </is>
      </c>
      <c r="K78" s="2" t="inlineStr">
        <is>
          <t>个人任务</t>
        </is>
      </c>
      <c r="L78" s="2" t="inlineStr">
        <is>
          <t>挑战者庄园</t>
        </is>
      </c>
      <c r="M78" s="6">
        <f>'任务掉落明细'!Y60</f>
        <v>0.08333333333333333</v>
      </c>
      <c r="N78" s="2" t="inlineStr">
        <is>
          <t>data/mission_templates.yaml:L444:drop_table.wagang_equipment_pool</t>
        </is>
      </c>
    </row>
    <row r="79">
      <c r="A79" s="2" t="inlineStr">
        <is>
          <t>equip_chituma</t>
        </is>
      </c>
      <c r="B79" s="2" t="inlineStr">
        <is>
          <t>赤兔马</t>
        </is>
      </c>
      <c r="C79" s="2" t="inlineStr">
        <is>
          <t>坐骑</t>
        </is>
      </c>
      <c r="D79" s="2" t="inlineStr">
        <is>
          <t>传说/橙</t>
        </is>
      </c>
      <c r="E79" s="2" t="inlineStr">
        <is>
          <t>hulao_qunying_zhan_lvbu</t>
        </is>
      </c>
      <c r="F79" s="2" t="inlineStr">
        <is>
          <t>飞将浮沉录：虎牢关群英战吕布</t>
        </is>
      </c>
      <c r="G79" s="2" t="inlineStr">
        <is>
          <t>概率掉落</t>
        </is>
      </c>
      <c r="H79" s="5">
        <f>'任务掉落明细'!X276</f>
        <v>0.006</v>
      </c>
      <c r="I79" s="2" t="n">
        <v>1</v>
      </c>
      <c r="J79" s="2" t="inlineStr">
        <is>
          <t>equip_chituma</t>
        </is>
      </c>
      <c r="K79" s="2" t="inlineStr">
        <is>
          <t>个人任务</t>
        </is>
      </c>
      <c r="L79" s="2" t="inlineStr">
        <is>
          <t>挑战者庄园</t>
        </is>
      </c>
      <c r="M79" s="6">
        <f>'任务掉落明细'!Y276</f>
        <v>0.006</v>
      </c>
      <c r="N79" s="2" t="inlineStr">
        <is>
          <t>data/mission_templates.yaml:L1556:drop_table.equip_chituma</t>
        </is>
      </c>
    </row>
    <row r="80">
      <c r="A80" s="2" t="inlineStr">
        <is>
          <t>equip_chuanyungong</t>
        </is>
      </c>
      <c r="B80" s="2" t="inlineStr">
        <is>
          <t>穿云弓</t>
        </is>
      </c>
      <c r="C80" s="2" t="inlineStr">
        <is>
          <t>武器</t>
        </is>
      </c>
      <c r="D80" s="2" t="inlineStr">
        <is>
          <t>稀有/蓝</t>
        </is>
      </c>
      <c r="E80" s="2" t="inlineStr">
        <is>
          <t>sishui_huaxiong_chengwei</t>
        </is>
      </c>
      <c r="F80" s="2" t="inlineStr">
        <is>
          <t>飞将浮沉录：汜水关华雄逞威</t>
        </is>
      </c>
      <c r="G80" s="2" t="inlineStr">
        <is>
          <t>随机池掉落</t>
        </is>
      </c>
      <c r="H80" s="5">
        <f>'任务掉落明细'!X267</f>
        <v>0.03333333333333333</v>
      </c>
      <c r="I80" s="2" t="n">
        <v>1</v>
      </c>
      <c r="J80" s="2" t="inlineStr">
        <is>
          <t>sishui_equipment_pool</t>
        </is>
      </c>
      <c r="K80" s="2" t="inlineStr">
        <is>
          <t>个人任务</t>
        </is>
      </c>
      <c r="L80" s="2" t="inlineStr">
        <is>
          <t>挑战者庄园</t>
        </is>
      </c>
      <c r="M80" s="6">
        <f>'任务掉落明细'!Y267</f>
        <v>0.03333333333333333</v>
      </c>
      <c r="N80" s="2" t="inlineStr">
        <is>
          <t>data/mission_templates.yaml:L1511:drop_table.sishui_equipment_pool</t>
        </is>
      </c>
    </row>
    <row r="81">
      <c r="A81" s="2" t="inlineStr">
        <is>
          <t>equip_duanhunbian</t>
        </is>
      </c>
      <c r="B81" s="2" t="inlineStr">
        <is>
          <t>断魂鞭</t>
        </is>
      </c>
      <c r="C81" s="2" t="inlineStr">
        <is>
          <t>武器</t>
        </is>
      </c>
      <c r="D81" s="2" t="inlineStr">
        <is>
          <t>稀有/蓝</t>
        </is>
      </c>
      <c r="E81" s="2" t="inlineStr">
        <is>
          <t>shizipo_heidian</t>
        </is>
      </c>
      <c r="F81" s="2" t="inlineStr">
        <is>
          <t>十字坡黑店</t>
        </is>
      </c>
      <c r="G81" s="2" t="inlineStr">
        <is>
          <t>概率掉落</t>
        </is>
      </c>
      <c r="H81" s="5">
        <f>'任务掉落明细'!X73</f>
        <v>0.2</v>
      </c>
      <c r="I81" s="2" t="n">
        <v>1</v>
      </c>
      <c r="J81" s="2" t="inlineStr">
        <is>
          <t>equip_duanhunbian</t>
        </is>
      </c>
      <c r="K81" s="2" t="inlineStr">
        <is>
          <t>个人任务</t>
        </is>
      </c>
      <c r="L81" s="2" t="inlineStr">
        <is>
          <t>挑战者庄园</t>
        </is>
      </c>
      <c r="M81" s="6">
        <f>'任务掉落明细'!Y73</f>
        <v>0.2</v>
      </c>
      <c r="N81" s="2" t="inlineStr">
        <is>
          <t>data/mission_templates.yaml:L514:drop_table.equip_duanhunbian</t>
        </is>
      </c>
    </row>
    <row r="82">
      <c r="A82" s="2" t="inlineStr">
        <is>
          <t>equip_fangtianhuaji</t>
        </is>
      </c>
      <c r="B82" s="2" t="inlineStr">
        <is>
          <t>方天画戟</t>
        </is>
      </c>
      <c r="C82" s="2" t="inlineStr">
        <is>
          <t>武器</t>
        </is>
      </c>
      <c r="D82" s="2" t="inlineStr">
        <is>
          <t>传说/橙</t>
        </is>
      </c>
      <c r="E82" s="2" t="inlineStr">
        <is>
          <t>hulao_qunying_zhan_lvbu</t>
        </is>
      </c>
      <c r="F82" s="2" t="inlineStr">
        <is>
          <t>飞将浮沉录：虎牢关群英战吕布</t>
        </is>
      </c>
      <c r="G82" s="2" t="inlineStr">
        <is>
          <t>概率掉落</t>
        </is>
      </c>
      <c r="H82" s="5">
        <f>'任务掉落明细'!X274</f>
        <v>0.0096</v>
      </c>
      <c r="I82" s="2" t="n">
        <v>1</v>
      </c>
      <c r="J82" s="2" t="inlineStr">
        <is>
          <t>equip_fangtianhuaji</t>
        </is>
      </c>
      <c r="K82" s="2" t="inlineStr">
        <is>
          <t>个人任务</t>
        </is>
      </c>
      <c r="L82" s="2" t="inlineStr">
        <is>
          <t>挑战者庄园</t>
        </is>
      </c>
      <c r="M82" s="6">
        <f>'任务掉落明细'!Y274</f>
        <v>0.0096</v>
      </c>
      <c r="N82" s="2" t="inlineStr">
        <is>
          <t>data/mission_templates.yaml:L1556:drop_table.equip_fangtianhuaji</t>
        </is>
      </c>
    </row>
    <row r="83">
      <c r="A83" s="2" t="inlineStr">
        <is>
          <t>equip_feiyukui</t>
        </is>
      </c>
      <c r="B83" s="2" t="inlineStr">
        <is>
          <t>飞羽盔</t>
        </is>
      </c>
      <c r="C83" s="2" t="inlineStr">
        <is>
          <t>头盔</t>
        </is>
      </c>
      <c r="D83" s="2" t="inlineStr">
        <is>
          <t>稀有/蓝</t>
        </is>
      </c>
      <c r="E83" s="2" t="inlineStr">
        <is>
          <t>shanhaiguan</t>
        </is>
      </c>
      <c r="F83" s="2" t="inlineStr">
        <is>
          <t>山海关</t>
        </is>
      </c>
      <c r="G83" s="2" t="inlineStr">
        <is>
          <t>概率掉落</t>
        </is>
      </c>
      <c r="H83" s="5">
        <f>'任务掉落明细'!X84</f>
        <v>0.1</v>
      </c>
      <c r="I83" s="2" t="n">
        <v>1</v>
      </c>
      <c r="J83" s="2" t="inlineStr">
        <is>
          <t>equip_feiyukui</t>
        </is>
      </c>
      <c r="K83" s="2" t="inlineStr">
        <is>
          <t>个人任务</t>
        </is>
      </c>
      <c r="L83" s="2" t="inlineStr">
        <is>
          <t>挑战者庄园</t>
        </is>
      </c>
      <c r="M83" s="6">
        <f>'任务掉落明细'!Y84</f>
        <v>0.1</v>
      </c>
      <c r="N83" s="2" t="inlineStr">
        <is>
          <t>data/mission_templates.yaml:L559:drop_table.equip_feiyukui</t>
        </is>
      </c>
    </row>
    <row r="84">
      <c r="A84" s="2" t="inlineStr">
        <is>
          <t>equip_feiyunzui</t>
        </is>
      </c>
      <c r="B84" s="2" t="inlineStr">
        <is>
          <t>飞云锥</t>
        </is>
      </c>
      <c r="C84" s="2" t="inlineStr">
        <is>
          <t>坐骑</t>
        </is>
      </c>
      <c r="D84" s="2" t="inlineStr">
        <is>
          <t>稀有/蓝</t>
        </is>
      </c>
      <c r="E84" s="2" t="inlineStr">
        <is>
          <t>jiguan_chuniao</t>
        </is>
      </c>
      <c r="F84" s="2" t="inlineStr">
        <is>
          <t>机关雏鸟</t>
        </is>
      </c>
      <c r="G84" s="2" t="inlineStr">
        <is>
          <t>概率掉落</t>
        </is>
      </c>
      <c r="H84" s="5">
        <f>'任务掉落明细'!X136</f>
        <v>0.1</v>
      </c>
      <c r="I84" s="2" t="n">
        <v>1</v>
      </c>
      <c r="J84" s="2" t="inlineStr">
        <is>
          <t>equip_feiyunzui</t>
        </is>
      </c>
      <c r="K84" s="2" t="inlineStr">
        <is>
          <t>个人任务</t>
        </is>
      </c>
      <c r="L84" s="2" t="inlineStr">
        <is>
          <t>挑战者庄园</t>
        </is>
      </c>
      <c r="M84" s="6">
        <f>'任务掉落明细'!Y136</f>
        <v>0.1</v>
      </c>
      <c r="N84" s="2" t="inlineStr">
        <is>
          <t>data/mission_templates.yaml:L830:drop_table.equip_feiyunzui</t>
        </is>
      </c>
    </row>
    <row r="85">
      <c r="A85" s="2" t="inlineStr">
        <is>
          <t>equip_feiyunzui</t>
        </is>
      </c>
      <c r="B85" s="2" t="inlineStr">
        <is>
          <t>飞云锥</t>
        </is>
      </c>
      <c r="C85" s="2" t="inlineStr">
        <is>
          <t>坐骑</t>
        </is>
      </c>
      <c r="D85" s="2" t="inlineStr">
        <is>
          <t>稀有/蓝</t>
        </is>
      </c>
      <c r="E85" s="2" t="inlineStr">
        <is>
          <t>wagangzhai_nixi</t>
        </is>
      </c>
      <c r="F85" s="2" t="inlineStr">
        <is>
          <t>瓦岗寨的逆袭</t>
        </is>
      </c>
      <c r="G85" s="2" t="inlineStr">
        <is>
          <t>概率掉落</t>
        </is>
      </c>
      <c r="H85" s="5">
        <f>'任务掉落明细'!X35</f>
        <v>0.1</v>
      </c>
      <c r="I85" s="2" t="n">
        <v>1</v>
      </c>
      <c r="J85" s="2" t="inlineStr">
        <is>
          <t>equip_feiyunzui</t>
        </is>
      </c>
      <c r="K85" s="2" t="inlineStr">
        <is>
          <t>个人任务</t>
        </is>
      </c>
      <c r="L85" s="2" t="inlineStr">
        <is>
          <t>挑战者庄园</t>
        </is>
      </c>
      <c r="M85" s="6">
        <f>'任务掉落明细'!Y35</f>
        <v>0.1</v>
      </c>
      <c r="N85" s="2" t="inlineStr">
        <is>
          <t>data/mission_templates.yaml:L326:drop_table.equip_feiyunzui</t>
        </is>
      </c>
    </row>
    <row r="86">
      <c r="A86" s="2" t="inlineStr">
        <is>
          <t>equip_fengshenbang</t>
        </is>
      </c>
      <c r="B86" s="2" t="inlineStr">
        <is>
          <t>封神榜</t>
        </is>
      </c>
      <c r="C86" s="2" t="inlineStr">
        <is>
          <t>饰品</t>
        </is>
      </c>
      <c r="D86" s="2" t="inlineStr">
        <is>
          <t>传说/橙</t>
        </is>
      </c>
      <c r="E86" s="2" t="inlineStr">
        <is>
          <t>fengbang_tianmen</t>
        </is>
      </c>
      <c r="F86" s="2" t="inlineStr">
        <is>
          <t>封神之战：封榜天门</t>
        </is>
      </c>
      <c r="G86" s="2" t="inlineStr">
        <is>
          <t>概率掉落</t>
        </is>
      </c>
      <c r="H86" s="5">
        <f>'任务掉落明细'!X220</f>
        <v>0.006</v>
      </c>
      <c r="I86" s="2" t="n">
        <v>1</v>
      </c>
      <c r="J86" s="2" t="inlineStr">
        <is>
          <t>equip_fengshenbang</t>
        </is>
      </c>
      <c r="K86" s="2" t="inlineStr">
        <is>
          <t>个人任务</t>
        </is>
      </c>
      <c r="L86" s="2" t="inlineStr">
        <is>
          <t>挑战者庄园</t>
        </is>
      </c>
      <c r="M86" s="6">
        <f>'任务掉落明细'!Y220</f>
        <v>0.006</v>
      </c>
      <c r="N86" s="2" t="inlineStr">
        <is>
          <t>data/mission_templates.yaml:L1259:drop_table.equip_fengshenbang</t>
        </is>
      </c>
    </row>
    <row r="87">
      <c r="A87" s="2" t="inlineStr">
        <is>
          <t>equip_fengyuzan</t>
        </is>
      </c>
      <c r="B87" s="2" t="inlineStr">
        <is>
          <t>凤羽簪</t>
        </is>
      </c>
      <c r="C87" s="2" t="inlineStr">
        <is>
          <t>饰品</t>
        </is>
      </c>
      <c r="D87" s="2" t="inlineStr">
        <is>
          <t>稀有/蓝</t>
        </is>
      </c>
      <c r="E87" s="2" t="inlineStr">
        <is>
          <t>tianpeng_dijiao_1</t>
        </is>
      </c>
      <c r="F87" s="2" t="inlineStr">
        <is>
          <t>天蓬元帅的地窖（第一层）</t>
        </is>
      </c>
      <c r="G87" s="2" t="inlineStr">
        <is>
          <t>概率掉落</t>
        </is>
      </c>
      <c r="H87" s="5">
        <f>'任务掉落明细'!X122</f>
        <v>0.07</v>
      </c>
      <c r="I87" s="2" t="n">
        <v>1</v>
      </c>
      <c r="J87" s="2" t="inlineStr">
        <is>
          <t>equip_fengyuzan</t>
        </is>
      </c>
      <c r="K87" s="2" t="inlineStr">
        <is>
          <t>个人任务</t>
        </is>
      </c>
      <c r="L87" s="2" t="inlineStr">
        <is>
          <t>挑战者庄园</t>
        </is>
      </c>
      <c r="M87" s="6">
        <f>'任务掉落明细'!Y122</f>
        <v>0.07</v>
      </c>
      <c r="N87" s="2" t="inlineStr">
        <is>
          <t>data/mission_templates.yaml:L731:drop_table.equip_fengyuzan</t>
        </is>
      </c>
    </row>
    <row r="88">
      <c r="A88" s="2" t="inlineStr">
        <is>
          <t>equip_fudai</t>
        </is>
      </c>
      <c r="B88" s="2" t="inlineStr">
        <is>
          <t>福袋</t>
        </is>
      </c>
      <c r="C88" s="2" t="inlineStr">
        <is>
          <t>饰品</t>
        </is>
      </c>
      <c r="D88" s="2" t="inlineStr">
        <is>
          <t>优秀/绿</t>
        </is>
      </c>
      <c r="E88" s="2" t="inlineStr">
        <is>
          <t>fugui_shanzhuang</t>
        </is>
      </c>
      <c r="F88" s="2" t="inlineStr">
        <is>
          <t>富贵山庄</t>
        </is>
      </c>
      <c r="G88" s="2" t="inlineStr">
        <is>
          <t>随机池掉落</t>
        </is>
      </c>
      <c r="H88" s="5">
        <f>'任务掉落明细'!X64</f>
        <v>0.2</v>
      </c>
      <c r="I88" s="2" t="n">
        <v>1</v>
      </c>
      <c r="J88" s="2" t="inlineStr">
        <is>
          <t>fugui_equipment_pool</t>
        </is>
      </c>
      <c r="K88" s="2" t="inlineStr">
        <is>
          <t>个人任务</t>
        </is>
      </c>
      <c r="L88" s="2" t="inlineStr">
        <is>
          <t>挑战者庄园</t>
        </is>
      </c>
      <c r="M88" s="6">
        <f>'任务掉落明细'!Y64</f>
        <v>0.2</v>
      </c>
      <c r="N88" s="2" t="inlineStr">
        <is>
          <t>data/mission_templates.yaml:L482:drop_table.fugui_equipment_pool</t>
        </is>
      </c>
    </row>
    <row r="89">
      <c r="A89" s="2" t="inlineStr">
        <is>
          <t>equip_fudai</t>
        </is>
      </c>
      <c r="B89" s="2" t="inlineStr">
        <is>
          <t>福袋</t>
        </is>
      </c>
      <c r="C89" s="2" t="inlineStr">
        <is>
          <t>饰品</t>
        </is>
      </c>
      <c r="D89" s="2" t="inlineStr">
        <is>
          <t>优秀/绿</t>
        </is>
      </c>
      <c r="E89" s="2" t="inlineStr">
        <is>
          <t>shizipo_heidian</t>
        </is>
      </c>
      <c r="F89" s="2" t="inlineStr">
        <is>
          <t>十字坡黑店</t>
        </is>
      </c>
      <c r="G89" s="2" t="inlineStr">
        <is>
          <t>概率掉落</t>
        </is>
      </c>
      <c r="H89" s="5">
        <f>'任务掉落明细'!X72</f>
        <v>0.1</v>
      </c>
      <c r="I89" s="2" t="n">
        <v>1</v>
      </c>
      <c r="J89" s="2" t="inlineStr">
        <is>
          <t>equip_fudai</t>
        </is>
      </c>
      <c r="K89" s="2" t="inlineStr">
        <is>
          <t>个人任务</t>
        </is>
      </c>
      <c r="L89" s="2" t="inlineStr">
        <is>
          <t>挑战者庄园</t>
        </is>
      </c>
      <c r="M89" s="6">
        <f>'任务掉落明细'!Y72</f>
        <v>0.1</v>
      </c>
      <c r="N89" s="2" t="inlineStr">
        <is>
          <t>data/mission_templates.yaml:L514:drop_table.equip_fudai</t>
        </is>
      </c>
    </row>
    <row r="90">
      <c r="A90" s="2" t="inlineStr">
        <is>
          <t>equip_fudai</t>
        </is>
      </c>
      <c r="B90" s="2" t="inlineStr">
        <is>
          <t>福袋</t>
        </is>
      </c>
      <c r="C90" s="2" t="inlineStr">
        <is>
          <t>饰品</t>
        </is>
      </c>
      <c r="D90" s="2" t="inlineStr">
        <is>
          <t>优秀/绿</t>
        </is>
      </c>
      <c r="E90" s="2" t="inlineStr">
        <is>
          <t>tianpeng_dijiao_1</t>
        </is>
      </c>
      <c r="F90" s="2" t="inlineStr">
        <is>
          <t>天蓬元帅的地窖（第一层）</t>
        </is>
      </c>
      <c r="G90" s="2" t="inlineStr">
        <is>
          <t>概率掉落</t>
        </is>
      </c>
      <c r="H90" s="5">
        <f>'任务掉落明细'!X119</f>
        <v>0.06</v>
      </c>
      <c r="I90" s="2" t="n">
        <v>1</v>
      </c>
      <c r="J90" s="2" t="inlineStr">
        <is>
          <t>equip_fudai</t>
        </is>
      </c>
      <c r="K90" s="2" t="inlineStr">
        <is>
          <t>个人任务</t>
        </is>
      </c>
      <c r="L90" s="2" t="inlineStr">
        <is>
          <t>挑战者庄园</t>
        </is>
      </c>
      <c r="M90" s="6">
        <f>'任务掉落明细'!Y119</f>
        <v>0.06</v>
      </c>
      <c r="N90" s="2" t="inlineStr">
        <is>
          <t>data/mission_templates.yaml:L731:drop_table.equip_fudai</t>
        </is>
      </c>
    </row>
    <row r="91">
      <c r="A91" s="2" t="inlineStr">
        <is>
          <t>equip_guanxingdeng</t>
        </is>
      </c>
      <c r="B91" s="2" t="inlineStr">
        <is>
          <t>观星灯</t>
        </is>
      </c>
      <c r="C91" s="2" t="inlineStr">
        <is>
          <t>饰品</t>
        </is>
      </c>
      <c r="D91" s="2" t="inlineStr">
        <is>
          <t>稀有/蓝</t>
        </is>
      </c>
      <c r="E91" s="2" t="inlineStr">
        <is>
          <t>tianpeng_dijiao_2</t>
        </is>
      </c>
      <c r="F91" s="2" t="inlineStr">
        <is>
          <t>天蓬元帅的地窖（第二层）</t>
        </is>
      </c>
      <c r="G91" s="2" t="inlineStr">
        <is>
          <t>概率掉落</t>
        </is>
      </c>
      <c r="H91" s="5">
        <f>'任务掉落明细'!X132</f>
        <v>0.1</v>
      </c>
      <c r="I91" s="2" t="n">
        <v>1</v>
      </c>
      <c r="J91" s="2" t="inlineStr">
        <is>
          <t>equip_guanxingdeng</t>
        </is>
      </c>
      <c r="K91" s="2" t="inlineStr">
        <is>
          <t>个人任务</t>
        </is>
      </c>
      <c r="L91" s="2" t="inlineStr">
        <is>
          <t>挑战者庄园</t>
        </is>
      </c>
      <c r="M91" s="6">
        <f>'任务掉落明细'!Y132</f>
        <v>0.1</v>
      </c>
      <c r="N91" s="2" t="inlineStr">
        <is>
          <t>data/mission_templates.yaml:L777:drop_table.equip_guanxingdeng</t>
        </is>
      </c>
    </row>
    <row r="92">
      <c r="A92" s="2" t="inlineStr">
        <is>
          <t>equip_hantiekui</t>
        </is>
      </c>
      <c r="B92" s="2" t="inlineStr">
        <is>
          <t>寒铁盔</t>
        </is>
      </c>
      <c r="C92" s="2" t="inlineStr">
        <is>
          <t>头盔</t>
        </is>
      </c>
      <c r="D92" s="2" t="inlineStr">
        <is>
          <t>稀有/蓝</t>
        </is>
      </c>
      <c r="E92" s="2" t="inlineStr">
        <is>
          <t>wagangzhai_nixi</t>
        </is>
      </c>
      <c r="F92" s="2" t="inlineStr">
        <is>
          <t>瓦岗寨的逆袭</t>
        </is>
      </c>
      <c r="G92" s="2" t="inlineStr">
        <is>
          <t>概率掉落</t>
        </is>
      </c>
      <c r="H92" s="5">
        <f>'任务掉落明细'!X39</f>
        <v>0.06</v>
      </c>
      <c r="I92" s="2" t="n">
        <v>1</v>
      </c>
      <c r="J92" s="2" t="inlineStr">
        <is>
          <t>equip_hantiekui</t>
        </is>
      </c>
      <c r="K92" s="2" t="inlineStr">
        <is>
          <t>个人任务</t>
        </is>
      </c>
      <c r="L92" s="2" t="inlineStr">
        <is>
          <t>挑战者庄园</t>
        </is>
      </c>
      <c r="M92" s="6">
        <f>'任务掉落明细'!Y39</f>
        <v>0.06</v>
      </c>
      <c r="N92" s="2" t="inlineStr">
        <is>
          <t>data/mission_templates.yaml:L326:drop_table.equip_hantiekui</t>
        </is>
      </c>
    </row>
    <row r="93">
      <c r="A93" s="2" t="inlineStr">
        <is>
          <t>equip_hanyuejian</t>
        </is>
      </c>
      <c r="B93" s="2" t="inlineStr">
        <is>
          <t>寒月剑</t>
        </is>
      </c>
      <c r="C93" s="2" t="inlineStr">
        <is>
          <t>武器</t>
        </is>
      </c>
      <c r="D93" s="2" t="inlineStr">
        <is>
          <t>稀有/蓝</t>
        </is>
      </c>
      <c r="E93" s="2" t="inlineStr">
        <is>
          <t>shizipo_heidian</t>
        </is>
      </c>
      <c r="F93" s="2" t="inlineStr">
        <is>
          <t>十字坡黑店</t>
        </is>
      </c>
      <c r="G93" s="2" t="inlineStr">
        <is>
          <t>概率掉落</t>
        </is>
      </c>
      <c r="H93" s="5">
        <f>'任务掉落明细'!X74</f>
        <v>0.1</v>
      </c>
      <c r="I93" s="2" t="n">
        <v>1</v>
      </c>
      <c r="J93" s="2" t="inlineStr">
        <is>
          <t>equip_hanyuejian</t>
        </is>
      </c>
      <c r="K93" s="2" t="inlineStr">
        <is>
          <t>个人任务</t>
        </is>
      </c>
      <c r="L93" s="2" t="inlineStr">
        <is>
          <t>挑战者庄园</t>
        </is>
      </c>
      <c r="M93" s="6">
        <f>'任务掉落明细'!Y74</f>
        <v>0.1</v>
      </c>
      <c r="N93" s="2" t="inlineStr">
        <is>
          <t>data/mission_templates.yaml:L514:drop_table.equip_hanyuejian</t>
        </is>
      </c>
    </row>
    <row r="94">
      <c r="A94" s="2" t="inlineStr">
        <is>
          <t>equip_hundunlongpao</t>
        </is>
      </c>
      <c r="B94" s="2" t="inlineStr">
        <is>
          <t>混沌龙袍</t>
        </is>
      </c>
      <c r="C94" s="2" t="inlineStr">
        <is>
          <t>护甲</t>
        </is>
      </c>
      <c r="D94" s="2" t="inlineStr">
        <is>
          <t>传说/橙</t>
        </is>
      </c>
      <c r="E94" s="2" t="inlineStr">
        <is>
          <t>guandu_zhizhan</t>
        </is>
      </c>
      <c r="F94" s="2" t="inlineStr">
        <is>
          <t>官渡之战</t>
        </is>
      </c>
      <c r="G94" s="2" t="inlineStr">
        <is>
          <t>概率掉落</t>
        </is>
      </c>
      <c r="H94" s="5">
        <f>'任务掉落明细'!X256</f>
        <v>0.012</v>
      </c>
      <c r="I94" s="2" t="n">
        <v>1</v>
      </c>
      <c r="J94" s="2" t="inlineStr">
        <is>
          <t>equip_hundunlongpao</t>
        </is>
      </c>
      <c r="K94" s="2" t="inlineStr">
        <is>
          <t>个人任务</t>
        </is>
      </c>
      <c r="L94" s="2" t="inlineStr">
        <is>
          <t>挑战者庄园</t>
        </is>
      </c>
      <c r="M94" s="6">
        <f>'任务掉落明细'!Y256</f>
        <v>0.012</v>
      </c>
      <c r="N94" s="2" t="inlineStr">
        <is>
          <t>data/mission_templates.yaml:L1391:drop_table.equip_hundunlongpao</t>
        </is>
      </c>
    </row>
    <row r="95">
      <c r="A95" s="2" t="inlineStr">
        <is>
          <t>equip_hupixue</t>
        </is>
      </c>
      <c r="B95" s="2" t="inlineStr">
        <is>
          <t>虎皮靴</t>
        </is>
      </c>
      <c r="C95" s="2" t="inlineStr">
        <is>
          <t>鞋子</t>
        </is>
      </c>
      <c r="D95" s="2" t="inlineStr">
        <is>
          <t>优秀/绿</t>
        </is>
      </c>
      <c r="E95" s="2" t="inlineStr">
        <is>
          <t>jingyanggang</t>
        </is>
      </c>
      <c r="F95" s="2" t="inlineStr">
        <is>
          <t>景阳冈</t>
        </is>
      </c>
      <c r="G95" s="2" t="inlineStr">
        <is>
          <t>随机池掉落</t>
        </is>
      </c>
      <c r="H95" s="5">
        <f>'任务掉落明细'!X43</f>
        <v>0.25</v>
      </c>
      <c r="I95" s="2" t="n">
        <v>1</v>
      </c>
      <c r="J95" s="2" t="inlineStr">
        <is>
          <t>jingyang_equipment_pool</t>
        </is>
      </c>
      <c r="K95" s="2" t="inlineStr">
        <is>
          <t>个人任务</t>
        </is>
      </c>
      <c r="L95" s="2" t="inlineStr">
        <is>
          <t>挑战者庄园</t>
        </is>
      </c>
      <c r="M95" s="6">
        <f>'任务掉落明细'!Y43</f>
        <v>0.25</v>
      </c>
      <c r="N95" s="2" t="inlineStr">
        <is>
          <t>data/mission_templates.yaml:L379:drop_table.jingyang_equipment_pool</t>
        </is>
      </c>
    </row>
    <row r="96">
      <c r="A96" s="2" t="inlineStr">
        <is>
          <t>equip_hushenfu</t>
        </is>
      </c>
      <c r="B96" s="2" t="inlineStr">
        <is>
          <t>护身符</t>
        </is>
      </c>
      <c r="C96" s="2" t="inlineStr">
        <is>
          <t>饰品</t>
        </is>
      </c>
      <c r="D96" s="2" t="inlineStr">
        <is>
          <t>优秀/绿</t>
        </is>
      </c>
      <c r="E96" s="2" t="inlineStr">
        <is>
          <t>shizipo_heidian</t>
        </is>
      </c>
      <c r="F96" s="2" t="inlineStr">
        <is>
          <t>十字坡黑店</t>
        </is>
      </c>
      <c r="G96" s="2" t="inlineStr">
        <is>
          <t>概率掉落</t>
        </is>
      </c>
      <c r="H96" s="5">
        <f>'任务掉落明细'!X70</f>
        <v>0.1</v>
      </c>
      <c r="I96" s="2" t="n">
        <v>1</v>
      </c>
      <c r="J96" s="2" t="inlineStr">
        <is>
          <t>equip_hushenfu</t>
        </is>
      </c>
      <c r="K96" s="2" t="inlineStr">
        <is>
          <t>个人任务</t>
        </is>
      </c>
      <c r="L96" s="2" t="inlineStr">
        <is>
          <t>挑战者庄园</t>
        </is>
      </c>
      <c r="M96" s="6">
        <f>'任务掉落明细'!Y70</f>
        <v>0.1</v>
      </c>
      <c r="N96" s="2" t="inlineStr">
        <is>
          <t>data/mission_templates.yaml:L514:drop_table.equip_hushenfu</t>
        </is>
      </c>
    </row>
    <row r="97">
      <c r="A97" s="2" t="inlineStr">
        <is>
          <t>equip_hushenfu</t>
        </is>
      </c>
      <c r="B97" s="2" t="inlineStr">
        <is>
          <t>护身符</t>
        </is>
      </c>
      <c r="C97" s="2" t="inlineStr">
        <is>
          <t>饰品</t>
        </is>
      </c>
      <c r="D97" s="2" t="inlineStr">
        <is>
          <t>优秀/绿</t>
        </is>
      </c>
      <c r="E97" s="2" t="inlineStr">
        <is>
          <t>taozi_fenban</t>
        </is>
      </c>
      <c r="F97" s="2" t="inlineStr">
        <is>
          <t>我的桃子分你一半</t>
        </is>
      </c>
      <c r="G97" s="2" t="inlineStr">
        <is>
          <t>随机池掉落</t>
        </is>
      </c>
      <c r="H97" s="5">
        <f>'任务掉落明细'!X166</f>
        <v>0.07727272727272727</v>
      </c>
      <c r="I97" s="2" t="n">
        <v>1</v>
      </c>
      <c r="J97" s="2" t="inlineStr">
        <is>
          <t>taozi_equipment_pool</t>
        </is>
      </c>
      <c r="K97" s="2" t="inlineStr">
        <is>
          <t>个人任务</t>
        </is>
      </c>
      <c r="L97" s="2" t="inlineStr">
        <is>
          <t>挑战者庄园</t>
        </is>
      </c>
      <c r="M97" s="6">
        <f>'任务掉落明细'!Y166</f>
        <v>0.07727272727272727</v>
      </c>
      <c r="N97" s="2" t="inlineStr">
        <is>
          <t>data/mission_templates.yaml:L951:drop_table.taozi_equipment_pool</t>
        </is>
      </c>
    </row>
    <row r="98">
      <c r="A98" s="2" t="inlineStr">
        <is>
          <t>equip_huwenkui</t>
        </is>
      </c>
      <c r="B98" s="2" t="inlineStr">
        <is>
          <t>虎纹盔</t>
        </is>
      </c>
      <c r="C98" s="2" t="inlineStr">
        <is>
          <t>头盔</t>
        </is>
      </c>
      <c r="D98" s="2" t="inlineStr">
        <is>
          <t>优秀/绿</t>
        </is>
      </c>
      <c r="E98" s="2" t="inlineStr">
        <is>
          <t>jingyanggang</t>
        </is>
      </c>
      <c r="F98" s="2" t="inlineStr">
        <is>
          <t>景阳冈</t>
        </is>
      </c>
      <c r="G98" s="2" t="inlineStr">
        <is>
          <t>随机池掉落</t>
        </is>
      </c>
      <c r="H98" s="5">
        <f>'任务掉落明细'!X44</f>
        <v>0.25</v>
      </c>
      <c r="I98" s="2" t="n">
        <v>1</v>
      </c>
      <c r="J98" s="2" t="inlineStr">
        <is>
          <t>jingyang_equipment_pool</t>
        </is>
      </c>
      <c r="K98" s="2" t="inlineStr">
        <is>
          <t>个人任务</t>
        </is>
      </c>
      <c r="L98" s="2" t="inlineStr">
        <is>
          <t>挑战者庄园</t>
        </is>
      </c>
      <c r="M98" s="6">
        <f>'任务掉落明细'!Y44</f>
        <v>0.25</v>
      </c>
      <c r="N98" s="2" t="inlineStr">
        <is>
          <t>data/mission_templates.yaml:L379:drop_table.jingyang_equipment_pool</t>
        </is>
      </c>
    </row>
    <row r="99">
      <c r="A99" s="2" t="inlineStr">
        <is>
          <t>equip_huxianjian</t>
        </is>
      </c>
      <c r="B99" s="2" t="inlineStr">
        <is>
          <t>狐仙剑</t>
        </is>
      </c>
      <c r="C99" s="2" t="inlineStr">
        <is>
          <t>武器</t>
        </is>
      </c>
      <c r="D99" s="2" t="inlineStr">
        <is>
          <t>史诗/紫</t>
        </is>
      </c>
      <c r="E99" s="2" t="inlineStr">
        <is>
          <t>biyou_candeng</t>
        </is>
      </c>
      <c r="F99" s="2" t="inlineStr">
        <is>
          <t>封神之战：碧游残灯</t>
        </is>
      </c>
      <c r="G99" s="2" t="inlineStr">
        <is>
          <t>随机池掉落</t>
        </is>
      </c>
      <c r="H99" s="5">
        <f>'任务掉落明细'!X206</f>
        <v>0.03333333333333333</v>
      </c>
      <c r="I99" s="2" t="n">
        <v>1</v>
      </c>
      <c r="J99" s="2" t="inlineStr">
        <is>
          <t>equip_huxian_set</t>
        </is>
      </c>
      <c r="K99" s="2" t="inlineStr">
        <is>
          <t>个人任务</t>
        </is>
      </c>
      <c r="L99" s="2" t="inlineStr">
        <is>
          <t>挑战者庄园</t>
        </is>
      </c>
      <c r="M99" s="6">
        <f>'任务掉落明细'!Y206</f>
        <v>0.03333333333333333</v>
      </c>
      <c r="N99" s="2" t="inlineStr">
        <is>
          <t>data/mission_templates.yaml:L1158:drop_table.equip_huxian_set</t>
        </is>
      </c>
    </row>
    <row r="100">
      <c r="A100" s="2" t="inlineStr">
        <is>
          <t>equip_huxianpao</t>
        </is>
      </c>
      <c r="B100" s="2" t="inlineStr">
        <is>
          <t>狐仙袍</t>
        </is>
      </c>
      <c r="C100" s="2" t="inlineStr">
        <is>
          <t>护甲</t>
        </is>
      </c>
      <c r="D100" s="2" t="inlineStr">
        <is>
          <t>史诗/紫</t>
        </is>
      </c>
      <c r="E100" s="2" t="inlineStr">
        <is>
          <t>biyou_candeng</t>
        </is>
      </c>
      <c r="F100" s="2" t="inlineStr">
        <is>
          <t>封神之战：碧游残灯</t>
        </is>
      </c>
      <c r="G100" s="2" t="inlineStr">
        <is>
          <t>随机池掉落</t>
        </is>
      </c>
      <c r="H100" s="5">
        <f>'任务掉落明细'!X204</f>
        <v>0.03333333333333333</v>
      </c>
      <c r="I100" s="2" t="n">
        <v>1</v>
      </c>
      <c r="J100" s="2" t="inlineStr">
        <is>
          <t>equip_huxian_set</t>
        </is>
      </c>
      <c r="K100" s="2" t="inlineStr">
        <is>
          <t>个人任务</t>
        </is>
      </c>
      <c r="L100" s="2" t="inlineStr">
        <is>
          <t>挑战者庄园</t>
        </is>
      </c>
      <c r="M100" s="6">
        <f>'任务掉落明细'!Y204</f>
        <v>0.03333333333333333</v>
      </c>
      <c r="N100" s="2" t="inlineStr">
        <is>
          <t>data/mission_templates.yaml:L1158:drop_table.equip_huxian_set</t>
        </is>
      </c>
    </row>
    <row r="101">
      <c r="A101" s="2" t="inlineStr">
        <is>
          <t>equip_huxianxie</t>
        </is>
      </c>
      <c r="B101" s="2" t="inlineStr">
        <is>
          <t>狐仙鞋</t>
        </is>
      </c>
      <c r="C101" s="2" t="inlineStr">
        <is>
          <t>鞋子</t>
        </is>
      </c>
      <c r="D101" s="2" t="inlineStr">
        <is>
          <t>史诗/紫</t>
        </is>
      </c>
      <c r="E101" s="2" t="inlineStr">
        <is>
          <t>biyou_candeng</t>
        </is>
      </c>
      <c r="F101" s="2" t="inlineStr">
        <is>
          <t>封神之战：碧游残灯</t>
        </is>
      </c>
      <c r="G101" s="2" t="inlineStr">
        <is>
          <t>随机池掉落</t>
        </is>
      </c>
      <c r="H101" s="5">
        <f>'任务掉落明细'!X205</f>
        <v>0.03333333333333333</v>
      </c>
      <c r="I101" s="2" t="n">
        <v>1</v>
      </c>
      <c r="J101" s="2" t="inlineStr">
        <is>
          <t>equip_huxian_set</t>
        </is>
      </c>
      <c r="K101" s="2" t="inlineStr">
        <is>
          <t>个人任务</t>
        </is>
      </c>
      <c r="L101" s="2" t="inlineStr">
        <is>
          <t>挑战者庄园</t>
        </is>
      </c>
      <c r="M101" s="6">
        <f>'任务掉落明细'!Y205</f>
        <v>0.03333333333333333</v>
      </c>
      <c r="N101" s="2" t="inlineStr">
        <is>
          <t>data/mission_templates.yaml:L1158:drop_table.equip_huxian_set</t>
        </is>
      </c>
    </row>
    <row r="102">
      <c r="A102" s="2" t="inlineStr">
        <is>
          <t>equip_huyaxianglian</t>
        </is>
      </c>
      <c r="B102" s="2" t="inlineStr">
        <is>
          <t>虎牙项链</t>
        </is>
      </c>
      <c r="C102" s="2" t="inlineStr">
        <is>
          <t>饰品</t>
        </is>
      </c>
      <c r="D102" s="2" t="inlineStr">
        <is>
          <t>稀有/蓝</t>
        </is>
      </c>
      <c r="E102" s="2" t="inlineStr">
        <is>
          <t>shizipo_heidian</t>
        </is>
      </c>
      <c r="F102" s="2" t="inlineStr">
        <is>
          <t>十字坡黑店</t>
        </is>
      </c>
      <c r="G102" s="2" t="inlineStr">
        <is>
          <t>概率掉落</t>
        </is>
      </c>
      <c r="H102" s="5">
        <f>'任务掉落明细'!X77</f>
        <v>0.1</v>
      </c>
      <c r="I102" s="2" t="n">
        <v>1</v>
      </c>
      <c r="J102" s="2" t="inlineStr">
        <is>
          <t>equip_huyaxianglian</t>
        </is>
      </c>
      <c r="K102" s="2" t="inlineStr">
        <is>
          <t>个人任务</t>
        </is>
      </c>
      <c r="L102" s="2" t="inlineStr">
        <is>
          <t>挑战者庄园</t>
        </is>
      </c>
      <c r="M102" s="6">
        <f>'任务掉落明细'!Y77</f>
        <v>0.1</v>
      </c>
      <c r="N102" s="2" t="inlineStr">
        <is>
          <t>data/mission_templates.yaml:L514:drop_table.equip_huyaxianglian</t>
        </is>
      </c>
    </row>
    <row r="103">
      <c r="A103" s="2" t="inlineStr">
        <is>
          <t>equip_jianghuling</t>
        </is>
      </c>
      <c r="B103" s="2" t="inlineStr">
        <is>
          <t>江湖令</t>
        </is>
      </c>
      <c r="C103" s="2" t="inlineStr">
        <is>
          <t>饰品</t>
        </is>
      </c>
      <c r="D103" s="2" t="inlineStr">
        <is>
          <t>传说/橙</t>
        </is>
      </c>
      <c r="E103" s="2" t="inlineStr">
        <is>
          <t>guandu_zhizhan</t>
        </is>
      </c>
      <c r="F103" s="2" t="inlineStr">
        <is>
          <t>官渡之战</t>
        </is>
      </c>
      <c r="G103" s="2" t="inlineStr">
        <is>
          <t>概率掉落</t>
        </is>
      </c>
      <c r="H103" s="5">
        <f>'任务掉落明细'!X261</f>
        <v>0.012</v>
      </c>
      <c r="I103" s="2" t="n">
        <v>1</v>
      </c>
      <c r="J103" s="2" t="inlineStr">
        <is>
          <t>equip_jianghuling</t>
        </is>
      </c>
      <c r="K103" s="2" t="inlineStr">
        <is>
          <t>个人任务</t>
        </is>
      </c>
      <c r="L103" s="2" t="inlineStr">
        <is>
          <t>挑战者庄园</t>
        </is>
      </c>
      <c r="M103" s="6">
        <f>'任务掉落明细'!Y261</f>
        <v>0.012</v>
      </c>
      <c r="N103" s="2" t="inlineStr">
        <is>
          <t>data/mission_templates.yaml:L1391:drop_table.equip_jianghuling</t>
        </is>
      </c>
    </row>
    <row r="104">
      <c r="A104" s="2" t="inlineStr">
        <is>
          <t>equip_jifengxue</t>
        </is>
      </c>
      <c r="B104" s="2" t="inlineStr">
        <is>
          <t>疾风靴</t>
        </is>
      </c>
      <c r="C104" s="2" t="inlineStr">
        <is>
          <t>鞋子</t>
        </is>
      </c>
      <c r="D104" s="2" t="inlineStr">
        <is>
          <t>优秀/绿</t>
        </is>
      </c>
      <c r="E104" s="2" t="inlineStr">
        <is>
          <t>taozi_fenban</t>
        </is>
      </c>
      <c r="F104" s="2" t="inlineStr">
        <is>
          <t>我的桃子分你一半</t>
        </is>
      </c>
      <c r="G104" s="2" t="inlineStr">
        <is>
          <t>随机池掉落</t>
        </is>
      </c>
      <c r="H104" s="5">
        <f>'任务掉落明细'!X165</f>
        <v>0.07727272727272727</v>
      </c>
      <c r="I104" s="2" t="n">
        <v>1</v>
      </c>
      <c r="J104" s="2" t="inlineStr">
        <is>
          <t>taozi_equipment_pool</t>
        </is>
      </c>
      <c r="K104" s="2" t="inlineStr">
        <is>
          <t>个人任务</t>
        </is>
      </c>
      <c r="L104" s="2" t="inlineStr">
        <is>
          <t>挑战者庄园</t>
        </is>
      </c>
      <c r="M104" s="6">
        <f>'任务掉落明细'!Y165</f>
        <v>0.07727272727272727</v>
      </c>
      <c r="N104" s="2" t="inlineStr">
        <is>
          <t>data/mission_templates.yaml:L951:drop_table.taozi_equipment_pool</t>
        </is>
      </c>
    </row>
    <row r="105">
      <c r="A105" s="2" t="inlineStr">
        <is>
          <t>equip_jiguanchuniao</t>
        </is>
      </c>
      <c r="B105" s="2" t="inlineStr">
        <is>
          <t>机关雏鸟</t>
        </is>
      </c>
      <c r="C105" s="2" t="inlineStr">
        <is>
          <t>器械</t>
        </is>
      </c>
      <c r="D105" s="2" t="inlineStr">
        <is>
          <t>稀有/蓝</t>
        </is>
      </c>
      <c r="E105" s="2" t="inlineStr">
        <is>
          <t>jiguan_chuniao</t>
        </is>
      </c>
      <c r="F105" s="2" t="inlineStr">
        <is>
          <t>机关雏鸟</t>
        </is>
      </c>
      <c r="G105" s="2" t="inlineStr">
        <is>
          <t>固定掉落</t>
        </is>
      </c>
      <c r="H105" s="5">
        <f>'任务掉落明细'!X135</f>
        <v>1</v>
      </c>
      <c r="I105" s="2" t="n">
        <v>1</v>
      </c>
      <c r="J105" s="2" t="inlineStr">
        <is>
          <t>equip_jiguanchuniao</t>
        </is>
      </c>
      <c r="K105" s="2" t="inlineStr">
        <is>
          <t>个人任务</t>
        </is>
      </c>
      <c r="L105" s="2" t="inlineStr">
        <is>
          <t>挑战者庄园</t>
        </is>
      </c>
      <c r="M105" s="6">
        <f>'任务掉落明细'!Y135</f>
        <v>1</v>
      </c>
      <c r="N105" s="2" t="inlineStr">
        <is>
          <t>data/mission_templates.yaml:L830:drop_table.equip_jiguanchuniao</t>
        </is>
      </c>
    </row>
    <row r="106">
      <c r="A106" s="2" t="inlineStr">
        <is>
          <t>equip_jinlinxue</t>
        </is>
      </c>
      <c r="B106" s="2" t="inlineStr">
        <is>
          <t>金鳞靴</t>
        </is>
      </c>
      <c r="C106" s="2" t="inlineStr">
        <is>
          <t>鞋子</t>
        </is>
      </c>
      <c r="D106" s="2" t="inlineStr">
        <is>
          <t>稀有/蓝</t>
        </is>
      </c>
      <c r="E106" s="2" t="inlineStr">
        <is>
          <t>jiufeng_feihuan</t>
        </is>
      </c>
      <c r="F106" s="2" t="inlineStr">
        <is>
          <t>九峰匪患</t>
        </is>
      </c>
      <c r="G106" s="2" t="inlineStr">
        <is>
          <t>概率掉落</t>
        </is>
      </c>
      <c r="H106" s="5">
        <f>'任务掉落明细'!X157</f>
        <v>0.06</v>
      </c>
      <c r="I106" s="2" t="n">
        <v>1</v>
      </c>
      <c r="J106" s="2" t="inlineStr">
        <is>
          <t>equip_jinlinxue</t>
        </is>
      </c>
      <c r="K106" s="2" t="inlineStr">
        <is>
          <t>个人任务</t>
        </is>
      </c>
      <c r="L106" s="2" t="inlineStr">
        <is>
          <t>挑战者庄园</t>
        </is>
      </c>
      <c r="M106" s="6">
        <f>'任务掉落明细'!Y157</f>
        <v>0.06</v>
      </c>
      <c r="N106" s="2" t="inlineStr">
        <is>
          <t>data/mission_templates.yaml:L908:drop_table.equip_jinlinxue</t>
        </is>
      </c>
    </row>
    <row r="107">
      <c r="A107" s="2" t="inlineStr">
        <is>
          <t>equip_jixiemao</t>
        </is>
      </c>
      <c r="B107" s="2" t="inlineStr">
        <is>
          <t>机械猫</t>
        </is>
      </c>
      <c r="C107" s="2" t="inlineStr">
        <is>
          <t>器械</t>
        </is>
      </c>
      <c r="D107" s="2" t="inlineStr">
        <is>
          <t>稀有/蓝</t>
        </is>
      </c>
      <c r="E107" s="2" t="inlineStr">
        <is>
          <t>jiguanshou_chuxian</t>
        </is>
      </c>
      <c r="F107" s="2" t="inlineStr">
        <is>
          <t>机关兽初现</t>
        </is>
      </c>
      <c r="G107" s="2" t="inlineStr">
        <is>
          <t>随机池掉落</t>
        </is>
      </c>
      <c r="H107" s="5">
        <f>'任务掉落明细'!X104</f>
        <v>0.4</v>
      </c>
      <c r="I107" s="2" t="n">
        <v>1</v>
      </c>
      <c r="J107" s="2" t="inlineStr">
        <is>
          <t>jiguanshou_equipment_pool</t>
        </is>
      </c>
      <c r="K107" s="2" t="inlineStr">
        <is>
          <t>个人任务</t>
        </is>
      </c>
      <c r="L107" s="2" t="inlineStr">
        <is>
          <t>挑战者庄园</t>
        </is>
      </c>
      <c r="M107" s="6">
        <f>'任务掉落明细'!Y104</f>
        <v>0.4</v>
      </c>
      <c r="N107" s="2" t="inlineStr">
        <is>
          <t>data/mission_templates.yaml:L655:drop_table.jiguanshou_equipment_pool</t>
        </is>
      </c>
    </row>
    <row r="108">
      <c r="A108" s="2" t="inlineStr">
        <is>
          <t>equip_juanmaochitu</t>
        </is>
      </c>
      <c r="B108" s="2" t="inlineStr">
        <is>
          <t>卷毛赤兔</t>
        </is>
      </c>
      <c r="C108" s="2" t="inlineStr">
        <is>
          <t>坐骑</t>
        </is>
      </c>
      <c r="D108" s="2" t="inlineStr">
        <is>
          <t>稀有/蓝</t>
        </is>
      </c>
      <c r="E108" s="2" t="inlineStr">
        <is>
          <t>jiufeng_feihuan</t>
        </is>
      </c>
      <c r="F108" s="2" t="inlineStr">
        <is>
          <t>九峰匪患</t>
        </is>
      </c>
      <c r="G108" s="2" t="inlineStr">
        <is>
          <t>概率掉落</t>
        </is>
      </c>
      <c r="H108" s="5">
        <f>'任务掉落明细'!X159</f>
        <v>0.06</v>
      </c>
      <c r="I108" s="2" t="n">
        <v>1</v>
      </c>
      <c r="J108" s="2" t="inlineStr">
        <is>
          <t>equip_juanmaochitu</t>
        </is>
      </c>
      <c r="K108" s="2" t="inlineStr">
        <is>
          <t>个人任务</t>
        </is>
      </c>
      <c r="L108" s="2" t="inlineStr">
        <is>
          <t>挑战者庄园</t>
        </is>
      </c>
      <c r="M108" s="6">
        <f>'任务掉落明细'!Y159</f>
        <v>0.06</v>
      </c>
      <c r="N108" s="2" t="inlineStr">
        <is>
          <t>data/mission_templates.yaml:L908:drop_table.equip_juanmaochitu</t>
        </is>
      </c>
    </row>
    <row r="109">
      <c r="A109" s="2" t="inlineStr">
        <is>
          <t>equip_junzijian</t>
        </is>
      </c>
      <c r="B109" s="2" t="inlineStr">
        <is>
          <t>君子剑</t>
        </is>
      </c>
      <c r="C109" s="2" t="inlineStr">
        <is>
          <t>武器</t>
        </is>
      </c>
      <c r="D109" s="2" t="inlineStr">
        <is>
          <t>稀有/蓝</t>
        </is>
      </c>
      <c r="E109" s="2" t="inlineStr">
        <is>
          <t>tianpeng_dijiao_1</t>
        </is>
      </c>
      <c r="F109" s="2" t="inlineStr">
        <is>
          <t>天蓬元帅的地窖（第一层）</t>
        </is>
      </c>
      <c r="G109" s="2" t="inlineStr">
        <is>
          <t>概率掉落</t>
        </is>
      </c>
      <c r="H109" s="5">
        <f>'任务掉落明细'!X117</f>
        <v>0.1</v>
      </c>
      <c r="I109" s="2" t="n">
        <v>1</v>
      </c>
      <c r="J109" s="2" t="inlineStr">
        <is>
          <t>equip_junzijian</t>
        </is>
      </c>
      <c r="K109" s="2" t="inlineStr">
        <is>
          <t>个人任务</t>
        </is>
      </c>
      <c r="L109" s="2" t="inlineStr">
        <is>
          <t>挑战者庄园</t>
        </is>
      </c>
      <c r="M109" s="6">
        <f>'任务掉落明细'!Y117</f>
        <v>0.1</v>
      </c>
      <c r="N109" s="2" t="inlineStr">
        <is>
          <t>data/mission_templates.yaml:L731:drop_table.equip_junzijian</t>
        </is>
      </c>
    </row>
    <row r="110">
      <c r="A110" s="2" t="inlineStr">
        <is>
          <t>equip_kasukabe_satchel</t>
        </is>
      </c>
      <c r="B110" s="2" t="inlineStr">
        <is>
          <t>春日部小书包</t>
        </is>
      </c>
      <c r="C110" s="2" t="inlineStr">
        <is>
          <t>护甲</t>
        </is>
      </c>
      <c r="D110" s="2" t="inlineStr">
        <is>
          <t>稀有/蓝</t>
        </is>
      </c>
      <c r="E110" s="2" t="inlineStr">
        <is>
          <t>kasukabe_daisakusen</t>
        </is>
      </c>
      <c r="F110" s="2" t="inlineStr">
        <is>
          <t>春日部大作战</t>
        </is>
      </c>
      <c r="G110" s="2" t="inlineStr">
        <is>
          <t>概率掉落</t>
        </is>
      </c>
      <c r="H110" s="5">
        <f>'任务掉落明细'!X24</f>
        <v>0.08</v>
      </c>
      <c r="I110" s="2" t="n">
        <v>1</v>
      </c>
      <c r="J110" s="2" t="inlineStr">
        <is>
          <t>equip_kasukabe_satchel</t>
        </is>
      </c>
      <c r="K110" s="2" t="inlineStr">
        <is>
          <t>个人任务</t>
        </is>
      </c>
      <c r="L110" s="2" t="inlineStr">
        <is>
          <t>挑战者庄园</t>
        </is>
      </c>
      <c r="M110" s="6">
        <f>'任务掉落明细'!Y24</f>
        <v>0.08</v>
      </c>
      <c r="N110" s="2" t="inlineStr">
        <is>
          <t>data/mission_templates.yaml:L206:drop_table.equip_kasukabe_satchel</t>
        </is>
      </c>
    </row>
    <row r="111">
      <c r="A111" s="2" t="inlineStr">
        <is>
          <t>equip_langyakui</t>
        </is>
      </c>
      <c r="B111" s="2" t="inlineStr">
        <is>
          <t>狼牙盔</t>
        </is>
      </c>
      <c r="C111" s="2" t="inlineStr">
        <is>
          <t>头盔</t>
        </is>
      </c>
      <c r="D111" s="2" t="inlineStr">
        <is>
          <t>稀有/蓝</t>
        </is>
      </c>
      <c r="E111" s="2" t="inlineStr">
        <is>
          <t>shanhaiguan</t>
        </is>
      </c>
      <c r="F111" s="2" t="inlineStr">
        <is>
          <t>山海关</t>
        </is>
      </c>
      <c r="G111" s="2" t="inlineStr">
        <is>
          <t>概率掉落</t>
        </is>
      </c>
      <c r="H111" s="5">
        <f>'任务掉落明细'!X85</f>
        <v>0.1</v>
      </c>
      <c r="I111" s="2" t="n">
        <v>1</v>
      </c>
      <c r="J111" s="2" t="inlineStr">
        <is>
          <t>equip_langyakui</t>
        </is>
      </c>
      <c r="K111" s="2" t="inlineStr">
        <is>
          <t>个人任务</t>
        </is>
      </c>
      <c r="L111" s="2" t="inlineStr">
        <is>
          <t>挑战者庄园</t>
        </is>
      </c>
      <c r="M111" s="6">
        <f>'任务掉落明细'!Y85</f>
        <v>0.1</v>
      </c>
      <c r="N111" s="2" t="inlineStr">
        <is>
          <t>data/mission_templates.yaml:L559:drop_table.equip_langyakui</t>
        </is>
      </c>
    </row>
    <row r="112">
      <c r="A112" s="2" t="inlineStr">
        <is>
          <t>equip_lieyandao</t>
        </is>
      </c>
      <c r="B112" s="2" t="inlineStr">
        <is>
          <t>烈焰刀</t>
        </is>
      </c>
      <c r="C112" s="2" t="inlineStr">
        <is>
          <t>武器</t>
        </is>
      </c>
      <c r="D112" s="2" t="inlineStr">
        <is>
          <t>稀有/蓝</t>
        </is>
      </c>
      <c r="E112" s="2" t="inlineStr">
        <is>
          <t>shizipo_heidian</t>
        </is>
      </c>
      <c r="F112" s="2" t="inlineStr">
        <is>
          <t>十字坡黑店</t>
        </is>
      </c>
      <c r="G112" s="2" t="inlineStr">
        <is>
          <t>概率掉落</t>
        </is>
      </c>
      <c r="H112" s="5">
        <f>'任务掉落明细'!X75</f>
        <v>0.1</v>
      </c>
      <c r="I112" s="2" t="n">
        <v>1</v>
      </c>
      <c r="J112" s="2" t="inlineStr">
        <is>
          <t>equip_lieyandao</t>
        </is>
      </c>
      <c r="K112" s="2" t="inlineStr">
        <is>
          <t>个人任务</t>
        </is>
      </c>
      <c r="L112" s="2" t="inlineStr">
        <is>
          <t>挑战者庄园</t>
        </is>
      </c>
      <c r="M112" s="6">
        <f>'任务掉落明细'!Y75</f>
        <v>0.1</v>
      </c>
      <c r="N112" s="2" t="inlineStr">
        <is>
          <t>data/mission_templates.yaml:L514:drop_table.equip_lieyandao</t>
        </is>
      </c>
    </row>
    <row r="113">
      <c r="A113" s="2" t="inlineStr">
        <is>
          <t>equip_lingboxie</t>
        </is>
      </c>
      <c r="B113" s="2" t="inlineStr">
        <is>
          <t>凌波鞋</t>
        </is>
      </c>
      <c r="C113" s="2" t="inlineStr">
        <is>
          <t>鞋子</t>
        </is>
      </c>
      <c r="D113" s="2" t="inlineStr">
        <is>
          <t>稀有/蓝</t>
        </is>
      </c>
      <c r="E113" s="2" t="inlineStr">
        <is>
          <t>jiufeng_feihuan</t>
        </is>
      </c>
      <c r="F113" s="2" t="inlineStr">
        <is>
          <t>九峰匪患</t>
        </is>
      </c>
      <c r="G113" s="2" t="inlineStr">
        <is>
          <t>固定掉落</t>
        </is>
      </c>
      <c r="H113" s="5">
        <f>'任务掉落明细'!X151</f>
        <v>1</v>
      </c>
      <c r="I113" s="2" t="n">
        <v>1</v>
      </c>
      <c r="J113" s="2" t="inlineStr">
        <is>
          <t>equip_lingboxie</t>
        </is>
      </c>
      <c r="K113" s="2" t="inlineStr">
        <is>
          <t>个人任务</t>
        </is>
      </c>
      <c r="L113" s="2" t="inlineStr">
        <is>
          <t>挑战者庄园</t>
        </is>
      </c>
      <c r="M113" s="6">
        <f>'任务掉落明细'!Y151</f>
        <v>1</v>
      </c>
      <c r="N113" s="2" t="inlineStr">
        <is>
          <t>data/mission_templates.yaml:L908:drop_table.equip_lingboxie</t>
        </is>
      </c>
    </row>
    <row r="114">
      <c r="A114" s="2" t="inlineStr">
        <is>
          <t>equip_linghuzhui</t>
        </is>
      </c>
      <c r="B114" s="2" t="inlineStr">
        <is>
          <t>灵狐坠</t>
        </is>
      </c>
      <c r="C114" s="2" t="inlineStr">
        <is>
          <t>饰品</t>
        </is>
      </c>
      <c r="D114" s="2" t="inlineStr">
        <is>
          <t>稀有/蓝</t>
        </is>
      </c>
      <c r="E114" s="2" t="inlineStr">
        <is>
          <t>shiren_daochang</t>
        </is>
      </c>
      <c r="F114" s="2" t="inlineStr">
        <is>
          <t>十人道场</t>
        </is>
      </c>
      <c r="G114" s="2" t="inlineStr">
        <is>
          <t>概率掉落</t>
        </is>
      </c>
      <c r="H114" s="5">
        <f>'任务掉落明细'!X102</f>
        <v>0.1</v>
      </c>
      <c r="I114" s="2" t="n">
        <v>1</v>
      </c>
      <c r="J114" s="2" t="inlineStr">
        <is>
          <t>equip_linghuzhui</t>
        </is>
      </c>
      <c r="K114" s="2" t="inlineStr">
        <is>
          <t>个人任务</t>
        </is>
      </c>
      <c r="L114" s="2" t="inlineStr">
        <is>
          <t>挑战者庄园</t>
        </is>
      </c>
      <c r="M114" s="6">
        <f>'任务掉落明细'!Y102</f>
        <v>0.1</v>
      </c>
      <c r="N114" s="2" t="inlineStr">
        <is>
          <t>data/mission_templates.yaml:L607:drop_table.equip_linghuzhui</t>
        </is>
      </c>
    </row>
    <row r="115">
      <c r="A115" s="2" t="inlineStr">
        <is>
          <t>equip_lingwenyubi</t>
        </is>
      </c>
      <c r="B115" s="2" t="inlineStr">
        <is>
          <t>灵纹玉笔</t>
        </is>
      </c>
      <c r="C115" s="2" t="inlineStr">
        <is>
          <t>饰品</t>
        </is>
      </c>
      <c r="D115" s="2" t="inlineStr">
        <is>
          <t>稀有/蓝</t>
        </is>
      </c>
      <c r="E115" s="2" t="inlineStr">
        <is>
          <t>tianpeng_dijiao_2</t>
        </is>
      </c>
      <c r="F115" s="2" t="inlineStr">
        <is>
          <t>天蓬元帅的地窖（第二层）</t>
        </is>
      </c>
      <c r="G115" s="2" t="inlineStr">
        <is>
          <t>概率掉落</t>
        </is>
      </c>
      <c r="H115" s="5">
        <f>'任务掉落明细'!X131</f>
        <v>0.1</v>
      </c>
      <c r="I115" s="2" t="n">
        <v>1</v>
      </c>
      <c r="J115" s="2" t="inlineStr">
        <is>
          <t>equip_lingwenyubi</t>
        </is>
      </c>
      <c r="K115" s="2" t="inlineStr">
        <is>
          <t>个人任务</t>
        </is>
      </c>
      <c r="L115" s="2" t="inlineStr">
        <is>
          <t>挑战者庄园</t>
        </is>
      </c>
      <c r="M115" s="6">
        <f>'任务掉落明细'!Y131</f>
        <v>0.1</v>
      </c>
      <c r="N115" s="2" t="inlineStr">
        <is>
          <t>data/mission_templates.yaml:L777:drop_table.equip_lingwenyubi</t>
        </is>
      </c>
    </row>
    <row r="116">
      <c r="A116" s="2" t="inlineStr">
        <is>
          <t>equip_linwenzhanjia</t>
        </is>
      </c>
      <c r="B116" s="2" t="inlineStr">
        <is>
          <t>鳞纹战甲</t>
        </is>
      </c>
      <c r="C116" s="2" t="inlineStr">
        <is>
          <t>护甲</t>
        </is>
      </c>
      <c r="D116" s="2" t="inlineStr">
        <is>
          <t>稀有/蓝</t>
        </is>
      </c>
      <c r="E116" s="2" t="inlineStr">
        <is>
          <t>wagangzhai_nixi</t>
        </is>
      </c>
      <c r="F116" s="2" t="inlineStr">
        <is>
          <t>瓦岗寨的逆袭</t>
        </is>
      </c>
      <c r="G116" s="2" t="inlineStr">
        <is>
          <t>概率掉落</t>
        </is>
      </c>
      <c r="H116" s="5">
        <f>'任务掉落明细'!X41</f>
        <v>0.05</v>
      </c>
      <c r="I116" s="2" t="n">
        <v>1</v>
      </c>
      <c r="J116" s="2" t="inlineStr">
        <is>
          <t>equip_linwenzhanjia</t>
        </is>
      </c>
      <c r="K116" s="2" t="inlineStr">
        <is>
          <t>个人任务</t>
        </is>
      </c>
      <c r="L116" s="2" t="inlineStr">
        <is>
          <t>挑战者庄园</t>
        </is>
      </c>
      <c r="M116" s="6">
        <f>'任务掉落明细'!Y41</f>
        <v>0.05</v>
      </c>
      <c r="N116" s="2" t="inlineStr">
        <is>
          <t>data/mission_templates.yaml:L326:drop_table.equip_linwenzhanjia</t>
        </is>
      </c>
    </row>
    <row r="117">
      <c r="A117" s="2" t="inlineStr">
        <is>
          <t>equip_liuyunpei</t>
        </is>
      </c>
      <c r="B117" s="2" t="inlineStr">
        <is>
          <t>流云佩</t>
        </is>
      </c>
      <c r="C117" s="2" t="inlineStr">
        <is>
          <t>饰品</t>
        </is>
      </c>
      <c r="D117" s="2" t="inlineStr">
        <is>
          <t>稀有/蓝</t>
        </is>
      </c>
      <c r="E117" s="2" t="inlineStr">
        <is>
          <t>liangshanbo_zhuyingtai</t>
        </is>
      </c>
      <c r="F117" s="2" t="inlineStr">
        <is>
          <t>梁山伯与祝英台</t>
        </is>
      </c>
      <c r="G117" s="2" t="inlineStr">
        <is>
          <t>概率掉落</t>
        </is>
      </c>
      <c r="H117" s="5">
        <f>'任务掉落明细'!X194</f>
        <v>0.07</v>
      </c>
      <c r="I117" s="2" t="n">
        <v>1</v>
      </c>
      <c r="J117" s="2" t="inlineStr">
        <is>
          <t>equip_liuyunpei</t>
        </is>
      </c>
      <c r="K117" s="2" t="inlineStr">
        <is>
          <t>个人任务</t>
        </is>
      </c>
      <c r="L117" s="2" t="inlineStr">
        <is>
          <t>挑战者庄园</t>
        </is>
      </c>
      <c r="M117" s="6">
        <f>'任务掉落明细'!Y194</f>
        <v>0.07</v>
      </c>
      <c r="N117" s="2" t="inlineStr">
        <is>
          <t>data/mission_templates.yaml:L1108:drop_table.equip_liuyunpei</t>
        </is>
      </c>
    </row>
    <row r="118">
      <c r="A118" s="2" t="inlineStr">
        <is>
          <t>equip_longlinzhanjia</t>
        </is>
      </c>
      <c r="B118" s="2" t="inlineStr">
        <is>
          <t>龙鳞战甲</t>
        </is>
      </c>
      <c r="C118" s="2" t="inlineStr">
        <is>
          <t>护甲</t>
        </is>
      </c>
      <c r="D118" s="2" t="inlineStr">
        <is>
          <t>传说/橙</t>
        </is>
      </c>
      <c r="E118" s="2" t="inlineStr">
        <is>
          <t>hulao_qunying_zhan_lvbu</t>
        </is>
      </c>
      <c r="F118" s="2" t="inlineStr">
        <is>
          <t>飞将浮沉录：虎牢关群英战吕布</t>
        </is>
      </c>
      <c r="G118" s="2" t="inlineStr">
        <is>
          <t>概率掉落</t>
        </is>
      </c>
      <c r="H118" s="5">
        <f>'任务掉落明细'!X275</f>
        <v>0.0072</v>
      </c>
      <c r="I118" s="2" t="n">
        <v>1</v>
      </c>
      <c r="J118" s="2" t="inlineStr">
        <is>
          <t>equip_longlinzhanjia</t>
        </is>
      </c>
      <c r="K118" s="2" t="inlineStr">
        <is>
          <t>个人任务</t>
        </is>
      </c>
      <c r="L118" s="2" t="inlineStr">
        <is>
          <t>挑战者庄园</t>
        </is>
      </c>
      <c r="M118" s="6">
        <f>'任务掉落明细'!Y275</f>
        <v>0.0072</v>
      </c>
      <c r="N118" s="2" t="inlineStr">
        <is>
          <t>data/mission_templates.yaml:L1556:drop_table.equip_longlinzhanjia</t>
        </is>
      </c>
    </row>
    <row r="119">
      <c r="A119" s="2" t="inlineStr">
        <is>
          <t>equip_longwenyupei</t>
        </is>
      </c>
      <c r="B119" s="2" t="inlineStr">
        <is>
          <t>龙纹玉佩</t>
        </is>
      </c>
      <c r="C119" s="2" t="inlineStr">
        <is>
          <t>饰品</t>
        </is>
      </c>
      <c r="D119" s="2" t="inlineStr">
        <is>
          <t>稀有/蓝</t>
        </is>
      </c>
      <c r="E119" s="2" t="inlineStr">
        <is>
          <t>sishui_huaxiong_chengwei</t>
        </is>
      </c>
      <c r="F119" s="2" t="inlineStr">
        <is>
          <t>飞将浮沉录：汜水关华雄逞威</t>
        </is>
      </c>
      <c r="G119" s="2" t="inlineStr">
        <is>
          <t>随机池掉落</t>
        </is>
      </c>
      <c r="H119" s="5">
        <f>'任务掉落明细'!X268</f>
        <v>0.03333333333333333</v>
      </c>
      <c r="I119" s="2" t="n">
        <v>1</v>
      </c>
      <c r="J119" s="2" t="inlineStr">
        <is>
          <t>sishui_equipment_pool</t>
        </is>
      </c>
      <c r="K119" s="2" t="inlineStr">
        <is>
          <t>个人任务</t>
        </is>
      </c>
      <c r="L119" s="2" t="inlineStr">
        <is>
          <t>挑战者庄园</t>
        </is>
      </c>
      <c r="M119" s="6">
        <f>'任务掉落明细'!Y268</f>
        <v>0.03333333333333333</v>
      </c>
      <c r="N119" s="2" t="inlineStr">
        <is>
          <t>data/mission_templates.yaml:L1511:drop_table.sishui_equipment_pool</t>
        </is>
      </c>
    </row>
    <row r="120">
      <c r="A120" s="2" t="inlineStr">
        <is>
          <t>equip_luopan</t>
        </is>
      </c>
      <c r="B120" s="2" t="inlineStr">
        <is>
          <t>罗盘</t>
        </is>
      </c>
      <c r="C120" s="2" t="inlineStr">
        <is>
          <t>饰品</t>
        </is>
      </c>
      <c r="D120" s="2" t="inlineStr">
        <is>
          <t>优秀/绿</t>
        </is>
      </c>
      <c r="E120" s="2" t="inlineStr">
        <is>
          <t>jiguan_chuniao</t>
        </is>
      </c>
      <c r="F120" s="2" t="inlineStr">
        <is>
          <t>机关雏鸟</t>
        </is>
      </c>
      <c r="G120" s="2" t="inlineStr">
        <is>
          <t>概率掉落</t>
        </is>
      </c>
      <c r="H120" s="5">
        <f>'任务掉落明细'!X137</f>
        <v>0.05</v>
      </c>
      <c r="I120" s="2" t="n">
        <v>1</v>
      </c>
      <c r="J120" s="2" t="inlineStr">
        <is>
          <t>equip_luopan</t>
        </is>
      </c>
      <c r="K120" s="2" t="inlineStr">
        <is>
          <t>个人任务</t>
        </is>
      </c>
      <c r="L120" s="2" t="inlineStr">
        <is>
          <t>挑战者庄园</t>
        </is>
      </c>
      <c r="M120" s="6">
        <f>'任务掉落明细'!Y137</f>
        <v>0.05</v>
      </c>
      <c r="N120" s="2" t="inlineStr">
        <is>
          <t>data/mission_templates.yaml:L830:drop_table.equip_luopan</t>
        </is>
      </c>
    </row>
    <row r="121">
      <c r="A121" s="2" t="inlineStr">
        <is>
          <t>equip_luopan</t>
        </is>
      </c>
      <c r="B121" s="2" t="inlineStr">
        <is>
          <t>罗盘</t>
        </is>
      </c>
      <c r="C121" s="2" t="inlineStr">
        <is>
          <t>饰品</t>
        </is>
      </c>
      <c r="D121" s="2" t="inlineStr">
        <is>
          <t>优秀/绿</t>
        </is>
      </c>
      <c r="E121" s="2" t="inlineStr">
        <is>
          <t>shanhaiguan</t>
        </is>
      </c>
      <c r="F121" s="2" t="inlineStr">
        <is>
          <t>山海关</t>
        </is>
      </c>
      <c r="G121" s="2" t="inlineStr">
        <is>
          <t>概率掉落</t>
        </is>
      </c>
      <c r="H121" s="5">
        <f>'任务掉落明细'!X82</f>
        <v>0.1</v>
      </c>
      <c r="I121" s="2" t="n">
        <v>1</v>
      </c>
      <c r="J121" s="2" t="inlineStr">
        <is>
          <t>equip_luopan</t>
        </is>
      </c>
      <c r="K121" s="2" t="inlineStr">
        <is>
          <t>个人任务</t>
        </is>
      </c>
      <c r="L121" s="2" t="inlineStr">
        <is>
          <t>挑战者庄园</t>
        </is>
      </c>
      <c r="M121" s="6">
        <f>'任务掉落明细'!Y82</f>
        <v>0.1</v>
      </c>
      <c r="N121" s="2" t="inlineStr">
        <is>
          <t>data/mission_templates.yaml:L559:drop_table.equip_luopan</t>
        </is>
      </c>
    </row>
    <row r="122">
      <c r="A122" s="2" t="inlineStr">
        <is>
          <t>equip_luopan</t>
        </is>
      </c>
      <c r="B122" s="2" t="inlineStr">
        <is>
          <t>罗盘</t>
        </is>
      </c>
      <c r="C122" s="2" t="inlineStr">
        <is>
          <t>饰品</t>
        </is>
      </c>
      <c r="D122" s="2" t="inlineStr">
        <is>
          <t>优秀/绿</t>
        </is>
      </c>
      <c r="E122" s="2" t="inlineStr">
        <is>
          <t>taozi_fenban</t>
        </is>
      </c>
      <c r="F122" s="2" t="inlineStr">
        <is>
          <t>我的桃子分你一半</t>
        </is>
      </c>
      <c r="G122" s="2" t="inlineStr">
        <is>
          <t>随机池掉落</t>
        </is>
      </c>
      <c r="H122" s="5">
        <f>'任务掉落明细'!X170</f>
        <v>0.07727272727272727</v>
      </c>
      <c r="I122" s="2" t="n">
        <v>1</v>
      </c>
      <c r="J122" s="2" t="inlineStr">
        <is>
          <t>taozi_equipment_pool</t>
        </is>
      </c>
      <c r="K122" s="2" t="inlineStr">
        <is>
          <t>个人任务</t>
        </is>
      </c>
      <c r="L122" s="2" t="inlineStr">
        <is>
          <t>挑战者庄园</t>
        </is>
      </c>
      <c r="M122" s="6">
        <f>'任务掉落明细'!Y170</f>
        <v>0.07727272727272727</v>
      </c>
      <c r="N122" s="2" t="inlineStr">
        <is>
          <t>data/mission_templates.yaml:L951:drop_table.taozi_equipment_pool</t>
        </is>
      </c>
    </row>
    <row r="123">
      <c r="A123" s="2" t="inlineStr">
        <is>
          <t>equip_mengguma</t>
        </is>
      </c>
      <c r="B123" s="2" t="inlineStr">
        <is>
          <t>蒙古马</t>
        </is>
      </c>
      <c r="C123" s="2" t="inlineStr">
        <is>
          <t>坐骑</t>
        </is>
      </c>
      <c r="D123" s="2" t="inlineStr">
        <is>
          <t>优秀/绿</t>
        </is>
      </c>
      <c r="E123" s="2" t="inlineStr">
        <is>
          <t>wulongshan</t>
        </is>
      </c>
      <c r="F123" s="2" t="inlineStr">
        <is>
          <t>乌龙山</t>
        </is>
      </c>
      <c r="G123" s="2" t="inlineStr">
        <is>
          <t>随机池掉落</t>
        </is>
      </c>
      <c r="H123" s="5">
        <f>'任务掉落明细'!X50</f>
        <v>0.175</v>
      </c>
      <c r="I123" s="2" t="n">
        <v>1</v>
      </c>
      <c r="J123" s="2" t="inlineStr">
        <is>
          <t>wulong_equipment_pool</t>
        </is>
      </c>
      <c r="K123" s="2" t="inlineStr">
        <is>
          <t>个人任务</t>
        </is>
      </c>
      <c r="L123" s="2" t="inlineStr">
        <is>
          <t>挑战者庄园</t>
        </is>
      </c>
      <c r="M123" s="6">
        <f>'任务掉落明细'!Y50</f>
        <v>0.175</v>
      </c>
      <c r="N123" s="2" t="inlineStr">
        <is>
          <t>data/mission_templates.yaml:L408:drop_table.wulong_equipment_pool</t>
        </is>
      </c>
    </row>
    <row r="124">
      <c r="A124" s="2" t="inlineStr">
        <is>
          <t>equip_moyuyan</t>
        </is>
      </c>
      <c r="B124" s="2" t="inlineStr">
        <is>
          <t>墨玉砚</t>
        </is>
      </c>
      <c r="C124" s="2" t="inlineStr">
        <is>
          <t>饰品</t>
        </is>
      </c>
      <c r="D124" s="2" t="inlineStr">
        <is>
          <t>优秀/绿</t>
        </is>
      </c>
      <c r="E124" s="2" t="inlineStr">
        <is>
          <t>fugui_shanzhuang</t>
        </is>
      </c>
      <c r="F124" s="2" t="inlineStr">
        <is>
          <t>富贵山庄</t>
        </is>
      </c>
      <c r="G124" s="2" t="inlineStr">
        <is>
          <t>随机池掉落</t>
        </is>
      </c>
      <c r="H124" s="5">
        <f>'任务掉落明细'!X66</f>
        <v>0.2</v>
      </c>
      <c r="I124" s="2" t="n">
        <v>1</v>
      </c>
      <c r="J124" s="2" t="inlineStr">
        <is>
          <t>fugui_equipment_pool</t>
        </is>
      </c>
      <c r="K124" s="2" t="inlineStr">
        <is>
          <t>个人任务</t>
        </is>
      </c>
      <c r="L124" s="2" t="inlineStr">
        <is>
          <t>挑战者庄园</t>
        </is>
      </c>
      <c r="M124" s="6">
        <f>'任务掉落明细'!Y66</f>
        <v>0.2</v>
      </c>
      <c r="N124" s="2" t="inlineStr">
        <is>
          <t>data/mission_templates.yaml:L482:drop_table.fugui_equipment_pool</t>
        </is>
      </c>
    </row>
    <row r="125">
      <c r="A125" s="2" t="inlineStr">
        <is>
          <t>equip_moyuyan</t>
        </is>
      </c>
      <c r="B125" s="2" t="inlineStr">
        <is>
          <t>墨玉砚</t>
        </is>
      </c>
      <c r="C125" s="2" t="inlineStr">
        <is>
          <t>饰品</t>
        </is>
      </c>
      <c r="D125" s="2" t="inlineStr">
        <is>
          <t>优秀/绿</t>
        </is>
      </c>
      <c r="E125" s="2" t="inlineStr">
        <is>
          <t>liangshanbo_zhuyingtai</t>
        </is>
      </c>
      <c r="F125" s="2" t="inlineStr">
        <is>
          <t>梁山伯与祝英台</t>
        </is>
      </c>
      <c r="G125" s="2" t="inlineStr">
        <is>
          <t>概率掉落</t>
        </is>
      </c>
      <c r="H125" s="5">
        <f>'任务掉落明细'!X192</f>
        <v>0.05</v>
      </c>
      <c r="I125" s="2" t="n">
        <v>1</v>
      </c>
      <c r="J125" s="2" t="inlineStr">
        <is>
          <t>equip_moyuyan</t>
        </is>
      </c>
      <c r="K125" s="2" t="inlineStr">
        <is>
          <t>个人任务</t>
        </is>
      </c>
      <c r="L125" s="2" t="inlineStr">
        <is>
          <t>挑战者庄园</t>
        </is>
      </c>
      <c r="M125" s="6">
        <f>'任务掉落明细'!Y192</f>
        <v>0.05</v>
      </c>
      <c r="N125" s="2" t="inlineStr">
        <is>
          <t>data/mission_templates.yaml:L1108:drop_table.equip_moyuyan</t>
        </is>
      </c>
    </row>
    <row r="126">
      <c r="A126" s="2" t="inlineStr">
        <is>
          <t>equip_nichangjian</t>
        </is>
      </c>
      <c r="B126" s="2" t="inlineStr">
        <is>
          <t>霓裳剑</t>
        </is>
      </c>
      <c r="C126" s="2" t="inlineStr">
        <is>
          <t>武器</t>
        </is>
      </c>
      <c r="D126" s="2" t="inlineStr">
        <is>
          <t>稀有/蓝</t>
        </is>
      </c>
      <c r="E126" s="2" t="inlineStr">
        <is>
          <t>liangshanbo_zhuyingtai</t>
        </is>
      </c>
      <c r="F126" s="2" t="inlineStr">
        <is>
          <t>梁山伯与祝英台</t>
        </is>
      </c>
      <c r="G126" s="2" t="inlineStr">
        <is>
          <t>随机池掉落</t>
        </is>
      </c>
      <c r="H126" s="5">
        <f>'任务掉落明细'!X188</f>
        <v>0.03333333333333333</v>
      </c>
      <c r="I126" s="2" t="n">
        <v>1</v>
      </c>
      <c r="J126" s="2" t="inlineStr">
        <is>
          <t>nichang_random_piece</t>
        </is>
      </c>
      <c r="K126" s="2" t="inlineStr">
        <is>
          <t>个人任务</t>
        </is>
      </c>
      <c r="L126" s="2" t="inlineStr">
        <is>
          <t>挑战者庄园</t>
        </is>
      </c>
      <c r="M126" s="6">
        <f>'任务掉落明细'!Y188</f>
        <v>0.03333333333333333</v>
      </c>
      <c r="N126" s="2" t="inlineStr">
        <is>
          <t>data/mission_templates.yaml:L1108:drop_table.nichang_random_piece</t>
        </is>
      </c>
    </row>
    <row r="127">
      <c r="A127" s="2" t="inlineStr">
        <is>
          <t>equip_nichangwuxie</t>
        </is>
      </c>
      <c r="B127" s="2" t="inlineStr">
        <is>
          <t>霓裳舞鞋</t>
        </is>
      </c>
      <c r="C127" s="2" t="inlineStr">
        <is>
          <t>鞋子</t>
        </is>
      </c>
      <c r="D127" s="2" t="inlineStr">
        <is>
          <t>优秀/绿</t>
        </is>
      </c>
      <c r="E127" s="2" t="inlineStr">
        <is>
          <t>liangshanbo_zhuyingtai</t>
        </is>
      </c>
      <c r="F127" s="2" t="inlineStr">
        <is>
          <t>梁山伯与祝英台</t>
        </is>
      </c>
      <c r="G127" s="2" t="inlineStr">
        <is>
          <t>随机池掉落</t>
        </is>
      </c>
      <c r="H127" s="5">
        <f>'任务掉落明细'!X187</f>
        <v>0.03333333333333333</v>
      </c>
      <c r="I127" s="2" t="n">
        <v>1</v>
      </c>
      <c r="J127" s="2" t="inlineStr">
        <is>
          <t>nichang_random_piece</t>
        </is>
      </c>
      <c r="K127" s="2" t="inlineStr">
        <is>
          <t>个人任务</t>
        </is>
      </c>
      <c r="L127" s="2" t="inlineStr">
        <is>
          <t>挑战者庄园</t>
        </is>
      </c>
      <c r="M127" s="6">
        <f>'任务掉落明细'!Y187</f>
        <v>0.03333333333333333</v>
      </c>
      <c r="N127" s="2" t="inlineStr">
        <is>
          <t>data/mission_templates.yaml:L1108:drop_table.nichang_random_piece</t>
        </is>
      </c>
    </row>
    <row r="128">
      <c r="A128" s="2" t="inlineStr">
        <is>
          <t>equip_nichangyuyi</t>
        </is>
      </c>
      <c r="B128" s="2" t="inlineStr">
        <is>
          <t>霓裳羽衣</t>
        </is>
      </c>
      <c r="C128" s="2" t="inlineStr">
        <is>
          <t>护甲</t>
        </is>
      </c>
      <c r="D128" s="2" t="inlineStr">
        <is>
          <t>优秀/绿</t>
        </is>
      </c>
      <c r="E128" s="2" t="inlineStr">
        <is>
          <t>liangshanbo_zhuyingtai</t>
        </is>
      </c>
      <c r="F128" s="2" t="inlineStr">
        <is>
          <t>梁山伯与祝英台</t>
        </is>
      </c>
      <c r="G128" s="2" t="inlineStr">
        <is>
          <t>随机池掉落</t>
        </is>
      </c>
      <c r="H128" s="5">
        <f>'任务掉落明细'!X186</f>
        <v>0.03333333333333333</v>
      </c>
      <c r="I128" s="2" t="n">
        <v>1</v>
      </c>
      <c r="J128" s="2" t="inlineStr">
        <is>
          <t>nichang_random_piece</t>
        </is>
      </c>
      <c r="K128" s="2" t="inlineStr">
        <is>
          <t>个人任务</t>
        </is>
      </c>
      <c r="L128" s="2" t="inlineStr">
        <is>
          <t>挑战者庄园</t>
        </is>
      </c>
      <c r="M128" s="6">
        <f>'任务掉落明细'!Y186</f>
        <v>0.03333333333333333</v>
      </c>
      <c r="N128" s="2" t="inlineStr">
        <is>
          <t>data/mission_templates.yaml:L1108:drop_table.nichang_random_piece</t>
        </is>
      </c>
    </row>
    <row r="129">
      <c r="A129" s="2" t="inlineStr">
        <is>
          <t>equip_nohara_pan</t>
        </is>
      </c>
      <c r="B129" s="2" t="inlineStr">
        <is>
          <t>野原家的平底锅</t>
        </is>
      </c>
      <c r="C129" s="2" t="inlineStr">
        <is>
          <t>武器</t>
        </is>
      </c>
      <c r="D129" s="2" t="inlineStr">
        <is>
          <t>稀有/蓝</t>
        </is>
      </c>
      <c r="E129" s="2" t="inlineStr">
        <is>
          <t>kasukabe_daisakusen</t>
        </is>
      </c>
      <c r="F129" s="2" t="inlineStr">
        <is>
          <t>春日部大作战</t>
        </is>
      </c>
      <c r="G129" s="2" t="inlineStr">
        <is>
          <t>概率掉落</t>
        </is>
      </c>
      <c r="H129" s="5">
        <f>'任务掉落明细'!X26</f>
        <v>0.05</v>
      </c>
      <c r="I129" s="2" t="n">
        <v>1</v>
      </c>
      <c r="J129" s="2" t="inlineStr">
        <is>
          <t>equip_nohara_pan</t>
        </is>
      </c>
      <c r="K129" s="2" t="inlineStr">
        <is>
          <t>个人任务</t>
        </is>
      </c>
      <c r="L129" s="2" t="inlineStr">
        <is>
          <t>挑战者庄园</t>
        </is>
      </c>
      <c r="M129" s="6">
        <f>'任务掉落明细'!Y26</f>
        <v>0.05</v>
      </c>
      <c r="N129" s="2" t="inlineStr">
        <is>
          <t>data/mission_templates.yaml:L206:drop_table.equip_nohara_pan</t>
        </is>
      </c>
    </row>
    <row r="130">
      <c r="A130" s="2" t="inlineStr">
        <is>
          <t>equip_panlonggun</t>
        </is>
      </c>
      <c r="B130" s="2" t="inlineStr">
        <is>
          <t>盘龙棍</t>
        </is>
      </c>
      <c r="C130" s="2" t="inlineStr">
        <is>
          <t>武器</t>
        </is>
      </c>
      <c r="D130" s="2" t="inlineStr">
        <is>
          <t>传说/橙</t>
        </is>
      </c>
      <c r="E130" s="2" t="inlineStr">
        <is>
          <t>baimenlou_mingyun_jueze</t>
        </is>
      </c>
      <c r="F130" s="2" t="inlineStr">
        <is>
          <t>飞将浮沉录：白门楼命运抉择</t>
        </is>
      </c>
      <c r="G130" s="2" t="inlineStr">
        <is>
          <t>概率掉落</t>
        </is>
      </c>
      <c r="H130" s="5">
        <f>'任务掉落明细'!X282</f>
        <v>0.0096</v>
      </c>
      <c r="I130" s="2" t="n">
        <v>1</v>
      </c>
      <c r="J130" s="2" t="inlineStr">
        <is>
          <t>equip_panlonggun</t>
        </is>
      </c>
      <c r="K130" s="2" t="inlineStr">
        <is>
          <t>个人任务</t>
        </is>
      </c>
      <c r="L130" s="2" t="inlineStr">
        <is>
          <t>挑战者庄园</t>
        </is>
      </c>
      <c r="M130" s="6">
        <f>'任务掉落明细'!Y282</f>
        <v>0.0096</v>
      </c>
      <c r="N130" s="2" t="inlineStr">
        <is>
          <t>data/mission_templates.yaml:L1602:drop_table.equip_panlonggun</t>
        </is>
      </c>
    </row>
    <row r="131">
      <c r="A131" s="2" t="inlineStr">
        <is>
          <t>equip_panlonggun</t>
        </is>
      </c>
      <c r="B131" s="2" t="inlineStr">
        <is>
          <t>盘龙棍</t>
        </is>
      </c>
      <c r="C131" s="2" t="inlineStr">
        <is>
          <t>武器</t>
        </is>
      </c>
      <c r="D131" s="2" t="inlineStr">
        <is>
          <t>传说/橙</t>
        </is>
      </c>
      <c r="E131" s="2" t="inlineStr">
        <is>
          <t>guandu_zhizhan</t>
        </is>
      </c>
      <c r="F131" s="2" t="inlineStr">
        <is>
          <t>官渡之战</t>
        </is>
      </c>
      <c r="G131" s="2" t="inlineStr">
        <is>
          <t>概率掉落</t>
        </is>
      </c>
      <c r="H131" s="5">
        <f>'任务掉落明细'!X258</f>
        <v>0.0096</v>
      </c>
      <c r="I131" s="2" t="n">
        <v>1</v>
      </c>
      <c r="J131" s="2" t="inlineStr">
        <is>
          <t>equip_panlonggun</t>
        </is>
      </c>
      <c r="K131" s="2" t="inlineStr">
        <is>
          <t>个人任务</t>
        </is>
      </c>
      <c r="L131" s="2" t="inlineStr">
        <is>
          <t>挑战者庄园</t>
        </is>
      </c>
      <c r="M131" s="6">
        <f>'任务掉落明细'!Y258</f>
        <v>0.0096</v>
      </c>
      <c r="N131" s="2" t="inlineStr">
        <is>
          <t>data/mission_templates.yaml:L1391:drop_table.equip_panlonggun</t>
        </is>
      </c>
    </row>
    <row r="132">
      <c r="A132" s="2" t="inlineStr">
        <is>
          <t>equip_pofengji</t>
        </is>
      </c>
      <c r="B132" s="2" t="inlineStr">
        <is>
          <t>破风戟</t>
        </is>
      </c>
      <c r="C132" s="2" t="inlineStr">
        <is>
          <t>武器</t>
        </is>
      </c>
      <c r="D132" s="2" t="inlineStr">
        <is>
          <t>优秀/绿</t>
        </is>
      </c>
      <c r="E132" s="2" t="inlineStr">
        <is>
          <t>wagangzhai</t>
        </is>
      </c>
      <c r="F132" s="2" t="inlineStr">
        <is>
          <t>瓦岗寨</t>
        </is>
      </c>
      <c r="G132" s="2" t="inlineStr">
        <is>
          <t>随机池掉落</t>
        </is>
      </c>
      <c r="H132" s="5">
        <f>'任务掉落明细'!X55</f>
        <v>0.08333333333333333</v>
      </c>
      <c r="I132" s="2" t="n">
        <v>1</v>
      </c>
      <c r="J132" s="2" t="inlineStr">
        <is>
          <t>wagang_equipment_pool</t>
        </is>
      </c>
      <c r="K132" s="2" t="inlineStr">
        <is>
          <t>个人任务</t>
        </is>
      </c>
      <c r="L132" s="2" t="inlineStr">
        <is>
          <t>挑战者庄园</t>
        </is>
      </c>
      <c r="M132" s="6">
        <f>'任务掉落明细'!Y55</f>
        <v>0.08333333333333333</v>
      </c>
      <c r="N132" s="2" t="inlineStr">
        <is>
          <t>data/mission_templates.yaml:L444:drop_table.wagang_equipment_pool</t>
        </is>
      </c>
    </row>
    <row r="133">
      <c r="A133" s="2" t="inlineStr">
        <is>
          <t>equip_pojunji</t>
        </is>
      </c>
      <c r="B133" s="2" t="inlineStr">
        <is>
          <t>破军戟</t>
        </is>
      </c>
      <c r="C133" s="2" t="inlineStr">
        <is>
          <t>武器</t>
        </is>
      </c>
      <c r="D133" s="2" t="inlineStr">
        <is>
          <t>史诗/紫</t>
        </is>
      </c>
      <c r="E133" s="2" t="inlineStr">
        <is>
          <t>dongtian_fudi</t>
        </is>
      </c>
      <c r="F133" s="2" t="inlineStr">
        <is>
          <t>洞天福地</t>
        </is>
      </c>
      <c r="G133" s="2" t="inlineStr">
        <is>
          <t>概率掉落</t>
        </is>
      </c>
      <c r="H133" s="5">
        <f>'任务掉落明细'!X146</f>
        <v>0.2</v>
      </c>
      <c r="I133" s="2" t="n">
        <v>1</v>
      </c>
      <c r="J133" s="2" t="inlineStr">
        <is>
          <t>equip_pojunji</t>
        </is>
      </c>
      <c r="K133" s="2" t="inlineStr">
        <is>
          <t>个人任务</t>
        </is>
      </c>
      <c r="L133" s="2" t="inlineStr">
        <is>
          <t>挑战者庄园</t>
        </is>
      </c>
      <c r="M133" s="6">
        <f>'任务掉落明细'!Y146</f>
        <v>0.2</v>
      </c>
      <c r="N133" s="2" t="inlineStr">
        <is>
          <t>data/mission_templates.yaml:L873:drop_table.equip_pojunji</t>
        </is>
      </c>
    </row>
    <row r="134">
      <c r="A134" s="2" t="inlineStr">
        <is>
          <t>equip_pojunkui</t>
        </is>
      </c>
      <c r="B134" s="2" t="inlineStr">
        <is>
          <t>破军盔</t>
        </is>
      </c>
      <c r="C134" s="2" t="inlineStr">
        <is>
          <t>头盔</t>
        </is>
      </c>
      <c r="D134" s="2" t="inlineStr">
        <is>
          <t>史诗/紫</t>
        </is>
      </c>
      <c r="E134" s="2" t="inlineStr">
        <is>
          <t>dongtian_fudi</t>
        </is>
      </c>
      <c r="F134" s="2" t="inlineStr">
        <is>
          <t>洞天福地</t>
        </is>
      </c>
      <c r="G134" s="2" t="inlineStr">
        <is>
          <t>概率掉落</t>
        </is>
      </c>
      <c r="H134" s="5">
        <f>'任务掉落明细'!X147</f>
        <v>0.2</v>
      </c>
      <c r="I134" s="2" t="n">
        <v>1</v>
      </c>
      <c r="J134" s="2" t="inlineStr">
        <is>
          <t>equip_pojunkui</t>
        </is>
      </c>
      <c r="K134" s="2" t="inlineStr">
        <is>
          <t>个人任务</t>
        </is>
      </c>
      <c r="L134" s="2" t="inlineStr">
        <is>
          <t>挑战者庄园</t>
        </is>
      </c>
      <c r="M134" s="6">
        <f>'任务掉落明细'!Y147</f>
        <v>0.2</v>
      </c>
      <c r="N134" s="2" t="inlineStr">
        <is>
          <t>data/mission_templates.yaml:L873:drop_table.equip_pojunkui</t>
        </is>
      </c>
    </row>
    <row r="135">
      <c r="A135" s="2" t="inlineStr">
        <is>
          <t>equip_pojunxue</t>
        </is>
      </c>
      <c r="B135" s="2" t="inlineStr">
        <is>
          <t>破军靴</t>
        </is>
      </c>
      <c r="C135" s="2" t="inlineStr">
        <is>
          <t>鞋子</t>
        </is>
      </c>
      <c r="D135" s="2" t="inlineStr">
        <is>
          <t>稀有/蓝</t>
        </is>
      </c>
      <c r="E135" s="2" t="inlineStr">
        <is>
          <t>dongtian_fudi</t>
        </is>
      </c>
      <c r="F135" s="2" t="inlineStr">
        <is>
          <t>洞天福地</t>
        </is>
      </c>
      <c r="G135" s="2" t="inlineStr">
        <is>
          <t>概率掉落</t>
        </is>
      </c>
      <c r="H135" s="5">
        <f>'任务掉落明细'!X149</f>
        <v>0.1</v>
      </c>
      <c r="I135" s="2" t="n">
        <v>1</v>
      </c>
      <c r="J135" s="2" t="inlineStr">
        <is>
          <t>equip_pojunxue</t>
        </is>
      </c>
      <c r="K135" s="2" t="inlineStr">
        <is>
          <t>个人任务</t>
        </is>
      </c>
      <c r="L135" s="2" t="inlineStr">
        <is>
          <t>挑战者庄园</t>
        </is>
      </c>
      <c r="M135" s="6">
        <f>'任务掉落明细'!Y149</f>
        <v>0.1</v>
      </c>
      <c r="N135" s="2" t="inlineStr">
        <is>
          <t>data/mission_templates.yaml:L873:drop_table.equip_pojunxue</t>
        </is>
      </c>
    </row>
    <row r="136">
      <c r="A136" s="2" t="inlineStr">
        <is>
          <t>equip_pojunxue</t>
        </is>
      </c>
      <c r="B136" s="2" t="inlineStr">
        <is>
          <t>破军靴</t>
        </is>
      </c>
      <c r="C136" s="2" t="inlineStr">
        <is>
          <t>鞋子</t>
        </is>
      </c>
      <c r="D136" s="2" t="inlineStr">
        <is>
          <t>稀有/蓝</t>
        </is>
      </c>
      <c r="E136" s="2" t="inlineStr">
        <is>
          <t>jiufeng_feihuan</t>
        </is>
      </c>
      <c r="F136" s="2" t="inlineStr">
        <is>
          <t>九峰匪患</t>
        </is>
      </c>
      <c r="G136" s="2" t="inlineStr">
        <is>
          <t>概率掉落</t>
        </is>
      </c>
      <c r="H136" s="5">
        <f>'任务掉落明细'!X156</f>
        <v>0.06</v>
      </c>
      <c r="I136" s="2" t="n">
        <v>1</v>
      </c>
      <c r="J136" s="2" t="inlineStr">
        <is>
          <t>equip_pojunxue</t>
        </is>
      </c>
      <c r="K136" s="2" t="inlineStr">
        <is>
          <t>个人任务</t>
        </is>
      </c>
      <c r="L136" s="2" t="inlineStr">
        <is>
          <t>挑战者庄园</t>
        </is>
      </c>
      <c r="M136" s="6">
        <f>'任务掉落明细'!Y156</f>
        <v>0.06</v>
      </c>
      <c r="N136" s="2" t="inlineStr">
        <is>
          <t>data/mission_templates.yaml:L908:drop_table.equip_pojunxue</t>
        </is>
      </c>
    </row>
    <row r="137">
      <c r="A137" s="2" t="inlineStr">
        <is>
          <t>equip_pojunzhanjia</t>
        </is>
      </c>
      <c r="B137" s="2" t="inlineStr">
        <is>
          <t>破军战甲</t>
        </is>
      </c>
      <c r="C137" s="2" t="inlineStr">
        <is>
          <t>护甲</t>
        </is>
      </c>
      <c r="D137" s="2" t="inlineStr">
        <is>
          <t>史诗/紫</t>
        </is>
      </c>
      <c r="E137" s="2" t="inlineStr">
        <is>
          <t>baimenlou_mingyun_jueze</t>
        </is>
      </c>
      <c r="F137" s="2" t="inlineStr">
        <is>
          <t>飞将浮沉录：白门楼命运抉择</t>
        </is>
      </c>
      <c r="G137" s="2" t="inlineStr">
        <is>
          <t>概率掉落</t>
        </is>
      </c>
      <c r="H137" s="5">
        <f>'任务掉落明细'!X283</f>
        <v>0.02</v>
      </c>
      <c r="I137" s="2" t="n">
        <v>1</v>
      </c>
      <c r="J137" s="2" t="inlineStr">
        <is>
          <t>equip_pojunzhanjia</t>
        </is>
      </c>
      <c r="K137" s="2" t="inlineStr">
        <is>
          <t>个人任务</t>
        </is>
      </c>
      <c r="L137" s="2" t="inlineStr">
        <is>
          <t>挑战者庄园</t>
        </is>
      </c>
      <c r="M137" s="6">
        <f>'任务掉落明细'!Y283</f>
        <v>0.02</v>
      </c>
      <c r="N137" s="2" t="inlineStr">
        <is>
          <t>data/mission_templates.yaml:L1602:drop_table.equip_pojunzhanjia</t>
        </is>
      </c>
    </row>
    <row r="138">
      <c r="A138" s="2" t="inlineStr">
        <is>
          <t>equip_pojunzhanjia</t>
        </is>
      </c>
      <c r="B138" s="2" t="inlineStr">
        <is>
          <t>破军战甲</t>
        </is>
      </c>
      <c r="C138" s="2" t="inlineStr">
        <is>
          <t>护甲</t>
        </is>
      </c>
      <c r="D138" s="2" t="inlineStr">
        <is>
          <t>史诗/紫</t>
        </is>
      </c>
      <c r="E138" s="2" t="inlineStr">
        <is>
          <t>dongtian_fudi</t>
        </is>
      </c>
      <c r="F138" s="2" t="inlineStr">
        <is>
          <t>洞天福地</t>
        </is>
      </c>
      <c r="G138" s="2" t="inlineStr">
        <is>
          <t>概率掉落</t>
        </is>
      </c>
      <c r="H138" s="5">
        <f>'任务掉落明细'!X148</f>
        <v>0.2</v>
      </c>
      <c r="I138" s="2" t="n">
        <v>1</v>
      </c>
      <c r="J138" s="2" t="inlineStr">
        <is>
          <t>equip_pojunzhanjia</t>
        </is>
      </c>
      <c r="K138" s="2" t="inlineStr">
        <is>
          <t>个人任务</t>
        </is>
      </c>
      <c r="L138" s="2" t="inlineStr">
        <is>
          <t>挑战者庄园</t>
        </is>
      </c>
      <c r="M138" s="6">
        <f>'任务掉落明细'!Y148</f>
        <v>0.2</v>
      </c>
      <c r="N138" s="2" t="inlineStr">
        <is>
          <t>data/mission_templates.yaml:L873:drop_table.equip_pojunzhanjia</t>
        </is>
      </c>
    </row>
    <row r="139">
      <c r="A139" s="2" t="inlineStr">
        <is>
          <t>equip_pozhenqiang</t>
        </is>
      </c>
      <c r="B139" s="2" t="inlineStr">
        <is>
          <t>破阵枪</t>
        </is>
      </c>
      <c r="C139" s="2" t="inlineStr">
        <is>
          <t>武器</t>
        </is>
      </c>
      <c r="D139" s="2" t="inlineStr">
        <is>
          <t>稀有/蓝</t>
        </is>
      </c>
      <c r="E139" s="2" t="inlineStr">
        <is>
          <t>sishui_huaxiong_chengwei</t>
        </is>
      </c>
      <c r="F139" s="2" t="inlineStr">
        <is>
          <t>飞将浮沉录：汜水关华雄逞威</t>
        </is>
      </c>
      <c r="G139" s="2" t="inlineStr">
        <is>
          <t>随机池掉落</t>
        </is>
      </c>
      <c r="H139" s="5">
        <f>'任务掉落明细'!X266</f>
        <v>0.03333333333333333</v>
      </c>
      <c r="I139" s="2" t="n">
        <v>1</v>
      </c>
      <c r="J139" s="2" t="inlineStr">
        <is>
          <t>sishui_equipment_pool</t>
        </is>
      </c>
      <c r="K139" s="2" t="inlineStr">
        <is>
          <t>个人任务</t>
        </is>
      </c>
      <c r="L139" s="2" t="inlineStr">
        <is>
          <t>挑战者庄园</t>
        </is>
      </c>
      <c r="M139" s="6">
        <f>'任务掉落明细'!Y266</f>
        <v>0.03333333333333333</v>
      </c>
      <c r="N139" s="2" t="inlineStr">
        <is>
          <t>data/mission_templates.yaml:L1511:drop_table.sishui_equipment_pool</t>
        </is>
      </c>
    </row>
    <row r="140">
      <c r="A140" s="2" t="inlineStr">
        <is>
          <t>equip_qiankunquan</t>
        </is>
      </c>
      <c r="B140" s="2" t="inlineStr">
        <is>
          <t>乾坤圈</t>
        </is>
      </c>
      <c r="C140" s="2" t="inlineStr">
        <is>
          <t>饰品</t>
        </is>
      </c>
      <c r="D140" s="2" t="inlineStr">
        <is>
          <t>稀有/蓝</t>
        </is>
      </c>
      <c r="E140" s="2" t="inlineStr">
        <is>
          <t>tianpeng_dijiao_2</t>
        </is>
      </c>
      <c r="F140" s="2" t="inlineStr">
        <is>
          <t>天蓬元帅的地窖（第二层）</t>
        </is>
      </c>
      <c r="G140" s="2" t="inlineStr">
        <is>
          <t>概率掉落</t>
        </is>
      </c>
      <c r="H140" s="5">
        <f>'任务掉落明细'!X129</f>
        <v>0.1</v>
      </c>
      <c r="I140" s="2" t="n">
        <v>1</v>
      </c>
      <c r="J140" s="2" t="inlineStr">
        <is>
          <t>equip_qiankunquan</t>
        </is>
      </c>
      <c r="K140" s="2" t="inlineStr">
        <is>
          <t>个人任务</t>
        </is>
      </c>
      <c r="L140" s="2" t="inlineStr">
        <is>
          <t>挑战者庄园</t>
        </is>
      </c>
      <c r="M140" s="6">
        <f>'任务掉落明细'!Y129</f>
        <v>0.1</v>
      </c>
      <c r="N140" s="2" t="inlineStr">
        <is>
          <t>data/mission_templates.yaml:L777:drop_table.equip_qiankunquan</t>
        </is>
      </c>
    </row>
    <row r="141">
      <c r="A141" s="2" t="inlineStr">
        <is>
          <t>equip_qiankunshengong</t>
        </is>
      </c>
      <c r="B141" s="2" t="inlineStr">
        <is>
          <t>乾坤神弓</t>
        </is>
      </c>
      <c r="C141" s="2" t="inlineStr">
        <is>
          <t>武器</t>
        </is>
      </c>
      <c r="D141" s="2" t="inlineStr">
        <is>
          <t>传说/橙</t>
        </is>
      </c>
      <c r="E141" s="2" t="inlineStr">
        <is>
          <t>guandu_zhizhan</t>
        </is>
      </c>
      <c r="F141" s="2" t="inlineStr">
        <is>
          <t>官渡之战</t>
        </is>
      </c>
      <c r="G141" s="2" t="inlineStr">
        <is>
          <t>概率掉落</t>
        </is>
      </c>
      <c r="H141" s="5">
        <f>'任务掉落明细'!X259</f>
        <v>0.0096</v>
      </c>
      <c r="I141" s="2" t="n">
        <v>1</v>
      </c>
      <c r="J141" s="2" t="inlineStr">
        <is>
          <t>equip_qiankunshengong</t>
        </is>
      </c>
      <c r="K141" s="2" t="inlineStr">
        <is>
          <t>个人任务</t>
        </is>
      </c>
      <c r="L141" s="2" t="inlineStr">
        <is>
          <t>挑战者庄园</t>
        </is>
      </c>
      <c r="M141" s="6">
        <f>'任务掉落明细'!Y259</f>
        <v>0.0096</v>
      </c>
      <c r="N141" s="2" t="inlineStr">
        <is>
          <t>data/mission_templates.yaml:L1391:drop_table.equip_qiankunshengong</t>
        </is>
      </c>
    </row>
    <row r="142">
      <c r="A142" s="2" t="inlineStr">
        <is>
          <t>equip_qianliju</t>
        </is>
      </c>
      <c r="B142" s="2" t="inlineStr">
        <is>
          <t>千里驹</t>
        </is>
      </c>
      <c r="C142" s="2" t="inlineStr">
        <is>
          <t>坐骑</t>
        </is>
      </c>
      <c r="D142" s="2" t="inlineStr">
        <is>
          <t>稀有/蓝</t>
        </is>
      </c>
      <c r="E142" s="2" t="inlineStr">
        <is>
          <t>jiufeng_feihuan</t>
        </is>
      </c>
      <c r="F142" s="2" t="inlineStr">
        <is>
          <t>九峰匪患</t>
        </is>
      </c>
      <c r="G142" s="2" t="inlineStr">
        <is>
          <t>概率掉落</t>
        </is>
      </c>
      <c r="H142" s="5">
        <f>'任务掉落明细'!X158</f>
        <v>0.06</v>
      </c>
      <c r="I142" s="2" t="n">
        <v>1</v>
      </c>
      <c r="J142" s="2" t="inlineStr">
        <is>
          <t>equip_qianliju</t>
        </is>
      </c>
      <c r="K142" s="2" t="inlineStr">
        <is>
          <t>个人任务</t>
        </is>
      </c>
      <c r="L142" s="2" t="inlineStr">
        <is>
          <t>挑战者庄园</t>
        </is>
      </c>
      <c r="M142" s="6">
        <f>'任务掉落明细'!Y158</f>
        <v>0.06</v>
      </c>
      <c r="N142" s="2" t="inlineStr">
        <is>
          <t>data/mission_templates.yaml:L908:drop_table.equip_qianliju</t>
        </is>
      </c>
    </row>
    <row r="143">
      <c r="A143" s="2" t="inlineStr">
        <is>
          <t>equip_qingtengguan</t>
        </is>
      </c>
      <c r="B143" s="2" t="inlineStr">
        <is>
          <t>青藤冠</t>
        </is>
      </c>
      <c r="C143" s="2" t="inlineStr">
        <is>
          <t>头盔</t>
        </is>
      </c>
      <c r="D143" s="2" t="inlineStr">
        <is>
          <t>优秀/绿</t>
        </is>
      </c>
      <c r="E143" s="2" t="inlineStr">
        <is>
          <t>taozi_fenban</t>
        </is>
      </c>
      <c r="F143" s="2" t="inlineStr">
        <is>
          <t>我的桃子分你一半</t>
        </is>
      </c>
      <c r="G143" s="2" t="inlineStr">
        <is>
          <t>随机池掉落</t>
        </is>
      </c>
      <c r="H143" s="5">
        <f>'任务掉落明细'!X162</f>
        <v>0.07727272727272727</v>
      </c>
      <c r="I143" s="2" t="n">
        <v>1</v>
      </c>
      <c r="J143" s="2" t="inlineStr">
        <is>
          <t>taozi_equipment_pool</t>
        </is>
      </c>
      <c r="K143" s="2" t="inlineStr">
        <is>
          <t>个人任务</t>
        </is>
      </c>
      <c r="L143" s="2" t="inlineStr">
        <is>
          <t>挑战者庄园</t>
        </is>
      </c>
      <c r="M143" s="6">
        <f>'任务掉落明细'!Y162</f>
        <v>0.07727272727272727</v>
      </c>
      <c r="N143" s="2" t="inlineStr">
        <is>
          <t>data/mission_templates.yaml:L951:drop_table.taozi_equipment_pool</t>
        </is>
      </c>
    </row>
    <row r="144">
      <c r="A144" s="2" t="inlineStr">
        <is>
          <t>equip_qingtongsuanchou</t>
        </is>
      </c>
      <c r="B144" s="2" t="inlineStr">
        <is>
          <t>青铜算筹</t>
        </is>
      </c>
      <c r="C144" s="2" t="inlineStr">
        <is>
          <t>饰品</t>
        </is>
      </c>
      <c r="D144" s="2" t="inlineStr">
        <is>
          <t>优秀/绿</t>
        </is>
      </c>
      <c r="E144" s="2" t="inlineStr">
        <is>
          <t>biwu_zhaoqin</t>
        </is>
      </c>
      <c r="F144" s="2" t="inlineStr">
        <is>
          <t>比武招亲</t>
        </is>
      </c>
      <c r="G144" s="2" t="inlineStr">
        <is>
          <t>随机池掉落</t>
        </is>
      </c>
      <c r="H144" s="5">
        <f>'任务掉落明细'!X110</f>
        <v>0.2</v>
      </c>
      <c r="I144" s="2" t="n">
        <v>1</v>
      </c>
      <c r="J144" s="2" t="inlineStr">
        <is>
          <t>biwu_equipment_pool</t>
        </is>
      </c>
      <c r="K144" s="2" t="inlineStr">
        <is>
          <t>个人任务</t>
        </is>
      </c>
      <c r="L144" s="2" t="inlineStr">
        <is>
          <t>挑战者庄园</t>
        </is>
      </c>
      <c r="M144" s="6">
        <f>'任务掉落明细'!Y110</f>
        <v>0.2</v>
      </c>
      <c r="N144" s="2" t="inlineStr">
        <is>
          <t>data/mission_templates.yaml:L698:drop_table.biwu_equipment_pool</t>
        </is>
      </c>
    </row>
    <row r="145">
      <c r="A145" s="2" t="inlineStr">
        <is>
          <t>equip_qingtongsuanchou</t>
        </is>
      </c>
      <c r="B145" s="2" t="inlineStr">
        <is>
          <t>青铜算筹</t>
        </is>
      </c>
      <c r="C145" s="2" t="inlineStr">
        <is>
          <t>饰品</t>
        </is>
      </c>
      <c r="D145" s="2" t="inlineStr">
        <is>
          <t>优秀/绿</t>
        </is>
      </c>
      <c r="E145" s="2" t="inlineStr">
        <is>
          <t>jiguanshou_chuxian</t>
        </is>
      </c>
      <c r="F145" s="2" t="inlineStr">
        <is>
          <t>机关兽初现</t>
        </is>
      </c>
      <c r="G145" s="2" t="inlineStr">
        <is>
          <t>随机池掉落</t>
        </is>
      </c>
      <c r="H145" s="5">
        <f>'任务掉落明细'!X105</f>
        <v>0.4</v>
      </c>
      <c r="I145" s="2" t="n">
        <v>1</v>
      </c>
      <c r="J145" s="2" t="inlineStr">
        <is>
          <t>jiguanshou_equipment_pool</t>
        </is>
      </c>
      <c r="K145" s="2" t="inlineStr">
        <is>
          <t>个人任务</t>
        </is>
      </c>
      <c r="L145" s="2" t="inlineStr">
        <is>
          <t>挑战者庄园</t>
        </is>
      </c>
      <c r="M145" s="6">
        <f>'任务掉落明细'!Y105</f>
        <v>0.4</v>
      </c>
      <c r="N145" s="2" t="inlineStr">
        <is>
          <t>data/mission_templates.yaml:L655:drop_table.jiguanshou_equipment_pool</t>
        </is>
      </c>
    </row>
    <row r="146">
      <c r="A146" s="2" t="inlineStr">
        <is>
          <t>equip_qingzhujia</t>
        </is>
      </c>
      <c r="B146" s="2" t="inlineStr">
        <is>
          <t>青竹甲</t>
        </is>
      </c>
      <c r="C146" s="2" t="inlineStr">
        <is>
          <t>护甲</t>
        </is>
      </c>
      <c r="D146" s="2" t="inlineStr">
        <is>
          <t>优秀/绿</t>
        </is>
      </c>
      <c r="E146" s="2" t="inlineStr">
        <is>
          <t>taozi_fenban</t>
        </is>
      </c>
      <c r="F146" s="2" t="inlineStr">
        <is>
          <t>我的桃子分你一半</t>
        </is>
      </c>
      <c r="G146" s="2" t="inlineStr">
        <is>
          <t>随机池掉落</t>
        </is>
      </c>
      <c r="H146" s="5">
        <f>'任务掉落明细'!X161</f>
        <v>0.07727272727272727</v>
      </c>
      <c r="I146" s="2" t="n">
        <v>1</v>
      </c>
      <c r="J146" s="2" t="inlineStr">
        <is>
          <t>taozi_equipment_pool</t>
        </is>
      </c>
      <c r="K146" s="2" t="inlineStr">
        <is>
          <t>个人任务</t>
        </is>
      </c>
      <c r="L146" s="2" t="inlineStr">
        <is>
          <t>挑战者庄园</t>
        </is>
      </c>
      <c r="M146" s="6">
        <f>'任务掉落明细'!Y161</f>
        <v>0.07727272727272727</v>
      </c>
      <c r="N146" s="2" t="inlineStr">
        <is>
          <t>data/mission_templates.yaml:L951:drop_table.taozi_equipment_pool</t>
        </is>
      </c>
    </row>
    <row r="147">
      <c r="A147" s="2" t="inlineStr">
        <is>
          <t>equip_qingzongma</t>
        </is>
      </c>
      <c r="B147" s="2" t="inlineStr">
        <is>
          <t>青鬃马</t>
        </is>
      </c>
      <c r="C147" s="2" t="inlineStr">
        <is>
          <t>坐骑</t>
        </is>
      </c>
      <c r="D147" s="2" t="inlineStr">
        <is>
          <t>优秀/绿</t>
        </is>
      </c>
      <c r="E147" s="2" t="inlineStr">
        <is>
          <t>biwu_zhaoqin</t>
        </is>
      </c>
      <c r="F147" s="2" t="inlineStr">
        <is>
          <t>比武招亲</t>
        </is>
      </c>
      <c r="G147" s="2" t="inlineStr">
        <is>
          <t>随机池掉落</t>
        </is>
      </c>
      <c r="H147" s="5">
        <f>'任务掉落明细'!X112</f>
        <v>0.2</v>
      </c>
      <c r="I147" s="2" t="n">
        <v>1</v>
      </c>
      <c r="J147" s="2" t="inlineStr">
        <is>
          <t>biwu_equipment_pool</t>
        </is>
      </c>
      <c r="K147" s="2" t="inlineStr">
        <is>
          <t>个人任务</t>
        </is>
      </c>
      <c r="L147" s="2" t="inlineStr">
        <is>
          <t>挑战者庄园</t>
        </is>
      </c>
      <c r="M147" s="6">
        <f>'任务掉落明细'!Y112</f>
        <v>0.2</v>
      </c>
      <c r="N147" s="2" t="inlineStr">
        <is>
          <t>data/mission_templates.yaml:L698:drop_table.biwu_equipment_pool</t>
        </is>
      </c>
    </row>
    <row r="148">
      <c r="A148" s="2" t="inlineStr">
        <is>
          <t>equip_shanheshejitu</t>
        </is>
      </c>
      <c r="B148" s="2" t="inlineStr">
        <is>
          <t>山河社稷图</t>
        </is>
      </c>
      <c r="C148" s="2" t="inlineStr">
        <is>
          <t>饰品</t>
        </is>
      </c>
      <c r="D148" s="2" t="inlineStr">
        <is>
          <t>传说/橙</t>
        </is>
      </c>
      <c r="E148" s="2" t="inlineStr">
        <is>
          <t>zhuolu_zhongyuan</t>
        </is>
      </c>
      <c r="F148" s="2" t="inlineStr">
        <is>
          <t>逐鹿中原</t>
        </is>
      </c>
      <c r="G148" s="2" t="inlineStr">
        <is>
          <t>概率掉落</t>
        </is>
      </c>
      <c r="H148" s="5">
        <f>'任务掉落明细'!X239</f>
        <v>0.012</v>
      </c>
      <c r="I148" s="2" t="n">
        <v>1</v>
      </c>
      <c r="J148" s="2" t="inlineStr">
        <is>
          <t>equip_shanheshejitu</t>
        </is>
      </c>
      <c r="K148" s="2" t="inlineStr">
        <is>
          <t>个人任务</t>
        </is>
      </c>
      <c r="L148" s="2" t="inlineStr">
        <is>
          <t>挑战者庄园</t>
        </is>
      </c>
      <c r="M148" s="6">
        <f>'任务掉落明细'!Y239</f>
        <v>0.012</v>
      </c>
      <c r="N148" s="2" t="inlineStr">
        <is>
          <t>data/mission_templates.yaml:L1326:drop_table.equip_shanheshejitu</t>
        </is>
      </c>
    </row>
    <row r="149">
      <c r="A149" s="2" t="inlineStr">
        <is>
          <t>equip_shanwenjia</t>
        </is>
      </c>
      <c r="B149" s="2" t="inlineStr">
        <is>
          <t>山纹甲</t>
        </is>
      </c>
      <c r="C149" s="2" t="inlineStr">
        <is>
          <t>护甲</t>
        </is>
      </c>
      <c r="D149" s="2" t="inlineStr">
        <is>
          <t>优秀/绿</t>
        </is>
      </c>
      <c r="E149" s="2" t="inlineStr">
        <is>
          <t>wagangzhai</t>
        </is>
      </c>
      <c r="F149" s="2" t="inlineStr">
        <is>
          <t>瓦岗寨</t>
        </is>
      </c>
      <c r="G149" s="2" t="inlineStr">
        <is>
          <t>随机池掉落</t>
        </is>
      </c>
      <c r="H149" s="5">
        <f>'任务掉落明细'!X53</f>
        <v>0.08333333333333333</v>
      </c>
      <c r="I149" s="2" t="n">
        <v>1</v>
      </c>
      <c r="J149" s="2" t="inlineStr">
        <is>
          <t>wagang_equipment_pool</t>
        </is>
      </c>
      <c r="K149" s="2" t="inlineStr">
        <is>
          <t>个人任务</t>
        </is>
      </c>
      <c r="L149" s="2" t="inlineStr">
        <is>
          <t>挑战者庄园</t>
        </is>
      </c>
      <c r="M149" s="6">
        <f>'任务掉落明细'!Y53</f>
        <v>0.08333333333333333</v>
      </c>
      <c r="N149" s="2" t="inlineStr">
        <is>
          <t>data/mission_templates.yaml:L444:drop_table.wagang_equipment_pool</t>
        </is>
      </c>
    </row>
    <row r="150">
      <c r="A150" s="2" t="inlineStr">
        <is>
          <t>equip_shiro_leash</t>
        </is>
      </c>
      <c r="B150" s="2" t="inlineStr">
        <is>
          <t>小白的散步绳</t>
        </is>
      </c>
      <c r="C150" s="2" t="inlineStr">
        <is>
          <t>饰品</t>
        </is>
      </c>
      <c r="D150" s="2" t="inlineStr">
        <is>
          <t>稀有/蓝</t>
        </is>
      </c>
      <c r="E150" s="2" t="inlineStr">
        <is>
          <t>kasukabe_daisakusen</t>
        </is>
      </c>
      <c r="F150" s="2" t="inlineStr">
        <is>
          <t>春日部大作战</t>
        </is>
      </c>
      <c r="G150" s="2" t="inlineStr">
        <is>
          <t>概率掉落</t>
        </is>
      </c>
      <c r="H150" s="5">
        <f>'任务掉落明细'!X23</f>
        <v>0.1</v>
      </c>
      <c r="I150" s="2" t="n">
        <v>1</v>
      </c>
      <c r="J150" s="2" t="inlineStr">
        <is>
          <t>equip_shiro_leash</t>
        </is>
      </c>
      <c r="K150" s="2" t="inlineStr">
        <is>
          <t>个人任务</t>
        </is>
      </c>
      <c r="L150" s="2" t="inlineStr">
        <is>
          <t>挑战者庄园</t>
        </is>
      </c>
      <c r="M150" s="6">
        <f>'任务掉落明细'!Y23</f>
        <v>0.1</v>
      </c>
      <c r="N150" s="2" t="inlineStr">
        <is>
          <t>data/mission_templates.yaml:L206:drop_table.equip_shiro_leash</t>
        </is>
      </c>
    </row>
    <row r="151">
      <c r="A151" s="2" t="inlineStr">
        <is>
          <t>equip_shushengzhesan</t>
        </is>
      </c>
      <c r="B151" s="2" t="inlineStr">
        <is>
          <t>书生折扇</t>
        </is>
      </c>
      <c r="C151" s="2" t="inlineStr">
        <is>
          <t>武器</t>
        </is>
      </c>
      <c r="D151" s="2" t="inlineStr">
        <is>
          <t>优秀/绿</t>
        </is>
      </c>
      <c r="E151" s="2" t="inlineStr">
        <is>
          <t>huashan_lunjian</t>
        </is>
      </c>
      <c r="F151" s="2" t="inlineStr">
        <is>
          <t>华山论贱</t>
        </is>
      </c>
      <c r="G151" s="2" t="inlineStr">
        <is>
          <t>随机池掉落</t>
        </is>
      </c>
      <c r="H151" s="5">
        <f>'任务掉落明细'!X29</f>
        <v>0.3</v>
      </c>
      <c r="I151" s="2" t="n">
        <v>1</v>
      </c>
      <c r="J151" s="2" t="inlineStr">
        <is>
          <t>huashan_equipment_pool</t>
        </is>
      </c>
      <c r="K151" s="2" t="inlineStr">
        <is>
          <t>个人任务</t>
        </is>
      </c>
      <c r="L151" s="2" t="inlineStr">
        <is>
          <t>挑战者庄园</t>
        </is>
      </c>
      <c r="M151" s="6">
        <f>'任务掉落明细'!Y29</f>
        <v>0.3</v>
      </c>
      <c r="N151" s="2" t="inlineStr">
        <is>
          <t>data/mission_templates.yaml:L287:drop_table.huashan_equipment_pool</t>
        </is>
      </c>
    </row>
    <row r="152">
      <c r="A152" s="2" t="inlineStr">
        <is>
          <t>equip_suozijia</t>
        </is>
      </c>
      <c r="B152" s="2" t="inlineStr">
        <is>
          <t>锁子甲</t>
        </is>
      </c>
      <c r="C152" s="2" t="inlineStr">
        <is>
          <t>护甲</t>
        </is>
      </c>
      <c r="D152" s="2" t="inlineStr">
        <is>
          <t>优秀/绿</t>
        </is>
      </c>
      <c r="E152" s="2" t="inlineStr">
        <is>
          <t>wagangzhai</t>
        </is>
      </c>
      <c r="F152" s="2" t="inlineStr">
        <is>
          <t>瓦岗寨</t>
        </is>
      </c>
      <c r="G152" s="2" t="inlineStr">
        <is>
          <t>随机池掉落</t>
        </is>
      </c>
      <c r="H152" s="5">
        <f>'任务掉落明细'!X52</f>
        <v>0.08333333333333333</v>
      </c>
      <c r="I152" s="2" t="n">
        <v>1</v>
      </c>
      <c r="J152" s="2" t="inlineStr">
        <is>
          <t>wagang_equipment_pool</t>
        </is>
      </c>
      <c r="K152" s="2" t="inlineStr">
        <is>
          <t>个人任务</t>
        </is>
      </c>
      <c r="L152" s="2" t="inlineStr">
        <is>
          <t>挑战者庄园</t>
        </is>
      </c>
      <c r="M152" s="6">
        <f>'任务掉落明细'!Y52</f>
        <v>0.08333333333333333</v>
      </c>
      <c r="N152" s="2" t="inlineStr">
        <is>
          <t>data/mission_templates.yaml:L444:drop_table.wagang_equipment_pool</t>
        </is>
      </c>
    </row>
    <row r="153">
      <c r="A153" s="2" t="inlineStr">
        <is>
          <t>equip_taiqingyuce</t>
        </is>
      </c>
      <c r="B153" s="2" t="inlineStr">
        <is>
          <t>太清玉册</t>
        </is>
      </c>
      <c r="C153" s="2" t="inlineStr">
        <is>
          <t>饰品</t>
        </is>
      </c>
      <c r="D153" s="2" t="inlineStr">
        <is>
          <t>传说/橙</t>
        </is>
      </c>
      <c r="E153" s="2" t="inlineStr">
        <is>
          <t>fengbang_tianmen</t>
        </is>
      </c>
      <c r="F153" s="2" t="inlineStr">
        <is>
          <t>封神之战：封榜天门</t>
        </is>
      </c>
      <c r="G153" s="2" t="inlineStr">
        <is>
          <t>概率掉落</t>
        </is>
      </c>
      <c r="H153" s="5">
        <f>'任务掉落明细'!X219</f>
        <v>0.012</v>
      </c>
      <c r="I153" s="2" t="n">
        <v>1</v>
      </c>
      <c r="J153" s="2" t="inlineStr">
        <is>
          <t>equip_taiqingyuce</t>
        </is>
      </c>
      <c r="K153" s="2" t="inlineStr">
        <is>
          <t>个人任务</t>
        </is>
      </c>
      <c r="L153" s="2" t="inlineStr">
        <is>
          <t>挑战者庄园</t>
        </is>
      </c>
      <c r="M153" s="6">
        <f>'任务掉落明细'!Y219</f>
        <v>0.012</v>
      </c>
      <c r="N153" s="2" t="inlineStr">
        <is>
          <t>data/mission_templates.yaml:L1259:drop_table.equip_taiqingyuce</t>
        </is>
      </c>
    </row>
    <row r="154">
      <c r="A154" s="2" t="inlineStr">
        <is>
          <t>equip_taiqingyuce</t>
        </is>
      </c>
      <c r="B154" s="2" t="inlineStr">
        <is>
          <t>太清玉册</t>
        </is>
      </c>
      <c r="C154" s="2" t="inlineStr">
        <is>
          <t>饰品</t>
        </is>
      </c>
      <c r="D154" s="2" t="inlineStr">
        <is>
          <t>传说/橙</t>
        </is>
      </c>
      <c r="E154" s="2" t="inlineStr">
        <is>
          <t>shier_xianyin</t>
        </is>
      </c>
      <c r="F154" s="2" t="inlineStr">
        <is>
          <t>封神之战：十二仙印</t>
        </is>
      </c>
      <c r="G154" s="2" t="inlineStr">
        <is>
          <t>概率掉落</t>
        </is>
      </c>
      <c r="H154" s="5">
        <f>'任务掉落明细'!X211</f>
        <v>0.0096</v>
      </c>
      <c r="I154" s="2" t="n">
        <v>1</v>
      </c>
      <c r="J154" s="2" t="inlineStr">
        <is>
          <t>equip_taiqingyuce</t>
        </is>
      </c>
      <c r="K154" s="2" t="inlineStr">
        <is>
          <t>个人任务</t>
        </is>
      </c>
      <c r="L154" s="2" t="inlineStr">
        <is>
          <t>挑战者庄园</t>
        </is>
      </c>
      <c r="M154" s="6">
        <f>'任务掉落明细'!Y211</f>
        <v>0.0096</v>
      </c>
      <c r="N154" s="2" t="inlineStr">
        <is>
          <t>data/mission_templates.yaml:L1212:drop_table.equip_taiqingyuce</t>
        </is>
      </c>
    </row>
    <row r="155">
      <c r="A155" s="2" t="inlineStr">
        <is>
          <t>equip_taixudiguan</t>
        </is>
      </c>
      <c r="B155" s="2" t="inlineStr">
        <is>
          <t>太虚帝冠</t>
        </is>
      </c>
      <c r="C155" s="2" t="inlineStr">
        <is>
          <t>头盔</t>
        </is>
      </c>
      <c r="D155" s="2" t="inlineStr">
        <is>
          <t>传说/橙</t>
        </is>
      </c>
      <c r="E155" s="2" t="inlineStr">
        <is>
          <t>guandu_zhizhan</t>
        </is>
      </c>
      <c r="F155" s="2" t="inlineStr">
        <is>
          <t>官渡之战</t>
        </is>
      </c>
      <c r="G155" s="2" t="inlineStr">
        <is>
          <t>概率掉落</t>
        </is>
      </c>
      <c r="H155" s="5">
        <f>'任务掉落明细'!X255</f>
        <v>0.012</v>
      </c>
      <c r="I155" s="2" t="n">
        <v>1</v>
      </c>
      <c r="J155" s="2" t="inlineStr">
        <is>
          <t>equip_taixudiguan</t>
        </is>
      </c>
      <c r="K155" s="2" t="inlineStr">
        <is>
          <t>个人任务</t>
        </is>
      </c>
      <c r="L155" s="2" t="inlineStr">
        <is>
          <t>挑战者庄园</t>
        </is>
      </c>
      <c r="M155" s="6">
        <f>'任务掉落明细'!Y255</f>
        <v>0.012</v>
      </c>
      <c r="N155" s="2" t="inlineStr">
        <is>
          <t>data/mission_templates.yaml:L1391:drop_table.equip_taixudiguan</t>
        </is>
      </c>
    </row>
    <row r="156">
      <c r="A156" s="2" t="inlineStr">
        <is>
          <t>equip_tanmunianzhu</t>
        </is>
      </c>
      <c r="B156" s="2" t="inlineStr">
        <is>
          <t>檀木念珠</t>
        </is>
      </c>
      <c r="C156" s="2" t="inlineStr">
        <is>
          <t>饰品</t>
        </is>
      </c>
      <c r="D156" s="2" t="inlineStr">
        <is>
          <t>优秀/绿</t>
        </is>
      </c>
      <c r="E156" s="2" t="inlineStr">
        <is>
          <t>shiren_daochang</t>
        </is>
      </c>
      <c r="F156" s="2" t="inlineStr">
        <is>
          <t>十人道场</t>
        </is>
      </c>
      <c r="G156" s="2" t="inlineStr">
        <is>
          <t>概率掉落</t>
        </is>
      </c>
      <c r="H156" s="5">
        <f>'任务掉落明细'!X97</f>
        <v>0.1</v>
      </c>
      <c r="I156" s="2" t="n">
        <v>1</v>
      </c>
      <c r="J156" s="2" t="inlineStr">
        <is>
          <t>equip_tanmunianzhu</t>
        </is>
      </c>
      <c r="K156" s="2" t="inlineStr">
        <is>
          <t>个人任务</t>
        </is>
      </c>
      <c r="L156" s="2" t="inlineStr">
        <is>
          <t>挑战者庄园</t>
        </is>
      </c>
      <c r="M156" s="6">
        <f>'任务掉落明细'!Y97</f>
        <v>0.1</v>
      </c>
      <c r="N156" s="2" t="inlineStr">
        <is>
          <t>data/mission_templates.yaml:L607:drop_table.equip_tanmunianzhu</t>
        </is>
      </c>
    </row>
    <row r="157">
      <c r="A157" s="2" t="inlineStr">
        <is>
          <t>equip_tanmunianzhu</t>
        </is>
      </c>
      <c r="B157" s="2" t="inlineStr">
        <is>
          <t>檀木念珠</t>
        </is>
      </c>
      <c r="C157" s="2" t="inlineStr">
        <is>
          <t>饰品</t>
        </is>
      </c>
      <c r="D157" s="2" t="inlineStr">
        <is>
          <t>优秀/绿</t>
        </is>
      </c>
      <c r="E157" s="2" t="inlineStr">
        <is>
          <t>taozi_fenban</t>
        </is>
      </c>
      <c r="F157" s="2" t="inlineStr">
        <is>
          <t>我的桃子分你一半</t>
        </is>
      </c>
      <c r="G157" s="2" t="inlineStr">
        <is>
          <t>随机池掉落</t>
        </is>
      </c>
      <c r="H157" s="5">
        <f>'任务掉落明细'!X168</f>
        <v>0.07727272727272727</v>
      </c>
      <c r="I157" s="2" t="n">
        <v>1</v>
      </c>
      <c r="J157" s="2" t="inlineStr">
        <is>
          <t>taozi_equipment_pool</t>
        </is>
      </c>
      <c r="K157" s="2" t="inlineStr">
        <is>
          <t>个人任务</t>
        </is>
      </c>
      <c r="L157" s="2" t="inlineStr">
        <is>
          <t>挑战者庄园</t>
        </is>
      </c>
      <c r="M157" s="6">
        <f>'任务掉落明细'!Y168</f>
        <v>0.07727272727272727</v>
      </c>
      <c r="N157" s="2" t="inlineStr">
        <is>
          <t>data/mission_templates.yaml:L951:drop_table.taozi_equipment_pool</t>
        </is>
      </c>
    </row>
    <row r="158">
      <c r="A158" s="2" t="inlineStr">
        <is>
          <t>equip_taomujian</t>
        </is>
      </c>
      <c r="B158" s="2" t="inlineStr">
        <is>
          <t>桃木剑</t>
        </is>
      </c>
      <c r="C158" s="2" t="inlineStr">
        <is>
          <t>饰品</t>
        </is>
      </c>
      <c r="D158" s="2" t="inlineStr">
        <is>
          <t>优秀/绿</t>
        </is>
      </c>
      <c r="E158" s="2" t="inlineStr">
        <is>
          <t>shiren_daochang</t>
        </is>
      </c>
      <c r="F158" s="2" t="inlineStr">
        <is>
          <t>十人道场</t>
        </is>
      </c>
      <c r="G158" s="2" t="inlineStr">
        <is>
          <t>概率掉落</t>
        </is>
      </c>
      <c r="H158" s="5">
        <f>'任务掉落明细'!X98</f>
        <v>0.1</v>
      </c>
      <c r="I158" s="2" t="n">
        <v>1</v>
      </c>
      <c r="J158" s="2" t="inlineStr">
        <is>
          <t>equip_taomujian</t>
        </is>
      </c>
      <c r="K158" s="2" t="inlineStr">
        <is>
          <t>个人任务</t>
        </is>
      </c>
      <c r="L158" s="2" t="inlineStr">
        <is>
          <t>挑战者庄园</t>
        </is>
      </c>
      <c r="M158" s="6">
        <f>'任务掉落明细'!Y98</f>
        <v>0.1</v>
      </c>
      <c r="N158" s="2" t="inlineStr">
        <is>
          <t>data/mission_templates.yaml:L607:drop_table.equip_taomujian</t>
        </is>
      </c>
    </row>
    <row r="159">
      <c r="A159" s="2" t="inlineStr">
        <is>
          <t>equip_taomujian</t>
        </is>
      </c>
      <c r="B159" s="2" t="inlineStr">
        <is>
          <t>桃木剑</t>
        </is>
      </c>
      <c r="C159" s="2" t="inlineStr">
        <is>
          <t>饰品</t>
        </is>
      </c>
      <c r="D159" s="2" t="inlineStr">
        <is>
          <t>优秀/绿</t>
        </is>
      </c>
      <c r="E159" s="2" t="inlineStr">
        <is>
          <t>taozi_fenban</t>
        </is>
      </c>
      <c r="F159" s="2" t="inlineStr">
        <is>
          <t>我的桃子分你一半</t>
        </is>
      </c>
      <c r="G159" s="2" t="inlineStr">
        <is>
          <t>随机池掉落</t>
        </is>
      </c>
      <c r="H159" s="5">
        <f>'任务掉落明细'!X169</f>
        <v>0.07727272727272727</v>
      </c>
      <c r="I159" s="2" t="n">
        <v>1</v>
      </c>
      <c r="J159" s="2" t="inlineStr">
        <is>
          <t>taozi_equipment_pool</t>
        </is>
      </c>
      <c r="K159" s="2" t="inlineStr">
        <is>
          <t>个人任务</t>
        </is>
      </c>
      <c r="L159" s="2" t="inlineStr">
        <is>
          <t>挑战者庄园</t>
        </is>
      </c>
      <c r="M159" s="6">
        <f>'任务掉落明细'!Y169</f>
        <v>0.07727272727272727</v>
      </c>
      <c r="N159" s="2" t="inlineStr">
        <is>
          <t>data/mission_templates.yaml:L951:drop_table.taozi_equipment_pool</t>
        </is>
      </c>
    </row>
    <row r="160">
      <c r="A160" s="2" t="inlineStr">
        <is>
          <t>equip_taomupai</t>
        </is>
      </c>
      <c r="B160" s="2" t="inlineStr">
        <is>
          <t>桃木牌</t>
        </is>
      </c>
      <c r="C160" s="2" t="inlineStr">
        <is>
          <t>饰品</t>
        </is>
      </c>
      <c r="D160" s="2" t="inlineStr">
        <is>
          <t>优秀/绿</t>
        </is>
      </c>
      <c r="E160" s="2" t="inlineStr">
        <is>
          <t>taozi_fenban</t>
        </is>
      </c>
      <c r="F160" s="2" t="inlineStr">
        <is>
          <t>我的桃子分你一半</t>
        </is>
      </c>
      <c r="G160" s="2" t="inlineStr">
        <is>
          <t>随机池掉落</t>
        </is>
      </c>
      <c r="H160" s="5">
        <f>'任务掉落明细'!X167</f>
        <v>0.07727272727272727</v>
      </c>
      <c r="I160" s="2" t="n">
        <v>1</v>
      </c>
      <c r="J160" s="2" t="inlineStr">
        <is>
          <t>taozi_equipment_pool</t>
        </is>
      </c>
      <c r="K160" s="2" t="inlineStr">
        <is>
          <t>个人任务</t>
        </is>
      </c>
      <c r="L160" s="2" t="inlineStr">
        <is>
          <t>挑战者庄园</t>
        </is>
      </c>
      <c r="M160" s="6">
        <f>'任务掉落明细'!Y167</f>
        <v>0.07727272727272727</v>
      </c>
      <c r="N160" s="2" t="inlineStr">
        <is>
          <t>data/mission_templates.yaml:L951:drop_table.taozi_equipment_pool</t>
        </is>
      </c>
    </row>
    <row r="161">
      <c r="A161" s="2" t="inlineStr">
        <is>
          <t>equip_taxuema</t>
        </is>
      </c>
      <c r="B161" s="2" t="inlineStr">
        <is>
          <t>踏雪马</t>
        </is>
      </c>
      <c r="C161" s="2" t="inlineStr">
        <is>
          <t>坐骑</t>
        </is>
      </c>
      <c r="D161" s="2" t="inlineStr">
        <is>
          <t>优秀/绿</t>
        </is>
      </c>
      <c r="E161" s="2" t="inlineStr">
        <is>
          <t>taozi_fenban</t>
        </is>
      </c>
      <c r="F161" s="2" t="inlineStr">
        <is>
          <t>我的桃子分你一半</t>
        </is>
      </c>
      <c r="G161" s="2" t="inlineStr">
        <is>
          <t>随机池掉落</t>
        </is>
      </c>
      <c r="H161" s="5">
        <f>'任务掉落明细'!X171</f>
        <v>0.07727272727272727</v>
      </c>
      <c r="I161" s="2" t="n">
        <v>1</v>
      </c>
      <c r="J161" s="2" t="inlineStr">
        <is>
          <t>taozi_equipment_pool</t>
        </is>
      </c>
      <c r="K161" s="2" t="inlineStr">
        <is>
          <t>个人任务</t>
        </is>
      </c>
      <c r="L161" s="2" t="inlineStr">
        <is>
          <t>挑战者庄园</t>
        </is>
      </c>
      <c r="M161" s="6">
        <f>'任务掉落明细'!Y171</f>
        <v>0.07727272727272727</v>
      </c>
      <c r="N161" s="2" t="inlineStr">
        <is>
          <t>data/mission_templates.yaml:L951:drop_table.taozi_equipment_pool</t>
        </is>
      </c>
    </row>
    <row r="162">
      <c r="A162" s="2" t="inlineStr">
        <is>
          <t>equip_tayunxue</t>
        </is>
      </c>
      <c r="B162" s="2" t="inlineStr">
        <is>
          <t>踏云靴</t>
        </is>
      </c>
      <c r="C162" s="2" t="inlineStr">
        <is>
          <t>鞋子</t>
        </is>
      </c>
      <c r="D162" s="2" t="inlineStr">
        <is>
          <t>优秀/绿</t>
        </is>
      </c>
      <c r="E162" s="2" t="inlineStr">
        <is>
          <t>taozi_fenban</t>
        </is>
      </c>
      <c r="F162" s="2" t="inlineStr">
        <is>
          <t>我的桃子分你一半</t>
        </is>
      </c>
      <c r="G162" s="2" t="inlineStr">
        <is>
          <t>随机池掉落</t>
        </is>
      </c>
      <c r="H162" s="5">
        <f>'任务掉落明细'!X164</f>
        <v>0.07727272727272727</v>
      </c>
      <c r="I162" s="2" t="n">
        <v>1</v>
      </c>
      <c r="J162" s="2" t="inlineStr">
        <is>
          <t>taozi_equipment_pool</t>
        </is>
      </c>
      <c r="K162" s="2" t="inlineStr">
        <is>
          <t>个人任务</t>
        </is>
      </c>
      <c r="L162" s="2" t="inlineStr">
        <is>
          <t>挑战者庄园</t>
        </is>
      </c>
      <c r="M162" s="6">
        <f>'任务掉落明细'!Y164</f>
        <v>0.07727272727272727</v>
      </c>
      <c r="N162" s="2" t="inlineStr">
        <is>
          <t>data/mission_templates.yaml:L951:drop_table.taozi_equipment_pool</t>
        </is>
      </c>
    </row>
    <row r="163">
      <c r="A163" s="2" t="inlineStr">
        <is>
          <t>equip_tianjiguan</t>
        </is>
      </c>
      <c r="B163" s="2" t="inlineStr">
        <is>
          <t>天机冠</t>
        </is>
      </c>
      <c r="C163" s="2" t="inlineStr">
        <is>
          <t>头盔</t>
        </is>
      </c>
      <c r="D163" s="2" t="inlineStr">
        <is>
          <t>史诗/紫</t>
        </is>
      </c>
      <c r="E163" s="2" t="inlineStr">
        <is>
          <t>baimenlou_mingyun_jueze</t>
        </is>
      </c>
      <c r="F163" s="2" t="inlineStr">
        <is>
          <t>飞将浮沉录：白门楼命运抉择</t>
        </is>
      </c>
      <c r="G163" s="2" t="inlineStr">
        <is>
          <t>概率掉落</t>
        </is>
      </c>
      <c r="H163" s="5">
        <f>'任务掉落明细'!X284</f>
        <v>0.025</v>
      </c>
      <c r="I163" s="2" t="n">
        <v>1</v>
      </c>
      <c r="J163" s="2" t="inlineStr">
        <is>
          <t>equip_tianjiguan</t>
        </is>
      </c>
      <c r="K163" s="2" t="inlineStr">
        <is>
          <t>个人任务</t>
        </is>
      </c>
      <c r="L163" s="2" t="inlineStr">
        <is>
          <t>挑战者庄园</t>
        </is>
      </c>
      <c r="M163" s="6">
        <f>'任务掉落明细'!Y284</f>
        <v>0.025</v>
      </c>
      <c r="N163" s="2" t="inlineStr">
        <is>
          <t>data/mission_templates.yaml:L1602:drop_table.equip_tianjiguan</t>
        </is>
      </c>
    </row>
    <row r="164">
      <c r="A164" s="2" t="inlineStr">
        <is>
          <t>equip_tianjiluopan</t>
        </is>
      </c>
      <c r="B164" s="2" t="inlineStr">
        <is>
          <t>天机罗盘</t>
        </is>
      </c>
      <c r="C164" s="2" t="inlineStr">
        <is>
          <t>饰品</t>
        </is>
      </c>
      <c r="D164" s="2" t="inlineStr">
        <is>
          <t>稀有/蓝</t>
        </is>
      </c>
      <c r="E164" s="2" t="inlineStr">
        <is>
          <t>tianpeng_dijiao_2</t>
        </is>
      </c>
      <c r="F164" s="2" t="inlineStr">
        <is>
          <t>天蓬元帅的地窖（第二层）</t>
        </is>
      </c>
      <c r="G164" s="2" t="inlineStr">
        <is>
          <t>概率掉落</t>
        </is>
      </c>
      <c r="H164" s="5">
        <f>'任务掉落明细'!X130</f>
        <v>0.1</v>
      </c>
      <c r="I164" s="2" t="n">
        <v>1</v>
      </c>
      <c r="J164" s="2" t="inlineStr">
        <is>
          <t>equip_tianjiluopan</t>
        </is>
      </c>
      <c r="K164" s="2" t="inlineStr">
        <is>
          <t>个人任务</t>
        </is>
      </c>
      <c r="L164" s="2" t="inlineStr">
        <is>
          <t>挑战者庄园</t>
        </is>
      </c>
      <c r="M164" s="6">
        <f>'任务掉落明细'!Y130</f>
        <v>0.1</v>
      </c>
      <c r="N164" s="2" t="inlineStr">
        <is>
          <t>data/mission_templates.yaml:L777:drop_table.equip_tianjiluopan</t>
        </is>
      </c>
    </row>
    <row r="165">
      <c r="A165" s="2" t="inlineStr">
        <is>
          <t>equip_tiegugun</t>
        </is>
      </c>
      <c r="B165" s="2" t="inlineStr">
        <is>
          <t>铁骨棍</t>
        </is>
      </c>
      <c r="C165" s="2" t="inlineStr">
        <is>
          <t>武器</t>
        </is>
      </c>
      <c r="D165" s="2" t="inlineStr">
        <is>
          <t>优秀/绿</t>
        </is>
      </c>
      <c r="E165" s="2" t="inlineStr">
        <is>
          <t>wulongshan</t>
        </is>
      </c>
      <c r="F165" s="2" t="inlineStr">
        <is>
          <t>乌龙山</t>
        </is>
      </c>
      <c r="G165" s="2" t="inlineStr">
        <is>
          <t>随机池掉落</t>
        </is>
      </c>
      <c r="H165" s="5">
        <f>'任务掉落明细'!X48</f>
        <v>0.175</v>
      </c>
      <c r="I165" s="2" t="n">
        <v>1</v>
      </c>
      <c r="J165" s="2" t="inlineStr">
        <is>
          <t>wulong_equipment_pool</t>
        </is>
      </c>
      <c r="K165" s="2" t="inlineStr">
        <is>
          <t>个人任务</t>
        </is>
      </c>
      <c r="L165" s="2" t="inlineStr">
        <is>
          <t>挑战者庄园</t>
        </is>
      </c>
      <c r="M165" s="6">
        <f>'任务掉落明细'!Y48</f>
        <v>0.175</v>
      </c>
      <c r="N165" s="2" t="inlineStr">
        <is>
          <t>data/mission_templates.yaml:L408:drop_table.wulong_equipment_pool</t>
        </is>
      </c>
    </row>
    <row r="166">
      <c r="A166" s="2" t="inlineStr">
        <is>
          <t>equip_tiehufu</t>
        </is>
      </c>
      <c r="B166" s="2" t="inlineStr">
        <is>
          <t>铁护符</t>
        </is>
      </c>
      <c r="C166" s="2" t="inlineStr">
        <is>
          <t>饰品</t>
        </is>
      </c>
      <c r="D166" s="2" t="inlineStr">
        <is>
          <t>优秀/绿</t>
        </is>
      </c>
      <c r="E166" s="2" t="inlineStr">
        <is>
          <t>shanhaiguan</t>
        </is>
      </c>
      <c r="F166" s="2" t="inlineStr">
        <is>
          <t>山海关</t>
        </is>
      </c>
      <c r="G166" s="2" t="inlineStr">
        <is>
          <t>概率掉落</t>
        </is>
      </c>
      <c r="H166" s="5">
        <f>'任务掉落明细'!X83</f>
        <v>0.1</v>
      </c>
      <c r="I166" s="2" t="n">
        <v>1</v>
      </c>
      <c r="J166" s="2" t="inlineStr">
        <is>
          <t>equip_tiehufu</t>
        </is>
      </c>
      <c r="K166" s="2" t="inlineStr">
        <is>
          <t>个人任务</t>
        </is>
      </c>
      <c r="L166" s="2" t="inlineStr">
        <is>
          <t>挑战者庄园</t>
        </is>
      </c>
      <c r="M166" s="6">
        <f>'任务掉落明细'!Y83</f>
        <v>0.1</v>
      </c>
      <c r="N166" s="2" t="inlineStr">
        <is>
          <t>data/mission_templates.yaml:L559:drop_table.equip_tiehufu</t>
        </is>
      </c>
    </row>
    <row r="167">
      <c r="A167" s="2" t="inlineStr">
        <is>
          <t>equip_tiehufu</t>
        </is>
      </c>
      <c r="B167" s="2" t="inlineStr">
        <is>
          <t>铁护符</t>
        </is>
      </c>
      <c r="C167" s="2" t="inlineStr">
        <is>
          <t>饰品</t>
        </is>
      </c>
      <c r="D167" s="2" t="inlineStr">
        <is>
          <t>优秀/绿</t>
        </is>
      </c>
      <c r="E167" s="2" t="inlineStr">
        <is>
          <t>wagangzhai</t>
        </is>
      </c>
      <c r="F167" s="2" t="inlineStr">
        <is>
          <t>瓦岗寨</t>
        </is>
      </c>
      <c r="G167" s="2" t="inlineStr">
        <is>
          <t>随机池掉落</t>
        </is>
      </c>
      <c r="H167" s="5">
        <f>'任务掉落明细'!X57</f>
        <v>0.08333333333333333</v>
      </c>
      <c r="I167" s="2" t="n">
        <v>1</v>
      </c>
      <c r="J167" s="2" t="inlineStr">
        <is>
          <t>wagang_equipment_pool</t>
        </is>
      </c>
      <c r="K167" s="2" t="inlineStr">
        <is>
          <t>个人任务</t>
        </is>
      </c>
      <c r="L167" s="2" t="inlineStr">
        <is>
          <t>挑战者庄园</t>
        </is>
      </c>
      <c r="M167" s="6">
        <f>'任务掉落明细'!Y57</f>
        <v>0.08333333333333333</v>
      </c>
      <c r="N167" s="2" t="inlineStr">
        <is>
          <t>data/mission_templates.yaml:L444:drop_table.wagang_equipment_pool</t>
        </is>
      </c>
    </row>
    <row r="168">
      <c r="A168" s="2" t="inlineStr">
        <is>
          <t>equip_tiehufu</t>
        </is>
      </c>
      <c r="B168" s="2" t="inlineStr">
        <is>
          <t>铁护符</t>
        </is>
      </c>
      <c r="C168" s="2" t="inlineStr">
        <is>
          <t>饰品</t>
        </is>
      </c>
      <c r="D168" s="2" t="inlineStr">
        <is>
          <t>优秀/绿</t>
        </is>
      </c>
      <c r="E168" s="2" t="inlineStr">
        <is>
          <t>wagangzhai_nixi</t>
        </is>
      </c>
      <c r="F168" s="2" t="inlineStr">
        <is>
          <t>瓦岗寨的逆袭</t>
        </is>
      </c>
      <c r="G168" s="2" t="inlineStr">
        <is>
          <t>概率掉落</t>
        </is>
      </c>
      <c r="H168" s="5">
        <f>'任务掉落明细'!X36</f>
        <v>0.06</v>
      </c>
      <c r="I168" s="2" t="n">
        <v>1</v>
      </c>
      <c r="J168" s="2" t="inlineStr">
        <is>
          <t>equip_tiehufu</t>
        </is>
      </c>
      <c r="K168" s="2" t="inlineStr">
        <is>
          <t>个人任务</t>
        </is>
      </c>
      <c r="L168" s="2" t="inlineStr">
        <is>
          <t>挑战者庄园</t>
        </is>
      </c>
      <c r="M168" s="6">
        <f>'任务掉落明细'!Y36</f>
        <v>0.06</v>
      </c>
      <c r="N168" s="2" t="inlineStr">
        <is>
          <t>data/mission_templates.yaml:L326:drop_table.equip_tiehufu</t>
        </is>
      </c>
    </row>
    <row r="169">
      <c r="A169" s="2" t="inlineStr">
        <is>
          <t>equip_tiexianjia</t>
        </is>
      </c>
      <c r="B169" s="2" t="inlineStr">
        <is>
          <t>铁线甲</t>
        </is>
      </c>
      <c r="C169" s="2" t="inlineStr">
        <is>
          <t>护甲</t>
        </is>
      </c>
      <c r="D169" s="2" t="inlineStr">
        <is>
          <t>优秀/绿</t>
        </is>
      </c>
      <c r="E169" s="2" t="inlineStr">
        <is>
          <t>wagangzhai</t>
        </is>
      </c>
      <c r="F169" s="2" t="inlineStr">
        <is>
          <t>瓦岗寨</t>
        </is>
      </c>
      <c r="G169" s="2" t="inlineStr">
        <is>
          <t>随机池掉落</t>
        </is>
      </c>
      <c r="H169" s="5">
        <f>'任务掉落明细'!X54</f>
        <v>0.08333333333333333</v>
      </c>
      <c r="I169" s="2" t="n">
        <v>1</v>
      </c>
      <c r="J169" s="2" t="inlineStr">
        <is>
          <t>wagang_equipment_pool</t>
        </is>
      </c>
      <c r="K169" s="2" t="inlineStr">
        <is>
          <t>个人任务</t>
        </is>
      </c>
      <c r="L169" s="2" t="inlineStr">
        <is>
          <t>挑战者庄园</t>
        </is>
      </c>
      <c r="M169" s="6">
        <f>'任务掉落明细'!Y54</f>
        <v>0.08333333333333333</v>
      </c>
      <c r="N169" s="2" t="inlineStr">
        <is>
          <t>data/mission_templates.yaml:L444:drop_table.wagang_equipment_pool</t>
        </is>
      </c>
    </row>
    <row r="170">
      <c r="A170" s="2" t="inlineStr">
        <is>
          <t>equip_tongjing</t>
        </is>
      </c>
      <c r="B170" s="2" t="inlineStr">
        <is>
          <t>铜镜</t>
        </is>
      </c>
      <c r="C170" s="2" t="inlineStr">
        <is>
          <t>饰品</t>
        </is>
      </c>
      <c r="D170" s="2" t="inlineStr">
        <is>
          <t>优秀/绿</t>
        </is>
      </c>
      <c r="E170" s="2" t="inlineStr">
        <is>
          <t>biwu_zhaoqin</t>
        </is>
      </c>
      <c r="F170" s="2" t="inlineStr">
        <is>
          <t>比武招亲</t>
        </is>
      </c>
      <c r="G170" s="2" t="inlineStr">
        <is>
          <t>随机池掉落</t>
        </is>
      </c>
      <c r="H170" s="5">
        <f>'任务掉落明细'!X111</f>
        <v>0.2</v>
      </c>
      <c r="I170" s="2" t="n">
        <v>1</v>
      </c>
      <c r="J170" s="2" t="inlineStr">
        <is>
          <t>biwu_equipment_pool</t>
        </is>
      </c>
      <c r="K170" s="2" t="inlineStr">
        <is>
          <t>个人任务</t>
        </is>
      </c>
      <c r="L170" s="2" t="inlineStr">
        <is>
          <t>挑战者庄园</t>
        </is>
      </c>
      <c r="M170" s="6">
        <f>'任务掉落明细'!Y111</f>
        <v>0.2</v>
      </c>
      <c r="N170" s="2" t="inlineStr">
        <is>
          <t>data/mission_templates.yaml:L698:drop_table.biwu_equipment_pool</t>
        </is>
      </c>
    </row>
    <row r="171">
      <c r="A171" s="2" t="inlineStr">
        <is>
          <t>equip_tongjing</t>
        </is>
      </c>
      <c r="B171" s="2" t="inlineStr">
        <is>
          <t>铜镜</t>
        </is>
      </c>
      <c r="C171" s="2" t="inlineStr">
        <is>
          <t>饰品</t>
        </is>
      </c>
      <c r="D171" s="2" t="inlineStr">
        <is>
          <t>优秀/绿</t>
        </is>
      </c>
      <c r="E171" s="2" t="inlineStr">
        <is>
          <t>shizipo_heidian</t>
        </is>
      </c>
      <c r="F171" s="2" t="inlineStr">
        <is>
          <t>十字坡黑店</t>
        </is>
      </c>
      <c r="G171" s="2" t="inlineStr">
        <is>
          <t>概率掉落</t>
        </is>
      </c>
      <c r="H171" s="5">
        <f>'任务掉落明细'!X71</f>
        <v>0.1</v>
      </c>
      <c r="I171" s="2" t="n">
        <v>1</v>
      </c>
      <c r="J171" s="2" t="inlineStr">
        <is>
          <t>equip_tongjing</t>
        </is>
      </c>
      <c r="K171" s="2" t="inlineStr">
        <is>
          <t>个人任务</t>
        </is>
      </c>
      <c r="L171" s="2" t="inlineStr">
        <is>
          <t>挑战者庄园</t>
        </is>
      </c>
      <c r="M171" s="6">
        <f>'任务掉落明细'!Y71</f>
        <v>0.1</v>
      </c>
      <c r="N171" s="2" t="inlineStr">
        <is>
          <t>data/mission_templates.yaml:L514:drop_table.equip_tongjing</t>
        </is>
      </c>
    </row>
    <row r="172">
      <c r="A172" s="2" t="inlineStr">
        <is>
          <t>equip_tongshanchui</t>
        </is>
      </c>
      <c r="B172" s="2" t="inlineStr">
        <is>
          <t>铜山锤</t>
        </is>
      </c>
      <c r="C172" s="2" t="inlineStr">
        <is>
          <t>武器</t>
        </is>
      </c>
      <c r="D172" s="2" t="inlineStr">
        <is>
          <t>优秀/绿</t>
        </is>
      </c>
      <c r="E172" s="2" t="inlineStr">
        <is>
          <t>wagangzhai</t>
        </is>
      </c>
      <c r="F172" s="2" t="inlineStr">
        <is>
          <t>瓦岗寨</t>
        </is>
      </c>
      <c r="G172" s="2" t="inlineStr">
        <is>
          <t>随机池掉落</t>
        </is>
      </c>
      <c r="H172" s="5">
        <f>'任务掉落明细'!X56</f>
        <v>0.08333333333333333</v>
      </c>
      <c r="I172" s="2" t="n">
        <v>1</v>
      </c>
      <c r="J172" s="2" t="inlineStr">
        <is>
          <t>wagang_equipment_pool</t>
        </is>
      </c>
      <c r="K172" s="2" t="inlineStr">
        <is>
          <t>个人任务</t>
        </is>
      </c>
      <c r="L172" s="2" t="inlineStr">
        <is>
          <t>挑战者庄园</t>
        </is>
      </c>
      <c r="M172" s="6">
        <f>'任务掉落明细'!Y56</f>
        <v>0.08333333333333333</v>
      </c>
      <c r="N172" s="2" t="inlineStr">
        <is>
          <t>data/mission_templates.yaml:L444:drop_table.wagang_equipment_pool</t>
        </is>
      </c>
    </row>
    <row r="173">
      <c r="A173" s="2" t="inlineStr">
        <is>
          <t>equip_tuwujian</t>
        </is>
      </c>
      <c r="B173" s="2" t="inlineStr">
        <is>
          <t>屠巫剑</t>
        </is>
      </c>
      <c r="C173" s="2" t="inlineStr">
        <is>
          <t>武器</t>
        </is>
      </c>
      <c r="D173" s="2" t="inlineStr">
        <is>
          <t>传说/橙</t>
        </is>
      </c>
      <c r="E173" s="2" t="inlineStr">
        <is>
          <t>guandu_zhizhan</t>
        </is>
      </c>
      <c r="F173" s="2" t="inlineStr">
        <is>
          <t>官渡之战</t>
        </is>
      </c>
      <c r="G173" s="2" t="inlineStr">
        <is>
          <t>概率掉落</t>
        </is>
      </c>
      <c r="H173" s="5">
        <f>'任务掉落明细'!X260</f>
        <v>0.006</v>
      </c>
      <c r="I173" s="2" t="n">
        <v>1</v>
      </c>
      <c r="J173" s="2" t="inlineStr">
        <is>
          <t>equip_tuwujian</t>
        </is>
      </c>
      <c r="K173" s="2" t="inlineStr">
        <is>
          <t>个人任务</t>
        </is>
      </c>
      <c r="L173" s="2" t="inlineStr">
        <is>
          <t>挑战者庄园</t>
        </is>
      </c>
      <c r="M173" s="6">
        <f>'任务掉落明细'!Y260</f>
        <v>0.006</v>
      </c>
      <c r="N173" s="2" t="inlineStr">
        <is>
          <t>data/mission_templates.yaml:L1391:drop_table.equip_tuwujian</t>
        </is>
      </c>
    </row>
    <row r="174">
      <c r="A174" s="2" t="inlineStr">
        <is>
          <t>equip_wujinjia</t>
        </is>
      </c>
      <c r="B174" s="2" t="inlineStr">
        <is>
          <t>乌金甲</t>
        </is>
      </c>
      <c r="C174" s="2" t="inlineStr">
        <is>
          <t>护甲</t>
        </is>
      </c>
      <c r="D174" s="2" t="inlineStr">
        <is>
          <t>稀有/蓝</t>
        </is>
      </c>
      <c r="E174" s="2" t="inlineStr">
        <is>
          <t>wagangzhai_nixi</t>
        </is>
      </c>
      <c r="F174" s="2" t="inlineStr">
        <is>
          <t>瓦岗寨的逆袭</t>
        </is>
      </c>
      <c r="G174" s="2" t="inlineStr">
        <is>
          <t>概率掉落</t>
        </is>
      </c>
      <c r="H174" s="5">
        <f>'任务掉落明细'!X40</f>
        <v>0.06</v>
      </c>
      <c r="I174" s="2" t="n">
        <v>1</v>
      </c>
      <c r="J174" s="2" t="inlineStr">
        <is>
          <t>equip_wujinjia</t>
        </is>
      </c>
      <c r="K174" s="2" t="inlineStr">
        <is>
          <t>个人任务</t>
        </is>
      </c>
      <c r="L174" s="2" t="inlineStr">
        <is>
          <t>挑战者庄园</t>
        </is>
      </c>
      <c r="M174" s="6">
        <f>'任务掉落明细'!Y40</f>
        <v>0.06</v>
      </c>
      <c r="N174" s="2" t="inlineStr">
        <is>
          <t>data/mission_templates.yaml:L326:drop_table.equip_wujinjia</t>
        </is>
      </c>
    </row>
    <row r="175">
      <c r="A175" s="2" t="inlineStr">
        <is>
          <t>equip_wuzhuima</t>
        </is>
      </c>
      <c r="B175" s="2" t="inlineStr">
        <is>
          <t>乌骓马</t>
        </is>
      </c>
      <c r="C175" s="2" t="inlineStr">
        <is>
          <t>坐骑</t>
        </is>
      </c>
      <c r="D175" s="2" t="inlineStr">
        <is>
          <t>史诗/紫</t>
        </is>
      </c>
      <c r="E175" s="2" t="inlineStr">
        <is>
          <t>simian_chuge</t>
        </is>
      </c>
      <c r="F175" s="2" t="inlineStr">
        <is>
          <t>四面楚歌</t>
        </is>
      </c>
      <c r="G175" s="2" t="inlineStr">
        <is>
          <t>概率掉落</t>
        </is>
      </c>
      <c r="H175" s="5">
        <f>'任务掉落明细'!X173</f>
        <v>0.5</v>
      </c>
      <c r="I175" s="2" t="n">
        <v>1</v>
      </c>
      <c r="J175" s="2" t="inlineStr">
        <is>
          <t>equip_wuzhuima</t>
        </is>
      </c>
      <c r="K175" s="2" t="inlineStr">
        <is>
          <t>个人任务</t>
        </is>
      </c>
      <c r="L175" s="2" t="inlineStr">
        <is>
          <t>挑战者庄园</t>
        </is>
      </c>
      <c r="M175" s="6">
        <f>'任务掉落明细'!Y173</f>
        <v>0.5</v>
      </c>
      <c r="N175" s="2" t="inlineStr">
        <is>
          <t>data/mission_templates.yaml:L1007:drop_table.equip_wuzhuima</t>
        </is>
      </c>
    </row>
    <row r="176">
      <c r="A176" s="2" t="inlineStr">
        <is>
          <t>equip_xiaoweichangjian</t>
        </is>
      </c>
      <c r="B176" s="2" t="inlineStr">
        <is>
          <t>校尉长剑</t>
        </is>
      </c>
      <c r="C176" s="2" t="inlineStr">
        <is>
          <t>武器</t>
        </is>
      </c>
      <c r="D176" s="2" t="inlineStr">
        <is>
          <t>稀有/蓝</t>
        </is>
      </c>
      <c r="E176" s="2" t="inlineStr">
        <is>
          <t>biyou_candeng</t>
        </is>
      </c>
      <c r="F176" s="2" t="inlineStr">
        <is>
          <t>封神之战：碧游残灯</t>
        </is>
      </c>
      <c r="G176" s="2" t="inlineStr">
        <is>
          <t>随机池掉落</t>
        </is>
      </c>
      <c r="H176" s="5">
        <f>'任务掉落明细'!X203</f>
        <v>0.0875</v>
      </c>
      <c r="I176" s="2" t="n">
        <v>1</v>
      </c>
      <c r="J176" s="2" t="inlineStr">
        <is>
          <t>equip_xiaowei_set</t>
        </is>
      </c>
      <c r="K176" s="2" t="inlineStr">
        <is>
          <t>个人任务</t>
        </is>
      </c>
      <c r="L176" s="2" t="inlineStr">
        <is>
          <t>挑战者庄园</t>
        </is>
      </c>
      <c r="M176" s="6">
        <f>'任务掉落明细'!Y203</f>
        <v>0.0875</v>
      </c>
      <c r="N176" s="2" t="inlineStr">
        <is>
          <t>data/mission_templates.yaml:L1158:drop_table.equip_xiaowei_set</t>
        </is>
      </c>
    </row>
    <row r="177">
      <c r="A177" s="2" t="inlineStr">
        <is>
          <t>equip_xiaoweichangxue</t>
        </is>
      </c>
      <c r="B177" s="2" t="inlineStr">
        <is>
          <t>校尉长靴</t>
        </is>
      </c>
      <c r="C177" s="2" t="inlineStr">
        <is>
          <t>鞋子</t>
        </is>
      </c>
      <c r="D177" s="2" t="inlineStr">
        <is>
          <t>稀有/蓝</t>
        </is>
      </c>
      <c r="E177" s="2" t="inlineStr">
        <is>
          <t>biyou_candeng</t>
        </is>
      </c>
      <c r="F177" s="2" t="inlineStr">
        <is>
          <t>封神之战：碧游残灯</t>
        </is>
      </c>
      <c r="G177" s="2" t="inlineStr">
        <is>
          <t>随机池掉落</t>
        </is>
      </c>
      <c r="H177" s="5">
        <f>'任务掉落明细'!X202</f>
        <v>0.0875</v>
      </c>
      <c r="I177" s="2" t="n">
        <v>1</v>
      </c>
      <c r="J177" s="2" t="inlineStr">
        <is>
          <t>equip_xiaowei_set</t>
        </is>
      </c>
      <c r="K177" s="2" t="inlineStr">
        <is>
          <t>个人任务</t>
        </is>
      </c>
      <c r="L177" s="2" t="inlineStr">
        <is>
          <t>挑战者庄园</t>
        </is>
      </c>
      <c r="M177" s="6">
        <f>'任务掉落明细'!Y202</f>
        <v>0.0875</v>
      </c>
      <c r="N177" s="2" t="inlineStr">
        <is>
          <t>data/mission_templates.yaml:L1158:drop_table.equip_xiaowei_set</t>
        </is>
      </c>
    </row>
    <row r="178">
      <c r="A178" s="2" t="inlineStr">
        <is>
          <t>equip_xiaoweikaijia</t>
        </is>
      </c>
      <c r="B178" s="2" t="inlineStr">
        <is>
          <t>校尉铠甲</t>
        </is>
      </c>
      <c r="C178" s="2" t="inlineStr">
        <is>
          <t>护甲</t>
        </is>
      </c>
      <c r="D178" s="2" t="inlineStr">
        <is>
          <t>稀有/蓝</t>
        </is>
      </c>
      <c r="E178" s="2" t="inlineStr">
        <is>
          <t>biyou_candeng</t>
        </is>
      </c>
      <c r="F178" s="2" t="inlineStr">
        <is>
          <t>封神之战：碧游残灯</t>
        </is>
      </c>
      <c r="G178" s="2" t="inlineStr">
        <is>
          <t>随机池掉落</t>
        </is>
      </c>
      <c r="H178" s="5">
        <f>'任务掉落明细'!X201</f>
        <v>0.0875</v>
      </c>
      <c r="I178" s="2" t="n">
        <v>1</v>
      </c>
      <c r="J178" s="2" t="inlineStr">
        <is>
          <t>equip_xiaowei_set</t>
        </is>
      </c>
      <c r="K178" s="2" t="inlineStr">
        <is>
          <t>个人任务</t>
        </is>
      </c>
      <c r="L178" s="2" t="inlineStr">
        <is>
          <t>挑战者庄园</t>
        </is>
      </c>
      <c r="M178" s="6">
        <f>'任务掉落明细'!Y201</f>
        <v>0.0875</v>
      </c>
      <c r="N178" s="2" t="inlineStr">
        <is>
          <t>data/mission_templates.yaml:L1158:drop_table.equip_xiaowei_set</t>
        </is>
      </c>
    </row>
    <row r="179">
      <c r="A179" s="2" t="inlineStr">
        <is>
          <t>equip_xiaoweitoukui</t>
        </is>
      </c>
      <c r="B179" s="2" t="inlineStr">
        <is>
          <t>校尉头盔</t>
        </is>
      </c>
      <c r="C179" s="2" t="inlineStr">
        <is>
          <t>头盔</t>
        </is>
      </c>
      <c r="D179" s="2" t="inlineStr">
        <is>
          <t>稀有/蓝</t>
        </is>
      </c>
      <c r="E179" s="2" t="inlineStr">
        <is>
          <t>biyou_candeng</t>
        </is>
      </c>
      <c r="F179" s="2" t="inlineStr">
        <is>
          <t>封神之战：碧游残灯</t>
        </is>
      </c>
      <c r="G179" s="2" t="inlineStr">
        <is>
          <t>随机池掉落</t>
        </is>
      </c>
      <c r="H179" s="5">
        <f>'任务掉落明细'!X200</f>
        <v>0.0875</v>
      </c>
      <c r="I179" s="2" t="n">
        <v>1</v>
      </c>
      <c r="J179" s="2" t="inlineStr">
        <is>
          <t>equip_xiaowei_set</t>
        </is>
      </c>
      <c r="K179" s="2" t="inlineStr">
        <is>
          <t>个人任务</t>
        </is>
      </c>
      <c r="L179" s="2" t="inlineStr">
        <is>
          <t>挑战者庄园</t>
        </is>
      </c>
      <c r="M179" s="6">
        <f>'任务掉落明细'!Y200</f>
        <v>0.0875</v>
      </c>
      <c r="N179" s="2" t="inlineStr">
        <is>
          <t>data/mission_templates.yaml:L1158:drop_table.equip_xiaowei_set</t>
        </is>
      </c>
    </row>
    <row r="180">
      <c r="A180" s="2" t="inlineStr">
        <is>
          <t>equip_xiliangma</t>
        </is>
      </c>
      <c r="B180" s="2" t="inlineStr">
        <is>
          <t>西凉马</t>
        </is>
      </c>
      <c r="C180" s="2" t="inlineStr">
        <is>
          <t>坐骑</t>
        </is>
      </c>
      <c r="D180" s="2" t="inlineStr">
        <is>
          <t>优秀/绿</t>
        </is>
      </c>
      <c r="E180" s="2" t="inlineStr">
        <is>
          <t>wagangzhai</t>
        </is>
      </c>
      <c r="F180" s="2" t="inlineStr">
        <is>
          <t>瓦岗寨</t>
        </is>
      </c>
      <c r="G180" s="2" t="inlineStr">
        <is>
          <t>随机池掉落</t>
        </is>
      </c>
      <c r="H180" s="5">
        <f>'任务掉落明细'!X59</f>
        <v>0.08333333333333333</v>
      </c>
      <c r="I180" s="2" t="n">
        <v>1</v>
      </c>
      <c r="J180" s="2" t="inlineStr">
        <is>
          <t>wagang_equipment_pool</t>
        </is>
      </c>
      <c r="K180" s="2" t="inlineStr">
        <is>
          <t>个人任务</t>
        </is>
      </c>
      <c r="L180" s="2" t="inlineStr">
        <is>
          <t>挑战者庄园</t>
        </is>
      </c>
      <c r="M180" s="6">
        <f>'任务掉落明细'!Y59</f>
        <v>0.08333333333333333</v>
      </c>
      <c r="N180" s="2" t="inlineStr">
        <is>
          <t>data/mission_templates.yaml:L444:drop_table.wagang_equipment_pool</t>
        </is>
      </c>
    </row>
    <row r="181">
      <c r="A181" s="2" t="inlineStr">
        <is>
          <t>equip_xingluoshan</t>
        </is>
      </c>
      <c r="B181" s="2" t="inlineStr">
        <is>
          <t>星罗扇</t>
        </is>
      </c>
      <c r="C181" s="2" t="inlineStr">
        <is>
          <t>武器</t>
        </is>
      </c>
      <c r="D181" s="2" t="inlineStr">
        <is>
          <t>稀有/蓝</t>
        </is>
      </c>
      <c r="E181" s="2" t="inlineStr">
        <is>
          <t>shiren_daochang</t>
        </is>
      </c>
      <c r="F181" s="2" t="inlineStr">
        <is>
          <t>十人道场</t>
        </is>
      </c>
      <c r="G181" s="2" t="inlineStr">
        <is>
          <t>概率掉落</t>
        </is>
      </c>
      <c r="H181" s="5">
        <f>'任务掉落明细'!X101</f>
        <v>0.1</v>
      </c>
      <c r="I181" s="2" t="n">
        <v>1</v>
      </c>
      <c r="J181" s="2" t="inlineStr">
        <is>
          <t>equip_xingluoshan</t>
        </is>
      </c>
      <c r="K181" s="2" t="inlineStr">
        <is>
          <t>个人任务</t>
        </is>
      </c>
      <c r="L181" s="2" t="inlineStr">
        <is>
          <t>挑战者庄园</t>
        </is>
      </c>
      <c r="M181" s="6">
        <f>'任务掉落明细'!Y101</f>
        <v>0.1</v>
      </c>
      <c r="N181" s="2" t="inlineStr">
        <is>
          <t>data/mission_templates.yaml:L607:drop_table.equip_xingluoshan</t>
        </is>
      </c>
    </row>
    <row r="182">
      <c r="A182" s="2" t="inlineStr">
        <is>
          <t>equip_xingshashouchuan</t>
        </is>
      </c>
      <c r="B182" s="2" t="inlineStr">
        <is>
          <t>星砂手串</t>
        </is>
      </c>
      <c r="C182" s="2" t="inlineStr">
        <is>
          <t>饰品</t>
        </is>
      </c>
      <c r="D182" s="2" t="inlineStr">
        <is>
          <t>稀有/蓝</t>
        </is>
      </c>
      <c r="E182" s="2" t="inlineStr">
        <is>
          <t>tianpeng_dijiao_1</t>
        </is>
      </c>
      <c r="F182" s="2" t="inlineStr">
        <is>
          <t>天蓬元帅的地窖（第一层）</t>
        </is>
      </c>
      <c r="G182" s="2" t="inlineStr">
        <is>
          <t>概率掉落</t>
        </is>
      </c>
      <c r="H182" s="5">
        <f>'任务掉落明细'!X123</f>
        <v>0.07</v>
      </c>
      <c r="I182" s="2" t="n">
        <v>1</v>
      </c>
      <c r="J182" s="2" t="inlineStr">
        <is>
          <t>equip_xingshashouchuan</t>
        </is>
      </c>
      <c r="K182" s="2" t="inlineStr">
        <is>
          <t>个人任务</t>
        </is>
      </c>
      <c r="L182" s="2" t="inlineStr">
        <is>
          <t>挑战者庄园</t>
        </is>
      </c>
      <c r="M182" s="6">
        <f>'任务掉落明细'!Y123</f>
        <v>0.07</v>
      </c>
      <c r="N182" s="2" t="inlineStr">
        <is>
          <t>data/mission_templates.yaml:L731:drop_table.equip_xingshashouchuan</t>
        </is>
      </c>
    </row>
    <row r="183">
      <c r="A183" s="2" t="inlineStr">
        <is>
          <t>equip_xuanbinggong</t>
        </is>
      </c>
      <c r="B183" s="2" t="inlineStr">
        <is>
          <t>玄冰弓</t>
        </is>
      </c>
      <c r="C183" s="2" t="inlineStr">
        <is>
          <t>武器</t>
        </is>
      </c>
      <c r="D183" s="2" t="inlineStr">
        <is>
          <t>稀有/蓝</t>
        </is>
      </c>
      <c r="E183" s="2" t="inlineStr">
        <is>
          <t>tianpeng_dijiao_1</t>
        </is>
      </c>
      <c r="F183" s="2" t="inlineStr">
        <is>
          <t>天蓬元帅的地窖（第一层）</t>
        </is>
      </c>
      <c r="G183" s="2" t="inlineStr">
        <is>
          <t>概率掉落</t>
        </is>
      </c>
      <c r="H183" s="5">
        <f>'任务掉落明细'!X121</f>
        <v>0.06</v>
      </c>
      <c r="I183" s="2" t="n">
        <v>1</v>
      </c>
      <c r="J183" s="2" t="inlineStr">
        <is>
          <t>equip_xuanbinggong</t>
        </is>
      </c>
      <c r="K183" s="2" t="inlineStr">
        <is>
          <t>个人任务</t>
        </is>
      </c>
      <c r="L183" s="2" t="inlineStr">
        <is>
          <t>挑战者庄园</t>
        </is>
      </c>
      <c r="M183" s="6">
        <f>'任务掉落明细'!Y121</f>
        <v>0.06</v>
      </c>
      <c r="N183" s="2" t="inlineStr">
        <is>
          <t>data/mission_templates.yaml:L731:drop_table.equip_xuanbinggong</t>
        </is>
      </c>
    </row>
    <row r="184">
      <c r="A184" s="2" t="inlineStr">
        <is>
          <t>equip_xuanjiazhanbao</t>
        </is>
      </c>
      <c r="B184" s="2" t="inlineStr">
        <is>
          <t>玄甲战袍</t>
        </is>
      </c>
      <c r="C184" s="2" t="inlineStr">
        <is>
          <t>护甲</t>
        </is>
      </c>
      <c r="D184" s="2" t="inlineStr">
        <is>
          <t>稀有/蓝</t>
        </is>
      </c>
      <c r="E184" s="2" t="inlineStr">
        <is>
          <t>tianpeng_dijiao_1</t>
        </is>
      </c>
      <c r="F184" s="2" t="inlineStr">
        <is>
          <t>天蓬元帅的地窖（第一层）</t>
        </is>
      </c>
      <c r="G184" s="2" t="inlineStr">
        <is>
          <t>概率掉落</t>
        </is>
      </c>
      <c r="H184" s="5">
        <f>'任务掉落明细'!X120</f>
        <v>0.05</v>
      </c>
      <c r="I184" s="2" t="n">
        <v>1</v>
      </c>
      <c r="J184" s="2" t="inlineStr">
        <is>
          <t>equip_xuanjiazhanbao</t>
        </is>
      </c>
      <c r="K184" s="2" t="inlineStr">
        <is>
          <t>个人任务</t>
        </is>
      </c>
      <c r="L184" s="2" t="inlineStr">
        <is>
          <t>挑战者庄园</t>
        </is>
      </c>
      <c r="M184" s="6">
        <f>'任务掉落明细'!Y120</f>
        <v>0.05</v>
      </c>
      <c r="N184" s="2" t="inlineStr">
        <is>
          <t>data/mission_templates.yaml:L731:drop_table.equip_xuanjiazhanbao</t>
        </is>
      </c>
    </row>
    <row r="185">
      <c r="A185" s="2" t="inlineStr">
        <is>
          <t>equip_xuantiejia</t>
        </is>
      </c>
      <c r="B185" s="2" t="inlineStr">
        <is>
          <t>玄铁甲</t>
        </is>
      </c>
      <c r="C185" s="2" t="inlineStr">
        <is>
          <t>护甲</t>
        </is>
      </c>
      <c r="D185" s="2" t="inlineStr">
        <is>
          <t>优秀/绿</t>
        </is>
      </c>
      <c r="E185" s="2" t="inlineStr">
        <is>
          <t>biwu_zhaoqin</t>
        </is>
      </c>
      <c r="F185" s="2" t="inlineStr">
        <is>
          <t>比武招亲</t>
        </is>
      </c>
      <c r="G185" s="2" t="inlineStr">
        <is>
          <t>随机池掉落</t>
        </is>
      </c>
      <c r="H185" s="5">
        <f>'任务掉落明细'!X109</f>
        <v>0.2</v>
      </c>
      <c r="I185" s="2" t="n">
        <v>1</v>
      </c>
      <c r="J185" s="2" t="inlineStr">
        <is>
          <t>biwu_equipment_pool</t>
        </is>
      </c>
      <c r="K185" s="2" t="inlineStr">
        <is>
          <t>个人任务</t>
        </is>
      </c>
      <c r="L185" s="2" t="inlineStr">
        <is>
          <t>挑战者庄园</t>
        </is>
      </c>
      <c r="M185" s="6">
        <f>'任务掉落明细'!Y109</f>
        <v>0.2</v>
      </c>
      <c r="N185" s="2" t="inlineStr">
        <is>
          <t>data/mission_templates.yaml:L698:drop_table.biwu_equipment_pool</t>
        </is>
      </c>
    </row>
    <row r="186">
      <c r="A186" s="2" t="inlineStr">
        <is>
          <t>equip_xuantiejie</t>
        </is>
      </c>
      <c r="B186" s="2" t="inlineStr">
        <is>
          <t>玄铁戒</t>
        </is>
      </c>
      <c r="C186" s="2" t="inlineStr">
        <is>
          <t>饰品</t>
        </is>
      </c>
      <c r="D186" s="2" t="inlineStr">
        <is>
          <t>稀有/蓝</t>
        </is>
      </c>
      <c r="E186" s="2" t="inlineStr">
        <is>
          <t>liangshanbo_zhuyingtai</t>
        </is>
      </c>
      <c r="F186" s="2" t="inlineStr">
        <is>
          <t>梁山伯与祝英台</t>
        </is>
      </c>
      <c r="G186" s="2" t="inlineStr">
        <is>
          <t>概率掉落</t>
        </is>
      </c>
      <c r="H186" s="5">
        <f>'任务掉落明细'!X193</f>
        <v>0.07</v>
      </c>
      <c r="I186" s="2" t="n">
        <v>1</v>
      </c>
      <c r="J186" s="2" t="inlineStr">
        <is>
          <t>equip_xuantiejie</t>
        </is>
      </c>
      <c r="K186" s="2" t="inlineStr">
        <is>
          <t>个人任务</t>
        </is>
      </c>
      <c r="L186" s="2" t="inlineStr">
        <is>
          <t>挑战者庄园</t>
        </is>
      </c>
      <c r="M186" s="6">
        <f>'任务掉落明细'!Y193</f>
        <v>0.07</v>
      </c>
      <c r="N186" s="2" t="inlineStr">
        <is>
          <t>data/mission_templates.yaml:L1108:drop_table.equip_xuantiejie</t>
        </is>
      </c>
    </row>
    <row r="187">
      <c r="A187" s="2" t="inlineStr">
        <is>
          <t>equip_xuantiekui</t>
        </is>
      </c>
      <c r="B187" s="2" t="inlineStr">
        <is>
          <t>玄铁盔</t>
        </is>
      </c>
      <c r="C187" s="2" t="inlineStr">
        <is>
          <t>头盔</t>
        </is>
      </c>
      <c r="D187" s="2" t="inlineStr">
        <is>
          <t>稀有/蓝</t>
        </is>
      </c>
      <c r="E187" s="2" t="inlineStr">
        <is>
          <t>wagangzhai_nixi</t>
        </is>
      </c>
      <c r="F187" s="2" t="inlineStr">
        <is>
          <t>瓦岗寨的逆袭</t>
        </is>
      </c>
      <c r="G187" s="2" t="inlineStr">
        <is>
          <t>概率掉落</t>
        </is>
      </c>
      <c r="H187" s="5">
        <f>'任务掉落明细'!X38</f>
        <v>0.07</v>
      </c>
      <c r="I187" s="2" t="n">
        <v>1</v>
      </c>
      <c r="J187" s="2" t="inlineStr">
        <is>
          <t>equip_xuantiekui</t>
        </is>
      </c>
      <c r="K187" s="2" t="inlineStr">
        <is>
          <t>个人任务</t>
        </is>
      </c>
      <c r="L187" s="2" t="inlineStr">
        <is>
          <t>挑战者庄园</t>
        </is>
      </c>
      <c r="M187" s="6">
        <f>'任务掉落明细'!Y38</f>
        <v>0.07</v>
      </c>
      <c r="N187" s="2" t="inlineStr">
        <is>
          <t>data/mission_templates.yaml:L326:drop_table.equip_xuantiekui</t>
        </is>
      </c>
    </row>
    <row r="188">
      <c r="A188" s="2" t="inlineStr">
        <is>
          <t>equip_xuanyuanjian</t>
        </is>
      </c>
      <c r="B188" s="2" t="inlineStr">
        <is>
          <t>轩辕剑</t>
        </is>
      </c>
      <c r="C188" s="2" t="inlineStr">
        <is>
          <t>武器</t>
        </is>
      </c>
      <c r="D188" s="2" t="inlineStr">
        <is>
          <t>传说/橙</t>
        </is>
      </c>
      <c r="E188" s="2" t="inlineStr">
        <is>
          <t>zhuolu_zhongyuan</t>
        </is>
      </c>
      <c r="F188" s="2" t="inlineStr">
        <is>
          <t>逐鹿中原</t>
        </is>
      </c>
      <c r="G188" s="2" t="inlineStr">
        <is>
          <t>概率掉落</t>
        </is>
      </c>
      <c r="H188" s="5">
        <f>'任务掉落明细'!X241</f>
        <v>0.006</v>
      </c>
      <c r="I188" s="2" t="n">
        <v>1</v>
      </c>
      <c r="J188" s="2" t="inlineStr">
        <is>
          <t>equip_xuanyuanjian</t>
        </is>
      </c>
      <c r="K188" s="2" t="inlineStr">
        <is>
          <t>个人任务</t>
        </is>
      </c>
      <c r="L188" s="2" t="inlineStr">
        <is>
          <t>挑战者庄园</t>
        </is>
      </c>
      <c r="M188" s="6">
        <f>'任务掉落明细'!Y241</f>
        <v>0.006</v>
      </c>
      <c r="N188" s="2" t="inlineStr">
        <is>
          <t>data/mission_templates.yaml:L1326:drop_table.equip_xuanyuanjian</t>
        </is>
      </c>
    </row>
    <row r="189">
      <c r="A189" s="2" t="inlineStr">
        <is>
          <t>equip_xueyuzhuo</t>
        </is>
      </c>
      <c r="B189" s="2" t="inlineStr">
        <is>
          <t>血玉镯</t>
        </is>
      </c>
      <c r="C189" s="2" t="inlineStr">
        <is>
          <t>饰品</t>
        </is>
      </c>
      <c r="D189" s="2" t="inlineStr">
        <is>
          <t>稀有/蓝</t>
        </is>
      </c>
      <c r="E189" s="2" t="inlineStr">
        <is>
          <t>shizipo_heidian</t>
        </is>
      </c>
      <c r="F189" s="2" t="inlineStr">
        <is>
          <t>十字坡黑店</t>
        </is>
      </c>
      <c r="G189" s="2" t="inlineStr">
        <is>
          <t>概率掉落</t>
        </is>
      </c>
      <c r="H189" s="5">
        <f>'任务掉落明细'!X78</f>
        <v>0.1</v>
      </c>
      <c r="I189" s="2" t="n">
        <v>1</v>
      </c>
      <c r="J189" s="2" t="inlineStr">
        <is>
          <t>equip_xueyuzhuo</t>
        </is>
      </c>
      <c r="K189" s="2" t="inlineStr">
        <is>
          <t>个人任务</t>
        </is>
      </c>
      <c r="L189" s="2" t="inlineStr">
        <is>
          <t>挑战者庄园</t>
        </is>
      </c>
      <c r="M189" s="6">
        <f>'任务掉落明细'!Y78</f>
        <v>0.1</v>
      </c>
      <c r="N189" s="2" t="inlineStr">
        <is>
          <t>data/mission_templates.yaml:L514:drop_table.equip_xueyuzhuo</t>
        </is>
      </c>
    </row>
    <row r="190">
      <c r="A190" s="2" t="inlineStr">
        <is>
          <t>equip_yanlingmao</t>
        </is>
      </c>
      <c r="B190" s="2" t="inlineStr">
        <is>
          <t>雁翎帽</t>
        </is>
      </c>
      <c r="C190" s="2" t="inlineStr">
        <is>
          <t>头盔</t>
        </is>
      </c>
      <c r="D190" s="2" t="inlineStr">
        <is>
          <t>优秀/绿</t>
        </is>
      </c>
      <c r="E190" s="2" t="inlineStr">
        <is>
          <t>huashan_lunjian</t>
        </is>
      </c>
      <c r="F190" s="2" t="inlineStr">
        <is>
          <t>华山论贱</t>
        </is>
      </c>
      <c r="G190" s="2" t="inlineStr">
        <is>
          <t>随机池掉落</t>
        </is>
      </c>
      <c r="H190" s="5">
        <f>'任务掉落明细'!X30</f>
        <v>0.3</v>
      </c>
      <c r="I190" s="2" t="n">
        <v>1</v>
      </c>
      <c r="J190" s="2" t="inlineStr">
        <is>
          <t>huashan_equipment_pool</t>
        </is>
      </c>
      <c r="K190" s="2" t="inlineStr">
        <is>
          <t>个人任务</t>
        </is>
      </c>
      <c r="L190" s="2" t="inlineStr">
        <is>
          <t>挑战者庄园</t>
        </is>
      </c>
      <c r="M190" s="6">
        <f>'任务掉落明细'!Y30</f>
        <v>0.3</v>
      </c>
      <c r="N190" s="2" t="inlineStr">
        <is>
          <t>data/mission_templates.yaml:L287:drop_table.huashan_equipment_pool</t>
        </is>
      </c>
    </row>
    <row r="191">
      <c r="A191" s="2" t="inlineStr">
        <is>
          <t>equip_yemankandao</t>
        </is>
      </c>
      <c r="B191" s="2" t="inlineStr">
        <is>
          <t>野蛮砍刀</t>
        </is>
      </c>
      <c r="C191" s="2" t="inlineStr">
        <is>
          <t>武器</t>
        </is>
      </c>
      <c r="D191" s="2" t="inlineStr">
        <is>
          <t>优秀/绿</t>
        </is>
      </c>
      <c r="E191" s="2" t="inlineStr">
        <is>
          <t>jiufeng_feihuan</t>
        </is>
      </c>
      <c r="F191" s="2" t="inlineStr">
        <is>
          <t>九峰匪患</t>
        </is>
      </c>
      <c r="G191" s="2" t="inlineStr">
        <is>
          <t>概率掉落</t>
        </is>
      </c>
      <c r="H191" s="5">
        <f>'任务掉落明细'!X153</f>
        <v>0.1</v>
      </c>
      <c r="I191" s="2" t="n">
        <v>1</v>
      </c>
      <c r="J191" s="2" t="inlineStr">
        <is>
          <t>equip_yemankandao</t>
        </is>
      </c>
      <c r="K191" s="2" t="inlineStr">
        <is>
          <t>个人任务</t>
        </is>
      </c>
      <c r="L191" s="2" t="inlineStr">
        <is>
          <t>挑战者庄园</t>
        </is>
      </c>
      <c r="M191" s="6">
        <f>'任务掉落明细'!Y153</f>
        <v>0.1</v>
      </c>
      <c r="N191" s="2" t="inlineStr">
        <is>
          <t>data/mission_templates.yaml:L908:drop_table.equip_yemankandao</t>
        </is>
      </c>
    </row>
    <row r="192">
      <c r="A192" s="2" t="inlineStr">
        <is>
          <t>equip_yemantoukie</t>
        </is>
      </c>
      <c r="B192" s="2" t="inlineStr">
        <is>
          <t>野蛮头盔</t>
        </is>
      </c>
      <c r="C192" s="2" t="inlineStr">
        <is>
          <t>头盔</t>
        </is>
      </c>
      <c r="D192" s="2" t="inlineStr">
        <is>
          <t>优秀/绿</t>
        </is>
      </c>
      <c r="E192" s="2" t="inlineStr">
        <is>
          <t>jiufeng_feihuan</t>
        </is>
      </c>
      <c r="F192" s="2" t="inlineStr">
        <is>
          <t>九峰匪患</t>
        </is>
      </c>
      <c r="G192" s="2" t="inlineStr">
        <is>
          <t>概率掉落</t>
        </is>
      </c>
      <c r="H192" s="5">
        <f>'任务掉落明细'!X152</f>
        <v>0.1</v>
      </c>
      <c r="I192" s="2" t="n">
        <v>1</v>
      </c>
      <c r="J192" s="2" t="inlineStr">
        <is>
          <t>equip_yemantoukie</t>
        </is>
      </c>
      <c r="K192" s="2" t="inlineStr">
        <is>
          <t>个人任务</t>
        </is>
      </c>
      <c r="L192" s="2" t="inlineStr">
        <is>
          <t>挑战者庄园</t>
        </is>
      </c>
      <c r="M192" s="6">
        <f>'任务掉落明细'!Y152</f>
        <v>0.1</v>
      </c>
      <c r="N192" s="2" t="inlineStr">
        <is>
          <t>data/mission_templates.yaml:L908:drop_table.equip_yemantoukie</t>
        </is>
      </c>
    </row>
    <row r="193">
      <c r="A193" s="2" t="inlineStr">
        <is>
          <t>equip_yingxingxue</t>
        </is>
      </c>
      <c r="B193" s="2" t="inlineStr">
        <is>
          <t>影行靴</t>
        </is>
      </c>
      <c r="C193" s="2" t="inlineStr">
        <is>
          <t>鞋子</t>
        </is>
      </c>
      <c r="D193" s="2" t="inlineStr">
        <is>
          <t>稀有/蓝</t>
        </is>
      </c>
      <c r="E193" s="2" t="inlineStr">
        <is>
          <t>jiufeng_feihuan</t>
        </is>
      </c>
      <c r="F193" s="2" t="inlineStr">
        <is>
          <t>九峰匪患</t>
        </is>
      </c>
      <c r="G193" s="2" t="inlineStr">
        <is>
          <t>概率掉落</t>
        </is>
      </c>
      <c r="H193" s="5">
        <f>'任务掉落明细'!X155</f>
        <v>0.07</v>
      </c>
      <c r="I193" s="2" t="n">
        <v>1</v>
      </c>
      <c r="J193" s="2" t="inlineStr">
        <is>
          <t>equip_yingxingxue</t>
        </is>
      </c>
      <c r="K193" s="2" t="inlineStr">
        <is>
          <t>个人任务</t>
        </is>
      </c>
      <c r="L193" s="2" t="inlineStr">
        <is>
          <t>挑战者庄园</t>
        </is>
      </c>
      <c r="M193" s="6">
        <f>'任务掉落明细'!Y155</f>
        <v>0.07</v>
      </c>
      <c r="N193" s="2" t="inlineStr">
        <is>
          <t>data/mission_templates.yaml:L908:drop_table.equip_yingxingxue</t>
        </is>
      </c>
    </row>
    <row r="194">
      <c r="A194" s="2" t="inlineStr">
        <is>
          <t>equip_yiqiyaopai</t>
        </is>
      </c>
      <c r="B194" s="2" t="inlineStr">
        <is>
          <t>义气腰牌</t>
        </is>
      </c>
      <c r="C194" s="2" t="inlineStr">
        <is>
          <t>饰品</t>
        </is>
      </c>
      <c r="D194" s="2" t="inlineStr">
        <is>
          <t>优秀/绿</t>
        </is>
      </c>
      <c r="E194" s="2" t="inlineStr">
        <is>
          <t>liangshanbo_zhuyingtai</t>
        </is>
      </c>
      <c r="F194" s="2" t="inlineStr">
        <is>
          <t>梁山伯与祝英台</t>
        </is>
      </c>
      <c r="G194" s="2" t="inlineStr">
        <is>
          <t>概率掉落</t>
        </is>
      </c>
      <c r="H194" s="5">
        <f>'任务掉落明细'!X190</f>
        <v>0.06</v>
      </c>
      <c r="I194" s="2" t="n">
        <v>1</v>
      </c>
      <c r="J194" s="2" t="inlineStr">
        <is>
          <t>equip_yiqiyaopai</t>
        </is>
      </c>
      <c r="K194" s="2" t="inlineStr">
        <is>
          <t>个人任务</t>
        </is>
      </c>
      <c r="L194" s="2" t="inlineStr">
        <is>
          <t>挑战者庄园</t>
        </is>
      </c>
      <c r="M194" s="6">
        <f>'任务掉落明细'!Y190</f>
        <v>0.06</v>
      </c>
      <c r="N194" s="2" t="inlineStr">
        <is>
          <t>data/mission_templates.yaml:L1108:drop_table.equip_yiqiyaopai</t>
        </is>
      </c>
    </row>
    <row r="195">
      <c r="A195" s="2" t="inlineStr">
        <is>
          <t>equip_yiqiyaopai</t>
        </is>
      </c>
      <c r="B195" s="2" t="inlineStr">
        <is>
          <t>义气腰牌</t>
        </is>
      </c>
      <c r="C195" s="2" t="inlineStr">
        <is>
          <t>饰品</t>
        </is>
      </c>
      <c r="D195" s="2" t="inlineStr">
        <is>
          <t>优秀/绿</t>
        </is>
      </c>
      <c r="E195" s="2" t="inlineStr">
        <is>
          <t>wagangzhai</t>
        </is>
      </c>
      <c r="F195" s="2" t="inlineStr">
        <is>
          <t>瓦岗寨</t>
        </is>
      </c>
      <c r="G195" s="2" t="inlineStr">
        <is>
          <t>随机池掉落</t>
        </is>
      </c>
      <c r="H195" s="5">
        <f>'任务掉落明细'!X58</f>
        <v>0.08333333333333333</v>
      </c>
      <c r="I195" s="2" t="n">
        <v>1</v>
      </c>
      <c r="J195" s="2" t="inlineStr">
        <is>
          <t>wagang_equipment_pool</t>
        </is>
      </c>
      <c r="K195" s="2" t="inlineStr">
        <is>
          <t>个人任务</t>
        </is>
      </c>
      <c r="L195" s="2" t="inlineStr">
        <is>
          <t>挑战者庄园</t>
        </is>
      </c>
      <c r="M195" s="6">
        <f>'任务掉落明细'!Y58</f>
        <v>0.08333333333333333</v>
      </c>
      <c r="N195" s="2" t="inlineStr">
        <is>
          <t>data/mission_templates.yaml:L444:drop_table.wagang_equipment_pool</t>
        </is>
      </c>
    </row>
    <row r="196">
      <c r="A196" s="2" t="inlineStr">
        <is>
          <t>equip_yiqiyaopai</t>
        </is>
      </c>
      <c r="B196" s="2" t="inlineStr">
        <is>
          <t>义气腰牌</t>
        </is>
      </c>
      <c r="C196" s="2" t="inlineStr">
        <is>
          <t>饰品</t>
        </is>
      </c>
      <c r="D196" s="2" t="inlineStr">
        <is>
          <t>优秀/绿</t>
        </is>
      </c>
      <c r="E196" s="2" t="inlineStr">
        <is>
          <t>wagangzhai_nixi</t>
        </is>
      </c>
      <c r="F196" s="2" t="inlineStr">
        <is>
          <t>瓦岗寨的逆袭</t>
        </is>
      </c>
      <c r="G196" s="2" t="inlineStr">
        <is>
          <t>概率掉落</t>
        </is>
      </c>
      <c r="H196" s="5">
        <f>'任务掉落明细'!X37</f>
        <v>0.05</v>
      </c>
      <c r="I196" s="2" t="n">
        <v>1</v>
      </c>
      <c r="J196" s="2" t="inlineStr">
        <is>
          <t>equip_yiqiyaopai</t>
        </is>
      </c>
      <c r="K196" s="2" t="inlineStr">
        <is>
          <t>个人任务</t>
        </is>
      </c>
      <c r="L196" s="2" t="inlineStr">
        <is>
          <t>挑战者庄园</t>
        </is>
      </c>
      <c r="M196" s="6">
        <f>'任务掉落明细'!Y37</f>
        <v>0.05</v>
      </c>
      <c r="N196" s="2" t="inlineStr">
        <is>
          <t>data/mission_templates.yaml:L326:drop_table.equip_yiqiyaopai</t>
        </is>
      </c>
    </row>
    <row r="197">
      <c r="A197" s="2" t="inlineStr">
        <is>
          <t>equip_youxiaxue</t>
        </is>
      </c>
      <c r="B197" s="2" t="inlineStr">
        <is>
          <t>游侠靴</t>
        </is>
      </c>
      <c r="C197" s="2" t="inlineStr">
        <is>
          <t>鞋子</t>
        </is>
      </c>
      <c r="D197" s="2" t="inlineStr">
        <is>
          <t>优秀/绿</t>
        </is>
      </c>
      <c r="E197" s="2" t="inlineStr">
        <is>
          <t>wulongshan</t>
        </is>
      </c>
      <c r="F197" s="2" t="inlineStr">
        <is>
          <t>乌龙山</t>
        </is>
      </c>
      <c r="G197" s="2" t="inlineStr">
        <is>
          <t>随机池掉落</t>
        </is>
      </c>
      <c r="H197" s="5">
        <f>'任务掉落明细'!X49</f>
        <v>0.175</v>
      </c>
      <c r="I197" s="2" t="n">
        <v>1</v>
      </c>
      <c r="J197" s="2" t="inlineStr">
        <is>
          <t>wulong_equipment_pool</t>
        </is>
      </c>
      <c r="K197" s="2" t="inlineStr">
        <is>
          <t>个人任务</t>
        </is>
      </c>
      <c r="L197" s="2" t="inlineStr">
        <is>
          <t>挑战者庄园</t>
        </is>
      </c>
      <c r="M197" s="6">
        <f>'任务掉落明细'!Y49</f>
        <v>0.175</v>
      </c>
      <c r="N197" s="2" t="inlineStr">
        <is>
          <t>data/mission_templates.yaml:L408:drop_table.wulong_equipment_pool</t>
        </is>
      </c>
    </row>
    <row r="198">
      <c r="A198" s="2" t="inlineStr">
        <is>
          <t>equip_yunwenfayi</t>
        </is>
      </c>
      <c r="B198" s="2" t="inlineStr">
        <is>
          <t>云纹法衣</t>
        </is>
      </c>
      <c r="C198" s="2" t="inlineStr">
        <is>
          <t>护甲</t>
        </is>
      </c>
      <c r="D198" s="2" t="inlineStr">
        <is>
          <t>稀有/蓝</t>
        </is>
      </c>
      <c r="E198" s="2" t="inlineStr">
        <is>
          <t>shiren_daochang</t>
        </is>
      </c>
      <c r="F198" s="2" t="inlineStr">
        <is>
          <t>十人道场</t>
        </is>
      </c>
      <c r="G198" s="2" t="inlineStr">
        <is>
          <t>概率掉落</t>
        </is>
      </c>
      <c r="H198" s="5">
        <f>'任务掉落明细'!X100</f>
        <v>0.1</v>
      </c>
      <c r="I198" s="2" t="n">
        <v>1</v>
      </c>
      <c r="J198" s="2" t="inlineStr">
        <is>
          <t>equip_yunwenfayi</t>
        </is>
      </c>
      <c r="K198" s="2" t="inlineStr">
        <is>
          <t>个人任务</t>
        </is>
      </c>
      <c r="L198" s="2" t="inlineStr">
        <is>
          <t>挑战者庄园</t>
        </is>
      </c>
      <c r="M198" s="6">
        <f>'任务掉落明细'!Y100</f>
        <v>0.1</v>
      </c>
      <c r="N198" s="2" t="inlineStr">
        <is>
          <t>data/mission_templates.yaml:L607:drop_table.equip_yunwenfayi</t>
        </is>
      </c>
    </row>
    <row r="199">
      <c r="A199" s="2" t="inlineStr">
        <is>
          <t>equip_yunwenkui</t>
        </is>
      </c>
      <c r="B199" s="2" t="inlineStr">
        <is>
          <t>云纹盔</t>
        </is>
      </c>
      <c r="C199" s="2" t="inlineStr">
        <is>
          <t>头盔</t>
        </is>
      </c>
      <c r="D199" s="2" t="inlineStr">
        <is>
          <t>稀有/蓝</t>
        </is>
      </c>
      <c r="E199" s="2" t="inlineStr">
        <is>
          <t>shiren_daochang</t>
        </is>
      </c>
      <c r="F199" s="2" t="inlineStr">
        <is>
          <t>十人道场</t>
        </is>
      </c>
      <c r="G199" s="2" t="inlineStr">
        <is>
          <t>概率掉落</t>
        </is>
      </c>
      <c r="H199" s="5">
        <f>'任务掉落明细'!X99</f>
        <v>0.1</v>
      </c>
      <c r="I199" s="2" t="n">
        <v>1</v>
      </c>
      <c r="J199" s="2" t="inlineStr">
        <is>
          <t>equip_yunwenkui</t>
        </is>
      </c>
      <c r="K199" s="2" t="inlineStr">
        <is>
          <t>个人任务</t>
        </is>
      </c>
      <c r="L199" s="2" t="inlineStr">
        <is>
          <t>挑战者庄园</t>
        </is>
      </c>
      <c r="M199" s="6">
        <f>'任务掉落明细'!Y99</f>
        <v>0.1</v>
      </c>
      <c r="N199" s="2" t="inlineStr">
        <is>
          <t>data/mission_templates.yaml:L607:drop_table.equip_yunwenkui</t>
        </is>
      </c>
    </row>
    <row r="200">
      <c r="A200" s="2" t="inlineStr">
        <is>
          <t>equip_yupei</t>
        </is>
      </c>
      <c r="B200" s="2" t="inlineStr">
        <is>
          <t>玉佩</t>
        </is>
      </c>
      <c r="C200" s="2" t="inlineStr">
        <is>
          <t>饰品</t>
        </is>
      </c>
      <c r="D200" s="2" t="inlineStr">
        <is>
          <t>优秀/绿</t>
        </is>
      </c>
      <c r="E200" s="2" t="inlineStr">
        <is>
          <t>fugui_shanzhuang</t>
        </is>
      </c>
      <c r="F200" s="2" t="inlineStr">
        <is>
          <t>富贵山庄</t>
        </is>
      </c>
      <c r="G200" s="2" t="inlineStr">
        <is>
          <t>随机池掉落</t>
        </is>
      </c>
      <c r="H200" s="5">
        <f>'任务掉落明细'!X63</f>
        <v>0.2</v>
      </c>
      <c r="I200" s="2" t="n">
        <v>1</v>
      </c>
      <c r="J200" s="2" t="inlineStr">
        <is>
          <t>fugui_equipment_pool</t>
        </is>
      </c>
      <c r="K200" s="2" t="inlineStr">
        <is>
          <t>个人任务</t>
        </is>
      </c>
      <c r="L200" s="2" t="inlineStr">
        <is>
          <t>挑战者庄园</t>
        </is>
      </c>
      <c r="M200" s="6">
        <f>'任务掉落明细'!Y63</f>
        <v>0.2</v>
      </c>
      <c r="N200" s="2" t="inlineStr">
        <is>
          <t>data/mission_templates.yaml:L482:drop_table.fugui_equipment_pool</t>
        </is>
      </c>
    </row>
    <row r="201">
      <c r="A201" s="2" t="inlineStr">
        <is>
          <t>equip_yupei</t>
        </is>
      </c>
      <c r="B201" s="2" t="inlineStr">
        <is>
          <t>玉佩</t>
        </is>
      </c>
      <c r="C201" s="2" t="inlineStr">
        <is>
          <t>饰品</t>
        </is>
      </c>
      <c r="D201" s="2" t="inlineStr">
        <is>
          <t>优秀/绿</t>
        </is>
      </c>
      <c r="E201" s="2" t="inlineStr">
        <is>
          <t>tianpeng_dijiao_1</t>
        </is>
      </c>
      <c r="F201" s="2" t="inlineStr">
        <is>
          <t>天蓬元帅的地窖（第一层）</t>
        </is>
      </c>
      <c r="G201" s="2" t="inlineStr">
        <is>
          <t>概率掉落</t>
        </is>
      </c>
      <c r="H201" s="5">
        <f>'任务掉落明细'!X118</f>
        <v>0.06</v>
      </c>
      <c r="I201" s="2" t="n">
        <v>1</v>
      </c>
      <c r="J201" s="2" t="inlineStr">
        <is>
          <t>equip_yupei</t>
        </is>
      </c>
      <c r="K201" s="2" t="inlineStr">
        <is>
          <t>个人任务</t>
        </is>
      </c>
      <c r="L201" s="2" t="inlineStr">
        <is>
          <t>挑战者庄园</t>
        </is>
      </c>
      <c r="M201" s="6">
        <f>'任务掉落明细'!Y118</f>
        <v>0.06</v>
      </c>
      <c r="N201" s="2" t="inlineStr">
        <is>
          <t>data/mission_templates.yaml:L731:drop_table.equip_yupei</t>
        </is>
      </c>
    </row>
    <row r="202">
      <c r="A202" s="2" t="inlineStr">
        <is>
          <t>equip_zhaoyaojing</t>
        </is>
      </c>
      <c r="B202" s="2" t="inlineStr">
        <is>
          <t>照妖镜</t>
        </is>
      </c>
      <c r="C202" s="2" t="inlineStr">
        <is>
          <t>饰品</t>
        </is>
      </c>
      <c r="D202" s="2" t="inlineStr">
        <is>
          <t>稀有/蓝</t>
        </is>
      </c>
      <c r="E202" s="2" t="inlineStr">
        <is>
          <t>tianpeng_dijiao_2</t>
        </is>
      </c>
      <c r="F202" s="2" t="inlineStr">
        <is>
          <t>天蓬元帅的地窖（第二层）</t>
        </is>
      </c>
      <c r="G202" s="2" t="inlineStr">
        <is>
          <t>概率掉落</t>
        </is>
      </c>
      <c r="H202" s="5">
        <f>'任务掉落明细'!X128</f>
        <v>0.15</v>
      </c>
      <c r="I202" s="2" t="n">
        <v>1</v>
      </c>
      <c r="J202" s="2" t="inlineStr">
        <is>
          <t>equip_zhaoyaojing</t>
        </is>
      </c>
      <c r="K202" s="2" t="inlineStr">
        <is>
          <t>个人任务</t>
        </is>
      </c>
      <c r="L202" s="2" t="inlineStr">
        <is>
          <t>挑战者庄园</t>
        </is>
      </c>
      <c r="M202" s="6">
        <f>'任务掉落明细'!Y128</f>
        <v>0.15</v>
      </c>
      <c r="N202" s="2" t="inlineStr">
        <is>
          <t>data/mission_templates.yaml:L777:drop_table.equip_zhaoyaojing</t>
        </is>
      </c>
    </row>
    <row r="203">
      <c r="A203" s="2" t="inlineStr">
        <is>
          <t>equip_zhaoyeyushizi</t>
        </is>
      </c>
      <c r="B203" s="2" t="inlineStr">
        <is>
          <t>照夜玉狮子</t>
        </is>
      </c>
      <c r="C203" s="2" t="inlineStr">
        <is>
          <t>坐骑</t>
        </is>
      </c>
      <c r="D203" s="2" t="inlineStr">
        <is>
          <t>稀有/蓝</t>
        </is>
      </c>
      <c r="E203" s="2" t="inlineStr">
        <is>
          <t>shanhaiguan</t>
        </is>
      </c>
      <c r="F203" s="2" t="inlineStr">
        <is>
          <t>山海关</t>
        </is>
      </c>
      <c r="G203" s="2" t="inlineStr">
        <is>
          <t>概率掉落</t>
        </is>
      </c>
      <c r="H203" s="5">
        <f>'任务掉落明细'!X86</f>
        <v>0.15</v>
      </c>
      <c r="I203" s="2" t="n">
        <v>1</v>
      </c>
      <c r="J203" s="2" t="inlineStr">
        <is>
          <t>equip_zhaoyeyushizi</t>
        </is>
      </c>
      <c r="K203" s="2" t="inlineStr">
        <is>
          <t>个人任务</t>
        </is>
      </c>
      <c r="L203" s="2" t="inlineStr">
        <is>
          <t>挑战者庄园</t>
        </is>
      </c>
      <c r="M203" s="6">
        <f>'任务掉落明细'!Y86</f>
        <v>0.15</v>
      </c>
      <c r="N203" s="2" t="inlineStr">
        <is>
          <t>data/mission_templates.yaml:L559:drop_table.equip_zhaoyeyushizi</t>
        </is>
      </c>
    </row>
    <row r="204">
      <c r="A204" s="2" t="inlineStr">
        <is>
          <t>equip_zhenyuechui</t>
        </is>
      </c>
      <c r="B204" s="2" t="inlineStr">
        <is>
          <t>镇岳锤</t>
        </is>
      </c>
      <c r="C204" s="2" t="inlineStr">
        <is>
          <t>武器</t>
        </is>
      </c>
      <c r="D204" s="2" t="inlineStr">
        <is>
          <t>稀有/蓝</t>
        </is>
      </c>
      <c r="E204" s="2" t="inlineStr">
        <is>
          <t>shizipo_heidian</t>
        </is>
      </c>
      <c r="F204" s="2" t="inlineStr">
        <is>
          <t>十字坡黑店</t>
        </is>
      </c>
      <c r="G204" s="2" t="inlineStr">
        <is>
          <t>概率掉落</t>
        </is>
      </c>
      <c r="H204" s="5">
        <f>'任务掉落明细'!X76</f>
        <v>0.1</v>
      </c>
      <c r="I204" s="2" t="n">
        <v>1</v>
      </c>
      <c r="J204" s="2" t="inlineStr">
        <is>
          <t>equip_zhenyuechui</t>
        </is>
      </c>
      <c r="K204" s="2" t="inlineStr">
        <is>
          <t>个人任务</t>
        </is>
      </c>
      <c r="L204" s="2" t="inlineStr">
        <is>
          <t>挑战者庄园</t>
        </is>
      </c>
      <c r="M204" s="6">
        <f>'任务掉落明细'!Y76</f>
        <v>0.1</v>
      </c>
      <c r="N204" s="2" t="inlineStr">
        <is>
          <t>data/mission_templates.yaml:L514:drop_table.equip_zhenyuechui</t>
        </is>
      </c>
    </row>
    <row r="205">
      <c r="A205" s="2" t="inlineStr">
        <is>
          <t>equip_zhoutianxingpan</t>
        </is>
      </c>
      <c r="B205" s="2" t="inlineStr">
        <is>
          <t>周天星盘</t>
        </is>
      </c>
      <c r="C205" s="2" t="inlineStr">
        <is>
          <t>饰品</t>
        </is>
      </c>
      <c r="D205" s="2" t="inlineStr">
        <is>
          <t>传说/橙</t>
        </is>
      </c>
      <c r="E205" s="2" t="inlineStr">
        <is>
          <t>zhuolu_zhongyuan</t>
        </is>
      </c>
      <c r="F205" s="2" t="inlineStr">
        <is>
          <t>逐鹿中原</t>
        </is>
      </c>
      <c r="G205" s="2" t="inlineStr">
        <is>
          <t>概率掉落</t>
        </is>
      </c>
      <c r="H205" s="5">
        <f>'任务掉落明细'!X240</f>
        <v>0.012</v>
      </c>
      <c r="I205" s="2" t="n">
        <v>1</v>
      </c>
      <c r="J205" s="2" t="inlineStr">
        <is>
          <t>equip_zhoutianxingpan</t>
        </is>
      </c>
      <c r="K205" s="2" t="inlineStr">
        <is>
          <t>个人任务</t>
        </is>
      </c>
      <c r="L205" s="2" t="inlineStr">
        <is>
          <t>挑战者庄园</t>
        </is>
      </c>
      <c r="M205" s="6">
        <f>'任务掉落明细'!Y240</f>
        <v>0.012</v>
      </c>
      <c r="N205" s="2" t="inlineStr">
        <is>
          <t>data/mission_templates.yaml:L1326:drop_table.equip_zhoutianxingpan</t>
        </is>
      </c>
    </row>
    <row r="206">
      <c r="A206" s="2" t="inlineStr">
        <is>
          <t>equip_zhuidian</t>
        </is>
      </c>
      <c r="B206" s="2" t="inlineStr">
        <is>
          <t>追电</t>
        </is>
      </c>
      <c r="C206" s="2" t="inlineStr">
        <is>
          <t>坐骑</t>
        </is>
      </c>
      <c r="D206" s="2" t="inlineStr">
        <is>
          <t>稀有/蓝</t>
        </is>
      </c>
      <c r="E206" s="2" t="inlineStr">
        <is>
          <t>shanhaiguan</t>
        </is>
      </c>
      <c r="F206" s="2" t="inlineStr">
        <is>
          <t>山海关</t>
        </is>
      </c>
      <c r="G206" s="2" t="inlineStr">
        <is>
          <t>概率掉落</t>
        </is>
      </c>
      <c r="H206" s="5">
        <f>'任务掉落明细'!X87</f>
        <v>0.1</v>
      </c>
      <c r="I206" s="2" t="n">
        <v>1</v>
      </c>
      <c r="J206" s="2" t="inlineStr">
        <is>
          <t>equip_zhuidian</t>
        </is>
      </c>
      <c r="K206" s="2" t="inlineStr">
        <is>
          <t>个人任务</t>
        </is>
      </c>
      <c r="L206" s="2" t="inlineStr">
        <is>
          <t>挑战者庄园</t>
        </is>
      </c>
      <c r="M206" s="6">
        <f>'任务掉落明细'!Y87</f>
        <v>0.1</v>
      </c>
      <c r="N206" s="2" t="inlineStr">
        <is>
          <t>data/mission_templates.yaml:L559:drop_table.equip_zhuidian</t>
        </is>
      </c>
    </row>
    <row r="207">
      <c r="A207" s="2" t="inlineStr">
        <is>
          <t>equip_zhuifengxue</t>
        </is>
      </c>
      <c r="B207" s="2" t="inlineStr">
        <is>
          <t>追风靴</t>
        </is>
      </c>
      <c r="C207" s="2" t="inlineStr">
        <is>
          <t>鞋子</t>
        </is>
      </c>
      <c r="D207" s="2" t="inlineStr">
        <is>
          <t>稀有/蓝</t>
        </is>
      </c>
      <c r="E207" s="2" t="inlineStr">
        <is>
          <t>jiufeng_feihuan</t>
        </is>
      </c>
      <c r="F207" s="2" t="inlineStr">
        <is>
          <t>九峰匪患</t>
        </is>
      </c>
      <c r="G207" s="2" t="inlineStr">
        <is>
          <t>概率掉落</t>
        </is>
      </c>
      <c r="H207" s="5">
        <f>'任务掉落明细'!X154</f>
        <v>0.07</v>
      </c>
      <c r="I207" s="2" t="n">
        <v>1</v>
      </c>
      <c r="J207" s="2" t="inlineStr">
        <is>
          <t>equip_zhuifengxue</t>
        </is>
      </c>
      <c r="K207" s="2" t="inlineStr">
        <is>
          <t>个人任务</t>
        </is>
      </c>
      <c r="L207" s="2" t="inlineStr">
        <is>
          <t>挑战者庄园</t>
        </is>
      </c>
      <c r="M207" s="6">
        <f>'任务掉落明细'!Y154</f>
        <v>0.07</v>
      </c>
      <c r="N207" s="2" t="inlineStr">
        <is>
          <t>data/mission_templates.yaml:L908:drop_table.equip_zhuifengxue</t>
        </is>
      </c>
    </row>
    <row r="208">
      <c r="A208" s="2" t="inlineStr">
        <is>
          <t>equip_zhujian</t>
        </is>
      </c>
      <c r="B208" s="2" t="inlineStr">
        <is>
          <t>竹简</t>
        </is>
      </c>
      <c r="C208" s="2" t="inlineStr">
        <is>
          <t>饰品</t>
        </is>
      </c>
      <c r="D208" s="2" t="inlineStr">
        <is>
          <t>优秀/绿</t>
        </is>
      </c>
      <c r="E208" s="2" t="inlineStr">
        <is>
          <t>fugui_shanzhuang</t>
        </is>
      </c>
      <c r="F208" s="2" t="inlineStr">
        <is>
          <t>富贵山庄</t>
        </is>
      </c>
      <c r="G208" s="2" t="inlineStr">
        <is>
          <t>随机池掉落</t>
        </is>
      </c>
      <c r="H208" s="5">
        <f>'任务掉落明细'!X65</f>
        <v>0.2</v>
      </c>
      <c r="I208" s="2" t="n">
        <v>1</v>
      </c>
      <c r="J208" s="2" t="inlineStr">
        <is>
          <t>fugui_equipment_pool</t>
        </is>
      </c>
      <c r="K208" s="2" t="inlineStr">
        <is>
          <t>个人任务</t>
        </is>
      </c>
      <c r="L208" s="2" t="inlineStr">
        <is>
          <t>挑战者庄园</t>
        </is>
      </c>
      <c r="M208" s="6">
        <f>'任务掉落明细'!Y65</f>
        <v>0.2</v>
      </c>
      <c r="N208" s="2" t="inlineStr">
        <is>
          <t>data/mission_templates.yaml:L482:drop_table.fugui_equipment_pool</t>
        </is>
      </c>
    </row>
    <row r="209">
      <c r="A209" s="2" t="inlineStr">
        <is>
          <t>equip_zhujian</t>
        </is>
      </c>
      <c r="B209" s="2" t="inlineStr">
        <is>
          <t>竹简</t>
        </is>
      </c>
      <c r="C209" s="2" t="inlineStr">
        <is>
          <t>饰品</t>
        </is>
      </c>
      <c r="D209" s="2" t="inlineStr">
        <is>
          <t>优秀/绿</t>
        </is>
      </c>
      <c r="E209" s="2" t="inlineStr">
        <is>
          <t>liangshanbo_zhuyingtai</t>
        </is>
      </c>
      <c r="F209" s="2" t="inlineStr">
        <is>
          <t>梁山伯与祝英台</t>
        </is>
      </c>
      <c r="G209" s="2" t="inlineStr">
        <is>
          <t>概率掉落</t>
        </is>
      </c>
      <c r="H209" s="5">
        <f>'任务掉落明细'!X191</f>
        <v>0.05</v>
      </c>
      <c r="I209" s="2" t="n">
        <v>1</v>
      </c>
      <c r="J209" s="2" t="inlineStr">
        <is>
          <t>equip_zhujian</t>
        </is>
      </c>
      <c r="K209" s="2" t="inlineStr">
        <is>
          <t>个人任务</t>
        </is>
      </c>
      <c r="L209" s="2" t="inlineStr">
        <is>
          <t>挑战者庄园</t>
        </is>
      </c>
      <c r="M209" s="6">
        <f>'任务掉落明细'!Y191</f>
        <v>0.05</v>
      </c>
      <c r="N209" s="2" t="inlineStr">
        <is>
          <t>data/mission_templates.yaml:L1108:drop_table.equip_zhujian</t>
        </is>
      </c>
    </row>
    <row r="210">
      <c r="A210" s="2" t="inlineStr">
        <is>
          <t>equip_zhuyelu</t>
        </is>
      </c>
      <c r="B210" s="2" t="inlineStr">
        <is>
          <t>竹叶履</t>
        </is>
      </c>
      <c r="C210" s="2" t="inlineStr">
        <is>
          <t>鞋子</t>
        </is>
      </c>
      <c r="D210" s="2" t="inlineStr">
        <is>
          <t>优秀/绿</t>
        </is>
      </c>
      <c r="E210" s="2" t="inlineStr">
        <is>
          <t>taozi_fenban</t>
        </is>
      </c>
      <c r="F210" s="2" t="inlineStr">
        <is>
          <t>我的桃子分你一半</t>
        </is>
      </c>
      <c r="G210" s="2" t="inlineStr">
        <is>
          <t>随机池掉落</t>
        </is>
      </c>
      <c r="H210" s="5">
        <f>'任务掉落明细'!X163</f>
        <v>0.07727272727272727</v>
      </c>
      <c r="I210" s="2" t="n">
        <v>1</v>
      </c>
      <c r="J210" s="2" t="inlineStr">
        <is>
          <t>taozi_equipment_pool</t>
        </is>
      </c>
      <c r="K210" s="2" t="inlineStr">
        <is>
          <t>个人任务</t>
        </is>
      </c>
      <c r="L210" s="2" t="inlineStr">
        <is>
          <t>挑战者庄园</t>
        </is>
      </c>
      <c r="M210" s="6">
        <f>'任务掉落明细'!Y163</f>
        <v>0.07727272727272727</v>
      </c>
      <c r="N210" s="2" t="inlineStr">
        <is>
          <t>data/mission_templates.yaml:L951:drop_table.taozi_equipment_pool</t>
        </is>
      </c>
    </row>
    <row r="211">
      <c r="A211" s="2" t="inlineStr">
        <is>
          <t>equip_zhuyuye</t>
        </is>
      </c>
      <c r="B211" s="2" t="inlineStr">
        <is>
          <t>茱萸叶</t>
        </is>
      </c>
      <c r="C211" s="2" t="inlineStr">
        <is>
          <t>饰品</t>
        </is>
      </c>
      <c r="D211" s="2" t="inlineStr">
        <is>
          <t>史诗/紫</t>
        </is>
      </c>
      <c r="E211" s="2" t="inlineStr">
        <is>
          <t>sishui_huaxiong_chengwei</t>
        </is>
      </c>
      <c r="F211" s="2" t="inlineStr">
        <is>
          <t>飞将浮沉录：汜水关华雄逞威</t>
        </is>
      </c>
      <c r="G211" s="2" t="inlineStr">
        <is>
          <t>概率掉落</t>
        </is>
      </c>
      <c r="H211" s="5">
        <f>'任务掉落明细'!X269</f>
        <v>0.005</v>
      </c>
      <c r="I211" s="2" t="n">
        <v>1</v>
      </c>
      <c r="J211" s="2" t="inlineStr">
        <is>
          <t>equip_zhuyuye</t>
        </is>
      </c>
      <c r="K211" s="2" t="inlineStr">
        <is>
          <t>个人任务</t>
        </is>
      </c>
      <c r="L211" s="2" t="inlineStr">
        <is>
          <t>挑战者庄园</t>
        </is>
      </c>
      <c r="M211" s="6">
        <f>'任务掉落明细'!Y269</f>
        <v>0.005</v>
      </c>
      <c r="N211" s="2" t="inlineStr">
        <is>
          <t>data/mission_templates.yaml:L1511:drop_table.equip_zhuyuye</t>
        </is>
      </c>
    </row>
    <row r="212">
      <c r="A212" s="2" t="inlineStr">
        <is>
          <t>experience_peach</t>
        </is>
      </c>
      <c r="B212" s="2" t="inlineStr">
        <is>
          <t>经验桃子</t>
        </is>
      </c>
      <c r="C212" s="2" t="inlineStr">
        <is>
          <t>经验道具</t>
        </is>
      </c>
      <c r="D212" s="2" t="inlineStr">
        <is>
          <t>优秀/绿</t>
        </is>
      </c>
      <c r="E212" s="2" t="inlineStr">
        <is>
          <t>shiren_daochang</t>
        </is>
      </c>
      <c r="F212" s="2" t="inlineStr">
        <is>
          <t>十人道场</t>
        </is>
      </c>
      <c r="G212" s="2" t="inlineStr">
        <is>
          <t>固定掉落</t>
        </is>
      </c>
      <c r="H212" s="5">
        <f>'任务掉落明细'!X96</f>
        <v>1</v>
      </c>
      <c r="I212" s="2" t="n">
        <v>9</v>
      </c>
      <c r="J212" s="2" t="inlineStr">
        <is>
          <t>experience_peach</t>
        </is>
      </c>
      <c r="K212" s="2" t="inlineStr">
        <is>
          <t>个人任务</t>
        </is>
      </c>
      <c r="L212" s="2" t="inlineStr">
        <is>
          <t>挑战者庄园</t>
        </is>
      </c>
      <c r="M212" s="6">
        <f>'任务掉落明细'!Y96</f>
        <v>9</v>
      </c>
      <c r="N212" s="2" t="inlineStr">
        <is>
          <t>data/mission_templates.yaml:L607:drop_table.experience_peach</t>
        </is>
      </c>
    </row>
    <row r="213">
      <c r="A213" s="2" t="inlineStr">
        <is>
          <t>experience_peach</t>
        </is>
      </c>
      <c r="B213" s="2" t="inlineStr">
        <is>
          <t>经验桃子</t>
        </is>
      </c>
      <c r="C213" s="2" t="inlineStr">
        <is>
          <t>经验道具</t>
        </is>
      </c>
      <c r="D213" s="2" t="inlineStr">
        <is>
          <t>优秀/绿</t>
        </is>
      </c>
      <c r="E213" s="2" t="inlineStr">
        <is>
          <t>taozi_fenban</t>
        </is>
      </c>
      <c r="F213" s="2" t="inlineStr">
        <is>
          <t>我的桃子分你一半</t>
        </is>
      </c>
      <c r="G213" s="2" t="inlineStr">
        <is>
          <t>固定掉落</t>
        </is>
      </c>
      <c r="H213" s="5">
        <f>'任务掉落明细'!X160</f>
        <v>1</v>
      </c>
      <c r="I213" s="2" t="n">
        <v>15</v>
      </c>
      <c r="J213" s="2" t="inlineStr">
        <is>
          <t>experience_peach</t>
        </is>
      </c>
      <c r="K213" s="2" t="inlineStr">
        <is>
          <t>个人任务</t>
        </is>
      </c>
      <c r="L213" s="2" t="inlineStr">
        <is>
          <t>挑战者庄园</t>
        </is>
      </c>
      <c r="M213" s="6">
        <f>'任务掉落明细'!Y160</f>
        <v>15</v>
      </c>
      <c r="N213" s="2" t="inlineStr">
        <is>
          <t>data/mission_templates.yaml:L951:drop_table.experience_peach</t>
        </is>
      </c>
    </row>
    <row r="214">
      <c r="A214" s="2" t="inlineStr">
        <is>
          <t>experience_pineapple</t>
        </is>
      </c>
      <c r="B214" s="2" t="inlineStr">
        <is>
          <t>经验菠萝</t>
        </is>
      </c>
      <c r="C214" s="2" t="inlineStr">
        <is>
          <t>经验道具</t>
        </is>
      </c>
      <c r="D214" s="2" t="inlineStr">
        <is>
          <t>稀有/蓝</t>
        </is>
      </c>
      <c r="E214" s="2" t="inlineStr">
        <is>
          <t>biyou_candeng</t>
        </is>
      </c>
      <c r="F214" s="2" t="inlineStr">
        <is>
          <t>封神之战：碧游残灯</t>
        </is>
      </c>
      <c r="G214" s="2" t="inlineStr">
        <is>
          <t>概率掉落</t>
        </is>
      </c>
      <c r="H214" s="5">
        <f>'任务掉落明细'!X196</f>
        <v>0.65</v>
      </c>
      <c r="I214" s="2" t="n">
        <v>8</v>
      </c>
      <c r="J214" s="2" t="inlineStr">
        <is>
          <t>experience_pineapple</t>
        </is>
      </c>
      <c r="K214" s="2" t="inlineStr">
        <is>
          <t>个人任务</t>
        </is>
      </c>
      <c r="L214" s="2" t="inlineStr">
        <is>
          <t>挑战者庄园</t>
        </is>
      </c>
      <c r="M214" s="6">
        <f>'任务掉落明细'!Y196</f>
        <v>5.2</v>
      </c>
      <c r="N214" s="2" t="inlineStr">
        <is>
          <t>data/mission_templates.yaml:L1158:drop_table.experience_pineapple</t>
        </is>
      </c>
    </row>
    <row r="215">
      <c r="A215" s="2" t="inlineStr">
        <is>
          <t>experience_pineapple</t>
        </is>
      </c>
      <c r="B215" s="2" t="inlineStr">
        <is>
          <t>经验菠萝</t>
        </is>
      </c>
      <c r="C215" s="2" t="inlineStr">
        <is>
          <t>经验道具</t>
        </is>
      </c>
      <c r="D215" s="2" t="inlineStr">
        <is>
          <t>稀有/蓝</t>
        </is>
      </c>
      <c r="E215" s="2" t="inlineStr">
        <is>
          <t>fengbang_tianmen</t>
        </is>
      </c>
      <c r="F215" s="2" t="inlineStr">
        <is>
          <t>封神之战：封榜天门</t>
        </is>
      </c>
      <c r="G215" s="2" t="inlineStr">
        <is>
          <t>概率掉落</t>
        </is>
      </c>
      <c r="H215" s="5">
        <f>'任务掉落明细'!X214</f>
        <v>0.8</v>
      </c>
      <c r="I215" s="2" t="n">
        <v>15</v>
      </c>
      <c r="J215" s="2" t="inlineStr">
        <is>
          <t>experience_pineapple</t>
        </is>
      </c>
      <c r="K215" s="2" t="inlineStr">
        <is>
          <t>个人任务</t>
        </is>
      </c>
      <c r="L215" s="2" t="inlineStr">
        <is>
          <t>挑战者庄园</t>
        </is>
      </c>
      <c r="M215" s="6">
        <f>'任务掉落明细'!Y214</f>
        <v>12.0</v>
      </c>
      <c r="N215" s="2" t="inlineStr">
        <is>
          <t>data/mission_templates.yaml:L1259:drop_table.experience_pineapple</t>
        </is>
      </c>
    </row>
    <row r="216">
      <c r="A216" s="2" t="inlineStr">
        <is>
          <t>experience_pineapple</t>
        </is>
      </c>
      <c r="B216" s="2" t="inlineStr">
        <is>
          <t>经验菠萝</t>
        </is>
      </c>
      <c r="C216" s="2" t="inlineStr">
        <is>
          <t>经验道具</t>
        </is>
      </c>
      <c r="D216" s="2" t="inlineStr">
        <is>
          <t>稀有/蓝</t>
        </is>
      </c>
      <c r="E216" s="2" t="inlineStr">
        <is>
          <t>kasukabe_daisakusen</t>
        </is>
      </c>
      <c r="F216" s="2" t="inlineStr">
        <is>
          <t>春日部大作战</t>
        </is>
      </c>
      <c r="G216" s="2" t="inlineStr">
        <is>
          <t>概率掉落</t>
        </is>
      </c>
      <c r="H216" s="5">
        <f>'任务掉落明细'!X17</f>
        <v>0.35</v>
      </c>
      <c r="I216" s="2" t="n">
        <v>3</v>
      </c>
      <c r="J216" s="2" t="inlineStr">
        <is>
          <t>experience_pineapple</t>
        </is>
      </c>
      <c r="K216" s="2" t="inlineStr">
        <is>
          <t>个人任务</t>
        </is>
      </c>
      <c r="L216" s="2" t="inlineStr">
        <is>
          <t>挑战者庄园</t>
        </is>
      </c>
      <c r="M216" s="6">
        <f>'任务掉落明细'!Y17</f>
        <v>1.0499999999999998</v>
      </c>
      <c r="N216" s="2" t="inlineStr">
        <is>
          <t>data/mission_templates.yaml:L206:drop_table.experience_pineapple</t>
        </is>
      </c>
    </row>
    <row r="217">
      <c r="A217" s="2" t="inlineStr">
        <is>
          <t>experience_pineapple</t>
        </is>
      </c>
      <c r="B217" s="2" t="inlineStr">
        <is>
          <t>经验菠萝</t>
        </is>
      </c>
      <c r="C217" s="2" t="inlineStr">
        <is>
          <t>经验道具</t>
        </is>
      </c>
      <c r="D217" s="2" t="inlineStr">
        <is>
          <t>稀有/蓝</t>
        </is>
      </c>
      <c r="E217" s="2" t="inlineStr">
        <is>
          <t>shier_xianyin</t>
        </is>
      </c>
      <c r="F217" s="2" t="inlineStr">
        <is>
          <t>封神之战：十二仙印</t>
        </is>
      </c>
      <c r="G217" s="2" t="inlineStr">
        <is>
          <t>概率掉落</t>
        </is>
      </c>
      <c r="H217" s="5">
        <f>'任务掉落明细'!X208</f>
        <v>0.7</v>
      </c>
      <c r="I217" s="2" t="n">
        <v>12</v>
      </c>
      <c r="J217" s="2" t="inlineStr">
        <is>
          <t>experience_pineapple</t>
        </is>
      </c>
      <c r="K217" s="2" t="inlineStr">
        <is>
          <t>个人任务</t>
        </is>
      </c>
      <c r="L217" s="2" t="inlineStr">
        <is>
          <t>挑战者庄园</t>
        </is>
      </c>
      <c r="M217" s="6">
        <f>'任务掉落明细'!Y208</f>
        <v>8.399999999999999</v>
      </c>
      <c r="N217" s="2" t="inlineStr">
        <is>
          <t>data/mission_templates.yaml:L1212:drop_table.experience_pineapple</t>
        </is>
      </c>
    </row>
    <row r="218">
      <c r="A218" s="2" t="inlineStr">
        <is>
          <t>experience_pineapple</t>
        </is>
      </c>
      <c r="B218" s="2" t="inlineStr">
        <is>
          <t>经验菠萝</t>
        </is>
      </c>
      <c r="C218" s="2" t="inlineStr">
        <is>
          <t>经验道具</t>
        </is>
      </c>
      <c r="D218" s="2" t="inlineStr">
        <is>
          <t>稀有/蓝</t>
        </is>
      </c>
      <c r="E218" s="2" t="inlineStr">
        <is>
          <t>tianpeng_dijiao_1</t>
        </is>
      </c>
      <c r="F218" s="2" t="inlineStr">
        <is>
          <t>天蓬元帅的地窖（第一层）</t>
        </is>
      </c>
      <c r="G218" s="2" t="inlineStr">
        <is>
          <t>固定掉落</t>
        </is>
      </c>
      <c r="H218" s="5">
        <f>'任务掉落明细'!X116</f>
        <v>1</v>
      </c>
      <c r="I218" s="2" t="n">
        <v>15</v>
      </c>
      <c r="J218" s="2" t="inlineStr">
        <is>
          <t>experience_pineapple</t>
        </is>
      </c>
      <c r="K218" s="2" t="inlineStr">
        <is>
          <t>个人任务</t>
        </is>
      </c>
      <c r="L218" s="2" t="inlineStr">
        <is>
          <t>挑战者庄园</t>
        </is>
      </c>
      <c r="M218" s="6">
        <f>'任务掉落明细'!Y116</f>
        <v>15</v>
      </c>
      <c r="N218" s="2" t="inlineStr">
        <is>
          <t>data/mission_templates.yaml:L731:drop_table.experience_pineapple</t>
        </is>
      </c>
    </row>
    <row r="219">
      <c r="A219" s="2" t="inlineStr">
        <is>
          <t>experience_pineapple</t>
        </is>
      </c>
      <c r="B219" s="2" t="inlineStr">
        <is>
          <t>经验菠萝</t>
        </is>
      </c>
      <c r="C219" s="2" t="inlineStr">
        <is>
          <t>经验道具</t>
        </is>
      </c>
      <c r="D219" s="2" t="inlineStr">
        <is>
          <t>稀有/蓝</t>
        </is>
      </c>
      <c r="E219" s="2" t="inlineStr">
        <is>
          <t>tianpeng_dijiao_2</t>
        </is>
      </c>
      <c r="F219" s="2" t="inlineStr">
        <is>
          <t>天蓬元帅的地窖（第二层）</t>
        </is>
      </c>
      <c r="G219" s="2" t="inlineStr">
        <is>
          <t>概率掉落</t>
        </is>
      </c>
      <c r="H219" s="5">
        <f>'任务掉落明细'!X124</f>
        <v>0.99</v>
      </c>
      <c r="I219" s="2" t="n">
        <v>20</v>
      </c>
      <c r="J219" s="2" t="inlineStr">
        <is>
          <t>experience_pineapple</t>
        </is>
      </c>
      <c r="K219" s="2" t="inlineStr">
        <is>
          <t>个人任务</t>
        </is>
      </c>
      <c r="L219" s="2" t="inlineStr">
        <is>
          <t>挑战者庄园</t>
        </is>
      </c>
      <c r="M219" s="6">
        <f>'任务掉落明细'!Y124</f>
        <v>19.8</v>
      </c>
      <c r="N219" s="2" t="inlineStr">
        <is>
          <t>data/mission_templates.yaml:L777:drop_table.experience_pineapple</t>
        </is>
      </c>
    </row>
    <row r="220">
      <c r="A220" s="2" t="inlineStr">
        <is>
          <t>experience_pineapple</t>
        </is>
      </c>
      <c r="B220" s="2" t="inlineStr">
        <is>
          <t>经验菠萝</t>
        </is>
      </c>
      <c r="C220" s="2" t="inlineStr">
        <is>
          <t>经验道具</t>
        </is>
      </c>
      <c r="D220" s="2" t="inlineStr">
        <is>
          <t>稀有/蓝</t>
        </is>
      </c>
      <c r="E220" s="2" t="inlineStr">
        <is>
          <t>wagangzhai_nixi</t>
        </is>
      </c>
      <c r="F220" s="2" t="inlineStr">
        <is>
          <t>瓦岗寨的逆袭</t>
        </is>
      </c>
      <c r="G220" s="2" t="inlineStr">
        <is>
          <t>概率掉落</t>
        </is>
      </c>
      <c r="H220" s="5">
        <f>'任务掉落明细'!X34</f>
        <v>0.3</v>
      </c>
      <c r="I220" s="2" t="n">
        <v>5</v>
      </c>
      <c r="J220" s="2" t="inlineStr">
        <is>
          <t>experience_pineapple</t>
        </is>
      </c>
      <c r="K220" s="2" t="inlineStr">
        <is>
          <t>个人任务</t>
        </is>
      </c>
      <c r="L220" s="2" t="inlineStr">
        <is>
          <t>挑战者庄园</t>
        </is>
      </c>
      <c r="M220" s="6">
        <f>'任务掉落明细'!Y34</f>
        <v>1.5</v>
      </c>
      <c r="N220" s="2" t="inlineStr">
        <is>
          <t>data/mission_templates.yaml:L326:drop_table.experience_pineapple</t>
        </is>
      </c>
    </row>
    <row r="221">
      <c r="A221" s="2" t="inlineStr">
        <is>
          <t>experience_pineapple</t>
        </is>
      </c>
      <c r="B221" s="2" t="inlineStr">
        <is>
          <t>经验菠萝</t>
        </is>
      </c>
      <c r="C221" s="2" t="inlineStr">
        <is>
          <t>经验道具</t>
        </is>
      </c>
      <c r="D221" s="2" t="inlineStr">
        <is>
          <t>稀有/蓝</t>
        </is>
      </c>
      <c r="E221" s="2" t="inlineStr">
        <is>
          <t>zhuiji_manzu</t>
        </is>
      </c>
      <c r="F221" s="2" t="inlineStr">
        <is>
          <t>追击蛮族</t>
        </is>
      </c>
      <c r="G221" s="2" t="inlineStr">
        <is>
          <t>概率掉落</t>
        </is>
      </c>
      <c r="H221" s="5">
        <f>'任务掉落明细'!X181</f>
        <v>0.8</v>
      </c>
      <c r="I221" s="2" t="n">
        <v>10</v>
      </c>
      <c r="J221" s="2" t="inlineStr">
        <is>
          <t>experience_pineapple</t>
        </is>
      </c>
      <c r="K221" s="2" t="inlineStr">
        <is>
          <t>个人任务</t>
        </is>
      </c>
      <c r="L221" s="2" t="inlineStr">
        <is>
          <t>挑战者庄园</t>
        </is>
      </c>
      <c r="M221" s="6">
        <f>'任务掉落明细'!Y181</f>
        <v>8.0</v>
      </c>
      <c r="N221" s="2" t="inlineStr">
        <is>
          <t>data/mission_templates.yaml:L1075:drop_table.experience_pineapple</t>
        </is>
      </c>
    </row>
    <row r="222">
      <c r="A222" s="2" t="inlineStr">
        <is>
          <t>experience_watermelon</t>
        </is>
      </c>
      <c r="B222" s="2" t="inlineStr">
        <is>
          <t>经验西瓜</t>
        </is>
      </c>
      <c r="C222" s="2" t="inlineStr">
        <is>
          <t>经验道具</t>
        </is>
      </c>
      <c r="D222" s="2" t="inlineStr">
        <is>
          <t>史诗/紫</t>
        </is>
      </c>
      <c r="E222" s="2" t="inlineStr">
        <is>
          <t>baimenlou_mingyun_jueze</t>
        </is>
      </c>
      <c r="F222" s="2" t="inlineStr">
        <is>
          <t>飞将浮沉录：白门楼命运抉择</t>
        </is>
      </c>
      <c r="G222" s="2" t="inlineStr">
        <is>
          <t>概率掉落</t>
        </is>
      </c>
      <c r="H222" s="5">
        <f>'任务掉落明细'!X278</f>
        <v>0.9</v>
      </c>
      <c r="I222" s="2" t="n">
        <v>8</v>
      </c>
      <c r="J222" s="2" t="inlineStr">
        <is>
          <t>experience_watermelon</t>
        </is>
      </c>
      <c r="K222" s="2" t="inlineStr">
        <is>
          <t>个人任务</t>
        </is>
      </c>
      <c r="L222" s="2" t="inlineStr">
        <is>
          <t>挑战者庄园</t>
        </is>
      </c>
      <c r="M222" s="6">
        <f>'任务掉落明细'!Y278</f>
        <v>7.2</v>
      </c>
      <c r="N222" s="2" t="inlineStr">
        <is>
          <t>data/mission_templates.yaml:L1602:drop_table.experience_watermelon</t>
        </is>
      </c>
    </row>
    <row r="223">
      <c r="A223" s="2" t="inlineStr">
        <is>
          <t>experience_watermelon</t>
        </is>
      </c>
      <c r="B223" s="2" t="inlineStr">
        <is>
          <t>经验西瓜</t>
        </is>
      </c>
      <c r="C223" s="2" t="inlineStr">
        <is>
          <t>经验道具</t>
        </is>
      </c>
      <c r="D223" s="2" t="inlineStr">
        <is>
          <t>史诗/紫</t>
        </is>
      </c>
      <c r="E223" s="2" t="inlineStr">
        <is>
          <t>dongtian_fudi</t>
        </is>
      </c>
      <c r="F223" s="2" t="inlineStr">
        <is>
          <t>洞天福地</t>
        </is>
      </c>
      <c r="G223" s="2" t="inlineStr">
        <is>
          <t>固定掉落</t>
        </is>
      </c>
      <c r="H223" s="5">
        <f>'任务掉落明细'!X143</f>
        <v>1</v>
      </c>
      <c r="I223" s="2" t="n">
        <v>5</v>
      </c>
      <c r="J223" s="2" t="inlineStr">
        <is>
          <t>experience_watermelon</t>
        </is>
      </c>
      <c r="K223" s="2" t="inlineStr">
        <is>
          <t>个人任务</t>
        </is>
      </c>
      <c r="L223" s="2" t="inlineStr">
        <is>
          <t>挑战者庄园</t>
        </is>
      </c>
      <c r="M223" s="6">
        <f>'任务掉落明细'!Y143</f>
        <v>5</v>
      </c>
      <c r="N223" s="2" t="inlineStr">
        <is>
          <t>data/mission_templates.yaml:L873:drop_table.experience_watermelon</t>
        </is>
      </c>
    </row>
    <row r="224">
      <c r="A224" s="2" t="inlineStr">
        <is>
          <t>experience_watermelon</t>
        </is>
      </c>
      <c r="B224" s="2" t="inlineStr">
        <is>
          <t>经验西瓜</t>
        </is>
      </c>
      <c r="C224" s="2" t="inlineStr">
        <is>
          <t>经验道具</t>
        </is>
      </c>
      <c r="D224" s="2" t="inlineStr">
        <is>
          <t>史诗/紫</t>
        </is>
      </c>
      <c r="E224" s="2" t="inlineStr">
        <is>
          <t>guandu_zhizhan</t>
        </is>
      </c>
      <c r="F224" s="2" t="inlineStr">
        <is>
          <t>官渡之战</t>
        </is>
      </c>
      <c r="G224" s="2" t="inlineStr">
        <is>
          <t>概率掉落</t>
        </is>
      </c>
      <c r="H224" s="5">
        <f>'任务掉落明细'!X254</f>
        <v>0.75</v>
      </c>
      <c r="I224" s="2" t="n">
        <v>5</v>
      </c>
      <c r="J224" s="2" t="inlineStr">
        <is>
          <t>experience_watermelon</t>
        </is>
      </c>
      <c r="K224" s="2" t="inlineStr">
        <is>
          <t>个人任务</t>
        </is>
      </c>
      <c r="L224" s="2" t="inlineStr">
        <is>
          <t>挑战者庄园</t>
        </is>
      </c>
      <c r="M224" s="6">
        <f>'任务掉落明细'!Y254</f>
        <v>3.75</v>
      </c>
      <c r="N224" s="2" t="inlineStr">
        <is>
          <t>data/mission_templates.yaml:L1391:drop_table.experience_watermelon</t>
        </is>
      </c>
    </row>
    <row r="225">
      <c r="A225" s="2" t="inlineStr">
        <is>
          <t>experience_watermelon</t>
        </is>
      </c>
      <c r="B225" s="2" t="inlineStr">
        <is>
          <t>经验西瓜</t>
        </is>
      </c>
      <c r="C225" s="2" t="inlineStr">
        <is>
          <t>经验道具</t>
        </is>
      </c>
      <c r="D225" s="2" t="inlineStr">
        <is>
          <t>史诗/紫</t>
        </is>
      </c>
      <c r="E225" s="2" t="inlineStr">
        <is>
          <t>hulao_qunying_zhan_lvbu</t>
        </is>
      </c>
      <c r="F225" s="2" t="inlineStr">
        <is>
          <t>飞将浮沉录：虎牢关群英战吕布</t>
        </is>
      </c>
      <c r="G225" s="2" t="inlineStr">
        <is>
          <t>概率掉落</t>
        </is>
      </c>
      <c r="H225" s="5">
        <f>'任务掉落明细'!X272</f>
        <v>0.75</v>
      </c>
      <c r="I225" s="2" t="n">
        <v>5</v>
      </c>
      <c r="J225" s="2" t="inlineStr">
        <is>
          <t>experience_watermelon</t>
        </is>
      </c>
      <c r="K225" s="2" t="inlineStr">
        <is>
          <t>个人任务</t>
        </is>
      </c>
      <c r="L225" s="2" t="inlineStr">
        <is>
          <t>挑战者庄园</t>
        </is>
      </c>
      <c r="M225" s="6">
        <f>'任务掉落明细'!Y272</f>
        <v>3.75</v>
      </c>
      <c r="N225" s="2" t="inlineStr">
        <is>
          <t>data/mission_templates.yaml:L1556:drop_table.experience_watermelon</t>
        </is>
      </c>
    </row>
    <row r="226">
      <c r="A226" s="2" t="inlineStr">
        <is>
          <t>experience_watermelon</t>
        </is>
      </c>
      <c r="B226" s="2" t="inlineStr">
        <is>
          <t>经验西瓜</t>
        </is>
      </c>
      <c r="C226" s="2" t="inlineStr">
        <is>
          <t>经验道具</t>
        </is>
      </c>
      <c r="D226" s="2" t="inlineStr">
        <is>
          <t>史诗/紫</t>
        </is>
      </c>
      <c r="E226" s="2" t="inlineStr">
        <is>
          <t>kasukabe_daisakusen</t>
        </is>
      </c>
      <c r="F226" s="2" t="inlineStr">
        <is>
          <t>春日部大作战</t>
        </is>
      </c>
      <c r="G226" s="2" t="inlineStr">
        <is>
          <t>概率掉落</t>
        </is>
      </c>
      <c r="H226" s="5">
        <f>'任务掉落明细'!X18</f>
        <v>0.05</v>
      </c>
      <c r="I226" s="2" t="n">
        <v>1</v>
      </c>
      <c r="J226" s="2" t="inlineStr">
        <is>
          <t>experience_watermelon</t>
        </is>
      </c>
      <c r="K226" s="2" t="inlineStr">
        <is>
          <t>个人任务</t>
        </is>
      </c>
      <c r="L226" s="2" t="inlineStr">
        <is>
          <t>挑战者庄园</t>
        </is>
      </c>
      <c r="M226" s="6">
        <f>'任务掉落明细'!Y18</f>
        <v>0.05</v>
      </c>
      <c r="N226" s="2" t="inlineStr">
        <is>
          <t>data/mission_templates.yaml:L206:drop_table.experience_watermelon</t>
        </is>
      </c>
    </row>
    <row r="227">
      <c r="A227" s="2" t="inlineStr">
        <is>
          <t>experience_watermelon</t>
        </is>
      </c>
      <c r="B227" s="2" t="inlineStr">
        <is>
          <t>经验西瓜</t>
        </is>
      </c>
      <c r="C227" s="2" t="inlineStr">
        <is>
          <t>经验道具</t>
        </is>
      </c>
      <c r="D227" s="2" t="inlineStr">
        <is>
          <t>史诗/紫</t>
        </is>
      </c>
      <c r="E227" s="2" t="inlineStr">
        <is>
          <t>simian_chuge</t>
        </is>
      </c>
      <c r="F227" s="2" t="inlineStr">
        <is>
          <t>四面楚歌</t>
        </is>
      </c>
      <c r="G227" s="2" t="inlineStr">
        <is>
          <t>固定掉落</t>
        </is>
      </c>
      <c r="H227" s="5">
        <f>'任务掉落明细'!X175</f>
        <v>1</v>
      </c>
      <c r="I227" s="2" t="n">
        <v>2</v>
      </c>
      <c r="J227" s="2" t="inlineStr">
        <is>
          <t>experience_watermelon</t>
        </is>
      </c>
      <c r="K227" s="2" t="inlineStr">
        <is>
          <t>个人任务</t>
        </is>
      </c>
      <c r="L227" s="2" t="inlineStr">
        <is>
          <t>挑战者庄园</t>
        </is>
      </c>
      <c r="M227" s="6">
        <f>'任务掉落明细'!Y175</f>
        <v>2</v>
      </c>
      <c r="N227" s="2" t="inlineStr">
        <is>
          <t>data/mission_templates.yaml:L1007:drop_table.experience_watermelon</t>
        </is>
      </c>
    </row>
    <row r="228">
      <c r="A228" s="2" t="inlineStr">
        <is>
          <t>experience_watermelon</t>
        </is>
      </c>
      <c r="B228" s="2" t="inlineStr">
        <is>
          <t>经验西瓜</t>
        </is>
      </c>
      <c r="C228" s="2" t="inlineStr">
        <is>
          <t>经验道具</t>
        </is>
      </c>
      <c r="D228" s="2" t="inlineStr">
        <is>
          <t>史诗/紫</t>
        </is>
      </c>
      <c r="E228" s="2" t="inlineStr">
        <is>
          <t>sishui_huaxiong_chengwei</t>
        </is>
      </c>
      <c r="F228" s="2" t="inlineStr">
        <is>
          <t>飞将浮沉录：汜水关华雄逞威</t>
        </is>
      </c>
      <c r="G228" s="2" t="inlineStr">
        <is>
          <t>概率掉落</t>
        </is>
      </c>
      <c r="H228" s="5">
        <f>'任务掉落明细'!X265</f>
        <v>0.85</v>
      </c>
      <c r="I228" s="2" t="n">
        <v>5</v>
      </c>
      <c r="J228" s="2" t="inlineStr">
        <is>
          <t>experience_watermelon</t>
        </is>
      </c>
      <c r="K228" s="2" t="inlineStr">
        <is>
          <t>个人任务</t>
        </is>
      </c>
      <c r="L228" s="2" t="inlineStr">
        <is>
          <t>挑战者庄园</t>
        </is>
      </c>
      <c r="M228" s="6">
        <f>'任务掉落明细'!Y265</f>
        <v>4.25</v>
      </c>
      <c r="N228" s="2" t="inlineStr">
        <is>
          <t>data/mission_templates.yaml:L1511:drop_table.experience_watermelon</t>
        </is>
      </c>
    </row>
    <row r="229">
      <c r="A229" s="2" t="inlineStr">
        <is>
          <t>experience_watermelon</t>
        </is>
      </c>
      <c r="B229" s="2" t="inlineStr">
        <is>
          <t>经验西瓜</t>
        </is>
      </c>
      <c r="C229" s="2" t="inlineStr">
        <is>
          <t>经验道具</t>
        </is>
      </c>
      <c r="D229" s="2" t="inlineStr">
        <is>
          <t>史诗/紫</t>
        </is>
      </c>
      <c r="E229" s="2" t="inlineStr">
        <is>
          <t>zhuolu_zhongyuan</t>
        </is>
      </c>
      <c r="F229" s="2" t="inlineStr">
        <is>
          <t>逐鹿中原</t>
        </is>
      </c>
      <c r="G229" s="2" t="inlineStr">
        <is>
          <t>概率掉落</t>
        </is>
      </c>
      <c r="H229" s="5">
        <f>'任务掉落明细'!X234</f>
        <v>0.7</v>
      </c>
      <c r="I229" s="2" t="n">
        <v>4</v>
      </c>
      <c r="J229" s="2" t="inlineStr">
        <is>
          <t>experience_watermelon</t>
        </is>
      </c>
      <c r="K229" s="2" t="inlineStr">
        <is>
          <t>个人任务</t>
        </is>
      </c>
      <c r="L229" s="2" t="inlineStr">
        <is>
          <t>挑战者庄园</t>
        </is>
      </c>
      <c r="M229" s="6">
        <f>'任务掉落明细'!Y234</f>
        <v>2.8</v>
      </c>
      <c r="N229" s="2" t="inlineStr">
        <is>
          <t>data/mission_templates.yaml:L1326:drop_table.experience_watermelon</t>
        </is>
      </c>
    </row>
    <row r="230">
      <c r="A230" s="2" t="inlineStr">
        <is>
          <t>fangdajing</t>
        </is>
      </c>
      <c r="B230" s="2" t="inlineStr">
        <is>
          <t>放大镜</t>
        </is>
      </c>
      <c r="C230" s="2" t="inlineStr">
        <is>
          <t>道具</t>
        </is>
      </c>
      <c r="D230" s="2" t="inlineStr">
        <is>
          <t>优秀/绿</t>
        </is>
      </c>
      <c r="E230" s="2" t="inlineStr">
        <is>
          <t>kasukabe_daisakusen</t>
        </is>
      </c>
      <c r="F230" s="2" t="inlineStr">
        <is>
          <t>春日部大作战</t>
        </is>
      </c>
      <c r="G230" s="2" t="inlineStr">
        <is>
          <t>概率掉落</t>
        </is>
      </c>
      <c r="H230" s="5">
        <f>'任务掉落明细'!X20</f>
        <v>0.18</v>
      </c>
      <c r="I230" s="2" t="n">
        <v>2</v>
      </c>
      <c r="J230" s="2" t="inlineStr">
        <is>
          <t>fangdajing</t>
        </is>
      </c>
      <c r="K230" s="2" t="inlineStr">
        <is>
          <t>个人任务</t>
        </is>
      </c>
      <c r="L230" s="2" t="inlineStr">
        <is>
          <t>挑战者庄园</t>
        </is>
      </c>
      <c r="M230" s="6">
        <f>'任务掉落明细'!Y20</f>
        <v>0.36</v>
      </c>
      <c r="N230" s="2" t="inlineStr">
        <is>
          <t>data/mission_templates.yaml:L206:drop_table.fangdajing</t>
        </is>
      </c>
    </row>
    <row r="231">
      <c r="A231" s="2" t="inlineStr">
        <is>
          <t>fengshen_equipment_box</t>
        </is>
      </c>
      <c r="B231" s="2" t="inlineStr">
        <is>
          <t>封神装备箱</t>
        </is>
      </c>
      <c r="C231" s="2" t="inlineStr">
        <is>
          <t>宝箱</t>
        </is>
      </c>
      <c r="D231" s="2" t="inlineStr">
        <is>
          <t>史诗/紫</t>
        </is>
      </c>
      <c r="E231" s="2" t="inlineStr">
        <is>
          <t>fengbang_tianmen</t>
        </is>
      </c>
      <c r="F231" s="2" t="inlineStr">
        <is>
          <t>封神之战：封榜天门</t>
        </is>
      </c>
      <c r="G231" s="2" t="inlineStr">
        <is>
          <t>概率掉落</t>
        </is>
      </c>
      <c r="H231" s="5">
        <f>'任务掉落明细'!X221</f>
        <v>0.08</v>
      </c>
      <c r="I231" s="2" t="n">
        <v>1</v>
      </c>
      <c r="J231" s="2" t="inlineStr">
        <is>
          <t>fengshen_equipment_box</t>
        </is>
      </c>
      <c r="K231" s="2" t="inlineStr">
        <is>
          <t>个人任务</t>
        </is>
      </c>
      <c r="L231" s="2" t="inlineStr">
        <is>
          <t>挑战者庄园</t>
        </is>
      </c>
      <c r="M231" s="6">
        <f>'任务掉落明细'!Y221</f>
        <v>0.08</v>
      </c>
      <c r="N231" s="2" t="inlineStr">
        <is>
          <t>data/mission_templates.yaml:L1259:drop_table.fengshen_equipment_box</t>
        </is>
      </c>
    </row>
    <row r="232">
      <c r="A232" s="2" t="inlineStr">
        <is>
          <t>haorenka</t>
        </is>
      </c>
      <c r="B232" s="2" t="inlineStr">
        <is>
          <t>好人卡</t>
        </is>
      </c>
      <c r="C232" s="2" t="inlineStr">
        <is>
          <t>资源</t>
        </is>
      </c>
      <c r="D232" s="2" t="inlineStr">
        <is>
          <t>优秀/绿</t>
        </is>
      </c>
      <c r="E232" s="2" t="inlineStr">
        <is>
          <t>liangshanbo_zhuyingtai</t>
        </is>
      </c>
      <c r="F232" s="2" t="inlineStr">
        <is>
          <t>梁山伯与祝英台</t>
        </is>
      </c>
      <c r="G232" s="2" t="inlineStr">
        <is>
          <t>固定掉落</t>
        </is>
      </c>
      <c r="H232" s="5">
        <f>'任务掉落明细'!X185</f>
        <v>1</v>
      </c>
      <c r="I232" s="2" t="n">
        <v>1</v>
      </c>
      <c r="J232" s="2" t="inlineStr">
        <is>
          <t>haorenka</t>
        </is>
      </c>
      <c r="K232" s="2" t="inlineStr">
        <is>
          <t>个人任务</t>
        </is>
      </c>
      <c r="L232" s="2" t="inlineStr">
        <is>
          <t>挑战者庄园</t>
        </is>
      </c>
      <c r="M232" s="6">
        <f>'任务掉落明细'!Y185</f>
        <v>1</v>
      </c>
      <c r="N232" s="2" t="inlineStr">
        <is>
          <t>data/mission_templates.yaml:L1108:drop_table.haorenka</t>
        </is>
      </c>
    </row>
    <row r="233">
      <c r="A233" s="2" t="inlineStr">
        <is>
          <t>huashan_wulin_chest</t>
        </is>
      </c>
      <c r="B233" s="2" t="inlineStr">
        <is>
          <t>武林宝箱</t>
        </is>
      </c>
      <c r="C233" s="2" t="inlineStr">
        <is>
          <t>宝箱</t>
        </is>
      </c>
      <c r="D233" s="2" t="inlineStr">
        <is>
          <t>史诗/紫</t>
        </is>
      </c>
      <c r="E233" s="2" t="inlineStr">
        <is>
          <t>huashan_lunjian_advanced</t>
        </is>
      </c>
      <c r="F233" s="2" t="inlineStr">
        <is>
          <t>华山论剑</t>
        </is>
      </c>
      <c r="G233" s="2" t="inlineStr">
        <is>
          <t>固定掉落</t>
        </is>
      </c>
      <c r="H233" s="5">
        <f>'任务掉落明细'!X263</f>
        <v>1</v>
      </c>
      <c r="I233" s="2" t="n">
        <v>1</v>
      </c>
      <c r="J233" s="2" t="inlineStr">
        <is>
          <t>huashan_wulin_chest</t>
        </is>
      </c>
      <c r="K233" s="2" t="inlineStr">
        <is>
          <t>个人任务</t>
        </is>
      </c>
      <c r="L233" s="2" t="inlineStr">
        <is>
          <t>挑战者庄园</t>
        </is>
      </c>
      <c r="M233" s="6">
        <f>'任务掉落明细'!Y263</f>
        <v>1</v>
      </c>
      <c r="N233" s="2" t="inlineStr">
        <is>
          <t>data/mission_templates.yaml:L1437:drop_table.huashan_wulin_chest</t>
        </is>
      </c>
    </row>
    <row r="234">
      <c r="A234" s="2" t="inlineStr">
        <is>
          <t>hulao_war_banner</t>
        </is>
      </c>
      <c r="B234" s="2" t="inlineStr">
        <is>
          <t>虎牢关战旗</t>
        </is>
      </c>
      <c r="C234" s="2" t="inlineStr">
        <is>
          <t>资源</t>
        </is>
      </c>
      <c r="D234" s="2" t="inlineStr">
        <is>
          <t>史诗/紫</t>
        </is>
      </c>
      <c r="E234" s="2" t="inlineStr">
        <is>
          <t>hulao_qunying_zhan_lvbu</t>
        </is>
      </c>
      <c r="F234" s="2" t="inlineStr">
        <is>
          <t>飞将浮沉录：虎牢关群英战吕布</t>
        </is>
      </c>
      <c r="G234" s="2" t="inlineStr">
        <is>
          <t>固定掉落</t>
        </is>
      </c>
      <c r="H234" s="5">
        <f>'任务掉落明细'!X273</f>
        <v>1</v>
      </c>
      <c r="I234" s="2" t="n">
        <v>1</v>
      </c>
      <c r="J234" s="2" t="inlineStr">
        <is>
          <t>hulao_war_banner</t>
        </is>
      </c>
      <c r="K234" s="2" t="inlineStr">
        <is>
          <t>个人任务</t>
        </is>
      </c>
      <c r="L234" s="2" t="inlineStr">
        <is>
          <t>挑战者庄园</t>
        </is>
      </c>
      <c r="M234" s="6">
        <f>'任务掉落明细'!Y273</f>
        <v>1</v>
      </c>
      <c r="N234" s="2" t="inlineStr">
        <is>
          <t>data/mission_templates.yaml:L1556:drop_table.hulao_war_banner</t>
        </is>
      </c>
    </row>
    <row r="235">
      <c r="A235" s="2" t="inlineStr">
        <is>
          <t>jade_rabbit_summon_scroll</t>
        </is>
      </c>
      <c r="B235" s="2" t="inlineStr">
        <is>
          <t>玉兔召唤卷轴</t>
        </is>
      </c>
      <c r="C235" s="2" t="inlineStr">
        <is>
          <t>道具</t>
        </is>
      </c>
      <c r="D235" s="2" t="inlineStr">
        <is>
          <t>优秀/绿</t>
        </is>
      </c>
      <c r="E235" s="2" t="inlineStr">
        <is>
          <t>mid_autumn_moon_palace_trial</t>
        </is>
      </c>
      <c r="F235" s="2" t="inlineStr">
        <is>
          <t>广寒宫试炼</t>
        </is>
      </c>
      <c r="G235" s="2" t="inlineStr">
        <is>
          <t>概率掉落</t>
        </is>
      </c>
      <c r="H235" s="5">
        <f>'任务掉落明细'!X8</f>
        <v>0.08</v>
      </c>
      <c r="I235" s="2" t="n">
        <v>1</v>
      </c>
      <c r="J235" s="2" t="inlineStr">
        <is>
          <t>jade_rabbit_summon_scroll</t>
        </is>
      </c>
      <c r="K235" s="2" t="inlineStr">
        <is>
          <t>个人任务</t>
        </is>
      </c>
      <c r="L235" s="2" t="inlineStr">
        <is>
          <t>挑战者庄园</t>
        </is>
      </c>
      <c r="M235" s="6">
        <f>'任务掉落明细'!Y8</f>
        <v>0.08</v>
      </c>
      <c r="N235" s="2" t="inlineStr">
        <is>
          <t>data/mission_templates.yaml:L139:drop_table.jade_rabbit_summon_scroll</t>
        </is>
      </c>
    </row>
    <row r="236">
      <c r="A236" s="2" t="inlineStr">
        <is>
          <t>kasukabe_crayon</t>
        </is>
      </c>
      <c r="B236" s="2" t="inlineStr">
        <is>
          <t>小新的蜡笔</t>
        </is>
      </c>
      <c r="C236" s="2" t="inlineStr">
        <is>
          <t>道具</t>
        </is>
      </c>
      <c r="D236" s="2" t="inlineStr">
        <is>
          <t>稀有/蓝</t>
        </is>
      </c>
      <c r="E236" s="2" t="inlineStr">
        <is>
          <t>kasukabe_daisakusen</t>
        </is>
      </c>
      <c r="F236" s="2" t="inlineStr">
        <is>
          <t>春日部大作战</t>
        </is>
      </c>
      <c r="G236" s="2" t="inlineStr">
        <is>
          <t>固定掉落</t>
        </is>
      </c>
      <c r="H236" s="5">
        <f>'任务掉落明细'!X12</f>
        <v>1</v>
      </c>
      <c r="I236" s="2" t="n">
        <v>1</v>
      </c>
      <c r="J236" s="2" t="inlineStr">
        <is>
          <t>kasukabe_crayon</t>
        </is>
      </c>
      <c r="K236" s="2" t="inlineStr">
        <is>
          <t>个人任务</t>
        </is>
      </c>
      <c r="L236" s="2" t="inlineStr">
        <is>
          <t>挑战者庄园</t>
        </is>
      </c>
      <c r="M236" s="6">
        <f>'任务掉落明细'!Y12</f>
        <v>1</v>
      </c>
      <c r="N236" s="2" t="inlineStr">
        <is>
          <t>data/mission_templates.yaml:L206:drop_table.kasukabe_crayon</t>
        </is>
      </c>
    </row>
    <row r="237">
      <c r="A237" s="2" t="inlineStr">
        <is>
          <t>kasukabe_crayon</t>
        </is>
      </c>
      <c r="B237" s="2" t="inlineStr">
        <is>
          <t>小新的蜡笔</t>
        </is>
      </c>
      <c r="C237" s="2" t="inlineStr">
        <is>
          <t>道具</t>
        </is>
      </c>
      <c r="D237" s="2" t="inlineStr">
        <is>
          <t>稀有/蓝</t>
        </is>
      </c>
      <c r="E237" s="2" t="inlineStr">
        <is>
          <t>kasukabe_daisakusen</t>
        </is>
      </c>
      <c r="F237" s="2" t="inlineStr">
        <is>
          <t>春日部大作战</t>
        </is>
      </c>
      <c r="G237" s="2" t="inlineStr">
        <is>
          <t>随机池掉落</t>
        </is>
      </c>
      <c r="H237" s="5">
        <f>'任务掉落明细'!X13</f>
        <v>0.55</v>
      </c>
      <c r="I237" s="2" t="n">
        <v>1</v>
      </c>
      <c r="J237" s="2" t="inlineStr">
        <is>
          <t>kasukabe_crayon_bonus_1</t>
        </is>
      </c>
      <c r="K237" s="2" t="inlineStr">
        <is>
          <t>个人任务</t>
        </is>
      </c>
      <c r="L237" s="2" t="inlineStr">
        <is>
          <t>挑战者庄园</t>
        </is>
      </c>
      <c r="M237" s="6">
        <f>'任务掉落明细'!Y13</f>
        <v>0.55</v>
      </c>
      <c r="N237" s="2" t="inlineStr">
        <is>
          <t>data/mission_templates.yaml:L206:drop_table.kasukabe_crayon_bonus_1</t>
        </is>
      </c>
    </row>
    <row r="238">
      <c r="A238" s="2" t="inlineStr">
        <is>
          <t>kasukabe_crayon</t>
        </is>
      </c>
      <c r="B238" s="2" t="inlineStr">
        <is>
          <t>小新的蜡笔</t>
        </is>
      </c>
      <c r="C238" s="2" t="inlineStr">
        <is>
          <t>道具</t>
        </is>
      </c>
      <c r="D238" s="2" t="inlineStr">
        <is>
          <t>稀有/蓝</t>
        </is>
      </c>
      <c r="E238" s="2" t="inlineStr">
        <is>
          <t>kasukabe_daisakusen</t>
        </is>
      </c>
      <c r="F238" s="2" t="inlineStr">
        <is>
          <t>春日部大作战</t>
        </is>
      </c>
      <c r="G238" s="2" t="inlineStr">
        <is>
          <t>随机池掉落</t>
        </is>
      </c>
      <c r="H238" s="5">
        <f>'任务掉落明细'!X14</f>
        <v>0.25</v>
      </c>
      <c r="I238" s="2" t="n">
        <v>2</v>
      </c>
      <c r="J238" s="2" t="inlineStr">
        <is>
          <t>kasukabe_crayon_bonus_2</t>
        </is>
      </c>
      <c r="K238" s="2" t="inlineStr">
        <is>
          <t>个人任务</t>
        </is>
      </c>
      <c r="L238" s="2" t="inlineStr">
        <is>
          <t>挑战者庄园</t>
        </is>
      </c>
      <c r="M238" s="6">
        <f>'任务掉落明细'!Y14</f>
        <v>0.5</v>
      </c>
      <c r="N238" s="2" t="inlineStr">
        <is>
          <t>data/mission_templates.yaml:L206:drop_table.kasukabe_crayon_bonus_2</t>
        </is>
      </c>
    </row>
    <row r="239">
      <c r="A239" s="2" t="inlineStr">
        <is>
          <t>kasukabe_crayon</t>
        </is>
      </c>
      <c r="B239" s="2" t="inlineStr">
        <is>
          <t>小新的蜡笔</t>
        </is>
      </c>
      <c r="C239" s="2" t="inlineStr">
        <is>
          <t>道具</t>
        </is>
      </c>
      <c r="D239" s="2" t="inlineStr">
        <is>
          <t>稀有/蓝</t>
        </is>
      </c>
      <c r="E239" s="2" t="inlineStr">
        <is>
          <t>kasukabe_daisakusen</t>
        </is>
      </c>
      <c r="F239" s="2" t="inlineStr">
        <is>
          <t>春日部大作战</t>
        </is>
      </c>
      <c r="G239" s="2" t="inlineStr">
        <is>
          <t>随机池掉落</t>
        </is>
      </c>
      <c r="H239" s="5">
        <f>'任务掉落明细'!X15</f>
        <v>0.08</v>
      </c>
      <c r="I239" s="2" t="n">
        <v>4</v>
      </c>
      <c r="J239" s="2" t="inlineStr">
        <is>
          <t>kasukabe_crayon_bonus_4</t>
        </is>
      </c>
      <c r="K239" s="2" t="inlineStr">
        <is>
          <t>个人任务</t>
        </is>
      </c>
      <c r="L239" s="2" t="inlineStr">
        <is>
          <t>挑战者庄园</t>
        </is>
      </c>
      <c r="M239" s="6">
        <f>'任务掉落明细'!Y15</f>
        <v>0.32</v>
      </c>
      <c r="N239" s="2" t="inlineStr">
        <is>
          <t>data/mission_templates.yaml:L206:drop_table.kasukabe_crayon_bonus_4</t>
        </is>
      </c>
    </row>
    <row r="240">
      <c r="A240" s="2" t="inlineStr">
        <is>
          <t>kasukabe_crayon</t>
        </is>
      </c>
      <c r="B240" s="2" t="inlineStr">
        <is>
          <t>小新的蜡笔</t>
        </is>
      </c>
      <c r="C240" s="2" t="inlineStr">
        <is>
          <t>道具</t>
        </is>
      </c>
      <c r="D240" s="2" t="inlineStr">
        <is>
          <t>稀有/蓝</t>
        </is>
      </c>
      <c r="E240" s="2" t="inlineStr">
        <is>
          <t>kasukabe_daisakusen</t>
        </is>
      </c>
      <c r="F240" s="2" t="inlineStr">
        <is>
          <t>春日部大作战</t>
        </is>
      </c>
      <c r="G240" s="2" t="inlineStr">
        <is>
          <t>随机池掉落</t>
        </is>
      </c>
      <c r="H240" s="5">
        <f>'任务掉落明细'!X16</f>
        <v>0.015</v>
      </c>
      <c r="I240" s="2" t="n">
        <v>10</v>
      </c>
      <c r="J240" s="2" t="inlineStr">
        <is>
          <t>kasukabe_crayon_bonus_10</t>
        </is>
      </c>
      <c r="K240" s="2" t="inlineStr">
        <is>
          <t>个人任务</t>
        </is>
      </c>
      <c r="L240" s="2" t="inlineStr">
        <is>
          <t>挑战者庄园</t>
        </is>
      </c>
      <c r="M240" s="6">
        <f>'任务掉落明细'!Y16</f>
        <v>0.15</v>
      </c>
      <c r="N240" s="2" t="inlineStr">
        <is>
          <t>data/mission_templates.yaml:L206:drop_table.kasukabe_crayon_bonus_10</t>
        </is>
      </c>
    </row>
    <row r="241">
      <c r="A241" s="2" t="inlineStr">
        <is>
          <t>lvbu_guest_scroll</t>
        </is>
      </c>
      <c r="B241" s="2" t="inlineStr">
        <is>
          <t>吕布招募卷轴</t>
        </is>
      </c>
      <c r="C241" s="2" t="inlineStr">
        <is>
          <t>道具</t>
        </is>
      </c>
      <c r="D241" s="2" t="inlineStr">
        <is>
          <t>传说/橙</t>
        </is>
      </c>
      <c r="E241" s="2" t="inlineStr">
        <is>
          <t>baimenlou_mingyun_jueze</t>
        </is>
      </c>
      <c r="F241" s="2" t="inlineStr">
        <is>
          <t>飞将浮沉录：白门楼命运抉择</t>
        </is>
      </c>
      <c r="G241" s="2" t="inlineStr">
        <is>
          <t>概率掉落</t>
        </is>
      </c>
      <c r="H241" s="5">
        <f>'任务掉落明细'!X279</f>
        <v>0.05</v>
      </c>
      <c r="I241" s="2" t="n">
        <v>1</v>
      </c>
      <c r="J241" s="2" t="inlineStr">
        <is>
          <t>lvbu_guest_scroll</t>
        </is>
      </c>
      <c r="K241" s="2" t="inlineStr">
        <is>
          <t>个人任务</t>
        </is>
      </c>
      <c r="L241" s="2" t="inlineStr">
        <is>
          <t>挑战者庄园</t>
        </is>
      </c>
      <c r="M241" s="6">
        <f>'任务掉落明细'!Y279</f>
        <v>0.05</v>
      </c>
      <c r="N241" s="2" t="inlineStr">
        <is>
          <t>data/mission_templates.yaml:L1602:drop_table.lvbu_guest_scroll</t>
        </is>
      </c>
    </row>
    <row r="242">
      <c r="A242" s="2" t="inlineStr">
        <is>
          <t>mid_autumn_mooncake</t>
        </is>
      </c>
      <c r="B242" s="2" t="inlineStr">
        <is>
          <t>月饼</t>
        </is>
      </c>
      <c r="C242" s="2" t="inlineStr">
        <is>
          <t>宝箱</t>
        </is>
      </c>
      <c r="D242" s="2" t="inlineStr">
        <is>
          <t>优秀/绿</t>
        </is>
      </c>
      <c r="E242" s="2" t="inlineStr">
        <is>
          <t>mid_autumn_moon_palace_trial</t>
        </is>
      </c>
      <c r="F242" s="2" t="inlineStr">
        <is>
          <t>广寒宫试炼</t>
        </is>
      </c>
      <c r="G242" s="2" t="inlineStr">
        <is>
          <t>固定掉落</t>
        </is>
      </c>
      <c r="H242" s="5">
        <f>'任务掉落明细'!X3</f>
        <v>1</v>
      </c>
      <c r="I242" s="2" t="n">
        <v>1</v>
      </c>
      <c r="J242" s="2" t="inlineStr">
        <is>
          <t>mid_autumn_mooncake</t>
        </is>
      </c>
      <c r="K242" s="2" t="inlineStr">
        <is>
          <t>个人任务</t>
        </is>
      </c>
      <c r="L242" s="2" t="inlineStr">
        <is>
          <t>挑战者庄园</t>
        </is>
      </c>
      <c r="M242" s="6">
        <f>'任务掉落明细'!Y3</f>
        <v>1</v>
      </c>
      <c r="N242" s="2" t="inlineStr">
        <is>
          <t>data/mission_templates.yaml:L139:drop_table.mid_autumn_mooncake</t>
        </is>
      </c>
    </row>
    <row r="243">
      <c r="A243" s="2" t="inlineStr">
        <is>
          <t>mid_autumn_mooncake</t>
        </is>
      </c>
      <c r="B243" s="2" t="inlineStr">
        <is>
          <t>月饼</t>
        </is>
      </c>
      <c r="C243" s="2" t="inlineStr">
        <is>
          <t>宝箱</t>
        </is>
      </c>
      <c r="D243" s="2" t="inlineStr">
        <is>
          <t>优秀/绿</t>
        </is>
      </c>
      <c r="E243" s="2" t="inlineStr">
        <is>
          <t>mid_autumn_moon_palace_trial</t>
        </is>
      </c>
      <c r="F243" s="2" t="inlineStr">
        <is>
          <t>广寒宫试炼</t>
        </is>
      </c>
      <c r="G243" s="2" t="inlineStr">
        <is>
          <t>随机池掉落</t>
        </is>
      </c>
      <c r="H243" s="5">
        <f>'任务掉落明细'!X4</f>
        <v>0.55</v>
      </c>
      <c r="I243" s="2" t="n">
        <v>1</v>
      </c>
      <c r="J243" s="2" t="inlineStr">
        <is>
          <t>mid_autumn_mooncake_bonus_1</t>
        </is>
      </c>
      <c r="K243" s="2" t="inlineStr">
        <is>
          <t>个人任务</t>
        </is>
      </c>
      <c r="L243" s="2" t="inlineStr">
        <is>
          <t>挑战者庄园</t>
        </is>
      </c>
      <c r="M243" s="6">
        <f>'任务掉落明细'!Y4</f>
        <v>0.55</v>
      </c>
      <c r="N243" s="2" t="inlineStr">
        <is>
          <t>data/mission_templates.yaml:L139:drop_table.mid_autumn_mooncake_bonus_1</t>
        </is>
      </c>
    </row>
    <row r="244">
      <c r="A244" s="2" t="inlineStr">
        <is>
          <t>mid_autumn_mooncake</t>
        </is>
      </c>
      <c r="B244" s="2" t="inlineStr">
        <is>
          <t>月饼</t>
        </is>
      </c>
      <c r="C244" s="2" t="inlineStr">
        <is>
          <t>宝箱</t>
        </is>
      </c>
      <c r="D244" s="2" t="inlineStr">
        <is>
          <t>优秀/绿</t>
        </is>
      </c>
      <c r="E244" s="2" t="inlineStr">
        <is>
          <t>mid_autumn_moon_palace_trial</t>
        </is>
      </c>
      <c r="F244" s="2" t="inlineStr">
        <is>
          <t>广寒宫试炼</t>
        </is>
      </c>
      <c r="G244" s="2" t="inlineStr">
        <is>
          <t>随机池掉落</t>
        </is>
      </c>
      <c r="H244" s="5">
        <f>'任务掉落明细'!X5</f>
        <v>0.25</v>
      </c>
      <c r="I244" s="2" t="n">
        <v>2</v>
      </c>
      <c r="J244" s="2" t="inlineStr">
        <is>
          <t>mid_autumn_mooncake_bonus_2</t>
        </is>
      </c>
      <c r="K244" s="2" t="inlineStr">
        <is>
          <t>个人任务</t>
        </is>
      </c>
      <c r="L244" s="2" t="inlineStr">
        <is>
          <t>挑战者庄园</t>
        </is>
      </c>
      <c r="M244" s="6">
        <f>'任务掉落明细'!Y5</f>
        <v>0.5</v>
      </c>
      <c r="N244" s="2" t="inlineStr">
        <is>
          <t>data/mission_templates.yaml:L139:drop_table.mid_autumn_mooncake_bonus_2</t>
        </is>
      </c>
    </row>
    <row r="245">
      <c r="A245" s="2" t="inlineStr">
        <is>
          <t>mid_autumn_mooncake</t>
        </is>
      </c>
      <c r="B245" s="2" t="inlineStr">
        <is>
          <t>月饼</t>
        </is>
      </c>
      <c r="C245" s="2" t="inlineStr">
        <is>
          <t>宝箱</t>
        </is>
      </c>
      <c r="D245" s="2" t="inlineStr">
        <is>
          <t>优秀/绿</t>
        </is>
      </c>
      <c r="E245" s="2" t="inlineStr">
        <is>
          <t>mid_autumn_moon_palace_trial</t>
        </is>
      </c>
      <c r="F245" s="2" t="inlineStr">
        <is>
          <t>广寒宫试炼</t>
        </is>
      </c>
      <c r="G245" s="2" t="inlineStr">
        <is>
          <t>随机池掉落</t>
        </is>
      </c>
      <c r="H245" s="5">
        <f>'任务掉落明细'!X6</f>
        <v>0.08</v>
      </c>
      <c r="I245" s="2" t="n">
        <v>4</v>
      </c>
      <c r="J245" s="2" t="inlineStr">
        <is>
          <t>mid_autumn_mooncake_bonus_4</t>
        </is>
      </c>
      <c r="K245" s="2" t="inlineStr">
        <is>
          <t>个人任务</t>
        </is>
      </c>
      <c r="L245" s="2" t="inlineStr">
        <is>
          <t>挑战者庄园</t>
        </is>
      </c>
      <c r="M245" s="6">
        <f>'任务掉落明细'!Y6</f>
        <v>0.32</v>
      </c>
      <c r="N245" s="2" t="inlineStr">
        <is>
          <t>data/mission_templates.yaml:L139:drop_table.mid_autumn_mooncake_bonus_4</t>
        </is>
      </c>
    </row>
    <row r="246">
      <c r="A246" s="2" t="inlineStr">
        <is>
          <t>mid_autumn_mooncake</t>
        </is>
      </c>
      <c r="B246" s="2" t="inlineStr">
        <is>
          <t>月饼</t>
        </is>
      </c>
      <c r="C246" s="2" t="inlineStr">
        <is>
          <t>宝箱</t>
        </is>
      </c>
      <c r="D246" s="2" t="inlineStr">
        <is>
          <t>优秀/绿</t>
        </is>
      </c>
      <c r="E246" s="2" t="inlineStr">
        <is>
          <t>mid_autumn_moon_palace_trial</t>
        </is>
      </c>
      <c r="F246" s="2" t="inlineStr">
        <is>
          <t>广寒宫试炼</t>
        </is>
      </c>
      <c r="G246" s="2" t="inlineStr">
        <is>
          <t>随机池掉落</t>
        </is>
      </c>
      <c r="H246" s="5">
        <f>'任务掉落明细'!X7</f>
        <v>0.015</v>
      </c>
      <c r="I246" s="2" t="n">
        <v>10</v>
      </c>
      <c r="J246" s="2" t="inlineStr">
        <is>
          <t>mid_autumn_mooncake_bonus_10</t>
        </is>
      </c>
      <c r="K246" s="2" t="inlineStr">
        <is>
          <t>个人任务</t>
        </is>
      </c>
      <c r="L246" s="2" t="inlineStr">
        <is>
          <t>挑战者庄园</t>
        </is>
      </c>
      <c r="M246" s="6">
        <f>'任务掉落明细'!Y7</f>
        <v>0.15</v>
      </c>
      <c r="N246" s="2" t="inlineStr">
        <is>
          <t>data/mission_templates.yaml:L139:drop_table.mid_autumn_mooncake_bonus_10</t>
        </is>
      </c>
    </row>
    <row r="247">
      <c r="A247" s="2" t="inlineStr">
        <is>
          <t>mission_card</t>
        </is>
      </c>
      <c r="B247" s="2" t="inlineStr">
        <is>
          <t>任务卡</t>
        </is>
      </c>
      <c r="C247" s="2" t="inlineStr">
        <is>
          <t>道具</t>
        </is>
      </c>
      <c r="D247" s="2" t="inlineStr">
        <is>
          <t>稀有/蓝</t>
        </is>
      </c>
      <c r="E247" s="2" t="inlineStr">
        <is>
          <t>kasukabe_daisakusen</t>
        </is>
      </c>
      <c r="F247" s="2" t="inlineStr">
        <is>
          <t>春日部大作战</t>
        </is>
      </c>
      <c r="G247" s="2" t="inlineStr">
        <is>
          <t>概率掉落</t>
        </is>
      </c>
      <c r="H247" s="5">
        <f>'任务掉落明细'!X21</f>
        <v>0.08</v>
      </c>
      <c r="I247" s="2" t="n">
        <v>1</v>
      </c>
      <c r="J247" s="2" t="inlineStr">
        <is>
          <t>mission_card</t>
        </is>
      </c>
      <c r="K247" s="2" t="inlineStr">
        <is>
          <t>个人任务</t>
        </is>
      </c>
      <c r="L247" s="2" t="inlineStr">
        <is>
          <t>挑战者庄园</t>
        </is>
      </c>
      <c r="M247" s="6">
        <f>'任务掉落明细'!Y21</f>
        <v>0.08</v>
      </c>
      <c r="N247" s="2" t="inlineStr">
        <is>
          <t>data/mission_templates.yaml:L206:drop_table.mission_card</t>
        </is>
      </c>
    </row>
    <row r="248">
      <c r="A248" s="2" t="inlineStr">
        <is>
          <t>passive_skill_book_box</t>
        </is>
      </c>
      <c r="B248" s="2" t="inlineStr">
        <is>
          <t>被动技能宝箱</t>
        </is>
      </c>
      <c r="C248" s="2" t="inlineStr">
        <is>
          <t>宝箱</t>
        </is>
      </c>
      <c r="D248" s="2" t="inlineStr">
        <is>
          <t>史诗/紫</t>
        </is>
      </c>
      <c r="E248" s="2" t="inlineStr">
        <is>
          <t>simian_chuge</t>
        </is>
      </c>
      <c r="F248" s="2" t="inlineStr">
        <is>
          <t>四面楚歌</t>
        </is>
      </c>
      <c r="G248" s="2" t="inlineStr">
        <is>
          <t>概率掉落</t>
        </is>
      </c>
      <c r="H248" s="5">
        <f>'任务掉落明细'!X176</f>
        <v>0.06</v>
      </c>
      <c r="I248" s="2" t="n">
        <v>1</v>
      </c>
      <c r="J248" s="2" t="inlineStr">
        <is>
          <t>passive_skill_book_box</t>
        </is>
      </c>
      <c r="K248" s="2" t="inlineStr">
        <is>
          <t>个人任务</t>
        </is>
      </c>
      <c r="L248" s="2" t="inlineStr">
        <is>
          <t>挑战者庄园</t>
        </is>
      </c>
      <c r="M248" s="6">
        <f>'任务掉落明细'!Y176</f>
        <v>0.06</v>
      </c>
      <c r="N248" s="2" t="inlineStr">
        <is>
          <t>data/mission_templates.yaml:L1007:drop_table.passive_skill_book_box</t>
        </is>
      </c>
    </row>
    <row r="249">
      <c r="A249" s="2" t="inlineStr">
        <is>
          <t>pubayi_guest_card</t>
        </is>
      </c>
      <c r="B249" s="2" t="inlineStr">
        <is>
          <t>蒲巴乙门客卡</t>
        </is>
      </c>
      <c r="C249" s="2" t="inlineStr">
        <is>
          <t>道具</t>
        </is>
      </c>
      <c r="D249" s="2" t="inlineStr">
        <is>
          <t>稀有/蓝</t>
        </is>
      </c>
      <c r="E249" s="2" t="inlineStr">
        <is>
          <t>manzu_ruqin</t>
        </is>
      </c>
      <c r="F249" s="2" t="inlineStr">
        <is>
          <t>蛮族入侵</t>
        </is>
      </c>
      <c r="G249" s="2" t="inlineStr">
        <is>
          <t>概率掉落</t>
        </is>
      </c>
      <c r="H249" s="5">
        <f>'任务掉落明细'!X179</f>
        <v>0.1</v>
      </c>
      <c r="I249" s="2" t="n">
        <v>1</v>
      </c>
      <c r="J249" s="2" t="inlineStr">
        <is>
          <t>pubayi_guest_card</t>
        </is>
      </c>
      <c r="K249" s="2" t="inlineStr">
        <is>
          <t>个人任务</t>
        </is>
      </c>
      <c r="L249" s="2" t="inlineStr">
        <is>
          <t>挑战者庄园</t>
        </is>
      </c>
      <c r="M249" s="6">
        <f>'任务掉落明细'!Y179</f>
        <v>0.1</v>
      </c>
      <c r="N249" s="2" t="inlineStr">
        <is>
          <t>data/mission_templates.yaml:L1046:drop_table.pubayi_guest_card</t>
        </is>
      </c>
    </row>
    <row r="250">
      <c r="A250" s="2" t="inlineStr">
        <is>
          <t>red_ruby</t>
        </is>
      </c>
      <c r="B250" s="2" t="inlineStr">
        <is>
          <t>红宝石</t>
        </is>
      </c>
      <c r="C250" s="2" t="inlineStr">
        <is>
          <t>资源</t>
        </is>
      </c>
      <c r="D250" s="2" t="inlineStr">
        <is>
          <t>稀有/蓝</t>
        </is>
      </c>
      <c r="E250" s="2" t="inlineStr">
        <is>
          <t>guild_blackwind_assault</t>
        </is>
      </c>
      <c r="F250" s="2" t="inlineStr">
        <is>
          <t>黑风关总攻</t>
        </is>
      </c>
      <c r="G250" s="2" t="inlineStr">
        <is>
          <t>帮会固定奖励</t>
        </is>
      </c>
      <c r="H250" s="5">
        <f>'任务掉落明细'!X290</f>
        <v>1</v>
      </c>
      <c r="I250" s="2" t="n">
        <v>288</v>
      </c>
      <c r="J250" s="2" t="inlineStr">
        <is>
          <t>red_ruby</t>
        </is>
      </c>
      <c r="K250" s="2" t="inlineStr">
        <is>
          <t>帮会任务</t>
        </is>
      </c>
      <c r="L250" s="2" t="inlineStr">
        <is>
          <t>帮会仓库</t>
        </is>
      </c>
      <c r="M250" s="6">
        <f>'任务掉落明细'!Y290</f>
        <v>288</v>
      </c>
      <c r="N250" s="2" t="inlineStr">
        <is>
          <t>data/guild_mission_templates.yaml:L89:ruby_reward</t>
        </is>
      </c>
    </row>
    <row r="251">
      <c r="A251" s="2" t="inlineStr">
        <is>
          <t>red_ruby</t>
        </is>
      </c>
      <c r="B251" s="2" t="inlineStr">
        <is>
          <t>红宝石</t>
        </is>
      </c>
      <c r="C251" s="2" t="inlineStr">
        <is>
          <t>资源</t>
        </is>
      </c>
      <c r="D251" s="2" t="inlineStr">
        <is>
          <t>稀有/蓝</t>
        </is>
      </c>
      <c r="E251" s="2" t="inlineStr">
        <is>
          <t>guild_patrol_alpha</t>
        </is>
      </c>
      <c r="F251" s="2" t="inlineStr">
        <is>
          <t>夜袭乌鳞寨</t>
        </is>
      </c>
      <c r="G251" s="2" t="inlineStr">
        <is>
          <t>帮会固定奖励</t>
        </is>
      </c>
      <c r="H251" s="5">
        <f>'任务掉落明细'!X288</f>
        <v>1</v>
      </c>
      <c r="I251" s="2" t="n">
        <v>96</v>
      </c>
      <c r="J251" s="2" t="inlineStr">
        <is>
          <t>red_ruby</t>
        </is>
      </c>
      <c r="K251" s="2" t="inlineStr">
        <is>
          <t>帮会任务</t>
        </is>
      </c>
      <c r="L251" s="2" t="inlineStr">
        <is>
          <t>帮会仓库</t>
        </is>
      </c>
      <c r="M251" s="6">
        <f>'任务掉落明细'!Y288</f>
        <v>96</v>
      </c>
      <c r="N251" s="2" t="inlineStr">
        <is>
          <t>data/guild_mission_templates.yaml:L9:ruby_reward</t>
        </is>
      </c>
    </row>
    <row r="252">
      <c r="A252" s="2" t="inlineStr">
        <is>
          <t>red_ruby</t>
        </is>
      </c>
      <c r="B252" s="2" t="inlineStr">
        <is>
          <t>红宝石</t>
        </is>
      </c>
      <c r="C252" s="2" t="inlineStr">
        <is>
          <t>资源</t>
        </is>
      </c>
      <c r="D252" s="2" t="inlineStr">
        <is>
          <t>稀有/蓝</t>
        </is>
      </c>
      <c r="E252" s="2" t="inlineStr">
        <is>
          <t>guild_supply_escort</t>
        </is>
      </c>
      <c r="F252" s="2" t="inlineStr">
        <is>
          <t>血旗镖局风云</t>
        </is>
      </c>
      <c r="G252" s="2" t="inlineStr">
        <is>
          <t>帮会固定奖励</t>
        </is>
      </c>
      <c r="H252" s="5">
        <f>'任务掉落明细'!X289</f>
        <v>1</v>
      </c>
      <c r="I252" s="2" t="n">
        <v>168</v>
      </c>
      <c r="J252" s="2" t="inlineStr">
        <is>
          <t>red_ruby</t>
        </is>
      </c>
      <c r="K252" s="2" t="inlineStr">
        <is>
          <t>帮会任务</t>
        </is>
      </c>
      <c r="L252" s="2" t="inlineStr">
        <is>
          <t>帮会仓库</t>
        </is>
      </c>
      <c r="M252" s="6">
        <f>'任务掉落明细'!Y289</f>
        <v>168</v>
      </c>
      <c r="N252" s="2" t="inlineStr">
        <is>
          <t>data/guild_mission_templates.yaml:L47:ruby_reward</t>
        </is>
      </c>
    </row>
    <row r="253">
      <c r="A253" s="2" t="inlineStr">
        <is>
          <t>saiwai_equipment_box</t>
        </is>
      </c>
      <c r="B253" s="2" t="inlineStr">
        <is>
          <t>塞外装备箱</t>
        </is>
      </c>
      <c r="C253" s="2" t="inlineStr">
        <is>
          <t>宝箱</t>
        </is>
      </c>
      <c r="D253" s="2" t="inlineStr">
        <is>
          <t>史诗/紫</t>
        </is>
      </c>
      <c r="E253" s="2" t="inlineStr">
        <is>
          <t>zhuiji_manzu</t>
        </is>
      </c>
      <c r="F253" s="2" t="inlineStr">
        <is>
          <t>追击蛮族</t>
        </is>
      </c>
      <c r="G253" s="2" t="inlineStr">
        <is>
          <t>概率掉落</t>
        </is>
      </c>
      <c r="H253" s="5">
        <f>'任务掉落明细'!X182</f>
        <v>0.24</v>
      </c>
      <c r="I253" s="2" t="n">
        <v>1</v>
      </c>
      <c r="J253" s="2" t="inlineStr">
        <is>
          <t>saiwai_equipment_box</t>
        </is>
      </c>
      <c r="K253" s="2" t="inlineStr">
        <is>
          <t>个人任务</t>
        </is>
      </c>
      <c r="L253" s="2" t="inlineStr">
        <is>
          <t>挑战者庄园</t>
        </is>
      </c>
      <c r="M253" s="6">
        <f>'任务掉落明细'!Y182</f>
        <v>0.24</v>
      </c>
      <c r="N253" s="2" t="inlineStr">
        <is>
          <t>data/mission_templates.yaml:L1075:drop_table.saiwai_equipment_box</t>
        </is>
      </c>
    </row>
    <row r="254">
      <c r="A254" s="2" t="inlineStr">
        <is>
          <t>silver</t>
        </is>
      </c>
      <c r="B254" s="2" t="inlineStr">
        <is>
          <t>银两</t>
        </is>
      </c>
      <c r="C254" s="2" t="inlineStr">
        <is>
          <t>资源</t>
        </is>
      </c>
      <c r="D254" s="2" t="inlineStr">
        <is>
          <t>资源</t>
        </is>
      </c>
      <c r="E254" s="2" t="inlineStr">
        <is>
          <t>baimenlou_mingyun_jueze</t>
        </is>
      </c>
      <c r="F254" s="2" t="inlineStr">
        <is>
          <t>飞将浮沉录：白门楼命运抉择</t>
        </is>
      </c>
      <c r="G254" s="2" t="inlineStr">
        <is>
          <t>固定掉落</t>
        </is>
      </c>
      <c r="H254" s="5">
        <f>'任务掉落明细'!X277</f>
        <v>1</v>
      </c>
      <c r="I254" s="2" t="n">
        <v>180000</v>
      </c>
      <c r="J254" s="2" t="inlineStr">
        <is>
          <t>silver</t>
        </is>
      </c>
      <c r="K254" s="2" t="inlineStr">
        <is>
          <t>个人任务</t>
        </is>
      </c>
      <c r="L254" s="2" t="inlineStr">
        <is>
          <t>挑战者庄园</t>
        </is>
      </c>
      <c r="M254" s="6">
        <f>'任务掉落明细'!Y277</f>
        <v>180000</v>
      </c>
      <c r="N254" s="2" t="inlineStr">
        <is>
          <t>data/mission_templates.yaml:L1602:drop_table.silver</t>
        </is>
      </c>
    </row>
    <row r="255">
      <c r="A255" s="2" t="inlineStr">
        <is>
          <t>silver</t>
        </is>
      </c>
      <c r="B255" s="2" t="inlineStr">
        <is>
          <t>银两</t>
        </is>
      </c>
      <c r="C255" s="2" t="inlineStr">
        <is>
          <t>资源</t>
        </is>
      </c>
      <c r="D255" s="2" t="inlineStr">
        <is>
          <t>资源</t>
        </is>
      </c>
      <c r="E255" s="2" t="inlineStr">
        <is>
          <t>biwu_zhaoqin</t>
        </is>
      </c>
      <c r="F255" s="2" t="inlineStr">
        <is>
          <t>比武招亲</t>
        </is>
      </c>
      <c r="G255" s="2" t="inlineStr">
        <is>
          <t>固定掉落</t>
        </is>
      </c>
      <c r="H255" s="5">
        <f>'任务掉落明细'!X106</f>
        <v>1</v>
      </c>
      <c r="I255" s="2" t="n">
        <v>20000</v>
      </c>
      <c r="J255" s="2" t="inlineStr">
        <is>
          <t>silver</t>
        </is>
      </c>
      <c r="K255" s="2" t="inlineStr">
        <is>
          <t>个人任务</t>
        </is>
      </c>
      <c r="L255" s="2" t="inlineStr">
        <is>
          <t>挑战者庄园</t>
        </is>
      </c>
      <c r="M255" s="6">
        <f>'任务掉落明细'!Y106</f>
        <v>20000</v>
      </c>
      <c r="N255" s="2" t="inlineStr">
        <is>
          <t>data/mission_templates.yaml:L698:drop_table.silver</t>
        </is>
      </c>
    </row>
    <row r="256">
      <c r="A256" s="2" t="inlineStr">
        <is>
          <t>silver</t>
        </is>
      </c>
      <c r="B256" s="2" t="inlineStr">
        <is>
          <t>银两</t>
        </is>
      </c>
      <c r="C256" s="2" t="inlineStr">
        <is>
          <t>资源</t>
        </is>
      </c>
      <c r="D256" s="2" t="inlineStr">
        <is>
          <t>资源</t>
        </is>
      </c>
      <c r="E256" s="2" t="inlineStr">
        <is>
          <t>biyou_candeng</t>
        </is>
      </c>
      <c r="F256" s="2" t="inlineStr">
        <is>
          <t>封神之战：碧游残灯</t>
        </is>
      </c>
      <c r="G256" s="2" t="inlineStr">
        <is>
          <t>固定掉落</t>
        </is>
      </c>
      <c r="H256" s="5">
        <f>'任务掉落明细'!X195</f>
        <v>1</v>
      </c>
      <c r="I256" s="2" t="n">
        <v>60000</v>
      </c>
      <c r="J256" s="2" t="inlineStr">
        <is>
          <t>silver</t>
        </is>
      </c>
      <c r="K256" s="2" t="inlineStr">
        <is>
          <t>个人任务</t>
        </is>
      </c>
      <c r="L256" s="2" t="inlineStr">
        <is>
          <t>挑战者庄园</t>
        </is>
      </c>
      <c r="M256" s="6">
        <f>'任务掉落明细'!Y195</f>
        <v>60000</v>
      </c>
      <c r="N256" s="2" t="inlineStr">
        <is>
          <t>data/mission_templates.yaml:L1158:drop_table.silver</t>
        </is>
      </c>
    </row>
    <row r="257">
      <c r="A257" s="2" t="inlineStr">
        <is>
          <t>silver</t>
        </is>
      </c>
      <c r="B257" s="2" t="inlineStr">
        <is>
          <t>银两</t>
        </is>
      </c>
      <c r="C257" s="2" t="inlineStr">
        <is>
          <t>资源</t>
        </is>
      </c>
      <c r="D257" s="2" t="inlineStr">
        <is>
          <t>资源</t>
        </is>
      </c>
      <c r="E257" s="2" t="inlineStr">
        <is>
          <t>dongtian_fudi</t>
        </is>
      </c>
      <c r="F257" s="2" t="inlineStr">
        <is>
          <t>洞天福地</t>
        </is>
      </c>
      <c r="G257" s="2" t="inlineStr">
        <is>
          <t>固定掉落</t>
        </is>
      </c>
      <c r="H257" s="5">
        <f>'任务掉落明细'!X142</f>
        <v>1</v>
      </c>
      <c r="I257" s="2" t="n">
        <v>50000</v>
      </c>
      <c r="J257" s="2" t="inlineStr">
        <is>
          <t>silver</t>
        </is>
      </c>
      <c r="K257" s="2" t="inlineStr">
        <is>
          <t>个人任务</t>
        </is>
      </c>
      <c r="L257" s="2" t="inlineStr">
        <is>
          <t>挑战者庄园</t>
        </is>
      </c>
      <c r="M257" s="6">
        <f>'任务掉落明细'!Y142</f>
        <v>50000</v>
      </c>
      <c r="N257" s="2" t="inlineStr">
        <is>
          <t>data/mission_templates.yaml:L873:drop_table.silver</t>
        </is>
      </c>
    </row>
    <row r="258">
      <c r="A258" s="2" t="inlineStr">
        <is>
          <t>silver</t>
        </is>
      </c>
      <c r="B258" s="2" t="inlineStr">
        <is>
          <t>银两</t>
        </is>
      </c>
      <c r="C258" s="2" t="inlineStr">
        <is>
          <t>资源</t>
        </is>
      </c>
      <c r="D258" s="2" t="inlineStr">
        <is>
          <t>资源</t>
        </is>
      </c>
      <c r="E258" s="2" t="inlineStr">
        <is>
          <t>fengbang_tianmen</t>
        </is>
      </c>
      <c r="F258" s="2" t="inlineStr">
        <is>
          <t>封神之战：封榜天门</t>
        </is>
      </c>
      <c r="G258" s="2" t="inlineStr">
        <is>
          <t>固定掉落</t>
        </is>
      </c>
      <c r="H258" s="5">
        <f>'任务掉落明细'!X213</f>
        <v>1</v>
      </c>
      <c r="I258" s="2" t="n">
        <v>100000</v>
      </c>
      <c r="J258" s="2" t="inlineStr">
        <is>
          <t>silver</t>
        </is>
      </c>
      <c r="K258" s="2" t="inlineStr">
        <is>
          <t>个人任务</t>
        </is>
      </c>
      <c r="L258" s="2" t="inlineStr">
        <is>
          <t>挑战者庄园</t>
        </is>
      </c>
      <c r="M258" s="6">
        <f>'任务掉落明细'!Y213</f>
        <v>100000</v>
      </c>
      <c r="N258" s="2" t="inlineStr">
        <is>
          <t>data/mission_templates.yaml:L1259:drop_table.silver</t>
        </is>
      </c>
    </row>
    <row r="259">
      <c r="A259" s="2" t="inlineStr">
        <is>
          <t>silver</t>
        </is>
      </c>
      <c r="B259" s="2" t="inlineStr">
        <is>
          <t>银两</t>
        </is>
      </c>
      <c r="C259" s="2" t="inlineStr">
        <is>
          <t>资源</t>
        </is>
      </c>
      <c r="D259" s="2" t="inlineStr">
        <is>
          <t>资源</t>
        </is>
      </c>
      <c r="E259" s="2" t="inlineStr">
        <is>
          <t>fugui_shanzhuang</t>
        </is>
      </c>
      <c r="F259" s="2" t="inlineStr">
        <is>
          <t>富贵山庄</t>
        </is>
      </c>
      <c r="G259" s="2" t="inlineStr">
        <is>
          <t>固定掉落</t>
        </is>
      </c>
      <c r="H259" s="5">
        <f>'任务掉落明细'!X61</f>
        <v>1</v>
      </c>
      <c r="I259" s="2" t="n">
        <v>14000</v>
      </c>
      <c r="J259" s="2" t="inlineStr">
        <is>
          <t>silver</t>
        </is>
      </c>
      <c r="K259" s="2" t="inlineStr">
        <is>
          <t>个人任务</t>
        </is>
      </c>
      <c r="L259" s="2" t="inlineStr">
        <is>
          <t>挑战者庄园</t>
        </is>
      </c>
      <c r="M259" s="6">
        <f>'任务掉落明细'!Y61</f>
        <v>14000</v>
      </c>
      <c r="N259" s="2" t="inlineStr">
        <is>
          <t>data/mission_templates.yaml:L482:drop_table.silver</t>
        </is>
      </c>
    </row>
    <row r="260">
      <c r="A260" s="2" t="inlineStr">
        <is>
          <t>silver</t>
        </is>
      </c>
      <c r="B260" s="2" t="inlineStr">
        <is>
          <t>银两</t>
        </is>
      </c>
      <c r="C260" s="2" t="inlineStr">
        <is>
          <t>资源</t>
        </is>
      </c>
      <c r="D260" s="2" t="inlineStr">
        <is>
          <t>资源</t>
        </is>
      </c>
      <c r="E260" s="2" t="inlineStr">
        <is>
          <t>guandu_zhizhan</t>
        </is>
      </c>
      <c r="F260" s="2" t="inlineStr">
        <is>
          <t>官渡之战</t>
        </is>
      </c>
      <c r="G260" s="2" t="inlineStr">
        <is>
          <t>固定掉落</t>
        </is>
      </c>
      <c r="H260" s="5">
        <f>'任务掉落明细'!X253</f>
        <v>1</v>
      </c>
      <c r="I260" s="2" t="n">
        <v>120000</v>
      </c>
      <c r="J260" s="2" t="inlineStr">
        <is>
          <t>silver</t>
        </is>
      </c>
      <c r="K260" s="2" t="inlineStr">
        <is>
          <t>个人任务</t>
        </is>
      </c>
      <c r="L260" s="2" t="inlineStr">
        <is>
          <t>挑战者庄园</t>
        </is>
      </c>
      <c r="M260" s="6">
        <f>'任务掉落明细'!Y253</f>
        <v>120000</v>
      </c>
      <c r="N260" s="2" t="inlineStr">
        <is>
          <t>data/mission_templates.yaml:L1391:drop_table.silver</t>
        </is>
      </c>
    </row>
    <row r="261">
      <c r="A261" s="2" t="inlineStr">
        <is>
          <t>silver</t>
        </is>
      </c>
      <c r="B261" s="2" t="inlineStr">
        <is>
          <t>银两</t>
        </is>
      </c>
      <c r="C261" s="2" t="inlineStr">
        <is>
          <t>资源</t>
        </is>
      </c>
      <c r="D261" s="2" t="inlineStr">
        <is>
          <t>资源</t>
        </is>
      </c>
      <c r="E261" s="2" t="inlineStr">
        <is>
          <t>huashan_lunjian</t>
        </is>
      </c>
      <c r="F261" s="2" t="inlineStr">
        <is>
          <t>华山论贱</t>
        </is>
      </c>
      <c r="G261" s="2" t="inlineStr">
        <is>
          <t>固定掉落</t>
        </is>
      </c>
      <c r="H261" s="5">
        <f>'任务掉落明细'!X27</f>
        <v>1</v>
      </c>
      <c r="I261" s="2" t="n">
        <v>8000</v>
      </c>
      <c r="J261" s="2" t="inlineStr">
        <is>
          <t>silver</t>
        </is>
      </c>
      <c r="K261" s="2" t="inlineStr">
        <is>
          <t>个人任务</t>
        </is>
      </c>
      <c r="L261" s="2" t="inlineStr">
        <is>
          <t>挑战者庄园</t>
        </is>
      </c>
      <c r="M261" s="6">
        <f>'任务掉落明细'!Y27</f>
        <v>8000</v>
      </c>
      <c r="N261" s="2" t="inlineStr">
        <is>
          <t>data/mission_templates.yaml:L287:drop_table.silver</t>
        </is>
      </c>
    </row>
    <row r="262">
      <c r="A262" s="2" t="inlineStr">
        <is>
          <t>silver</t>
        </is>
      </c>
      <c r="B262" s="2" t="inlineStr">
        <is>
          <t>银两</t>
        </is>
      </c>
      <c r="C262" s="2" t="inlineStr">
        <is>
          <t>资源</t>
        </is>
      </c>
      <c r="D262" s="2" t="inlineStr">
        <is>
          <t>资源</t>
        </is>
      </c>
      <c r="E262" s="2" t="inlineStr">
        <is>
          <t>huashan_lunjian_advanced</t>
        </is>
      </c>
      <c r="F262" s="2" t="inlineStr">
        <is>
          <t>华山论剑</t>
        </is>
      </c>
      <c r="G262" s="2" t="inlineStr">
        <is>
          <t>固定掉落</t>
        </is>
      </c>
      <c r="H262" s="5">
        <f>'任务掉落明细'!X262</f>
        <v>1</v>
      </c>
      <c r="I262" s="2" t="n">
        <v>120000</v>
      </c>
      <c r="J262" s="2" t="inlineStr">
        <is>
          <t>silver</t>
        </is>
      </c>
      <c r="K262" s="2" t="inlineStr">
        <is>
          <t>个人任务</t>
        </is>
      </c>
      <c r="L262" s="2" t="inlineStr">
        <is>
          <t>挑战者庄园</t>
        </is>
      </c>
      <c r="M262" s="6">
        <f>'任务掉落明细'!Y262</f>
        <v>120000</v>
      </c>
      <c r="N262" s="2" t="inlineStr">
        <is>
          <t>data/mission_templates.yaml:L1437:drop_table.silver</t>
        </is>
      </c>
    </row>
    <row r="263">
      <c r="A263" s="2" t="inlineStr">
        <is>
          <t>silver</t>
        </is>
      </c>
      <c r="B263" s="2" t="inlineStr">
        <is>
          <t>银两</t>
        </is>
      </c>
      <c r="C263" s="2" t="inlineStr">
        <is>
          <t>资源</t>
        </is>
      </c>
      <c r="D263" s="2" t="inlineStr">
        <is>
          <t>资源</t>
        </is>
      </c>
      <c r="E263" s="2" t="inlineStr">
        <is>
          <t>hulao_qunying_zhan_lvbu</t>
        </is>
      </c>
      <c r="F263" s="2" t="inlineStr">
        <is>
          <t>飞将浮沉录：虎牢关群英战吕布</t>
        </is>
      </c>
      <c r="G263" s="2" t="inlineStr">
        <is>
          <t>固定掉落</t>
        </is>
      </c>
      <c r="H263" s="5">
        <f>'任务掉落明细'!X271</f>
        <v>1</v>
      </c>
      <c r="I263" s="2" t="n">
        <v>110000</v>
      </c>
      <c r="J263" s="2" t="inlineStr">
        <is>
          <t>silver</t>
        </is>
      </c>
      <c r="K263" s="2" t="inlineStr">
        <is>
          <t>个人任务</t>
        </is>
      </c>
      <c r="L263" s="2" t="inlineStr">
        <is>
          <t>挑战者庄园</t>
        </is>
      </c>
      <c r="M263" s="6">
        <f>'任务掉落明细'!Y271</f>
        <v>110000</v>
      </c>
      <c r="N263" s="2" t="inlineStr">
        <is>
          <t>data/mission_templates.yaml:L1556:drop_table.silver</t>
        </is>
      </c>
    </row>
    <row r="264">
      <c r="A264" s="2" t="inlineStr">
        <is>
          <t>silver</t>
        </is>
      </c>
      <c r="B264" s="2" t="inlineStr">
        <is>
          <t>银两</t>
        </is>
      </c>
      <c r="C264" s="2" t="inlineStr">
        <is>
          <t>资源</t>
        </is>
      </c>
      <c r="D264" s="2" t="inlineStr">
        <is>
          <t>资源</t>
        </is>
      </c>
      <c r="E264" s="2" t="inlineStr">
        <is>
          <t>jiguan_chuniao</t>
        </is>
      </c>
      <c r="F264" s="2" t="inlineStr">
        <is>
          <t>机关雏鸟</t>
        </is>
      </c>
      <c r="G264" s="2" t="inlineStr">
        <is>
          <t>固定掉落</t>
        </is>
      </c>
      <c r="H264" s="5">
        <f>'任务掉落明细'!X133</f>
        <v>1</v>
      </c>
      <c r="I264" s="2" t="n">
        <v>30000</v>
      </c>
      <c r="J264" s="2" t="inlineStr">
        <is>
          <t>silver</t>
        </is>
      </c>
      <c r="K264" s="2" t="inlineStr">
        <is>
          <t>个人任务</t>
        </is>
      </c>
      <c r="L264" s="2" t="inlineStr">
        <is>
          <t>挑战者庄园</t>
        </is>
      </c>
      <c r="M264" s="6">
        <f>'任务掉落明细'!Y133</f>
        <v>30000</v>
      </c>
      <c r="N264" s="2" t="inlineStr">
        <is>
          <t>data/mission_templates.yaml:L830:drop_table.silver</t>
        </is>
      </c>
    </row>
    <row r="265">
      <c r="A265" s="2" t="inlineStr">
        <is>
          <t>silver</t>
        </is>
      </c>
      <c r="B265" s="2" t="inlineStr">
        <is>
          <t>银两</t>
        </is>
      </c>
      <c r="C265" s="2" t="inlineStr">
        <is>
          <t>资源</t>
        </is>
      </c>
      <c r="D265" s="2" t="inlineStr">
        <is>
          <t>资源</t>
        </is>
      </c>
      <c r="E265" s="2" t="inlineStr">
        <is>
          <t>jiguanshou_chuxian</t>
        </is>
      </c>
      <c r="F265" s="2" t="inlineStr">
        <is>
          <t>机关兽初现</t>
        </is>
      </c>
      <c r="G265" s="2" t="inlineStr">
        <is>
          <t>固定掉落</t>
        </is>
      </c>
      <c r="H265" s="5">
        <f>'任务掉落明细'!X103</f>
        <v>1</v>
      </c>
      <c r="I265" s="2" t="n">
        <v>24000</v>
      </c>
      <c r="J265" s="2" t="inlineStr">
        <is>
          <t>silver</t>
        </is>
      </c>
      <c r="K265" s="2" t="inlineStr">
        <is>
          <t>个人任务</t>
        </is>
      </c>
      <c r="L265" s="2" t="inlineStr">
        <is>
          <t>挑战者庄园</t>
        </is>
      </c>
      <c r="M265" s="6">
        <f>'任务掉落明细'!Y103</f>
        <v>24000</v>
      </c>
      <c r="N265" s="2" t="inlineStr">
        <is>
          <t>data/mission_templates.yaml:L655:drop_table.silver</t>
        </is>
      </c>
    </row>
    <row r="266">
      <c r="A266" s="2" t="inlineStr">
        <is>
          <t>silver</t>
        </is>
      </c>
      <c r="B266" s="2" t="inlineStr">
        <is>
          <t>银两</t>
        </is>
      </c>
      <c r="C266" s="2" t="inlineStr">
        <is>
          <t>资源</t>
        </is>
      </c>
      <c r="D266" s="2" t="inlineStr">
        <is>
          <t>资源</t>
        </is>
      </c>
      <c r="E266" s="2" t="inlineStr">
        <is>
          <t>jingyanggang</t>
        </is>
      </c>
      <c r="F266" s="2" t="inlineStr">
        <is>
          <t>景阳冈</t>
        </is>
      </c>
      <c r="G266" s="2" t="inlineStr">
        <is>
          <t>固定掉落</t>
        </is>
      </c>
      <c r="H266" s="5">
        <f>'任务掉落明细'!X42</f>
        <v>1</v>
      </c>
      <c r="I266" s="2" t="n">
        <v>7000</v>
      </c>
      <c r="J266" s="2" t="inlineStr">
        <is>
          <t>silver</t>
        </is>
      </c>
      <c r="K266" s="2" t="inlineStr">
        <is>
          <t>个人任务</t>
        </is>
      </c>
      <c r="L266" s="2" t="inlineStr">
        <is>
          <t>挑战者庄园</t>
        </is>
      </c>
      <c r="M266" s="6">
        <f>'任务掉落明细'!Y42</f>
        <v>7000</v>
      </c>
      <c r="N266" s="2" t="inlineStr">
        <is>
          <t>data/mission_templates.yaml:L379:drop_table.silver</t>
        </is>
      </c>
    </row>
    <row r="267">
      <c r="A267" s="2" t="inlineStr">
        <is>
          <t>silver</t>
        </is>
      </c>
      <c r="B267" s="2" t="inlineStr">
        <is>
          <t>银两</t>
        </is>
      </c>
      <c r="C267" s="2" t="inlineStr">
        <is>
          <t>资源</t>
        </is>
      </c>
      <c r="D267" s="2" t="inlineStr">
        <is>
          <t>资源</t>
        </is>
      </c>
      <c r="E267" s="2" t="inlineStr">
        <is>
          <t>jiufeng_feihuan</t>
        </is>
      </c>
      <c r="F267" s="2" t="inlineStr">
        <is>
          <t>九峰匪患</t>
        </is>
      </c>
      <c r="G267" s="2" t="inlineStr">
        <is>
          <t>固定掉落</t>
        </is>
      </c>
      <c r="H267" s="5">
        <f>'任务掉落明细'!X150</f>
        <v>1</v>
      </c>
      <c r="I267" s="2" t="n">
        <v>20000</v>
      </c>
      <c r="J267" s="2" t="inlineStr">
        <is>
          <t>silver</t>
        </is>
      </c>
      <c r="K267" s="2" t="inlineStr">
        <is>
          <t>个人任务</t>
        </is>
      </c>
      <c r="L267" s="2" t="inlineStr">
        <is>
          <t>挑战者庄园</t>
        </is>
      </c>
      <c r="M267" s="6">
        <f>'任务掉落明细'!Y150</f>
        <v>20000</v>
      </c>
      <c r="N267" s="2" t="inlineStr">
        <is>
          <t>data/mission_templates.yaml:L908:drop_table.silver</t>
        </is>
      </c>
    </row>
    <row r="268">
      <c r="A268" s="2" t="inlineStr">
        <is>
          <t>silver</t>
        </is>
      </c>
      <c r="B268" s="2" t="inlineStr">
        <is>
          <t>银两</t>
        </is>
      </c>
      <c r="C268" s="2" t="inlineStr">
        <is>
          <t>资源</t>
        </is>
      </c>
      <c r="D268" s="2" t="inlineStr">
        <is>
          <t>资源</t>
        </is>
      </c>
      <c r="E268" s="2" t="inlineStr">
        <is>
          <t>kasukabe_daisakusen</t>
        </is>
      </c>
      <c r="F268" s="2" t="inlineStr">
        <is>
          <t>春日部大作战</t>
        </is>
      </c>
      <c r="G268" s="2" t="inlineStr">
        <is>
          <t>固定掉落</t>
        </is>
      </c>
      <c r="H268" s="5">
        <f>'任务掉落明细'!X11</f>
        <v>1</v>
      </c>
      <c r="I268" s="2" t="n">
        <v>40000</v>
      </c>
      <c r="J268" s="2" t="inlineStr">
        <is>
          <t>silver</t>
        </is>
      </c>
      <c r="K268" s="2" t="inlineStr">
        <is>
          <t>个人任务</t>
        </is>
      </c>
      <c r="L268" s="2" t="inlineStr">
        <is>
          <t>挑战者庄园</t>
        </is>
      </c>
      <c r="M268" s="6">
        <f>'任务掉落明细'!Y11</f>
        <v>40000</v>
      </c>
      <c r="N268" s="2" t="inlineStr">
        <is>
          <t>data/mission_templates.yaml:L206:drop_table.silver</t>
        </is>
      </c>
    </row>
    <row r="269">
      <c r="A269" s="2" t="inlineStr">
        <is>
          <t>silver</t>
        </is>
      </c>
      <c r="B269" s="2" t="inlineStr">
        <is>
          <t>银两</t>
        </is>
      </c>
      <c r="C269" s="2" t="inlineStr">
        <is>
          <t>资源</t>
        </is>
      </c>
      <c r="D269" s="2" t="inlineStr">
        <is>
          <t>资源</t>
        </is>
      </c>
      <c r="E269" s="2" t="inlineStr">
        <is>
          <t>liangshanbo_zhuyingtai</t>
        </is>
      </c>
      <c r="F269" s="2" t="inlineStr">
        <is>
          <t>梁山伯与祝英台</t>
        </is>
      </c>
      <c r="G269" s="2" t="inlineStr">
        <is>
          <t>固定掉落</t>
        </is>
      </c>
      <c r="H269" s="5">
        <f>'任务掉落明细'!X184</f>
        <v>1</v>
      </c>
      <c r="I269" s="2" t="n">
        <v>10000</v>
      </c>
      <c r="J269" s="2" t="inlineStr">
        <is>
          <t>silver</t>
        </is>
      </c>
      <c r="K269" s="2" t="inlineStr">
        <is>
          <t>个人任务</t>
        </is>
      </c>
      <c r="L269" s="2" t="inlineStr">
        <is>
          <t>挑战者庄园</t>
        </is>
      </c>
      <c r="M269" s="6">
        <f>'任务掉落明细'!Y184</f>
        <v>10000</v>
      </c>
      <c r="N269" s="2" t="inlineStr">
        <is>
          <t>data/mission_templates.yaml:L1108:drop_table.silver</t>
        </is>
      </c>
    </row>
    <row r="270">
      <c r="A270" s="2" t="inlineStr">
        <is>
          <t>silver</t>
        </is>
      </c>
      <c r="B270" s="2" t="inlineStr">
        <is>
          <t>银两</t>
        </is>
      </c>
      <c r="C270" s="2" t="inlineStr">
        <is>
          <t>资源</t>
        </is>
      </c>
      <c r="D270" s="2" t="inlineStr">
        <is>
          <t>资源</t>
        </is>
      </c>
      <c r="E270" s="2" t="inlineStr">
        <is>
          <t>manzu_ruqin</t>
        </is>
      </c>
      <c r="F270" s="2" t="inlineStr">
        <is>
          <t>蛮族入侵</t>
        </is>
      </c>
      <c r="G270" s="2" t="inlineStr">
        <is>
          <t>固定掉落</t>
        </is>
      </c>
      <c r="H270" s="5">
        <f>'任务掉落明细'!X177</f>
        <v>1</v>
      </c>
      <c r="I270" s="2" t="n">
        <v>50000</v>
      </c>
      <c r="J270" s="2" t="inlineStr">
        <is>
          <t>silver</t>
        </is>
      </c>
      <c r="K270" s="2" t="inlineStr">
        <is>
          <t>个人任务</t>
        </is>
      </c>
      <c r="L270" s="2" t="inlineStr">
        <is>
          <t>挑战者庄园</t>
        </is>
      </c>
      <c r="M270" s="6">
        <f>'任务掉落明细'!Y177</f>
        <v>50000</v>
      </c>
      <c r="N270" s="2" t="inlineStr">
        <is>
          <t>data/mission_templates.yaml:L1046:drop_table.silver</t>
        </is>
      </c>
    </row>
    <row r="271">
      <c r="A271" s="2" t="inlineStr">
        <is>
          <t>silver</t>
        </is>
      </c>
      <c r="B271" s="2" t="inlineStr">
        <is>
          <t>银两</t>
        </is>
      </c>
      <c r="C271" s="2" t="inlineStr">
        <is>
          <t>资源</t>
        </is>
      </c>
      <c r="D271" s="2" t="inlineStr">
        <is>
          <t>资源</t>
        </is>
      </c>
      <c r="E271" s="2" t="inlineStr">
        <is>
          <t>mid_autumn_moon_palace_trial</t>
        </is>
      </c>
      <c r="F271" s="2" t="inlineStr">
        <is>
          <t>广寒宫试炼</t>
        </is>
      </c>
      <c r="G271" s="2" t="inlineStr">
        <is>
          <t>固定掉落</t>
        </is>
      </c>
      <c r="H271" s="5">
        <f>'任务掉落明细'!X2</f>
        <v>1</v>
      </c>
      <c r="I271" s="2" t="n">
        <v>40000</v>
      </c>
      <c r="J271" s="2" t="inlineStr">
        <is>
          <t>silver</t>
        </is>
      </c>
      <c r="K271" s="2" t="inlineStr">
        <is>
          <t>个人任务</t>
        </is>
      </c>
      <c r="L271" s="2" t="inlineStr">
        <is>
          <t>挑战者庄园</t>
        </is>
      </c>
      <c r="M271" s="6">
        <f>'任务掉落明细'!Y2</f>
        <v>40000</v>
      </c>
      <c r="N271" s="2" t="inlineStr">
        <is>
          <t>data/mission_templates.yaml:L139:drop_table.silver</t>
        </is>
      </c>
    </row>
    <row r="272">
      <c r="A272" s="2" t="inlineStr">
        <is>
          <t>silver</t>
        </is>
      </c>
      <c r="B272" s="2" t="inlineStr">
        <is>
          <t>银两</t>
        </is>
      </c>
      <c r="C272" s="2" t="inlineStr">
        <is>
          <t>资源</t>
        </is>
      </c>
      <c r="D272" s="2" t="inlineStr">
        <is>
          <t>资源</t>
        </is>
      </c>
      <c r="E272" s="2" t="inlineStr">
        <is>
          <t>shanhaiguan</t>
        </is>
      </c>
      <c r="F272" s="2" t="inlineStr">
        <is>
          <t>山海关</t>
        </is>
      </c>
      <c r="G272" s="2" t="inlineStr">
        <is>
          <t>固定掉落</t>
        </is>
      </c>
      <c r="H272" s="5">
        <f>'任务掉落明细'!X79</f>
        <v>1</v>
      </c>
      <c r="I272" s="2" t="n">
        <v>40000</v>
      </c>
      <c r="J272" s="2" t="inlineStr">
        <is>
          <t>silver</t>
        </is>
      </c>
      <c r="K272" s="2" t="inlineStr">
        <is>
          <t>个人任务</t>
        </is>
      </c>
      <c r="L272" s="2" t="inlineStr">
        <is>
          <t>挑战者庄园</t>
        </is>
      </c>
      <c r="M272" s="6">
        <f>'任务掉落明细'!Y79</f>
        <v>40000</v>
      </c>
      <c r="N272" s="2" t="inlineStr">
        <is>
          <t>data/mission_templates.yaml:L559:drop_table.silver</t>
        </is>
      </c>
    </row>
    <row r="273">
      <c r="A273" s="2" t="inlineStr">
        <is>
          <t>silver</t>
        </is>
      </c>
      <c r="B273" s="2" t="inlineStr">
        <is>
          <t>银两</t>
        </is>
      </c>
      <c r="C273" s="2" t="inlineStr">
        <is>
          <t>资源</t>
        </is>
      </c>
      <c r="D273" s="2" t="inlineStr">
        <is>
          <t>资源</t>
        </is>
      </c>
      <c r="E273" s="2" t="inlineStr">
        <is>
          <t>shier_xianyin</t>
        </is>
      </c>
      <c r="F273" s="2" t="inlineStr">
        <is>
          <t>封神之战：十二仙印</t>
        </is>
      </c>
      <c r="G273" s="2" t="inlineStr">
        <is>
          <t>固定掉落</t>
        </is>
      </c>
      <c r="H273" s="5">
        <f>'任务掉落明细'!X207</f>
        <v>1</v>
      </c>
      <c r="I273" s="2" t="n">
        <v>80000</v>
      </c>
      <c r="J273" s="2" t="inlineStr">
        <is>
          <t>silver</t>
        </is>
      </c>
      <c r="K273" s="2" t="inlineStr">
        <is>
          <t>个人任务</t>
        </is>
      </c>
      <c r="L273" s="2" t="inlineStr">
        <is>
          <t>挑战者庄园</t>
        </is>
      </c>
      <c r="M273" s="6">
        <f>'任务掉落明细'!Y207</f>
        <v>80000</v>
      </c>
      <c r="N273" s="2" t="inlineStr">
        <is>
          <t>data/mission_templates.yaml:L1212:drop_table.silver</t>
        </is>
      </c>
    </row>
    <row r="274">
      <c r="A274" s="2" t="inlineStr">
        <is>
          <t>silver</t>
        </is>
      </c>
      <c r="B274" s="2" t="inlineStr">
        <is>
          <t>银两</t>
        </is>
      </c>
      <c r="C274" s="2" t="inlineStr">
        <is>
          <t>资源</t>
        </is>
      </c>
      <c r="D274" s="2" t="inlineStr">
        <is>
          <t>资源</t>
        </is>
      </c>
      <c r="E274" s="2" t="inlineStr">
        <is>
          <t>shiren_daochang</t>
        </is>
      </c>
      <c r="F274" s="2" t="inlineStr">
        <is>
          <t>十人道场</t>
        </is>
      </c>
      <c r="G274" s="2" t="inlineStr">
        <is>
          <t>固定掉落</t>
        </is>
      </c>
      <c r="H274" s="5">
        <f>'任务掉落明细'!X93</f>
        <v>1</v>
      </c>
      <c r="I274" s="2" t="n">
        <v>20000</v>
      </c>
      <c r="J274" s="2" t="inlineStr">
        <is>
          <t>silver</t>
        </is>
      </c>
      <c r="K274" s="2" t="inlineStr">
        <is>
          <t>个人任务</t>
        </is>
      </c>
      <c r="L274" s="2" t="inlineStr">
        <is>
          <t>挑战者庄园</t>
        </is>
      </c>
      <c r="M274" s="6">
        <f>'任务掉落明细'!Y93</f>
        <v>20000</v>
      </c>
      <c r="N274" s="2" t="inlineStr">
        <is>
          <t>data/mission_templates.yaml:L607:drop_table.silver</t>
        </is>
      </c>
    </row>
    <row r="275">
      <c r="A275" s="2" t="inlineStr">
        <is>
          <t>silver</t>
        </is>
      </c>
      <c r="B275" s="2" t="inlineStr">
        <is>
          <t>银两</t>
        </is>
      </c>
      <c r="C275" s="2" t="inlineStr">
        <is>
          <t>资源</t>
        </is>
      </c>
      <c r="D275" s="2" t="inlineStr">
        <is>
          <t>资源</t>
        </is>
      </c>
      <c r="E275" s="2" t="inlineStr">
        <is>
          <t>shizipo_heidian</t>
        </is>
      </c>
      <c r="F275" s="2" t="inlineStr">
        <is>
          <t>十字坡黑店</t>
        </is>
      </c>
      <c r="G275" s="2" t="inlineStr">
        <is>
          <t>固定掉落</t>
        </is>
      </c>
      <c r="H275" s="5">
        <f>'任务掉落明细'!X67</f>
        <v>1</v>
      </c>
      <c r="I275" s="2" t="n">
        <v>30000</v>
      </c>
      <c r="J275" s="2" t="inlineStr">
        <is>
          <t>silver</t>
        </is>
      </c>
      <c r="K275" s="2" t="inlineStr">
        <is>
          <t>个人任务</t>
        </is>
      </c>
      <c r="L275" s="2" t="inlineStr">
        <is>
          <t>挑战者庄园</t>
        </is>
      </c>
      <c r="M275" s="6">
        <f>'任务掉落明细'!Y67</f>
        <v>30000</v>
      </c>
      <c r="N275" s="2" t="inlineStr">
        <is>
          <t>data/mission_templates.yaml:L514:drop_table.silver</t>
        </is>
      </c>
    </row>
    <row r="276">
      <c r="A276" s="2" t="inlineStr">
        <is>
          <t>silver</t>
        </is>
      </c>
      <c r="B276" s="2" t="inlineStr">
        <is>
          <t>银两</t>
        </is>
      </c>
      <c r="C276" s="2" t="inlineStr">
        <is>
          <t>资源</t>
        </is>
      </c>
      <c r="D276" s="2" t="inlineStr">
        <is>
          <t>资源</t>
        </is>
      </c>
      <c r="E276" s="2" t="inlineStr">
        <is>
          <t>simian_chuge</t>
        </is>
      </c>
      <c r="F276" s="2" t="inlineStr">
        <is>
          <t>四面楚歌</t>
        </is>
      </c>
      <c r="G276" s="2" t="inlineStr">
        <is>
          <t>固定掉落</t>
        </is>
      </c>
      <c r="H276" s="5">
        <f>'任务掉落明细'!X172</f>
        <v>1</v>
      </c>
      <c r="I276" s="2" t="n">
        <v>50000</v>
      </c>
      <c r="J276" s="2" t="inlineStr">
        <is>
          <t>silver</t>
        </is>
      </c>
      <c r="K276" s="2" t="inlineStr">
        <is>
          <t>个人任务</t>
        </is>
      </c>
      <c r="L276" s="2" t="inlineStr">
        <is>
          <t>挑战者庄园</t>
        </is>
      </c>
      <c r="M276" s="6">
        <f>'任务掉落明细'!Y172</f>
        <v>50000</v>
      </c>
      <c r="N276" s="2" t="inlineStr">
        <is>
          <t>data/mission_templates.yaml:L1007:drop_table.silver</t>
        </is>
      </c>
    </row>
    <row r="277">
      <c r="A277" s="2" t="inlineStr">
        <is>
          <t>silver</t>
        </is>
      </c>
      <c r="B277" s="2" t="inlineStr">
        <is>
          <t>银两</t>
        </is>
      </c>
      <c r="C277" s="2" t="inlineStr">
        <is>
          <t>资源</t>
        </is>
      </c>
      <c r="D277" s="2" t="inlineStr">
        <is>
          <t>资源</t>
        </is>
      </c>
      <c r="E277" s="2" t="inlineStr">
        <is>
          <t>sishui_huaxiong_chengwei</t>
        </is>
      </c>
      <c r="F277" s="2" t="inlineStr">
        <is>
          <t>飞将浮沉录：汜水关华雄逞威</t>
        </is>
      </c>
      <c r="G277" s="2" t="inlineStr">
        <is>
          <t>固定掉落</t>
        </is>
      </c>
      <c r="H277" s="5">
        <f>'任务掉落明细'!X264</f>
        <v>1</v>
      </c>
      <c r="I277" s="2" t="n">
        <v>90000</v>
      </c>
      <c r="J277" s="2" t="inlineStr">
        <is>
          <t>silver</t>
        </is>
      </c>
      <c r="K277" s="2" t="inlineStr">
        <is>
          <t>个人任务</t>
        </is>
      </c>
      <c r="L277" s="2" t="inlineStr">
        <is>
          <t>挑战者庄园</t>
        </is>
      </c>
      <c r="M277" s="6">
        <f>'任务掉落明细'!Y264</f>
        <v>90000</v>
      </c>
      <c r="N277" s="2" t="inlineStr">
        <is>
          <t>data/mission_templates.yaml:L1511:drop_table.silver</t>
        </is>
      </c>
    </row>
    <row r="278">
      <c r="A278" s="2" t="inlineStr">
        <is>
          <t>silver</t>
        </is>
      </c>
      <c r="B278" s="2" t="inlineStr">
        <is>
          <t>银两</t>
        </is>
      </c>
      <c r="C278" s="2" t="inlineStr">
        <is>
          <t>资源</t>
        </is>
      </c>
      <c r="D278" s="2" t="inlineStr">
        <is>
          <t>资源</t>
        </is>
      </c>
      <c r="E278" s="2" t="inlineStr">
        <is>
          <t>tianpeng_dijiao_1</t>
        </is>
      </c>
      <c r="F278" s="2" t="inlineStr">
        <is>
          <t>天蓬元帅的地窖（第一层）</t>
        </is>
      </c>
      <c r="G278" s="2" t="inlineStr">
        <is>
          <t>固定掉落</t>
        </is>
      </c>
      <c r="H278" s="5">
        <f>'任务掉落明细'!X113</f>
        <v>1</v>
      </c>
      <c r="I278" s="2" t="n">
        <v>50000</v>
      </c>
      <c r="J278" s="2" t="inlineStr">
        <is>
          <t>silver</t>
        </is>
      </c>
      <c r="K278" s="2" t="inlineStr">
        <is>
          <t>个人任务</t>
        </is>
      </c>
      <c r="L278" s="2" t="inlineStr">
        <is>
          <t>挑战者庄园</t>
        </is>
      </c>
      <c r="M278" s="6">
        <f>'任务掉落明细'!Y113</f>
        <v>50000</v>
      </c>
      <c r="N278" s="2" t="inlineStr">
        <is>
          <t>data/mission_templates.yaml:L731:drop_table.silver</t>
        </is>
      </c>
    </row>
    <row r="279">
      <c r="A279" s="2" t="inlineStr">
        <is>
          <t>silver</t>
        </is>
      </c>
      <c r="B279" s="2" t="inlineStr">
        <is>
          <t>银两</t>
        </is>
      </c>
      <c r="C279" s="2" t="inlineStr">
        <is>
          <t>资源</t>
        </is>
      </c>
      <c r="D279" s="2" t="inlineStr">
        <is>
          <t>资源</t>
        </is>
      </c>
      <c r="E279" s="2" t="inlineStr">
        <is>
          <t>wagangzhai</t>
        </is>
      </c>
      <c r="F279" s="2" t="inlineStr">
        <is>
          <t>瓦岗寨</t>
        </is>
      </c>
      <c r="G279" s="2" t="inlineStr">
        <is>
          <t>固定掉落</t>
        </is>
      </c>
      <c r="H279" s="5">
        <f>'任务掉落明细'!X51</f>
        <v>1</v>
      </c>
      <c r="I279" s="2" t="n">
        <v>20000</v>
      </c>
      <c r="J279" s="2" t="inlineStr">
        <is>
          <t>silver</t>
        </is>
      </c>
      <c r="K279" s="2" t="inlineStr">
        <is>
          <t>个人任务</t>
        </is>
      </c>
      <c r="L279" s="2" t="inlineStr">
        <is>
          <t>挑战者庄园</t>
        </is>
      </c>
      <c r="M279" s="6">
        <f>'任务掉落明细'!Y51</f>
        <v>20000</v>
      </c>
      <c r="N279" s="2" t="inlineStr">
        <is>
          <t>data/mission_templates.yaml:L444:drop_table.silver</t>
        </is>
      </c>
    </row>
    <row r="280">
      <c r="A280" s="2" t="inlineStr">
        <is>
          <t>silver</t>
        </is>
      </c>
      <c r="B280" s="2" t="inlineStr">
        <is>
          <t>银两</t>
        </is>
      </c>
      <c r="C280" s="2" t="inlineStr">
        <is>
          <t>资源</t>
        </is>
      </c>
      <c r="D280" s="2" t="inlineStr">
        <is>
          <t>资源</t>
        </is>
      </c>
      <c r="E280" s="2" t="inlineStr">
        <is>
          <t>wagangzhai_nixi</t>
        </is>
      </c>
      <c r="F280" s="2" t="inlineStr">
        <is>
          <t>瓦岗寨的逆袭</t>
        </is>
      </c>
      <c r="G280" s="2" t="inlineStr">
        <is>
          <t>固定掉落</t>
        </is>
      </c>
      <c r="H280" s="5">
        <f>'任务掉落明细'!X31</f>
        <v>1</v>
      </c>
      <c r="I280" s="2" t="n">
        <v>40000</v>
      </c>
      <c r="J280" s="2" t="inlineStr">
        <is>
          <t>silver</t>
        </is>
      </c>
      <c r="K280" s="2" t="inlineStr">
        <is>
          <t>个人任务</t>
        </is>
      </c>
      <c r="L280" s="2" t="inlineStr">
        <is>
          <t>挑战者庄园</t>
        </is>
      </c>
      <c r="M280" s="6">
        <f>'任务掉落明细'!Y31</f>
        <v>40000</v>
      </c>
      <c r="N280" s="2" t="inlineStr">
        <is>
          <t>data/mission_templates.yaml:L326:drop_table.silver</t>
        </is>
      </c>
    </row>
    <row r="281">
      <c r="A281" s="2" t="inlineStr">
        <is>
          <t>silver</t>
        </is>
      </c>
      <c r="B281" s="2" t="inlineStr">
        <is>
          <t>银两</t>
        </is>
      </c>
      <c r="C281" s="2" t="inlineStr">
        <is>
          <t>资源</t>
        </is>
      </c>
      <c r="D281" s="2" t="inlineStr">
        <is>
          <t>资源</t>
        </is>
      </c>
      <c r="E281" s="2" t="inlineStr">
        <is>
          <t>wulongshan</t>
        </is>
      </c>
      <c r="F281" s="2" t="inlineStr">
        <is>
          <t>乌龙山</t>
        </is>
      </c>
      <c r="G281" s="2" t="inlineStr">
        <is>
          <t>固定掉落</t>
        </is>
      </c>
      <c r="H281" s="5">
        <f>'任务掉落明细'!X45</f>
        <v>1</v>
      </c>
      <c r="I281" s="2" t="n">
        <v>15000</v>
      </c>
      <c r="J281" s="2" t="inlineStr">
        <is>
          <t>silver</t>
        </is>
      </c>
      <c r="K281" s="2" t="inlineStr">
        <is>
          <t>个人任务</t>
        </is>
      </c>
      <c r="L281" s="2" t="inlineStr">
        <is>
          <t>挑战者庄园</t>
        </is>
      </c>
      <c r="M281" s="6">
        <f>'任务掉落明细'!Y45</f>
        <v>15000</v>
      </c>
      <c r="N281" s="2" t="inlineStr">
        <is>
          <t>data/mission_templates.yaml:L408:drop_table.silver</t>
        </is>
      </c>
    </row>
    <row r="282">
      <c r="A282" s="2" t="inlineStr">
        <is>
          <t>silver</t>
        </is>
      </c>
      <c r="B282" s="2" t="inlineStr">
        <is>
          <t>银两</t>
        </is>
      </c>
      <c r="C282" s="2" t="inlineStr">
        <is>
          <t>资源</t>
        </is>
      </c>
      <c r="D282" s="2" t="inlineStr">
        <is>
          <t>资源</t>
        </is>
      </c>
      <c r="E282" s="2" t="inlineStr">
        <is>
          <t>zhuiji_manzu</t>
        </is>
      </c>
      <c r="F282" s="2" t="inlineStr">
        <is>
          <t>追击蛮族</t>
        </is>
      </c>
      <c r="G282" s="2" t="inlineStr">
        <is>
          <t>固定掉落</t>
        </is>
      </c>
      <c r="H282" s="5">
        <f>'任务掉落明细'!X180</f>
        <v>1</v>
      </c>
      <c r="I282" s="2" t="n">
        <v>40000</v>
      </c>
      <c r="J282" s="2" t="inlineStr">
        <is>
          <t>silver</t>
        </is>
      </c>
      <c r="K282" s="2" t="inlineStr">
        <is>
          <t>个人任务</t>
        </is>
      </c>
      <c r="L282" s="2" t="inlineStr">
        <is>
          <t>挑战者庄园</t>
        </is>
      </c>
      <c r="M282" s="6">
        <f>'任务掉落明细'!Y180</f>
        <v>40000</v>
      </c>
      <c r="N282" s="2" t="inlineStr">
        <is>
          <t>data/mission_templates.yaml:L1075:drop_table.silver</t>
        </is>
      </c>
    </row>
    <row r="283">
      <c r="A283" s="2" t="inlineStr">
        <is>
          <t>silver</t>
        </is>
      </c>
      <c r="B283" s="2" t="inlineStr">
        <is>
          <t>银两</t>
        </is>
      </c>
      <c r="C283" s="2" t="inlineStr">
        <is>
          <t>资源</t>
        </is>
      </c>
      <c r="D283" s="2" t="inlineStr">
        <is>
          <t>资源</t>
        </is>
      </c>
      <c r="E283" s="2" t="inlineStr">
        <is>
          <t>zhuolu_zhongyuan</t>
        </is>
      </c>
      <c r="F283" s="2" t="inlineStr">
        <is>
          <t>逐鹿中原</t>
        </is>
      </c>
      <c r="G283" s="2" t="inlineStr">
        <is>
          <t>固定掉落</t>
        </is>
      </c>
      <c r="H283" s="5">
        <f>'任务掉落明细'!X233</f>
        <v>1</v>
      </c>
      <c r="I283" s="2" t="n">
        <v>100000</v>
      </c>
      <c r="J283" s="2" t="inlineStr">
        <is>
          <t>silver</t>
        </is>
      </c>
      <c r="K283" s="2" t="inlineStr">
        <is>
          <t>个人任务</t>
        </is>
      </c>
      <c r="L283" s="2" t="inlineStr">
        <is>
          <t>挑战者庄园</t>
        </is>
      </c>
      <c r="M283" s="6">
        <f>'任务掉落明细'!Y233</f>
        <v>100000</v>
      </c>
      <c r="N283" s="2" t="inlineStr">
        <is>
          <t>data/mission_templates.yaml:L1326:drop_table.silver</t>
        </is>
      </c>
    </row>
    <row r="284">
      <c r="A284" s="2" t="inlineStr">
        <is>
          <t>sishui_battle_report</t>
        </is>
      </c>
      <c r="B284" s="2" t="inlineStr">
        <is>
          <t>汜水关战报</t>
        </is>
      </c>
      <c r="C284" s="2" t="inlineStr">
        <is>
          <t>资源</t>
        </is>
      </c>
      <c r="D284" s="2" t="inlineStr">
        <is>
          <t>稀有/蓝</t>
        </is>
      </c>
      <c r="E284" s="2" t="inlineStr">
        <is>
          <t>sishui_huaxiong_chengwei</t>
        </is>
      </c>
      <c r="F284" s="2" t="inlineStr">
        <is>
          <t>飞将浮沉录：汜水关华雄逞威</t>
        </is>
      </c>
      <c r="G284" s="2" t="inlineStr">
        <is>
          <t>固定掉落</t>
        </is>
      </c>
      <c r="H284" s="5">
        <f>'任务掉落明细'!X270</f>
        <v>1</v>
      </c>
      <c r="I284" s="2" t="n">
        <v>1</v>
      </c>
      <c r="J284" s="2" t="inlineStr">
        <is>
          <t>sishui_battle_report</t>
        </is>
      </c>
      <c r="K284" s="2" t="inlineStr">
        <is>
          <t>个人任务</t>
        </is>
      </c>
      <c r="L284" s="2" t="inlineStr">
        <is>
          <t>挑战者庄园</t>
        </is>
      </c>
      <c r="M284" s="6">
        <f>'任务掉落明细'!Y270</f>
        <v>1</v>
      </c>
      <c r="N284" s="2" t="inlineStr">
        <is>
          <t>data/mission_templates.yaml:L1511:drop_table.sishui_battle_report</t>
        </is>
      </c>
    </row>
    <row r="285">
      <c r="A285" s="2" t="inlineStr">
        <is>
          <t>super_guest_disguise_card</t>
        </is>
      </c>
      <c r="B285" s="2" t="inlineStr">
        <is>
          <t>超级门客易容卡</t>
        </is>
      </c>
      <c r="C285" s="2" t="inlineStr">
        <is>
          <t>道具</t>
        </is>
      </c>
      <c r="D285" s="2" t="inlineStr">
        <is>
          <t>传说/橙</t>
        </is>
      </c>
      <c r="E285" s="2" t="inlineStr">
        <is>
          <t>baimenlou_mingyun_jueze</t>
        </is>
      </c>
      <c r="F285" s="2" t="inlineStr">
        <is>
          <t>飞将浮沉录：白门楼命运抉择</t>
        </is>
      </c>
      <c r="G285" s="2" t="inlineStr">
        <is>
          <t>概率掉落</t>
        </is>
      </c>
      <c r="H285" s="5">
        <f>'任务掉落明细'!X280</f>
        <v>0.01</v>
      </c>
      <c r="I285" s="2" t="n">
        <v>1</v>
      </c>
      <c r="J285" s="2" t="inlineStr">
        <is>
          <t>super_guest_disguise_card</t>
        </is>
      </c>
      <c r="K285" s="2" t="inlineStr">
        <is>
          <t>个人任务</t>
        </is>
      </c>
      <c r="L285" s="2" t="inlineStr">
        <is>
          <t>挑战者庄园</t>
        </is>
      </c>
      <c r="M285" s="6">
        <f>'任务掉落明细'!Y280</f>
        <v>0.01</v>
      </c>
      <c r="N285" s="2" t="inlineStr">
        <is>
          <t>data/mission_templates.yaml:L1602:drop_table.super_guest_disguise_card</t>
        </is>
      </c>
    </row>
    <row r="286">
      <c r="A286" s="2" t="inlineStr">
        <is>
          <t>wanyin_flag_fragment</t>
        </is>
      </c>
      <c r="B286" s="2" t="inlineStr">
        <is>
          <t>万仙阵旗残片</t>
        </is>
      </c>
      <c r="C286" s="2" t="inlineStr">
        <is>
          <t>资源</t>
        </is>
      </c>
      <c r="D286" s="2" t="inlineStr">
        <is>
          <t>稀有/蓝</t>
        </is>
      </c>
      <c r="E286" s="2" t="inlineStr">
        <is>
          <t>biyou_candeng</t>
        </is>
      </c>
      <c r="F286" s="2" t="inlineStr">
        <is>
          <t>封神之战：碧游残灯</t>
        </is>
      </c>
      <c r="G286" s="2" t="inlineStr">
        <is>
          <t>概率掉落</t>
        </is>
      </c>
      <c r="H286" s="5">
        <f>'任务掉落明细'!X199</f>
        <v>0.35</v>
      </c>
      <c r="I286" s="2" t="n">
        <v>1</v>
      </c>
      <c r="J286" s="2" t="inlineStr">
        <is>
          <t>wanyin_flag_fragment</t>
        </is>
      </c>
      <c r="K286" s="2" t="inlineStr">
        <is>
          <t>个人任务</t>
        </is>
      </c>
      <c r="L286" s="2" t="inlineStr">
        <is>
          <t>挑战者庄园</t>
        </is>
      </c>
      <c r="M286" s="6">
        <f>'任务掉落明细'!Y199</f>
        <v>0.35</v>
      </c>
      <c r="N286" s="2" t="inlineStr">
        <is>
          <t>data/mission_templates.yaml:L1158:drop_table.wanyin_flag_fragment</t>
        </is>
      </c>
    </row>
    <row r="287">
      <c r="A287" s="2" t="inlineStr">
        <is>
          <t>wu_gang_summon_scroll</t>
        </is>
      </c>
      <c r="B287" s="2" t="inlineStr">
        <is>
          <t>吴刚召唤卷轴</t>
        </is>
      </c>
      <c r="C287" s="2" t="inlineStr">
        <is>
          <t>道具</t>
        </is>
      </c>
      <c r="D287" s="2" t="inlineStr">
        <is>
          <t>稀有/蓝</t>
        </is>
      </c>
      <c r="E287" s="2" t="inlineStr">
        <is>
          <t>mid_autumn_moon_palace_trial</t>
        </is>
      </c>
      <c r="F287" s="2" t="inlineStr">
        <is>
          <t>广寒宫试炼</t>
        </is>
      </c>
      <c r="G287" s="2" t="inlineStr">
        <is>
          <t>概率掉落</t>
        </is>
      </c>
      <c r="H287" s="5">
        <f>'任务掉落明细'!X9</f>
        <v>0.05</v>
      </c>
      <c r="I287" s="2" t="n">
        <v>1</v>
      </c>
      <c r="J287" s="2" t="inlineStr">
        <is>
          <t>wu_gang_summon_scroll</t>
        </is>
      </c>
      <c r="K287" s="2" t="inlineStr">
        <is>
          <t>个人任务</t>
        </is>
      </c>
      <c r="L287" s="2" t="inlineStr">
        <is>
          <t>挑战者庄园</t>
        </is>
      </c>
      <c r="M287" s="6">
        <f>'任务掉落明细'!Y9</f>
        <v>0.05</v>
      </c>
      <c r="N287" s="2" t="inlineStr">
        <is>
          <t>data/mission_templates.yaml:L139:drop_table.wu_gang_summon_scroll</t>
        </is>
      </c>
    </row>
    <row r="288">
      <c r="A288" s="2" t="inlineStr">
        <is>
          <t>xidianka</t>
        </is>
      </c>
      <c r="B288" s="2" t="inlineStr">
        <is>
          <t>洗点卡</t>
        </is>
      </c>
      <c r="C288" s="2" t="inlineStr">
        <is>
          <t>道具</t>
        </is>
      </c>
      <c r="D288" s="2" t="inlineStr">
        <is>
          <t>稀有/蓝</t>
        </is>
      </c>
      <c r="E288" s="2" t="inlineStr">
        <is>
          <t>dongtian_fudi</t>
        </is>
      </c>
      <c r="F288" s="2" t="inlineStr">
        <is>
          <t>洞天福地</t>
        </is>
      </c>
      <c r="G288" s="2" t="inlineStr">
        <is>
          <t>概率掉落</t>
        </is>
      </c>
      <c r="H288" s="5">
        <f>'任务掉落明细'!X144</f>
        <v>0.5</v>
      </c>
      <c r="I288" s="2" t="n">
        <v>1</v>
      </c>
      <c r="J288" s="2" t="inlineStr">
        <is>
          <t>xidianka</t>
        </is>
      </c>
      <c r="K288" s="2" t="inlineStr">
        <is>
          <t>个人任务</t>
        </is>
      </c>
      <c r="L288" s="2" t="inlineStr">
        <is>
          <t>挑战者庄园</t>
        </is>
      </c>
      <c r="M288" s="6">
        <f>'任务掉落明细'!Y144</f>
        <v>0.5</v>
      </c>
      <c r="N288" s="2" t="inlineStr">
        <is>
          <t>data/mission_templates.yaml:L873:drop_table.xidianka</t>
        </is>
      </c>
    </row>
    <row r="289">
      <c r="A289" s="2" t="inlineStr">
        <is>
          <t>xisuidan</t>
        </is>
      </c>
      <c r="B289" s="2" t="inlineStr">
        <is>
          <t>洗髓丹</t>
        </is>
      </c>
      <c r="C289" s="2" t="inlineStr">
        <is>
          <t>道具</t>
        </is>
      </c>
      <c r="D289" s="2" t="inlineStr">
        <is>
          <t>传说/橙</t>
        </is>
      </c>
      <c r="E289" s="2" t="inlineStr">
        <is>
          <t>dongtian_fudi</t>
        </is>
      </c>
      <c r="F289" s="2" t="inlineStr">
        <is>
          <t>洞天福地</t>
        </is>
      </c>
      <c r="G289" s="2" t="inlineStr">
        <is>
          <t>概率掉落</t>
        </is>
      </c>
      <c r="H289" s="5">
        <f>'任务掉落明细'!X145</f>
        <v>0.05</v>
      </c>
      <c r="I289" s="2" t="n">
        <v>1</v>
      </c>
      <c r="J289" s="2" t="inlineStr">
        <is>
          <t>xisuidan</t>
        </is>
      </c>
      <c r="K289" s="2" t="inlineStr">
        <is>
          <t>个人任务</t>
        </is>
      </c>
      <c r="L289" s="2" t="inlineStr">
        <is>
          <t>挑战者庄园</t>
        </is>
      </c>
      <c r="M289" s="6">
        <f>'任务掉落明细'!Y145</f>
        <v>0.05</v>
      </c>
      <c r="N289" s="2" t="inlineStr">
        <is>
          <t>data/mission_templates.yaml:L873:drop_table.xisuidan</t>
        </is>
      </c>
    </row>
    <row r="290">
      <c r="A290" s="2" t="inlineStr">
        <is>
          <t>yuxu_broken_seal</t>
        </is>
      </c>
      <c r="B290" s="2" t="inlineStr">
        <is>
          <t>玉虚碎印</t>
        </is>
      </c>
      <c r="C290" s="2" t="inlineStr">
        <is>
          <t>资源</t>
        </is>
      </c>
      <c r="D290" s="2" t="inlineStr">
        <is>
          <t>史诗/紫</t>
        </is>
      </c>
      <c r="E290" s="2" t="inlineStr">
        <is>
          <t>shier_xianyin</t>
        </is>
      </c>
      <c r="F290" s="2" t="inlineStr">
        <is>
          <t>封神之战：十二仙印</t>
        </is>
      </c>
      <c r="G290" s="2" t="inlineStr">
        <is>
          <t>概率掉落</t>
        </is>
      </c>
      <c r="H290" s="5">
        <f>'任务掉落明细'!X212</f>
        <v>0.25</v>
      </c>
      <c r="I290" s="2" t="n">
        <v>1</v>
      </c>
      <c r="J290" s="2" t="inlineStr">
        <is>
          <t>yuxu_broken_seal</t>
        </is>
      </c>
      <c r="K290" s="2" t="inlineStr">
        <is>
          <t>个人任务</t>
        </is>
      </c>
      <c r="L290" s="2" t="inlineStr">
        <is>
          <t>挑战者庄园</t>
        </is>
      </c>
      <c r="M290" s="6">
        <f>'任务掉落明细'!Y212</f>
        <v>0.25</v>
      </c>
      <c r="N290" s="2" t="inlineStr">
        <is>
          <t>data/mission_templates.yaml:L1212:drop_table.yuxu_broken_seal</t>
        </is>
      </c>
    </row>
  </sheetData>
  <autoFilter ref="A1:N29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6" customWidth="1" min="1" max="1"/>
    <col width="34" customWidth="1" min="2" max="2"/>
    <col width="16" customWidth="1" min="3" max="3"/>
    <col width="16" customWidth="1" min="4" max="4"/>
    <col width="44" customWidth="1" min="5" max="5"/>
    <col width="12" customWidth="1" min="6" max="6"/>
    <col width="30" customWidth="1" min="7" max="7"/>
    <col width="70" customWidth="1" min="8" max="8"/>
    <col width="20" customWidth="1" min="9" max="9"/>
    <col width="16" customWidth="1" min="10" max="10"/>
    <col width="20" customWidth="1" min="11" max="11"/>
    <col width="65" customWidth="1" min="12" max="12"/>
    <col width="90" customWidth="1" min="13" max="13"/>
  </cols>
  <sheetData>
    <row r="1" ht="32" customHeight="1">
      <c r="A1" s="1" t="inlineStr">
        <is>
          <t>任务key</t>
        </is>
      </c>
      <c r="B1" s="1" t="inlineStr">
        <is>
          <t>任务名称</t>
        </is>
      </c>
      <c r="C1" s="1" t="inlineStr">
        <is>
          <t>任务分类</t>
        </is>
      </c>
      <c r="D1" s="1" t="inlineStr">
        <is>
          <t>单位类型</t>
        </is>
      </c>
      <c r="E1" s="1" t="inlineStr">
        <is>
          <t>单位key</t>
        </is>
      </c>
      <c r="F1" s="1" t="inlineStr">
        <is>
          <t>数量</t>
        </is>
      </c>
      <c r="G1" s="1" t="inlineStr">
        <is>
          <t>单位名称</t>
        </is>
      </c>
      <c r="H1" s="1" t="inlineStr">
        <is>
          <t>门客技能</t>
        </is>
      </c>
      <c r="I1" s="1" t="inlineStr">
        <is>
          <t>统一科技等级</t>
        </is>
      </c>
      <c r="J1" s="1" t="inlineStr">
        <is>
          <t>门客等级</t>
        </is>
      </c>
      <c r="K1" s="1" t="inlineStr">
        <is>
          <t>门客属性加成</t>
        </is>
      </c>
      <c r="L1" s="1" t="inlineStr">
        <is>
          <t>数据来源</t>
        </is>
      </c>
      <c r="M1" s="1" t="inlineStr">
        <is>
          <t>原始单位配置(JSON)</t>
        </is>
      </c>
    </row>
    <row r="2">
      <c r="A2" s="2" t="inlineStr">
        <is>
          <t>mid_autumn_moon_palace_trial</t>
        </is>
      </c>
      <c r="B2" s="2" t="inlineStr">
        <is>
          <t>广寒宫试炼</t>
        </is>
      </c>
      <c r="C2" s="2" t="inlineStr">
        <is>
          <t>个人任务</t>
        </is>
      </c>
      <c r="D2" s="2" t="inlineStr">
        <is>
          <t>门客</t>
        </is>
      </c>
      <c r="E2" s="2" t="inlineStr">
        <is>
          <t>myth_moon_jade_rabbit</t>
        </is>
      </c>
      <c r="F2" s="2" t="n">
        <v>1</v>
      </c>
      <c r="G2" s="2" t="inlineStr">
        <is>
          <t>玉兔</t>
        </is>
      </c>
      <c r="H2" s="2" t="inlineStr">
        <is>
          <t>使用模板默认技能</t>
        </is>
      </c>
      <c r="I2" s="2" t="n">
        <v>7</v>
      </c>
      <c r="J2" s="2" t="n">
        <v>60</v>
      </c>
      <c r="K2" s="4" t="n">
        <v>0.12</v>
      </c>
      <c r="L2" s="2" t="inlineStr">
        <is>
          <t>data/mission_templates.yaml:L139:enemy_guests</t>
        </is>
      </c>
      <c r="M2" s="2" t="inlineStr">
        <is>
          <t>{"key":"myth_moon_jade_rabbit","label":"玉兔"}</t>
        </is>
      </c>
    </row>
    <row r="3">
      <c r="A3" s="2" t="inlineStr">
        <is>
          <t>mid_autumn_moon_palace_trial</t>
        </is>
      </c>
      <c r="B3" s="2" t="inlineStr">
        <is>
          <t>广寒宫试炼</t>
        </is>
      </c>
      <c r="C3" s="2" t="inlineStr">
        <is>
          <t>个人任务</t>
        </is>
      </c>
      <c r="D3" s="2" t="inlineStr">
        <is>
          <t>门客</t>
        </is>
      </c>
      <c r="E3" s="2" t="inlineStr">
        <is>
          <t>myth_moon_wu_gang</t>
        </is>
      </c>
      <c r="F3" s="2" t="n">
        <v>1</v>
      </c>
      <c r="G3" s="2" t="inlineStr">
        <is>
          <t>吴刚</t>
        </is>
      </c>
      <c r="H3" s="2" t="inlineStr">
        <is>
          <t>使用模板默认技能</t>
        </is>
      </c>
      <c r="I3" s="2" t="n">
        <v>7</v>
      </c>
      <c r="J3" s="2" t="n">
        <v>60</v>
      </c>
      <c r="K3" s="4" t="n">
        <v>0.12</v>
      </c>
      <c r="L3" s="2" t="inlineStr">
        <is>
          <t>data/mission_templates.yaml:L139:enemy_guests</t>
        </is>
      </c>
      <c r="M3" s="2" t="inlineStr">
        <is>
          <t>{"key":"myth_moon_wu_gang","label":"吴刚"}</t>
        </is>
      </c>
    </row>
    <row r="4">
      <c r="A4" s="2" t="inlineStr">
        <is>
          <t>mid_autumn_moon_palace_trial</t>
        </is>
      </c>
      <c r="B4" s="2" t="inlineStr">
        <is>
          <t>广寒宫试炼</t>
        </is>
      </c>
      <c r="C4" s="2" t="inlineStr">
        <is>
          <t>个人任务</t>
        </is>
      </c>
      <c r="D4" s="2" t="inlineStr">
        <is>
          <t>门客</t>
        </is>
      </c>
      <c r="E4" s="2" t="inlineStr">
        <is>
          <t>hist_xianqin_0413</t>
        </is>
      </c>
      <c r="F4" s="2" t="n">
        <v>1</v>
      </c>
      <c r="G4" s="2" t="inlineStr">
        <is>
          <t>嫦娥</t>
        </is>
      </c>
      <c r="H4" s="2" t="inlineStr">
        <is>
          <t>使用模板默认技能</t>
        </is>
      </c>
      <c r="I4" s="2" t="n">
        <v>7</v>
      </c>
      <c r="J4" s="2" t="n">
        <v>60</v>
      </c>
      <c r="K4" s="4" t="n">
        <v>0.12</v>
      </c>
      <c r="L4" s="2" t="inlineStr">
        <is>
          <t>data/mission_templates.yaml:L139:enemy_guests</t>
        </is>
      </c>
      <c r="M4" s="2" t="inlineStr">
        <is>
          <t>{"key":"hist_xianqin_0413","label":"嫦娥"}</t>
        </is>
      </c>
    </row>
    <row r="5">
      <c r="A5" s="2" t="inlineStr">
        <is>
          <t>mid_autumn_moon_palace_trial</t>
        </is>
      </c>
      <c r="B5" s="2" t="inlineStr">
        <is>
          <t>广寒宫试炼</t>
        </is>
      </c>
      <c r="C5" s="2" t="inlineStr">
        <is>
          <t>个人任务</t>
        </is>
      </c>
      <c r="D5" s="2" t="inlineStr">
        <is>
          <t>护院</t>
        </is>
      </c>
      <c r="E5" s="2" t="inlineStr">
        <is>
          <t>quan_wang</t>
        </is>
      </c>
      <c r="F5" s="2" t="n">
        <v>300</v>
      </c>
      <c r="G5" s="2" t="inlineStr">
        <is>
          <t>拳王</t>
        </is>
      </c>
      <c r="H5" s="2" t="inlineStr"/>
      <c r="I5" s="2" t="n">
        <v>7</v>
      </c>
      <c r="J5" s="2" t="n"/>
      <c r="K5" s="4" t="n"/>
      <c r="L5" s="2" t="inlineStr">
        <is>
          <t>data/mission_templates.yaml:L139:enemy_troops</t>
        </is>
      </c>
      <c r="M5" s="2" t="inlineStr">
        <is>
          <t>{"quan_wang":300}</t>
        </is>
      </c>
    </row>
    <row r="6">
      <c r="A6" s="2" t="inlineStr">
        <is>
          <t>mid_autumn_moon_palace_trial</t>
        </is>
      </c>
      <c r="B6" s="2" t="inlineStr">
        <is>
          <t>广寒宫试炼</t>
        </is>
      </c>
      <c r="C6" s="2" t="inlineStr">
        <is>
          <t>个人任务</t>
        </is>
      </c>
      <c r="D6" s="2" t="inlineStr">
        <is>
          <t>护院</t>
        </is>
      </c>
      <c r="E6" s="2" t="inlineStr">
        <is>
          <t>jian_hao</t>
        </is>
      </c>
      <c r="F6" s="2" t="n">
        <v>300</v>
      </c>
      <c r="G6" s="2" t="inlineStr">
        <is>
          <t>剑豪</t>
        </is>
      </c>
      <c r="H6" s="2" t="inlineStr"/>
      <c r="I6" s="2" t="n">
        <v>7</v>
      </c>
      <c r="J6" s="2" t="n"/>
      <c r="K6" s="4" t="n"/>
      <c r="L6" s="2" t="inlineStr">
        <is>
          <t>data/mission_templates.yaml:L139:enemy_troops</t>
        </is>
      </c>
      <c r="M6" s="2" t="inlineStr">
        <is>
          <t>{"jian_hao":300}</t>
        </is>
      </c>
    </row>
    <row r="7">
      <c r="A7" s="2" t="inlineStr">
        <is>
          <t>mid_autumn_moon_palace_trial</t>
        </is>
      </c>
      <c r="B7" s="2" t="inlineStr">
        <is>
          <t>广寒宫试炼</t>
        </is>
      </c>
      <c r="C7" s="2" t="inlineStr">
        <is>
          <t>个人任务</t>
        </is>
      </c>
      <c r="D7" s="2" t="inlineStr">
        <is>
          <t>护院</t>
        </is>
      </c>
      <c r="E7" s="2" t="inlineStr">
        <is>
          <t>divine_archer</t>
        </is>
      </c>
      <c r="F7" s="2" t="n">
        <v>200</v>
      </c>
      <c r="G7" s="2" t="inlineStr">
        <is>
          <t>神箭手</t>
        </is>
      </c>
      <c r="H7" s="2" t="inlineStr"/>
      <c r="I7" s="2" t="n">
        <v>7</v>
      </c>
      <c r="J7" s="2" t="n"/>
      <c r="K7" s="4" t="n"/>
      <c r="L7" s="2" t="inlineStr">
        <is>
          <t>data/mission_templates.yaml:L139:enemy_troops</t>
        </is>
      </c>
      <c r="M7" s="2" t="inlineStr">
        <is>
          <t>{"divine_archer":200}</t>
        </is>
      </c>
    </row>
    <row r="8">
      <c r="A8" s="2" t="inlineStr">
        <is>
          <t>kasukabe_daisakusen</t>
        </is>
      </c>
      <c r="B8" s="2" t="inlineStr">
        <is>
          <t>春日部大作战</t>
        </is>
      </c>
      <c r="C8" s="2" t="inlineStr">
        <is>
          <t>个人任务</t>
        </is>
      </c>
      <c r="D8" s="2" t="inlineStr">
        <is>
          <t>门客</t>
        </is>
      </c>
      <c r="E8" s="2" t="inlineStr">
        <is>
          <t>task_kasukabe_patrol_captain</t>
        </is>
      </c>
      <c r="F8" s="2" t="n">
        <v>1</v>
      </c>
      <c r="G8" s="2" t="inlineStr">
        <is>
          <t>春日部巡逻队长</t>
        </is>
      </c>
      <c r="H8" s="2" t="inlineStr">
        <is>
          <t>使用模板默认技能</t>
        </is>
      </c>
      <c r="I8" s="2" t="n">
        <v>7</v>
      </c>
      <c r="J8" s="2" t="n">
        <v>60</v>
      </c>
      <c r="K8" s="4" t="n">
        <v>0.12</v>
      </c>
      <c r="L8" s="2" t="inlineStr">
        <is>
          <t>data/mission_templates.yaml:L206:enemy_guests</t>
        </is>
      </c>
      <c r="M8" s="2" t="inlineStr">
        <is>
          <t>{"key":"task_kasukabe_patrol_captain","label":"春日部巡逻队长"}</t>
        </is>
      </c>
    </row>
    <row r="9">
      <c r="A9" s="2" t="inlineStr">
        <is>
          <t>kasukabe_daisakusen</t>
        </is>
      </c>
      <c r="B9" s="2" t="inlineStr">
        <is>
          <t>春日部大作战</t>
        </is>
      </c>
      <c r="C9" s="2" t="inlineStr">
        <is>
          <t>个人任务</t>
        </is>
      </c>
      <c r="D9" s="2" t="inlineStr">
        <is>
          <t>门客</t>
        </is>
      </c>
      <c r="E9" s="2" t="inlineStr">
        <is>
          <t>task_kasukabe_toy_crocodile</t>
        </is>
      </c>
      <c r="F9" s="2" t="n">
        <v>1</v>
      </c>
      <c r="G9" s="2" t="inlineStr">
        <is>
          <t>玩具机关鳄鱼</t>
        </is>
      </c>
      <c r="H9" s="2" t="inlineStr">
        <is>
          <t>使用模板默认技能</t>
        </is>
      </c>
      <c r="I9" s="2" t="n">
        <v>7</v>
      </c>
      <c r="J9" s="2" t="n">
        <v>60</v>
      </c>
      <c r="K9" s="4" t="n">
        <v>0.12</v>
      </c>
      <c r="L9" s="2" t="inlineStr">
        <is>
          <t>data/mission_templates.yaml:L206:enemy_guests</t>
        </is>
      </c>
      <c r="M9" s="2" t="inlineStr">
        <is>
          <t>{"key":"task_kasukabe_toy_crocodile","label":"玩具机关鳄鱼"}</t>
        </is>
      </c>
    </row>
    <row r="10">
      <c r="A10" s="2" t="inlineStr">
        <is>
          <t>kasukabe_daisakusen</t>
        </is>
      </c>
      <c r="B10" s="2" t="inlineStr">
        <is>
          <t>春日部大作战</t>
        </is>
      </c>
      <c r="C10" s="2" t="inlineStr">
        <is>
          <t>个人任务</t>
        </is>
      </c>
      <c r="D10" s="2" t="inlineStr">
        <is>
          <t>门客</t>
        </is>
      </c>
      <c r="E10" s="2" t="inlineStr">
        <is>
          <t>task_kasukabe_defense_member</t>
        </is>
      </c>
      <c r="F10" s="2" t="n">
        <v>1</v>
      </c>
      <c r="G10" s="2" t="inlineStr">
        <is>
          <t>迷路的防卫队员</t>
        </is>
      </c>
      <c r="H10" s="2" t="inlineStr">
        <is>
          <t>使用模板默认技能</t>
        </is>
      </c>
      <c r="I10" s="2" t="n">
        <v>7</v>
      </c>
      <c r="J10" s="2" t="n">
        <v>60</v>
      </c>
      <c r="K10" s="4" t="n">
        <v>0.12</v>
      </c>
      <c r="L10" s="2" t="inlineStr">
        <is>
          <t>data/mission_templates.yaml:L206:enemy_guests</t>
        </is>
      </c>
      <c r="M10" s="2" t="inlineStr">
        <is>
          <t>{"key":"task_kasukabe_defense_member","label":"迷路的防卫队员"}</t>
        </is>
      </c>
    </row>
    <row r="11">
      <c r="A11" s="2" t="inlineStr">
        <is>
          <t>kasukabe_daisakusen</t>
        </is>
      </c>
      <c r="B11" s="2" t="inlineStr">
        <is>
          <t>春日部大作战</t>
        </is>
      </c>
      <c r="C11" s="2" t="inlineStr">
        <is>
          <t>个人任务</t>
        </is>
      </c>
      <c r="D11" s="2" t="inlineStr">
        <is>
          <t>门客</t>
        </is>
      </c>
      <c r="E11" s="2" t="inlineStr">
        <is>
          <t>task_kasukabe_crayon_clone</t>
        </is>
      </c>
      <c r="F11" s="2" t="n">
        <v>1</v>
      </c>
      <c r="G11" s="2" t="inlineStr">
        <is>
          <t>蜡笔恶作剧分身</t>
        </is>
      </c>
      <c r="H11" s="2" t="inlineStr">
        <is>
          <t>使用模板默认技能</t>
        </is>
      </c>
      <c r="I11" s="2" t="n">
        <v>7</v>
      </c>
      <c r="J11" s="2" t="n">
        <v>60</v>
      </c>
      <c r="K11" s="4" t="n">
        <v>0.12</v>
      </c>
      <c r="L11" s="2" t="inlineStr">
        <is>
          <t>data/mission_templates.yaml:L206:enemy_guests</t>
        </is>
      </c>
      <c r="M11" s="2" t="inlineStr">
        <is>
          <t>{"key":"task_kasukabe_crayon_clone","label":"蜡笔恶作剧分身"}</t>
        </is>
      </c>
    </row>
    <row r="12">
      <c r="A12" s="2" t="inlineStr">
        <is>
          <t>kasukabe_daisakusen</t>
        </is>
      </c>
      <c r="B12" s="2" t="inlineStr">
        <is>
          <t>春日部大作战</t>
        </is>
      </c>
      <c r="C12" s="2" t="inlineStr">
        <is>
          <t>个人任务</t>
        </is>
      </c>
      <c r="D12" s="2" t="inlineStr">
        <is>
          <t>门客</t>
        </is>
      </c>
      <c r="E12" s="2" t="inlineStr">
        <is>
          <t>task_kasukabe_doodle_boss</t>
        </is>
      </c>
      <c r="F12" s="2" t="n">
        <v>1</v>
      </c>
      <c r="G12" s="2" t="inlineStr">
        <is>
          <t>涂鸦大魔王</t>
        </is>
      </c>
      <c r="H12" s="2" t="inlineStr">
        <is>
          <t>使用模板默认技能</t>
        </is>
      </c>
      <c r="I12" s="2" t="n">
        <v>7</v>
      </c>
      <c r="J12" s="2" t="n">
        <v>60</v>
      </c>
      <c r="K12" s="4" t="n">
        <v>0.12</v>
      </c>
      <c r="L12" s="2" t="inlineStr">
        <is>
          <t>data/mission_templates.yaml:L206:enemy_guests</t>
        </is>
      </c>
      <c r="M12" s="2" t="inlineStr">
        <is>
          <t>{"key":"task_kasukabe_doodle_boss","label":"涂鸦大魔王"}</t>
        </is>
      </c>
    </row>
    <row r="13">
      <c r="A13" s="2" t="inlineStr">
        <is>
          <t>kasukabe_daisakusen</t>
        </is>
      </c>
      <c r="B13" s="2" t="inlineStr">
        <is>
          <t>春日部大作战</t>
        </is>
      </c>
      <c r="C13" s="2" t="inlineStr">
        <is>
          <t>个人任务</t>
        </is>
      </c>
      <c r="D13" s="2" t="inlineStr">
        <is>
          <t>护院</t>
        </is>
      </c>
      <c r="E13" s="2" t="inlineStr">
        <is>
          <t>quan_wang</t>
        </is>
      </c>
      <c r="F13" s="2" t="n">
        <v>300</v>
      </c>
      <c r="G13" s="2" t="inlineStr">
        <is>
          <t>拳王</t>
        </is>
      </c>
      <c r="H13" s="2" t="inlineStr"/>
      <c r="I13" s="2" t="n">
        <v>7</v>
      </c>
      <c r="J13" s="2" t="n"/>
      <c r="K13" s="4" t="n"/>
      <c r="L13" s="2" t="inlineStr">
        <is>
          <t>data/mission_templates.yaml:L206:enemy_troops</t>
        </is>
      </c>
      <c r="M13" s="2" t="inlineStr">
        <is>
          <t>{"quan_wang":300}</t>
        </is>
      </c>
    </row>
    <row r="14">
      <c r="A14" s="2" t="inlineStr">
        <is>
          <t>kasukabe_daisakusen</t>
        </is>
      </c>
      <c r="B14" s="2" t="inlineStr">
        <is>
          <t>春日部大作战</t>
        </is>
      </c>
      <c r="C14" s="2" t="inlineStr">
        <is>
          <t>个人任务</t>
        </is>
      </c>
      <c r="D14" s="2" t="inlineStr">
        <is>
          <t>护院</t>
        </is>
      </c>
      <c r="E14" s="2" t="inlineStr">
        <is>
          <t>archer</t>
        </is>
      </c>
      <c r="F14" s="2" t="n">
        <v>300</v>
      </c>
      <c r="G14" s="2" t="inlineStr">
        <is>
          <t>弓箭手</t>
        </is>
      </c>
      <c r="H14" s="2" t="inlineStr"/>
      <c r="I14" s="2" t="n">
        <v>7</v>
      </c>
      <c r="J14" s="2" t="n"/>
      <c r="K14" s="4" t="n"/>
      <c r="L14" s="2" t="inlineStr">
        <is>
          <t>data/mission_templates.yaml:L206:enemy_troops</t>
        </is>
      </c>
      <c r="M14" s="2" t="inlineStr">
        <is>
          <t>{"archer":300}</t>
        </is>
      </c>
    </row>
    <row r="15">
      <c r="A15" s="2" t="inlineStr">
        <is>
          <t>kasukabe_daisakusen</t>
        </is>
      </c>
      <c r="B15" s="2" t="inlineStr">
        <is>
          <t>春日部大作战</t>
        </is>
      </c>
      <c r="C15" s="2" t="inlineStr">
        <is>
          <t>个人任务</t>
        </is>
      </c>
      <c r="D15" s="2" t="inlineStr">
        <is>
          <t>护院</t>
        </is>
      </c>
      <c r="E15" s="2" t="inlineStr">
        <is>
          <t>dao_ba</t>
        </is>
      </c>
      <c r="F15" s="2" t="n">
        <v>200</v>
      </c>
      <c r="G15" s="2" t="inlineStr">
        <is>
          <t>刀霸</t>
        </is>
      </c>
      <c r="H15" s="2" t="inlineStr"/>
      <c r="I15" s="2" t="n">
        <v>7</v>
      </c>
      <c r="J15" s="2" t="n"/>
      <c r="K15" s="4" t="n"/>
      <c r="L15" s="2" t="inlineStr">
        <is>
          <t>data/mission_templates.yaml:L206:enemy_troops</t>
        </is>
      </c>
      <c r="M15" s="2" t="inlineStr">
        <is>
          <t>{"dao_ba":200}</t>
        </is>
      </c>
    </row>
    <row r="16">
      <c r="A16" s="2" t="inlineStr">
        <is>
          <t>huashan_lunjian</t>
        </is>
      </c>
      <c r="B16" s="2" t="inlineStr">
        <is>
          <t>华山论贱</t>
        </is>
      </c>
      <c r="C16" s="2" t="inlineStr">
        <is>
          <t>个人任务</t>
        </is>
      </c>
      <c r="D16" s="2" t="inlineStr">
        <is>
          <t>门客</t>
        </is>
      </c>
      <c r="E16" s="2" t="inlineStr">
        <is>
          <t>task_huashan_jianwang</t>
        </is>
      </c>
      <c r="F16" s="2" t="n">
        <v>1</v>
      </c>
      <c r="G16" s="2" t="inlineStr">
        <is>
          <t>贱王之王</t>
        </is>
      </c>
      <c r="H16" s="2" t="inlineStr">
        <is>
          <t>使用模板默认技能</t>
        </is>
      </c>
      <c r="I16" s="2" t="n">
        <v>2</v>
      </c>
      <c r="J16" s="2" t="n">
        <v>12</v>
      </c>
      <c r="K16" s="4" t="n">
        <v>0</v>
      </c>
      <c r="L16" s="2" t="inlineStr">
        <is>
          <t>data/mission_templates.yaml:L287:enemy_guests</t>
        </is>
      </c>
      <c r="M16" s="2" t="inlineStr">
        <is>
          <t>{"key":"task_huashan_jianwang","label":"贱王之王"}</t>
        </is>
      </c>
    </row>
    <row r="17">
      <c r="A17" s="2" t="inlineStr">
        <is>
          <t>huashan_lunjian</t>
        </is>
      </c>
      <c r="B17" s="2" t="inlineStr">
        <is>
          <t>华山论贱</t>
        </is>
      </c>
      <c r="C17" s="2" t="inlineStr">
        <is>
          <t>个人任务</t>
        </is>
      </c>
      <c r="D17" s="2" t="inlineStr">
        <is>
          <t>门客</t>
        </is>
      </c>
      <c r="E17" s="2" t="inlineStr">
        <is>
          <t>task_huashan_jianjing</t>
        </is>
      </c>
      <c r="F17" s="2" t="n">
        <v>1</v>
      </c>
      <c r="G17" s="2" t="inlineStr">
        <is>
          <t>顶级贱精</t>
        </is>
      </c>
      <c r="H17" s="2" t="inlineStr">
        <is>
          <t>使用模板默认技能</t>
        </is>
      </c>
      <c r="I17" s="2" t="n">
        <v>2</v>
      </c>
      <c r="J17" s="2" t="n">
        <v>12</v>
      </c>
      <c r="K17" s="4" t="n">
        <v>0</v>
      </c>
      <c r="L17" s="2" t="inlineStr">
        <is>
          <t>data/mission_templates.yaml:L287:enemy_guests</t>
        </is>
      </c>
      <c r="M17" s="2" t="inlineStr">
        <is>
          <t>{"key":"task_huashan_jianjing","label":"顶级贱精"}</t>
        </is>
      </c>
    </row>
    <row r="18">
      <c r="A18" s="2" t="inlineStr">
        <is>
          <t>huashan_lunjian</t>
        </is>
      </c>
      <c r="B18" s="2" t="inlineStr">
        <is>
          <t>华山论贱</t>
        </is>
      </c>
      <c r="C18" s="2" t="inlineStr">
        <is>
          <t>个人任务</t>
        </is>
      </c>
      <c r="D18" s="2" t="inlineStr">
        <is>
          <t>门客</t>
        </is>
      </c>
      <c r="E18" s="2" t="inlineStr">
        <is>
          <t>task_huashan_jianjing</t>
        </is>
      </c>
      <c r="F18" s="2" t="n">
        <v>1</v>
      </c>
      <c r="G18" s="2" t="inlineStr">
        <is>
          <t>顶级贱精</t>
        </is>
      </c>
      <c r="H18" s="2" t="inlineStr">
        <is>
          <t>使用模板默认技能</t>
        </is>
      </c>
      <c r="I18" s="2" t="n">
        <v>2</v>
      </c>
      <c r="J18" s="2" t="n">
        <v>12</v>
      </c>
      <c r="K18" s="4" t="n">
        <v>0</v>
      </c>
      <c r="L18" s="2" t="inlineStr">
        <is>
          <t>data/mission_templates.yaml:L287:enemy_guests</t>
        </is>
      </c>
      <c r="M18" s="2" t="inlineStr">
        <is>
          <t>{"key":"task_huashan_jianjing","label":"顶级贱精"}</t>
        </is>
      </c>
    </row>
    <row r="19">
      <c r="A19" s="2" t="inlineStr">
        <is>
          <t>huashan_lunjian</t>
        </is>
      </c>
      <c r="B19" s="2" t="inlineStr">
        <is>
          <t>华山论贱</t>
        </is>
      </c>
      <c r="C19" s="2" t="inlineStr">
        <is>
          <t>个人任务</t>
        </is>
      </c>
      <c r="D19" s="2" t="inlineStr">
        <is>
          <t>门客</t>
        </is>
      </c>
      <c r="E19" s="2" t="inlineStr">
        <is>
          <t>task_huashan_audience_a</t>
        </is>
      </c>
      <c r="F19" s="2" t="n">
        <v>1</v>
      </c>
      <c r="G19" s="2" t="inlineStr">
        <is>
          <t>观众甲</t>
        </is>
      </c>
      <c r="H19" s="2" t="inlineStr">
        <is>
          <t>使用模板默认技能</t>
        </is>
      </c>
      <c r="I19" s="2" t="n">
        <v>2</v>
      </c>
      <c r="J19" s="2" t="n">
        <v>12</v>
      </c>
      <c r="K19" s="4" t="n">
        <v>0</v>
      </c>
      <c r="L19" s="2" t="inlineStr">
        <is>
          <t>data/mission_templates.yaml:L287:enemy_guests</t>
        </is>
      </c>
      <c r="M19" s="2" t="inlineStr">
        <is>
          <t>{"key":"task_huashan_audience_a","label":"观众甲"}</t>
        </is>
      </c>
    </row>
    <row r="20">
      <c r="A20" s="2" t="inlineStr">
        <is>
          <t>wagangzhai_nixi</t>
        </is>
      </c>
      <c r="B20" s="2" t="inlineStr">
        <is>
          <t>瓦岗寨的逆袭</t>
        </is>
      </c>
      <c r="C20" s="2" t="inlineStr">
        <is>
          <t>个人任务</t>
        </is>
      </c>
      <c r="D20" s="2" t="inlineStr">
        <is>
          <t>门客</t>
        </is>
      </c>
      <c r="E20" s="2" t="inlineStr">
        <is>
          <t>hist_suitang_0162_zhairang</t>
        </is>
      </c>
      <c r="F20" s="2" t="n">
        <v>1</v>
      </c>
      <c r="G20" s="2" t="inlineStr">
        <is>
          <t>翟让</t>
        </is>
      </c>
      <c r="H20" s="2" t="inlineStr">
        <is>
          <t>唐僧说禅</t>
        </is>
      </c>
      <c r="I20" s="2" t="n">
        <v>10</v>
      </c>
      <c r="J20" s="2" t="n">
        <v>100</v>
      </c>
      <c r="K20" s="4" t="n">
        <v>0.3</v>
      </c>
      <c r="L20" s="2" t="inlineStr">
        <is>
          <t>data/mission_templates.yaml:L326:enemy_guests</t>
        </is>
      </c>
      <c r="M20" s="2" t="inlineStr">
        <is>
          <t>{"key":"hist_suitang_0162_zhairang","skills":["tangseng_sermon"]}</t>
        </is>
      </c>
    </row>
    <row r="21">
      <c r="A21" s="2" t="inlineStr">
        <is>
          <t>wagangzhai_nixi</t>
        </is>
      </c>
      <c r="B21" s="2" t="inlineStr">
        <is>
          <t>瓦岗寨的逆袭</t>
        </is>
      </c>
      <c r="C21" s="2" t="inlineStr">
        <is>
          <t>个人任务</t>
        </is>
      </c>
      <c r="D21" s="2" t="inlineStr">
        <is>
          <t>门客</t>
        </is>
      </c>
      <c r="E21" s="2" t="inlineStr">
        <is>
          <t>hero_qin_shubao</t>
        </is>
      </c>
      <c r="F21" s="2" t="n">
        <v>1</v>
      </c>
      <c r="G21" s="2" t="inlineStr">
        <is>
          <t>秦叔宝</t>
        </is>
      </c>
      <c r="H21" s="2" t="inlineStr">
        <is>
          <t>梵天真火</t>
        </is>
      </c>
      <c r="I21" s="2" t="n">
        <v>10</v>
      </c>
      <c r="J21" s="2" t="n">
        <v>100</v>
      </c>
      <c r="K21" s="4" t="n">
        <v>0.3</v>
      </c>
      <c r="L21" s="2" t="inlineStr">
        <is>
          <t>data/mission_templates.yaml:L326:enemy_guests</t>
        </is>
      </c>
      <c r="M21" s="2" t="inlineStr">
        <is>
          <t>{"key":"hero_qin_shubao","skills":["brahma_true_fire"]}</t>
        </is>
      </c>
    </row>
    <row r="22">
      <c r="A22" s="2" t="inlineStr">
        <is>
          <t>wagangzhai_nixi</t>
        </is>
      </c>
      <c r="B22" s="2" t="inlineStr">
        <is>
          <t>瓦岗寨的逆袭</t>
        </is>
      </c>
      <c r="C22" s="2" t="inlineStr">
        <is>
          <t>个人任务</t>
        </is>
      </c>
      <c r="D22" s="2" t="inlineStr">
        <is>
          <t>门客</t>
        </is>
      </c>
      <c r="E22" s="2" t="inlineStr">
        <is>
          <t>hist_suitang_0164_shanxiongxin</t>
        </is>
      </c>
      <c r="F22" s="2" t="n">
        <v>1</v>
      </c>
      <c r="G22" s="2" t="inlineStr">
        <is>
          <t>单雄信</t>
        </is>
      </c>
      <c r="H22" s="2" t="inlineStr">
        <is>
          <t>使用模板默认技能</t>
        </is>
      </c>
      <c r="I22" s="2" t="n">
        <v>10</v>
      </c>
      <c r="J22" s="2" t="n">
        <v>100</v>
      </c>
      <c r="K22" s="4" t="n">
        <v>0.3</v>
      </c>
      <c r="L22" s="2" t="inlineStr">
        <is>
          <t>data/mission_templates.yaml:L326:enemy_guests</t>
        </is>
      </c>
      <c r="M22" s="2" t="inlineStr">
        <is>
          <t>"hist_suitang_0164_shanxiongxin"</t>
        </is>
      </c>
    </row>
    <row r="23">
      <c r="A23" s="2" t="inlineStr">
        <is>
          <t>wagangzhai_nixi</t>
        </is>
      </c>
      <c r="B23" s="2" t="inlineStr">
        <is>
          <t>瓦岗寨的逆袭</t>
        </is>
      </c>
      <c r="C23" s="2" t="inlineStr">
        <is>
          <t>个人任务</t>
        </is>
      </c>
      <c r="D23" s="2" t="inlineStr">
        <is>
          <t>门客</t>
        </is>
      </c>
      <c r="E23" s="2" t="inlineStr">
        <is>
          <t>hist_suitang_0165_wangbodang</t>
        </is>
      </c>
      <c r="F23" s="2" t="n">
        <v>1</v>
      </c>
      <c r="G23" s="2" t="inlineStr">
        <is>
          <t>王伯当</t>
        </is>
      </c>
      <c r="H23" s="2" t="inlineStr">
        <is>
          <t>使用模板默认技能</t>
        </is>
      </c>
      <c r="I23" s="2" t="n">
        <v>10</v>
      </c>
      <c r="J23" s="2" t="n">
        <v>100</v>
      </c>
      <c r="K23" s="4" t="n">
        <v>0.3</v>
      </c>
      <c r="L23" s="2" t="inlineStr">
        <is>
          <t>data/mission_templates.yaml:L326:enemy_guests</t>
        </is>
      </c>
      <c r="M23" s="2" t="inlineStr">
        <is>
          <t>"hist_suitang_0165_wangbodang"</t>
        </is>
      </c>
    </row>
    <row r="24">
      <c r="A24" s="2" t="inlineStr">
        <is>
          <t>wagangzhai_nixi</t>
        </is>
      </c>
      <c r="B24" s="2" t="inlineStr">
        <is>
          <t>瓦岗寨的逆袭</t>
        </is>
      </c>
      <c r="C24" s="2" t="inlineStr">
        <is>
          <t>个人任务</t>
        </is>
      </c>
      <c r="D24" s="2" t="inlineStr">
        <is>
          <t>门客</t>
        </is>
      </c>
      <c r="E24" s="2" t="inlineStr">
        <is>
          <t>hero_luo_cheng</t>
        </is>
      </c>
      <c r="F24" s="2" t="n">
        <v>1</v>
      </c>
      <c r="G24" s="2" t="inlineStr">
        <is>
          <t>罗成</t>
        </is>
      </c>
      <c r="H24" s="2" t="inlineStr">
        <is>
          <t>使用模板默认技能</t>
        </is>
      </c>
      <c r="I24" s="2" t="n">
        <v>10</v>
      </c>
      <c r="J24" s="2" t="n">
        <v>100</v>
      </c>
      <c r="K24" s="4" t="n">
        <v>0.3</v>
      </c>
      <c r="L24" s="2" t="inlineStr">
        <is>
          <t>data/mission_templates.yaml:L326:enemy_guests</t>
        </is>
      </c>
      <c r="M24" s="2" t="inlineStr">
        <is>
          <t>"hero_luo_cheng"</t>
        </is>
      </c>
    </row>
    <row r="25">
      <c r="A25" s="2" t="inlineStr">
        <is>
          <t>wagangzhai_nixi</t>
        </is>
      </c>
      <c r="B25" s="2" t="inlineStr">
        <is>
          <t>瓦岗寨的逆袭</t>
        </is>
      </c>
      <c r="C25" s="2" t="inlineStr">
        <is>
          <t>个人任务</t>
        </is>
      </c>
      <c r="D25" s="2" t="inlineStr">
        <is>
          <t>门客</t>
        </is>
      </c>
      <c r="E25" s="2" t="inlineStr">
        <is>
          <t>hero_cheng_yaojin</t>
        </is>
      </c>
      <c r="F25" s="2" t="n">
        <v>1</v>
      </c>
      <c r="G25" s="2" t="inlineStr">
        <is>
          <t>程咬金</t>
        </is>
      </c>
      <c r="H25" s="2" t="inlineStr">
        <is>
          <t>使用模板默认技能</t>
        </is>
      </c>
      <c r="I25" s="2" t="n">
        <v>10</v>
      </c>
      <c r="J25" s="2" t="n">
        <v>100</v>
      </c>
      <c r="K25" s="4" t="n">
        <v>0.3</v>
      </c>
      <c r="L25" s="2" t="inlineStr">
        <is>
          <t>data/mission_templates.yaml:L326:enemy_guests</t>
        </is>
      </c>
      <c r="M25" s="2" t="inlineStr">
        <is>
          <t>"hero_cheng_yaojin"</t>
        </is>
      </c>
    </row>
    <row r="26">
      <c r="A26" s="2" t="inlineStr">
        <is>
          <t>wagangzhai_nixi</t>
        </is>
      </c>
      <c r="B26" s="2" t="inlineStr">
        <is>
          <t>瓦岗寨的逆袭</t>
        </is>
      </c>
      <c r="C26" s="2" t="inlineStr">
        <is>
          <t>个人任务</t>
        </is>
      </c>
      <c r="D26" s="2" t="inlineStr">
        <is>
          <t>护院</t>
        </is>
      </c>
      <c r="E26" s="2" t="inlineStr">
        <is>
          <t>arrow_god</t>
        </is>
      </c>
      <c r="F26" s="2" t="n">
        <v>800</v>
      </c>
      <c r="G26" s="2" t="inlineStr">
        <is>
          <t>箭神</t>
        </is>
      </c>
      <c r="H26" s="2" t="inlineStr"/>
      <c r="I26" s="2" t="n">
        <v>10</v>
      </c>
      <c r="J26" s="2" t="n"/>
      <c r="K26" s="4" t="n"/>
      <c r="L26" s="2" t="inlineStr">
        <is>
          <t>data/mission_templates.yaml:L326:enemy_troops</t>
        </is>
      </c>
      <c r="M26" s="2" t="inlineStr">
        <is>
          <t>{"arrow_god":800}</t>
        </is>
      </c>
    </row>
    <row r="27">
      <c r="A27" s="2" t="inlineStr">
        <is>
          <t>wagangzhai_nixi</t>
        </is>
      </c>
      <c r="B27" s="2" t="inlineStr">
        <is>
          <t>瓦岗寨的逆袭</t>
        </is>
      </c>
      <c r="C27" s="2" t="inlineStr">
        <is>
          <t>个人任务</t>
        </is>
      </c>
      <c r="D27" s="2" t="inlineStr">
        <is>
          <t>护院</t>
        </is>
      </c>
      <c r="E27" s="2" t="inlineStr">
        <is>
          <t>quan_sheng</t>
        </is>
      </c>
      <c r="F27" s="2" t="n">
        <v>800</v>
      </c>
      <c r="G27" s="2" t="inlineStr">
        <is>
          <t>拳圣</t>
        </is>
      </c>
      <c r="H27" s="2" t="inlineStr"/>
      <c r="I27" s="2" t="n">
        <v>10</v>
      </c>
      <c r="J27" s="2" t="n"/>
      <c r="K27" s="4" t="n"/>
      <c r="L27" s="2" t="inlineStr">
        <is>
          <t>data/mission_templates.yaml:L326:enemy_troops</t>
        </is>
      </c>
      <c r="M27" s="2" t="inlineStr">
        <is>
          <t>{"quan_sheng":800}</t>
        </is>
      </c>
    </row>
    <row r="28">
      <c r="A28" s="2" t="inlineStr">
        <is>
          <t>wagangzhai_nixi</t>
        </is>
      </c>
      <c r="B28" s="2" t="inlineStr">
        <is>
          <t>瓦岗寨的逆袭</t>
        </is>
      </c>
      <c r="C28" s="2" t="inlineStr">
        <is>
          <t>个人任务</t>
        </is>
      </c>
      <c r="D28" s="2" t="inlineStr">
        <is>
          <t>护院</t>
        </is>
      </c>
      <c r="E28" s="2" t="inlineStr">
        <is>
          <t>qiang_wang</t>
        </is>
      </c>
      <c r="F28" s="2" t="n">
        <v>800</v>
      </c>
      <c r="G28" s="2" t="inlineStr">
        <is>
          <t>枪王</t>
        </is>
      </c>
      <c r="H28" s="2" t="inlineStr"/>
      <c r="I28" s="2" t="n">
        <v>10</v>
      </c>
      <c r="J28" s="2" t="n"/>
      <c r="K28" s="4" t="n"/>
      <c r="L28" s="2" t="inlineStr">
        <is>
          <t>data/mission_templates.yaml:L326:enemy_troops</t>
        </is>
      </c>
      <c r="M28" s="2" t="inlineStr">
        <is>
          <t>{"qiang_wang":800}</t>
        </is>
      </c>
    </row>
    <row r="29">
      <c r="A29" s="2" t="inlineStr">
        <is>
          <t>jingyanggang</t>
        </is>
      </c>
      <c r="B29" s="2" t="inlineStr">
        <is>
          <t>景阳冈</t>
        </is>
      </c>
      <c r="C29" s="2" t="inlineStr">
        <is>
          <t>个人任务</t>
        </is>
      </c>
      <c r="D29" s="2" t="inlineStr">
        <is>
          <t>门客</t>
        </is>
      </c>
      <c r="E29" s="2" t="inlineStr">
        <is>
          <t>task_jingyang_tiger</t>
        </is>
      </c>
      <c r="F29" s="2" t="n">
        <v>1</v>
      </c>
      <c r="G29" s="2" t="inlineStr">
        <is>
          <t>猛虎</t>
        </is>
      </c>
      <c r="H29" s="2" t="inlineStr">
        <is>
          <t>使用模板默认技能</t>
        </is>
      </c>
      <c r="I29" s="2" t="n">
        <v>3</v>
      </c>
      <c r="J29" s="2" t="n">
        <v>15</v>
      </c>
      <c r="K29" s="4" t="n">
        <v>0.02</v>
      </c>
      <c r="L29" s="2" t="inlineStr">
        <is>
          <t>data/mission_templates.yaml:L379:enemy_guests</t>
        </is>
      </c>
      <c r="M29" s="2" t="inlineStr">
        <is>
          <t>{"key":"task_jingyang_tiger","label":"猛虎"}</t>
        </is>
      </c>
    </row>
    <row r="30">
      <c r="A30" s="2" t="inlineStr">
        <is>
          <t>wulongshan</t>
        </is>
      </c>
      <c r="B30" s="2" t="inlineStr">
        <is>
          <t>乌龙山</t>
        </is>
      </c>
      <c r="C30" s="2" t="inlineStr">
        <is>
          <t>个人任务</t>
        </is>
      </c>
      <c r="D30" s="2" t="inlineStr">
        <is>
          <t>门客</t>
        </is>
      </c>
      <c r="E30" s="2" t="inlineStr">
        <is>
          <t>task_wulong_bandit_chief_zuanshanbao</t>
        </is>
      </c>
      <c r="F30" s="2" t="n">
        <v>1</v>
      </c>
      <c r="G30" s="2" t="inlineStr">
        <is>
          <t>钻山豹</t>
        </is>
      </c>
      <c r="H30" s="2" t="inlineStr">
        <is>
          <t>使用模板默认技能</t>
        </is>
      </c>
      <c r="I30" s="2" t="n">
        <v>4</v>
      </c>
      <c r="J30" s="2" t="n">
        <v>20</v>
      </c>
      <c r="K30" s="4" t="n">
        <v>0.04</v>
      </c>
      <c r="L30" s="2" t="inlineStr">
        <is>
          <t>data/mission_templates.yaml:L408:enemy_guests</t>
        </is>
      </c>
      <c r="M30" s="2" t="inlineStr">
        <is>
          <t>{"key":"task_wulong_bandit_chief_zuanshanbao","label":"钻山豹"}</t>
        </is>
      </c>
    </row>
    <row r="31">
      <c r="A31" s="2" t="inlineStr">
        <is>
          <t>wulongshan</t>
        </is>
      </c>
      <c r="B31" s="2" t="inlineStr">
        <is>
          <t>乌龙山</t>
        </is>
      </c>
      <c r="C31" s="2" t="inlineStr">
        <is>
          <t>个人任务</t>
        </is>
      </c>
      <c r="D31" s="2" t="inlineStr">
        <is>
          <t>门客</t>
        </is>
      </c>
      <c r="E31" s="2" t="inlineStr">
        <is>
          <t>task_wulong_bandit_chief_zuoshandiao</t>
        </is>
      </c>
      <c r="F31" s="2" t="n">
        <v>1</v>
      </c>
      <c r="G31" s="2" t="inlineStr">
        <is>
          <t>座山雕</t>
        </is>
      </c>
      <c r="H31" s="2" t="inlineStr">
        <is>
          <t>使用模板默认技能</t>
        </is>
      </c>
      <c r="I31" s="2" t="n">
        <v>4</v>
      </c>
      <c r="J31" s="2" t="n">
        <v>20</v>
      </c>
      <c r="K31" s="4" t="n">
        <v>0.04</v>
      </c>
      <c r="L31" s="2" t="inlineStr">
        <is>
          <t>data/mission_templates.yaml:L408:enemy_guests</t>
        </is>
      </c>
      <c r="M31" s="2" t="inlineStr">
        <is>
          <t>{"key":"task_wulong_bandit_chief_zuoshandiao","label":"座山雕"}</t>
        </is>
      </c>
    </row>
    <row r="32">
      <c r="A32" s="2" t="inlineStr">
        <is>
          <t>wulongshan</t>
        </is>
      </c>
      <c r="B32" s="2" t="inlineStr">
        <is>
          <t>乌龙山</t>
        </is>
      </c>
      <c r="C32" s="2" t="inlineStr">
        <is>
          <t>个人任务</t>
        </is>
      </c>
      <c r="D32" s="2" t="inlineStr">
        <is>
          <t>护院</t>
        </is>
      </c>
      <c r="E32" s="2" t="inlineStr">
        <is>
          <t>qiang_ke</t>
        </is>
      </c>
      <c r="F32" s="2" t="n">
        <v>200</v>
      </c>
      <c r="G32" s="2" t="inlineStr">
        <is>
          <t>枪客</t>
        </is>
      </c>
      <c r="H32" s="2" t="inlineStr"/>
      <c r="I32" s="2" t="n">
        <v>4</v>
      </c>
      <c r="J32" s="2" t="n"/>
      <c r="K32" s="4" t="n"/>
      <c r="L32" s="2" t="inlineStr">
        <is>
          <t>data/mission_templates.yaml:L408:enemy_troops</t>
        </is>
      </c>
      <c r="M32" s="2" t="inlineStr">
        <is>
          <t>{"qiang_ke":200}</t>
        </is>
      </c>
    </row>
    <row r="33">
      <c r="A33" s="2" t="inlineStr">
        <is>
          <t>wagangzhai</t>
        </is>
      </c>
      <c r="B33" s="2" t="inlineStr">
        <is>
          <t>瓦岗寨</t>
        </is>
      </c>
      <c r="C33" s="2" t="inlineStr">
        <is>
          <t>个人任务</t>
        </is>
      </c>
      <c r="D33" s="2" t="inlineStr">
        <is>
          <t>门客</t>
        </is>
      </c>
      <c r="E33" s="2" t="inlineStr">
        <is>
          <t>hero_cheng_yaojin</t>
        </is>
      </c>
      <c r="F33" s="2" t="n">
        <v>1</v>
      </c>
      <c r="G33" s="2" t="inlineStr">
        <is>
          <t>程咬金</t>
        </is>
      </c>
      <c r="H33" s="2" t="inlineStr">
        <is>
          <t>使用模板默认技能</t>
        </is>
      </c>
      <c r="I33" s="2" t="n">
        <v>5</v>
      </c>
      <c r="J33" s="2" t="n">
        <v>35</v>
      </c>
      <c r="K33" s="4" t="n">
        <v>0.1</v>
      </c>
      <c r="L33" s="2" t="inlineStr">
        <is>
          <t>data/mission_templates.yaml:L444:enemy_guests</t>
        </is>
      </c>
      <c r="M33" s="2" t="inlineStr">
        <is>
          <t>"hero_cheng_yaojin"</t>
        </is>
      </c>
    </row>
    <row r="34">
      <c r="A34" s="2" t="inlineStr">
        <is>
          <t>wagangzhai</t>
        </is>
      </c>
      <c r="B34" s="2" t="inlineStr">
        <is>
          <t>瓦岗寨</t>
        </is>
      </c>
      <c r="C34" s="2" t="inlineStr">
        <is>
          <t>个人任务</t>
        </is>
      </c>
      <c r="D34" s="2" t="inlineStr">
        <is>
          <t>门客</t>
        </is>
      </c>
      <c r="E34" s="2" t="inlineStr">
        <is>
          <t>hist_suitang_0162_zhairang</t>
        </is>
      </c>
      <c r="F34" s="2" t="n">
        <v>1</v>
      </c>
      <c r="G34" s="2" t="inlineStr">
        <is>
          <t>翟让</t>
        </is>
      </c>
      <c r="H34" s="2" t="inlineStr">
        <is>
          <t>使用模板默认技能</t>
        </is>
      </c>
      <c r="I34" s="2" t="n">
        <v>5</v>
      </c>
      <c r="J34" s="2" t="n">
        <v>35</v>
      </c>
      <c r="K34" s="4" t="n">
        <v>0.1</v>
      </c>
      <c r="L34" s="2" t="inlineStr">
        <is>
          <t>data/mission_templates.yaml:L444:enemy_guests</t>
        </is>
      </c>
      <c r="M34" s="2" t="inlineStr">
        <is>
          <t>"hist_suitang_0162_zhairang"</t>
        </is>
      </c>
    </row>
    <row r="35">
      <c r="A35" s="2" t="inlineStr">
        <is>
          <t>wagangzhai</t>
        </is>
      </c>
      <c r="B35" s="2" t="inlineStr">
        <is>
          <t>瓦岗寨</t>
        </is>
      </c>
      <c r="C35" s="2" t="inlineStr">
        <is>
          <t>个人任务</t>
        </is>
      </c>
      <c r="D35" s="2" t="inlineStr">
        <is>
          <t>护院</t>
        </is>
      </c>
      <c r="E35" s="2" t="inlineStr">
        <is>
          <t>jian_xia</t>
        </is>
      </c>
      <c r="F35" s="2" t="n">
        <v>400</v>
      </c>
      <c r="G35" s="2" t="inlineStr">
        <is>
          <t>剑侠</t>
        </is>
      </c>
      <c r="H35" s="2" t="inlineStr"/>
      <c r="I35" s="2" t="n">
        <v>5</v>
      </c>
      <c r="J35" s="2" t="n"/>
      <c r="K35" s="4" t="n"/>
      <c r="L35" s="2" t="inlineStr">
        <is>
          <t>data/mission_templates.yaml:L444:enemy_troops</t>
        </is>
      </c>
      <c r="M35" s="2" t="inlineStr">
        <is>
          <t>{"jian_xia":400}</t>
        </is>
      </c>
    </row>
    <row r="36">
      <c r="A36" s="2" t="inlineStr">
        <is>
          <t>fugui_shanzhuang</t>
        </is>
      </c>
      <c r="B36" s="2" t="inlineStr">
        <is>
          <t>富贵山庄</t>
        </is>
      </c>
      <c r="C36" s="2" t="inlineStr">
        <is>
          <t>个人任务</t>
        </is>
      </c>
      <c r="D36" s="2" t="inlineStr">
        <is>
          <t>门客</t>
        </is>
      </c>
      <c r="E36" s="2" t="inlineStr">
        <is>
          <t>task_fugui_instructor</t>
        </is>
      </c>
      <c r="F36" s="2" t="n">
        <v>1</v>
      </c>
      <c r="G36" s="2" t="inlineStr">
        <is>
          <t>武师教头</t>
        </is>
      </c>
      <c r="H36" s="2" t="inlineStr">
        <is>
          <t>使用模板默认技能</t>
        </is>
      </c>
      <c r="I36" s="2" t="n">
        <v>3</v>
      </c>
      <c r="J36" s="2" t="n">
        <v>40</v>
      </c>
      <c r="K36" s="4" t="n">
        <v>0.05</v>
      </c>
      <c r="L36" s="2" t="inlineStr">
        <is>
          <t>data/mission_templates.yaml:L482:enemy_guests</t>
        </is>
      </c>
      <c r="M36" s="2" t="inlineStr">
        <is>
          <t>{"key":"task_fugui_instructor","label":"武师教头"}</t>
        </is>
      </c>
    </row>
    <row r="37">
      <c r="A37" s="2" t="inlineStr">
        <is>
          <t>shizipo_heidian</t>
        </is>
      </c>
      <c r="B37" s="2" t="inlineStr">
        <is>
          <t>十字坡黑店</t>
        </is>
      </c>
      <c r="C37" s="2" t="inlineStr">
        <is>
          <t>个人任务</t>
        </is>
      </c>
      <c r="D37" s="2" t="inlineStr">
        <is>
          <t>门客</t>
        </is>
      </c>
      <c r="E37" s="2" t="inlineStr">
        <is>
          <t>task_shizipo_sun_erniang</t>
        </is>
      </c>
      <c r="F37" s="2" t="n">
        <v>1</v>
      </c>
      <c r="G37" s="2" t="inlineStr">
        <is>
          <t>孙二娘</t>
        </is>
      </c>
      <c r="H37" s="2" t="inlineStr">
        <is>
          <t>使用模板默认技能</t>
        </is>
      </c>
      <c r="I37" s="2" t="n">
        <v>6</v>
      </c>
      <c r="J37" s="2" t="n">
        <v>70</v>
      </c>
      <c r="K37" s="4" t="n">
        <v>0.1</v>
      </c>
      <c r="L37" s="2" t="inlineStr">
        <is>
          <t>data/mission_templates.yaml:L514:enemy_guests</t>
        </is>
      </c>
      <c r="M37" s="2" t="inlineStr">
        <is>
          <t>{"key":"task_shizipo_sun_erniang","label":"孙二娘"}</t>
        </is>
      </c>
    </row>
    <row r="38">
      <c r="A38" s="2" t="inlineStr">
        <is>
          <t>shizipo_heidian</t>
        </is>
      </c>
      <c r="B38" s="2" t="inlineStr">
        <is>
          <t>十字坡黑店</t>
        </is>
      </c>
      <c r="C38" s="2" t="inlineStr">
        <is>
          <t>个人任务</t>
        </is>
      </c>
      <c r="D38" s="2" t="inlineStr">
        <is>
          <t>门客</t>
        </is>
      </c>
      <c r="E38" s="2" t="inlineStr">
        <is>
          <t>task_shizipo_zhang_qing</t>
        </is>
      </c>
      <c r="F38" s="2" t="n">
        <v>1</v>
      </c>
      <c r="G38" s="2" t="inlineStr">
        <is>
          <t>张青</t>
        </is>
      </c>
      <c r="H38" s="2" t="inlineStr">
        <is>
          <t>使用模板默认技能</t>
        </is>
      </c>
      <c r="I38" s="2" t="n">
        <v>6</v>
      </c>
      <c r="J38" s="2" t="n">
        <v>70</v>
      </c>
      <c r="K38" s="4" t="n">
        <v>0.1</v>
      </c>
      <c r="L38" s="2" t="inlineStr">
        <is>
          <t>data/mission_templates.yaml:L514:enemy_guests</t>
        </is>
      </c>
      <c r="M38" s="2" t="inlineStr">
        <is>
          <t>{"key":"task_shizipo_zhang_qing","label":"张青"}</t>
        </is>
      </c>
    </row>
    <row r="39">
      <c r="A39" s="2" t="inlineStr">
        <is>
          <t>shizipo_heidian</t>
        </is>
      </c>
      <c r="B39" s="2" t="inlineStr">
        <is>
          <t>十字坡黑店</t>
        </is>
      </c>
      <c r="C39" s="2" t="inlineStr">
        <is>
          <t>个人任务</t>
        </is>
      </c>
      <c r="D39" s="2" t="inlineStr">
        <is>
          <t>护院</t>
        </is>
      </c>
      <c r="E39" s="2" t="inlineStr">
        <is>
          <t>quan_wang</t>
        </is>
      </c>
      <c r="F39" s="2" t="n">
        <v>300</v>
      </c>
      <c r="G39" s="2" t="inlineStr">
        <is>
          <t>拳王</t>
        </is>
      </c>
      <c r="H39" s="2" t="inlineStr"/>
      <c r="I39" s="2" t="n">
        <v>6</v>
      </c>
      <c r="J39" s="2" t="n"/>
      <c r="K39" s="4" t="n"/>
      <c r="L39" s="2" t="inlineStr">
        <is>
          <t>data/mission_templates.yaml:L514:enemy_troops</t>
        </is>
      </c>
      <c r="M39" s="2" t="inlineStr">
        <is>
          <t>{"quan_wang":300}</t>
        </is>
      </c>
    </row>
    <row r="40">
      <c r="A40" s="2" t="inlineStr">
        <is>
          <t>shizipo_heidian</t>
        </is>
      </c>
      <c r="B40" s="2" t="inlineStr">
        <is>
          <t>十字坡黑店</t>
        </is>
      </c>
      <c r="C40" s="2" t="inlineStr">
        <is>
          <t>个人任务</t>
        </is>
      </c>
      <c r="D40" s="2" t="inlineStr">
        <is>
          <t>护院</t>
        </is>
      </c>
      <c r="E40" s="2" t="inlineStr">
        <is>
          <t>divine_archer</t>
        </is>
      </c>
      <c r="F40" s="2" t="n">
        <v>300</v>
      </c>
      <c r="G40" s="2" t="inlineStr">
        <is>
          <t>神箭手</t>
        </is>
      </c>
      <c r="H40" s="2" t="inlineStr"/>
      <c r="I40" s="2" t="n">
        <v>6</v>
      </c>
      <c r="J40" s="2" t="n"/>
      <c r="K40" s="4" t="n"/>
      <c r="L40" s="2" t="inlineStr">
        <is>
          <t>data/mission_templates.yaml:L514:enemy_troops</t>
        </is>
      </c>
      <c r="M40" s="2" t="inlineStr">
        <is>
          <t>{"divine_archer":300}</t>
        </is>
      </c>
    </row>
    <row r="41">
      <c r="A41" s="2" t="inlineStr">
        <is>
          <t>shizipo_heidian</t>
        </is>
      </c>
      <c r="B41" s="2" t="inlineStr">
        <is>
          <t>十字坡黑店</t>
        </is>
      </c>
      <c r="C41" s="2" t="inlineStr">
        <is>
          <t>个人任务</t>
        </is>
      </c>
      <c r="D41" s="2" t="inlineStr">
        <is>
          <t>护院</t>
        </is>
      </c>
      <c r="E41" s="2" t="inlineStr">
        <is>
          <t>dao_ba</t>
        </is>
      </c>
      <c r="F41" s="2" t="n">
        <v>100</v>
      </c>
      <c r="G41" s="2" t="inlineStr">
        <is>
          <t>刀霸</t>
        </is>
      </c>
      <c r="H41" s="2" t="inlineStr"/>
      <c r="I41" s="2" t="n">
        <v>6</v>
      </c>
      <c r="J41" s="2" t="n"/>
      <c r="K41" s="4" t="n"/>
      <c r="L41" s="2" t="inlineStr">
        <is>
          <t>data/mission_templates.yaml:L514:enemy_troops</t>
        </is>
      </c>
      <c r="M41" s="2" t="inlineStr">
        <is>
          <t>{"dao_ba":100}</t>
        </is>
      </c>
    </row>
    <row r="42">
      <c r="A42" s="2" t="inlineStr">
        <is>
          <t>shanhaiguan</t>
        </is>
      </c>
      <c r="B42" s="2" t="inlineStr">
        <is>
          <t>山海关</t>
        </is>
      </c>
      <c r="C42" s="2" t="inlineStr">
        <is>
          <t>个人任务</t>
        </is>
      </c>
      <c r="D42" s="2" t="inlineStr">
        <is>
          <t>门客</t>
        </is>
      </c>
      <c r="E42" s="2" t="inlineStr">
        <is>
          <t>hist_mingqing_0230</t>
        </is>
      </c>
      <c r="F42" s="2" t="n">
        <v>1</v>
      </c>
      <c r="G42" s="2" t="inlineStr">
        <is>
          <t>祖大寿</t>
        </is>
      </c>
      <c r="H42" s="2" t="inlineStr">
        <is>
          <t>使用模板默认技能</t>
        </is>
      </c>
      <c r="I42" s="2" t="n">
        <v>7</v>
      </c>
      <c r="J42" s="2" t="n">
        <v>70</v>
      </c>
      <c r="K42" s="4" t="n">
        <v>0.18</v>
      </c>
      <c r="L42" s="2" t="inlineStr">
        <is>
          <t>data/mission_templates.yaml:L559:enemy_guests</t>
        </is>
      </c>
      <c r="M42" s="2" t="inlineStr">
        <is>
          <t>"hist_mingqing_0230"</t>
        </is>
      </c>
    </row>
    <row r="43">
      <c r="A43" s="2" t="inlineStr">
        <is>
          <t>shanhaiguan</t>
        </is>
      </c>
      <c r="B43" s="2" t="inlineStr">
        <is>
          <t>山海关</t>
        </is>
      </c>
      <c r="C43" s="2" t="inlineStr">
        <is>
          <t>个人任务</t>
        </is>
      </c>
      <c r="D43" s="2" t="inlineStr">
        <is>
          <t>门客</t>
        </is>
      </c>
      <c r="E43" s="2" t="inlineStr">
        <is>
          <t>hist_mingqing_0054</t>
        </is>
      </c>
      <c r="F43" s="2" t="n">
        <v>1</v>
      </c>
      <c r="G43" s="2" t="inlineStr">
        <is>
          <t>吴三桂</t>
        </is>
      </c>
      <c r="H43" s="2" t="inlineStr">
        <is>
          <t>使用模板默认技能</t>
        </is>
      </c>
      <c r="I43" s="2" t="n">
        <v>7</v>
      </c>
      <c r="J43" s="2" t="n">
        <v>70</v>
      </c>
      <c r="K43" s="4" t="n">
        <v>0.18</v>
      </c>
      <c r="L43" s="2" t="inlineStr">
        <is>
          <t>data/mission_templates.yaml:L559:enemy_guests</t>
        </is>
      </c>
      <c r="M43" s="2" t="inlineStr">
        <is>
          <t>"hist_mingqing_0054"</t>
        </is>
      </c>
    </row>
    <row r="44">
      <c r="A44" s="2" t="inlineStr">
        <is>
          <t>shanhaiguan</t>
        </is>
      </c>
      <c r="B44" s="2" t="inlineStr">
        <is>
          <t>山海关</t>
        </is>
      </c>
      <c r="C44" s="2" t="inlineStr">
        <is>
          <t>个人任务</t>
        </is>
      </c>
      <c r="D44" s="2" t="inlineStr">
        <is>
          <t>护院</t>
        </is>
      </c>
      <c r="E44" s="2" t="inlineStr">
        <is>
          <t>jian_sheng</t>
        </is>
      </c>
      <c r="F44" s="2" t="n">
        <v>500</v>
      </c>
      <c r="G44" s="2" t="inlineStr">
        <is>
          <t>剑圣</t>
        </is>
      </c>
      <c r="H44" s="2" t="inlineStr"/>
      <c r="I44" s="2" t="n">
        <v>7</v>
      </c>
      <c r="J44" s="2" t="n"/>
      <c r="K44" s="4" t="n"/>
      <c r="L44" s="2" t="inlineStr">
        <is>
          <t>data/mission_templates.yaml:L559:enemy_troops</t>
        </is>
      </c>
      <c r="M44" s="2" t="inlineStr">
        <is>
          <t>{"jian_sheng":500}</t>
        </is>
      </c>
    </row>
    <row r="45">
      <c r="A45" s="2" t="inlineStr">
        <is>
          <t>shanhaiguan</t>
        </is>
      </c>
      <c r="B45" s="2" t="inlineStr">
        <is>
          <t>山海关</t>
        </is>
      </c>
      <c r="C45" s="2" t="inlineStr">
        <is>
          <t>个人任务</t>
        </is>
      </c>
      <c r="D45" s="2" t="inlineStr">
        <is>
          <t>护院</t>
        </is>
      </c>
      <c r="E45" s="2" t="inlineStr">
        <is>
          <t>quan_wang</t>
        </is>
      </c>
      <c r="F45" s="2" t="n">
        <v>500</v>
      </c>
      <c r="G45" s="2" t="inlineStr">
        <is>
          <t>拳王</t>
        </is>
      </c>
      <c r="H45" s="2" t="inlineStr"/>
      <c r="I45" s="2" t="n">
        <v>7</v>
      </c>
      <c r="J45" s="2" t="n"/>
      <c r="K45" s="4" t="n"/>
      <c r="L45" s="2" t="inlineStr">
        <is>
          <t>data/mission_templates.yaml:L559:enemy_troops</t>
        </is>
      </c>
      <c r="M45" s="2" t="inlineStr">
        <is>
          <t>{"quan_wang":500}</t>
        </is>
      </c>
    </row>
    <row r="46">
      <c r="A46" s="2" t="inlineStr">
        <is>
          <t>shanhaiguan</t>
        </is>
      </c>
      <c r="B46" s="2" t="inlineStr">
        <is>
          <t>山海关</t>
        </is>
      </c>
      <c r="C46" s="2" t="inlineStr">
        <is>
          <t>个人任务</t>
        </is>
      </c>
      <c r="D46" s="2" t="inlineStr">
        <is>
          <t>护院</t>
        </is>
      </c>
      <c r="E46" s="2" t="inlineStr">
        <is>
          <t>qiang_ba</t>
        </is>
      </c>
      <c r="F46" s="2" t="n">
        <v>500</v>
      </c>
      <c r="G46" s="2" t="inlineStr">
        <is>
          <t>枪霸</t>
        </is>
      </c>
      <c r="H46" s="2" t="inlineStr"/>
      <c r="I46" s="2" t="n">
        <v>7</v>
      </c>
      <c r="J46" s="2" t="n"/>
      <c r="K46" s="4" t="n"/>
      <c r="L46" s="2" t="inlineStr">
        <is>
          <t>data/mission_templates.yaml:L559:enemy_troops</t>
        </is>
      </c>
      <c r="M46" s="2" t="inlineStr">
        <is>
          <t>{"qiang_ba":500}</t>
        </is>
      </c>
    </row>
    <row r="47">
      <c r="A47" s="2" t="inlineStr">
        <is>
          <t>shiren_daochang</t>
        </is>
      </c>
      <c r="B47" s="2" t="inlineStr">
        <is>
          <t>十人道场</t>
        </is>
      </c>
      <c r="C47" s="2" t="inlineStr">
        <is>
          <t>个人任务</t>
        </is>
      </c>
      <c r="D47" s="2" t="inlineStr">
        <is>
          <t>门客</t>
        </is>
      </c>
      <c r="E47" s="2" t="inlineStr">
        <is>
          <t>hero_du_sha</t>
        </is>
      </c>
      <c r="F47" s="2" t="n">
        <v>1</v>
      </c>
      <c r="G47" s="2" t="inlineStr">
        <is>
          <t>杜杀</t>
        </is>
      </c>
      <c r="H47" s="2" t="inlineStr">
        <is>
          <t>使用模板默认技能</t>
        </is>
      </c>
      <c r="I47" s="2" t="n">
        <v>6</v>
      </c>
      <c r="J47" s="2" t="n">
        <v>55</v>
      </c>
      <c r="K47" s="4" t="n">
        <v>0.08</v>
      </c>
      <c r="L47" s="2" t="inlineStr">
        <is>
          <t>data/mission_templates.yaml:L607:enemy_guests</t>
        </is>
      </c>
      <c r="M47" s="2" t="inlineStr">
        <is>
          <t>"hero_du_sha"</t>
        </is>
      </c>
    </row>
    <row r="48">
      <c r="A48" s="2" t="inlineStr">
        <is>
          <t>shiren_daochang</t>
        </is>
      </c>
      <c r="B48" s="2" t="inlineStr">
        <is>
          <t>十人道场</t>
        </is>
      </c>
      <c r="C48" s="2" t="inlineStr">
        <is>
          <t>个人任务</t>
        </is>
      </c>
      <c r="D48" s="2" t="inlineStr">
        <is>
          <t>门客</t>
        </is>
      </c>
      <c r="E48" s="2" t="inlineStr">
        <is>
          <t>hero_li_dazui</t>
        </is>
      </c>
      <c r="F48" s="2" t="n">
        <v>1</v>
      </c>
      <c r="G48" s="2" t="inlineStr">
        <is>
          <t>李大嘴</t>
        </is>
      </c>
      <c r="H48" s="2" t="inlineStr">
        <is>
          <t>使用模板默认技能</t>
        </is>
      </c>
      <c r="I48" s="2" t="n">
        <v>6</v>
      </c>
      <c r="J48" s="2" t="n">
        <v>55</v>
      </c>
      <c r="K48" s="4" t="n">
        <v>0.08</v>
      </c>
      <c r="L48" s="2" t="inlineStr">
        <is>
          <t>data/mission_templates.yaml:L607:enemy_guests</t>
        </is>
      </c>
      <c r="M48" s="2" t="inlineStr">
        <is>
          <t>"hero_li_dazui"</t>
        </is>
      </c>
    </row>
    <row r="49">
      <c r="A49" s="2" t="inlineStr">
        <is>
          <t>shiren_daochang</t>
        </is>
      </c>
      <c r="B49" s="2" t="inlineStr">
        <is>
          <t>十人道场</t>
        </is>
      </c>
      <c r="C49" s="2" t="inlineStr">
        <is>
          <t>个人任务</t>
        </is>
      </c>
      <c r="D49" s="2" t="inlineStr">
        <is>
          <t>门客</t>
        </is>
      </c>
      <c r="E49" s="2" t="inlineStr">
        <is>
          <t>hero_hahaer</t>
        </is>
      </c>
      <c r="F49" s="2" t="n">
        <v>1</v>
      </c>
      <c r="G49" s="2" t="inlineStr">
        <is>
          <t>哈哈儿</t>
        </is>
      </c>
      <c r="H49" s="2" t="inlineStr">
        <is>
          <t>使用模板默认技能</t>
        </is>
      </c>
      <c r="I49" s="2" t="n">
        <v>6</v>
      </c>
      <c r="J49" s="2" t="n">
        <v>55</v>
      </c>
      <c r="K49" s="4" t="n">
        <v>0.08</v>
      </c>
      <c r="L49" s="2" t="inlineStr">
        <is>
          <t>data/mission_templates.yaml:L607:enemy_guests</t>
        </is>
      </c>
      <c r="M49" s="2" t="inlineStr">
        <is>
          <t>"hero_hahaer"</t>
        </is>
      </c>
    </row>
    <row r="50">
      <c r="A50" s="2" t="inlineStr">
        <is>
          <t>shiren_daochang</t>
        </is>
      </c>
      <c r="B50" s="2" t="inlineStr">
        <is>
          <t>十人道场</t>
        </is>
      </c>
      <c r="C50" s="2" t="inlineStr">
        <is>
          <t>个人任务</t>
        </is>
      </c>
      <c r="D50" s="2" t="inlineStr">
        <is>
          <t>门客</t>
        </is>
      </c>
      <c r="E50" s="2" t="inlineStr">
        <is>
          <t>hero_tu_jiaojiao</t>
        </is>
      </c>
      <c r="F50" s="2" t="n">
        <v>1</v>
      </c>
      <c r="G50" s="2" t="inlineStr">
        <is>
          <t>屠娇娇</t>
        </is>
      </c>
      <c r="H50" s="2" t="inlineStr">
        <is>
          <t>使用模板默认技能</t>
        </is>
      </c>
      <c r="I50" s="2" t="n">
        <v>6</v>
      </c>
      <c r="J50" s="2" t="n">
        <v>55</v>
      </c>
      <c r="K50" s="4" t="n">
        <v>0.08</v>
      </c>
      <c r="L50" s="2" t="inlineStr">
        <is>
          <t>data/mission_templates.yaml:L607:enemy_guests</t>
        </is>
      </c>
      <c r="M50" s="2" t="inlineStr">
        <is>
          <t>"hero_tu_jiaojiao"</t>
        </is>
      </c>
    </row>
    <row r="51">
      <c r="A51" s="2" t="inlineStr">
        <is>
          <t>shiren_daochang</t>
        </is>
      </c>
      <c r="B51" s="2" t="inlineStr">
        <is>
          <t>十人道场</t>
        </is>
      </c>
      <c r="C51" s="2" t="inlineStr">
        <is>
          <t>个人任务</t>
        </is>
      </c>
      <c r="D51" s="2" t="inlineStr">
        <is>
          <t>门客</t>
        </is>
      </c>
      <c r="E51" s="2" t="inlineStr">
        <is>
          <t>hero_yin_jiuyou</t>
        </is>
      </c>
      <c r="F51" s="2" t="n">
        <v>1</v>
      </c>
      <c r="G51" s="2" t="inlineStr">
        <is>
          <t>阴九幽</t>
        </is>
      </c>
      <c r="H51" s="2" t="inlineStr">
        <is>
          <t>使用模板默认技能</t>
        </is>
      </c>
      <c r="I51" s="2" t="n">
        <v>6</v>
      </c>
      <c r="J51" s="2" t="n">
        <v>55</v>
      </c>
      <c r="K51" s="4" t="n">
        <v>0.08</v>
      </c>
      <c r="L51" s="2" t="inlineStr">
        <is>
          <t>data/mission_templates.yaml:L607:enemy_guests</t>
        </is>
      </c>
      <c r="M51" s="2" t="inlineStr">
        <is>
          <t>"hero_yin_jiuyou"</t>
        </is>
      </c>
    </row>
    <row r="52">
      <c r="A52" s="2" t="inlineStr">
        <is>
          <t>shiren_daochang</t>
        </is>
      </c>
      <c r="B52" s="2" t="inlineStr">
        <is>
          <t>十人道场</t>
        </is>
      </c>
      <c r="C52" s="2" t="inlineStr">
        <is>
          <t>个人任务</t>
        </is>
      </c>
      <c r="D52" s="2" t="inlineStr">
        <is>
          <t>门客</t>
        </is>
      </c>
      <c r="E52" s="2" t="inlineStr">
        <is>
          <t>task_shiren_xiaomimi</t>
        </is>
      </c>
      <c r="F52" s="2" t="n">
        <v>1</v>
      </c>
      <c r="G52" s="2" t="inlineStr">
        <is>
          <t>萧咪咪</t>
        </is>
      </c>
      <c r="H52" s="2" t="inlineStr">
        <is>
          <t>使用模板默认技能</t>
        </is>
      </c>
      <c r="I52" s="2" t="n">
        <v>6</v>
      </c>
      <c r="J52" s="2" t="n">
        <v>55</v>
      </c>
      <c r="K52" s="4" t="n">
        <v>0.08</v>
      </c>
      <c r="L52" s="2" t="inlineStr">
        <is>
          <t>data/mission_templates.yaml:L607:enemy_guests</t>
        </is>
      </c>
      <c r="M52" s="2" t="inlineStr">
        <is>
          <t>{"key":"task_shiren_xiaomimi","label":"萧咪咪"}</t>
        </is>
      </c>
    </row>
    <row r="53">
      <c r="A53" s="2" t="inlineStr">
        <is>
          <t>shiren_daochang</t>
        </is>
      </c>
      <c r="B53" s="2" t="inlineStr">
        <is>
          <t>十人道场</t>
        </is>
      </c>
      <c r="C53" s="2" t="inlineStr">
        <is>
          <t>个人任务</t>
        </is>
      </c>
      <c r="D53" s="2" t="inlineStr">
        <is>
          <t>门客</t>
        </is>
      </c>
      <c r="E53" s="2" t="inlineStr">
        <is>
          <t>task_shiren_xuanyuansanguang</t>
        </is>
      </c>
      <c r="F53" s="2" t="n">
        <v>1</v>
      </c>
      <c r="G53" s="2" t="inlineStr">
        <is>
          <t>轩辕三光</t>
        </is>
      </c>
      <c r="H53" s="2" t="inlineStr">
        <is>
          <t>使用模板默认技能</t>
        </is>
      </c>
      <c r="I53" s="2" t="n">
        <v>6</v>
      </c>
      <c r="J53" s="2" t="n">
        <v>55</v>
      </c>
      <c r="K53" s="4" t="n">
        <v>0.08</v>
      </c>
      <c r="L53" s="2" t="inlineStr">
        <is>
          <t>data/mission_templates.yaml:L607:enemy_guests</t>
        </is>
      </c>
      <c r="M53" s="2" t="inlineStr">
        <is>
          <t>{"key":"task_shiren_xuanyuansanguang","label":"轩辕三光"}</t>
        </is>
      </c>
    </row>
    <row r="54">
      <c r="A54" s="2" t="inlineStr">
        <is>
          <t>shiren_daochang</t>
        </is>
      </c>
      <c r="B54" s="2" t="inlineStr">
        <is>
          <t>十人道场</t>
        </is>
      </c>
      <c r="C54" s="2" t="inlineStr">
        <is>
          <t>个人任务</t>
        </is>
      </c>
      <c r="D54" s="2" t="inlineStr">
        <is>
          <t>门客</t>
        </is>
      </c>
      <c r="E54" s="2" t="inlineStr">
        <is>
          <t>task_shiren_tiezhan</t>
        </is>
      </c>
      <c r="F54" s="2" t="n">
        <v>1</v>
      </c>
      <c r="G54" s="2" t="inlineStr">
        <is>
          <t>铁战</t>
        </is>
      </c>
      <c r="H54" s="2" t="inlineStr">
        <is>
          <t>使用模板默认技能</t>
        </is>
      </c>
      <c r="I54" s="2" t="n">
        <v>6</v>
      </c>
      <c r="J54" s="2" t="n">
        <v>55</v>
      </c>
      <c r="K54" s="4" t="n">
        <v>0.08</v>
      </c>
      <c r="L54" s="2" t="inlineStr">
        <is>
          <t>data/mission_templates.yaml:L607:enemy_guests</t>
        </is>
      </c>
      <c r="M54" s="2" t="inlineStr">
        <is>
          <t>{"key":"task_shiren_tiezhan","label":"铁战"}</t>
        </is>
      </c>
    </row>
    <row r="55">
      <c r="A55" s="2" t="inlineStr">
        <is>
          <t>shiren_daochang</t>
        </is>
      </c>
      <c r="B55" s="2" t="inlineStr">
        <is>
          <t>十人道场</t>
        </is>
      </c>
      <c r="C55" s="2" t="inlineStr">
        <is>
          <t>个人任务</t>
        </is>
      </c>
      <c r="D55" s="2" t="inlineStr">
        <is>
          <t>门客</t>
        </is>
      </c>
      <c r="E55" s="2" t="inlineStr">
        <is>
          <t>hero_bai_kaixin</t>
        </is>
      </c>
      <c r="F55" s="2" t="n">
        <v>1</v>
      </c>
      <c r="G55" s="2" t="inlineStr">
        <is>
          <t>白开心</t>
        </is>
      </c>
      <c r="H55" s="2" t="inlineStr">
        <is>
          <t>使用模板默认技能</t>
        </is>
      </c>
      <c r="I55" s="2" t="n">
        <v>6</v>
      </c>
      <c r="J55" s="2" t="n">
        <v>55</v>
      </c>
      <c r="K55" s="4" t="n">
        <v>0.08</v>
      </c>
      <c r="L55" s="2" t="inlineStr">
        <is>
          <t>data/mission_templates.yaml:L607:enemy_guests</t>
        </is>
      </c>
      <c r="M55" s="2" t="inlineStr">
        <is>
          <t>"hero_bai_kaixin"</t>
        </is>
      </c>
    </row>
    <row r="56">
      <c r="A56" s="2" t="inlineStr">
        <is>
          <t>shiren_daochang</t>
        </is>
      </c>
      <c r="B56" s="2" t="inlineStr">
        <is>
          <t>十人道场</t>
        </is>
      </c>
      <c r="C56" s="2" t="inlineStr">
        <is>
          <t>个人任务</t>
        </is>
      </c>
      <c r="D56" s="2" t="inlineStr">
        <is>
          <t>门客</t>
        </is>
      </c>
      <c r="E56" s="2" t="inlineStr">
        <is>
          <t>task_shiren_luoshixiongdi</t>
        </is>
      </c>
      <c r="F56" s="2" t="n">
        <v>1</v>
      </c>
      <c r="G56" s="2" t="inlineStr">
        <is>
          <t>罗氏兄弟</t>
        </is>
      </c>
      <c r="H56" s="2" t="inlineStr">
        <is>
          <t>使用模板默认技能</t>
        </is>
      </c>
      <c r="I56" s="2" t="n">
        <v>6</v>
      </c>
      <c r="J56" s="2" t="n">
        <v>55</v>
      </c>
      <c r="K56" s="4" t="n">
        <v>0.08</v>
      </c>
      <c r="L56" s="2" t="inlineStr">
        <is>
          <t>data/mission_templates.yaml:L607:enemy_guests</t>
        </is>
      </c>
      <c r="M56" s="2" t="inlineStr">
        <is>
          <t>{"key":"task_shiren_luoshixiongdi","label":"罗氏兄弟"}</t>
        </is>
      </c>
    </row>
    <row r="57">
      <c r="A57" s="2" t="inlineStr">
        <is>
          <t>jiguanshou_chuxian</t>
        </is>
      </c>
      <c r="B57" s="2" t="inlineStr">
        <is>
          <t>机关兽初现</t>
        </is>
      </c>
      <c r="C57" s="2" t="inlineStr">
        <is>
          <t>个人任务</t>
        </is>
      </c>
      <c r="D57" s="2" t="inlineStr">
        <is>
          <t>门客</t>
        </is>
      </c>
      <c r="E57" s="2" t="inlineStr">
        <is>
          <t>task_mechanism_cat</t>
        </is>
      </c>
      <c r="F57" s="2" t="n">
        <v>1</v>
      </c>
      <c r="G57" s="2" t="inlineStr">
        <is>
          <t>改装机械猫</t>
        </is>
      </c>
      <c r="H57" s="2" t="inlineStr">
        <is>
          <t>使用模板默认技能</t>
        </is>
      </c>
      <c r="I57" s="2" t="n">
        <v>7</v>
      </c>
      <c r="J57" s="2" t="n">
        <v>35</v>
      </c>
      <c r="K57" s="4" t="n">
        <v>0.12</v>
      </c>
      <c r="L57" s="2" t="inlineStr">
        <is>
          <t>data/mission_templates.yaml:L655:enemy_guests</t>
        </is>
      </c>
      <c r="M57" s="2" t="inlineStr">
        <is>
          <t>{"key":"task_mechanism_cat","label":"改装机械猫"}</t>
        </is>
      </c>
    </row>
    <row r="58">
      <c r="A58" s="2" t="inlineStr">
        <is>
          <t>jiguanshou_chuxian</t>
        </is>
      </c>
      <c r="B58" s="2" t="inlineStr">
        <is>
          <t>机关兽初现</t>
        </is>
      </c>
      <c r="C58" s="2" t="inlineStr">
        <is>
          <t>个人任务</t>
        </is>
      </c>
      <c r="D58" s="2" t="inlineStr">
        <is>
          <t>门客</t>
        </is>
      </c>
      <c r="E58" s="2" t="inlineStr">
        <is>
          <t>task_mechanism_cat</t>
        </is>
      </c>
      <c r="F58" s="2" t="n">
        <v>1</v>
      </c>
      <c r="G58" s="2" t="inlineStr">
        <is>
          <t>改装机械猫</t>
        </is>
      </c>
      <c r="H58" s="2" t="inlineStr">
        <is>
          <t>使用模板默认技能</t>
        </is>
      </c>
      <c r="I58" s="2" t="n">
        <v>7</v>
      </c>
      <c r="J58" s="2" t="n">
        <v>35</v>
      </c>
      <c r="K58" s="4" t="n">
        <v>0.12</v>
      </c>
      <c r="L58" s="2" t="inlineStr">
        <is>
          <t>data/mission_templates.yaml:L655:enemy_guests</t>
        </is>
      </c>
      <c r="M58" s="2" t="inlineStr">
        <is>
          <t>{"key":"task_mechanism_cat","label":"改装机械猫"}</t>
        </is>
      </c>
    </row>
    <row r="59">
      <c r="A59" s="2" t="inlineStr">
        <is>
          <t>jiguanshou_chuxian</t>
        </is>
      </c>
      <c r="B59" s="2" t="inlineStr">
        <is>
          <t>机关兽初现</t>
        </is>
      </c>
      <c r="C59" s="2" t="inlineStr">
        <is>
          <t>个人任务</t>
        </is>
      </c>
      <c r="D59" s="2" t="inlineStr">
        <is>
          <t>门客</t>
        </is>
      </c>
      <c r="E59" s="2" t="inlineStr">
        <is>
          <t>task_mechanism_cat</t>
        </is>
      </c>
      <c r="F59" s="2" t="n">
        <v>1</v>
      </c>
      <c r="G59" s="2" t="inlineStr">
        <is>
          <t>改装机械猫</t>
        </is>
      </c>
      <c r="H59" s="2" t="inlineStr">
        <is>
          <t>使用模板默认技能</t>
        </is>
      </c>
      <c r="I59" s="2" t="n">
        <v>7</v>
      </c>
      <c r="J59" s="2" t="n">
        <v>35</v>
      </c>
      <c r="K59" s="4" t="n">
        <v>0.12</v>
      </c>
      <c r="L59" s="2" t="inlineStr">
        <is>
          <t>data/mission_templates.yaml:L655:enemy_guests</t>
        </is>
      </c>
      <c r="M59" s="2" t="inlineStr">
        <is>
          <t>{"key":"task_mechanism_cat","label":"改装机械猫"}</t>
        </is>
      </c>
    </row>
    <row r="60">
      <c r="A60" s="2" t="inlineStr">
        <is>
          <t>jiguanshou_chuxian</t>
        </is>
      </c>
      <c r="B60" s="2" t="inlineStr">
        <is>
          <t>机关兽初现</t>
        </is>
      </c>
      <c r="C60" s="2" t="inlineStr">
        <is>
          <t>个人任务</t>
        </is>
      </c>
      <c r="D60" s="2" t="inlineStr">
        <is>
          <t>门客</t>
        </is>
      </c>
      <c r="E60" s="2" t="inlineStr">
        <is>
          <t>task_mechanism_cat</t>
        </is>
      </c>
      <c r="F60" s="2" t="n">
        <v>1</v>
      </c>
      <c r="G60" s="2" t="inlineStr">
        <is>
          <t>改装机械猫</t>
        </is>
      </c>
      <c r="H60" s="2" t="inlineStr">
        <is>
          <t>使用模板默认技能</t>
        </is>
      </c>
      <c r="I60" s="2" t="n">
        <v>7</v>
      </c>
      <c r="J60" s="2" t="n">
        <v>35</v>
      </c>
      <c r="K60" s="4" t="n">
        <v>0.12</v>
      </c>
      <c r="L60" s="2" t="inlineStr">
        <is>
          <t>data/mission_templates.yaml:L655:enemy_guests</t>
        </is>
      </c>
      <c r="M60" s="2" t="inlineStr">
        <is>
          <t>{"key":"task_mechanism_cat","label":"改装机械猫"}</t>
        </is>
      </c>
    </row>
    <row r="61">
      <c r="A61" s="2" t="inlineStr">
        <is>
          <t>jiguanshou_chuxian</t>
        </is>
      </c>
      <c r="B61" s="2" t="inlineStr">
        <is>
          <t>机关兽初现</t>
        </is>
      </c>
      <c r="C61" s="2" t="inlineStr">
        <is>
          <t>个人任务</t>
        </is>
      </c>
      <c r="D61" s="2" t="inlineStr">
        <is>
          <t>门客</t>
        </is>
      </c>
      <c r="E61" s="2" t="inlineStr">
        <is>
          <t>task_mechanism_cat</t>
        </is>
      </c>
      <c r="F61" s="2" t="n">
        <v>1</v>
      </c>
      <c r="G61" s="2" t="inlineStr">
        <is>
          <t>改装机械猫</t>
        </is>
      </c>
      <c r="H61" s="2" t="inlineStr">
        <is>
          <t>使用模板默认技能</t>
        </is>
      </c>
      <c r="I61" s="2" t="n">
        <v>7</v>
      </c>
      <c r="J61" s="2" t="n">
        <v>35</v>
      </c>
      <c r="K61" s="4" t="n">
        <v>0.12</v>
      </c>
      <c r="L61" s="2" t="inlineStr">
        <is>
          <t>data/mission_templates.yaml:L655:enemy_guests</t>
        </is>
      </c>
      <c r="M61" s="2" t="inlineStr">
        <is>
          <t>{"key":"task_mechanism_cat","label":"改装机械猫"}</t>
        </is>
      </c>
    </row>
    <row r="62">
      <c r="A62" s="2" t="inlineStr">
        <is>
          <t>jiguanshou_chuxian</t>
        </is>
      </c>
      <c r="B62" s="2" t="inlineStr">
        <is>
          <t>机关兽初现</t>
        </is>
      </c>
      <c r="C62" s="2" t="inlineStr">
        <is>
          <t>个人任务</t>
        </is>
      </c>
      <c r="D62" s="2" t="inlineStr">
        <is>
          <t>门客</t>
        </is>
      </c>
      <c r="E62" s="2" t="inlineStr">
        <is>
          <t>task_mechanism_cat</t>
        </is>
      </c>
      <c r="F62" s="2" t="n">
        <v>1</v>
      </c>
      <c r="G62" s="2" t="inlineStr">
        <is>
          <t>改装机械猫</t>
        </is>
      </c>
      <c r="H62" s="2" t="inlineStr">
        <is>
          <t>使用模板默认技能</t>
        </is>
      </c>
      <c r="I62" s="2" t="n">
        <v>7</v>
      </c>
      <c r="J62" s="2" t="n">
        <v>35</v>
      </c>
      <c r="K62" s="4" t="n">
        <v>0.12</v>
      </c>
      <c r="L62" s="2" t="inlineStr">
        <is>
          <t>data/mission_templates.yaml:L655:enemy_guests</t>
        </is>
      </c>
      <c r="M62" s="2" t="inlineStr">
        <is>
          <t>{"key":"task_mechanism_cat","label":"改装机械猫"}</t>
        </is>
      </c>
    </row>
    <row r="63">
      <c r="A63" s="2" t="inlineStr">
        <is>
          <t>jiguanshou_chuxian</t>
        </is>
      </c>
      <c r="B63" s="2" t="inlineStr">
        <is>
          <t>机关兽初现</t>
        </is>
      </c>
      <c r="C63" s="2" t="inlineStr">
        <is>
          <t>个人任务</t>
        </is>
      </c>
      <c r="D63" s="2" t="inlineStr">
        <is>
          <t>门客</t>
        </is>
      </c>
      <c r="E63" s="2" t="inlineStr">
        <is>
          <t>task_mechanism_cat</t>
        </is>
      </c>
      <c r="F63" s="2" t="n">
        <v>1</v>
      </c>
      <c r="G63" s="2" t="inlineStr">
        <is>
          <t>改装机械猫</t>
        </is>
      </c>
      <c r="H63" s="2" t="inlineStr">
        <is>
          <t>使用模板默认技能</t>
        </is>
      </c>
      <c r="I63" s="2" t="n">
        <v>7</v>
      </c>
      <c r="J63" s="2" t="n">
        <v>35</v>
      </c>
      <c r="K63" s="4" t="n">
        <v>0.12</v>
      </c>
      <c r="L63" s="2" t="inlineStr">
        <is>
          <t>data/mission_templates.yaml:L655:enemy_guests</t>
        </is>
      </c>
      <c r="M63" s="2" t="inlineStr">
        <is>
          <t>{"key":"task_mechanism_cat","label":"改装机械猫"}</t>
        </is>
      </c>
    </row>
    <row r="64">
      <c r="A64" s="2" t="inlineStr">
        <is>
          <t>jiguanshou_chuxian</t>
        </is>
      </c>
      <c r="B64" s="2" t="inlineStr">
        <is>
          <t>机关兽初现</t>
        </is>
      </c>
      <c r="C64" s="2" t="inlineStr">
        <is>
          <t>个人任务</t>
        </is>
      </c>
      <c r="D64" s="2" t="inlineStr">
        <is>
          <t>门客</t>
        </is>
      </c>
      <c r="E64" s="2" t="inlineStr">
        <is>
          <t>task_mechanism_cat</t>
        </is>
      </c>
      <c r="F64" s="2" t="n">
        <v>1</v>
      </c>
      <c r="G64" s="2" t="inlineStr">
        <is>
          <t>改装机械猫</t>
        </is>
      </c>
      <c r="H64" s="2" t="inlineStr">
        <is>
          <t>使用模板默认技能</t>
        </is>
      </c>
      <c r="I64" s="2" t="n">
        <v>7</v>
      </c>
      <c r="J64" s="2" t="n">
        <v>35</v>
      </c>
      <c r="K64" s="4" t="n">
        <v>0.12</v>
      </c>
      <c r="L64" s="2" t="inlineStr">
        <is>
          <t>data/mission_templates.yaml:L655:enemy_guests</t>
        </is>
      </c>
      <c r="M64" s="2" t="inlineStr">
        <is>
          <t>{"key":"task_mechanism_cat","label":"改装机械猫"}</t>
        </is>
      </c>
    </row>
    <row r="65">
      <c r="A65" s="2" t="inlineStr">
        <is>
          <t>biwu_zhaoqin</t>
        </is>
      </c>
      <c r="B65" s="2" t="inlineStr">
        <is>
          <t>比武招亲</t>
        </is>
      </c>
      <c r="C65" s="2" t="inlineStr">
        <is>
          <t>个人任务</t>
        </is>
      </c>
      <c r="D65" s="2" t="inlineStr">
        <is>
          <t>门客</t>
        </is>
      </c>
      <c r="E65" s="2" t="inlineStr">
        <is>
          <t>task_matchmaking_bear</t>
        </is>
      </c>
      <c r="F65" s="2" t="n">
        <v>1</v>
      </c>
      <c r="G65" s="2" t="inlineStr">
        <is>
          <t>机关熊</t>
        </is>
      </c>
      <c r="H65" s="2" t="inlineStr">
        <is>
          <t>使用模板默认技能</t>
        </is>
      </c>
      <c r="I65" s="2" t="n">
        <v>4</v>
      </c>
      <c r="J65" s="2" t="n">
        <v>55</v>
      </c>
      <c r="K65" s="4" t="n">
        <v>0.2</v>
      </c>
      <c r="L65" s="2" t="inlineStr">
        <is>
          <t>data/mission_templates.yaml:L698:enemy_guests</t>
        </is>
      </c>
      <c r="M65" s="2" t="inlineStr">
        <is>
          <t>{"key":"task_matchmaking_bear","label":"机关熊"}</t>
        </is>
      </c>
    </row>
    <row r="66">
      <c r="A66" s="2" t="inlineStr">
        <is>
          <t>tianpeng_dijiao_1</t>
        </is>
      </c>
      <c r="B66" s="2" t="inlineStr">
        <is>
          <t>天蓬元帅的地窖（第一层）</t>
        </is>
      </c>
      <c r="C66" s="2" t="inlineStr">
        <is>
          <t>个人任务</t>
        </is>
      </c>
      <c r="D66" s="2" t="inlineStr">
        <is>
          <t>门客</t>
        </is>
      </c>
      <c r="E66" s="2" t="inlineStr">
        <is>
          <t>task_cellar_guard</t>
        </is>
      </c>
      <c r="F66" s="2" t="n">
        <v>1</v>
      </c>
      <c r="G66" s="2" t="inlineStr">
        <is>
          <t>守卫</t>
        </is>
      </c>
      <c r="H66" s="2" t="inlineStr">
        <is>
          <t>使用模板默认技能</t>
        </is>
      </c>
      <c r="I66" s="2" t="n">
        <v>8</v>
      </c>
      <c r="J66" s="2" t="n">
        <v>50</v>
      </c>
      <c r="K66" s="4" t="n">
        <v>0.12</v>
      </c>
      <c r="L66" s="2" t="inlineStr">
        <is>
          <t>data/mission_templates.yaml:L731:enemy_guests</t>
        </is>
      </c>
      <c r="M66" s="2" t="inlineStr">
        <is>
          <t>{"key":"task_cellar_guard","label":"守卫"}</t>
        </is>
      </c>
    </row>
    <row r="67">
      <c r="A67" s="2" t="inlineStr">
        <is>
          <t>tianpeng_dijiao_1</t>
        </is>
      </c>
      <c r="B67" s="2" t="inlineStr">
        <is>
          <t>天蓬元帅的地窖（第一层）</t>
        </is>
      </c>
      <c r="C67" s="2" t="inlineStr">
        <is>
          <t>个人任务</t>
        </is>
      </c>
      <c r="D67" s="2" t="inlineStr">
        <is>
          <t>门客</t>
        </is>
      </c>
      <c r="E67" s="2" t="inlineStr">
        <is>
          <t>task_cellar_guard</t>
        </is>
      </c>
      <c r="F67" s="2" t="n">
        <v>1</v>
      </c>
      <c r="G67" s="2" t="inlineStr">
        <is>
          <t>守卫</t>
        </is>
      </c>
      <c r="H67" s="2" t="inlineStr">
        <is>
          <t>使用模板默认技能</t>
        </is>
      </c>
      <c r="I67" s="2" t="n">
        <v>8</v>
      </c>
      <c r="J67" s="2" t="n">
        <v>50</v>
      </c>
      <c r="K67" s="4" t="n">
        <v>0.12</v>
      </c>
      <c r="L67" s="2" t="inlineStr">
        <is>
          <t>data/mission_templates.yaml:L731:enemy_guests</t>
        </is>
      </c>
      <c r="M67" s="2" t="inlineStr">
        <is>
          <t>{"key":"task_cellar_guard","label":"守卫"}</t>
        </is>
      </c>
    </row>
    <row r="68">
      <c r="A68" s="2" t="inlineStr">
        <is>
          <t>tianpeng_dijiao_1</t>
        </is>
      </c>
      <c r="B68" s="2" t="inlineStr">
        <is>
          <t>天蓬元帅的地窖（第一层）</t>
        </is>
      </c>
      <c r="C68" s="2" t="inlineStr">
        <is>
          <t>个人任务</t>
        </is>
      </c>
      <c r="D68" s="2" t="inlineStr">
        <is>
          <t>门客</t>
        </is>
      </c>
      <c r="E68" s="2" t="inlineStr">
        <is>
          <t>task_cellar_guard</t>
        </is>
      </c>
      <c r="F68" s="2" t="n">
        <v>1</v>
      </c>
      <c r="G68" s="2" t="inlineStr">
        <is>
          <t>守卫</t>
        </is>
      </c>
      <c r="H68" s="2" t="inlineStr">
        <is>
          <t>使用模板默认技能</t>
        </is>
      </c>
      <c r="I68" s="2" t="n">
        <v>8</v>
      </c>
      <c r="J68" s="2" t="n">
        <v>50</v>
      </c>
      <c r="K68" s="4" t="n">
        <v>0.12</v>
      </c>
      <c r="L68" s="2" t="inlineStr">
        <is>
          <t>data/mission_templates.yaml:L731:enemy_guests</t>
        </is>
      </c>
      <c r="M68" s="2" t="inlineStr">
        <is>
          <t>{"key":"task_cellar_guard","label":"守卫"}</t>
        </is>
      </c>
    </row>
    <row r="69">
      <c r="A69" s="2" t="inlineStr">
        <is>
          <t>tianpeng_dijiao_1</t>
        </is>
      </c>
      <c r="B69" s="2" t="inlineStr">
        <is>
          <t>天蓬元帅的地窖（第一层）</t>
        </is>
      </c>
      <c r="C69" s="2" t="inlineStr">
        <is>
          <t>个人任务</t>
        </is>
      </c>
      <c r="D69" s="2" t="inlineStr">
        <is>
          <t>门客</t>
        </is>
      </c>
      <c r="E69" s="2" t="inlineStr">
        <is>
          <t>task_cellar_guard</t>
        </is>
      </c>
      <c r="F69" s="2" t="n">
        <v>1</v>
      </c>
      <c r="G69" s="2" t="inlineStr">
        <is>
          <t>守卫</t>
        </is>
      </c>
      <c r="H69" s="2" t="inlineStr">
        <is>
          <t>使用模板默认技能</t>
        </is>
      </c>
      <c r="I69" s="2" t="n">
        <v>8</v>
      </c>
      <c r="J69" s="2" t="n">
        <v>50</v>
      </c>
      <c r="K69" s="4" t="n">
        <v>0.12</v>
      </c>
      <c r="L69" s="2" t="inlineStr">
        <is>
          <t>data/mission_templates.yaml:L731:enemy_guests</t>
        </is>
      </c>
      <c r="M69" s="2" t="inlineStr">
        <is>
          <t>{"key":"task_cellar_guard","label":"守卫"}</t>
        </is>
      </c>
    </row>
    <row r="70">
      <c r="A70" s="2" t="inlineStr">
        <is>
          <t>tianpeng_dijiao_1</t>
        </is>
      </c>
      <c r="B70" s="2" t="inlineStr">
        <is>
          <t>天蓬元帅的地窖（第一层）</t>
        </is>
      </c>
      <c r="C70" s="2" t="inlineStr">
        <is>
          <t>个人任务</t>
        </is>
      </c>
      <c r="D70" s="2" t="inlineStr">
        <is>
          <t>门客</t>
        </is>
      </c>
      <c r="E70" s="2" t="inlineStr">
        <is>
          <t>task_cellar_guard</t>
        </is>
      </c>
      <c r="F70" s="2" t="n">
        <v>1</v>
      </c>
      <c r="G70" s="2" t="inlineStr">
        <is>
          <t>守卫</t>
        </is>
      </c>
      <c r="H70" s="2" t="inlineStr">
        <is>
          <t>使用模板默认技能</t>
        </is>
      </c>
      <c r="I70" s="2" t="n">
        <v>8</v>
      </c>
      <c r="J70" s="2" t="n">
        <v>50</v>
      </c>
      <c r="K70" s="4" t="n">
        <v>0.12</v>
      </c>
      <c r="L70" s="2" t="inlineStr">
        <is>
          <t>data/mission_templates.yaml:L731:enemy_guests</t>
        </is>
      </c>
      <c r="M70" s="2" t="inlineStr">
        <is>
          <t>{"key":"task_cellar_guard","label":"守卫"}</t>
        </is>
      </c>
    </row>
    <row r="71">
      <c r="A71" s="2" t="inlineStr">
        <is>
          <t>tianpeng_dijiao_1</t>
        </is>
      </c>
      <c r="B71" s="2" t="inlineStr">
        <is>
          <t>天蓬元帅的地窖（第一层）</t>
        </is>
      </c>
      <c r="C71" s="2" t="inlineStr">
        <is>
          <t>个人任务</t>
        </is>
      </c>
      <c r="D71" s="2" t="inlineStr">
        <is>
          <t>门客</t>
        </is>
      </c>
      <c r="E71" s="2" t="inlineStr">
        <is>
          <t>task_cellar_guard</t>
        </is>
      </c>
      <c r="F71" s="2" t="n">
        <v>1</v>
      </c>
      <c r="G71" s="2" t="inlineStr">
        <is>
          <t>守卫</t>
        </is>
      </c>
      <c r="H71" s="2" t="inlineStr">
        <is>
          <t>使用模板默认技能</t>
        </is>
      </c>
      <c r="I71" s="2" t="n">
        <v>8</v>
      </c>
      <c r="J71" s="2" t="n">
        <v>50</v>
      </c>
      <c r="K71" s="4" t="n">
        <v>0.12</v>
      </c>
      <c r="L71" s="2" t="inlineStr">
        <is>
          <t>data/mission_templates.yaml:L731:enemy_guests</t>
        </is>
      </c>
      <c r="M71" s="2" t="inlineStr">
        <is>
          <t>{"key":"task_cellar_guard","label":"守卫"}</t>
        </is>
      </c>
    </row>
    <row r="72">
      <c r="A72" s="2" t="inlineStr">
        <is>
          <t>tianpeng_dijiao_1</t>
        </is>
      </c>
      <c r="B72" s="2" t="inlineStr">
        <is>
          <t>天蓬元帅的地窖（第一层）</t>
        </is>
      </c>
      <c r="C72" s="2" t="inlineStr">
        <is>
          <t>个人任务</t>
        </is>
      </c>
      <c r="D72" s="2" t="inlineStr">
        <is>
          <t>门客</t>
        </is>
      </c>
      <c r="E72" s="2" t="inlineStr">
        <is>
          <t>task_cellar_guard</t>
        </is>
      </c>
      <c r="F72" s="2" t="n">
        <v>1</v>
      </c>
      <c r="G72" s="2" t="inlineStr">
        <is>
          <t>守卫</t>
        </is>
      </c>
      <c r="H72" s="2" t="inlineStr">
        <is>
          <t>使用模板默认技能</t>
        </is>
      </c>
      <c r="I72" s="2" t="n">
        <v>8</v>
      </c>
      <c r="J72" s="2" t="n">
        <v>50</v>
      </c>
      <c r="K72" s="4" t="n">
        <v>0.12</v>
      </c>
      <c r="L72" s="2" t="inlineStr">
        <is>
          <t>data/mission_templates.yaml:L731:enemy_guests</t>
        </is>
      </c>
      <c r="M72" s="2" t="inlineStr">
        <is>
          <t>{"key":"task_cellar_guard","label":"守卫"}</t>
        </is>
      </c>
    </row>
    <row r="73">
      <c r="A73" s="2" t="inlineStr">
        <is>
          <t>tianpeng_dijiao_1</t>
        </is>
      </c>
      <c r="B73" s="2" t="inlineStr">
        <is>
          <t>天蓬元帅的地窖（第一层）</t>
        </is>
      </c>
      <c r="C73" s="2" t="inlineStr">
        <is>
          <t>个人任务</t>
        </is>
      </c>
      <c r="D73" s="2" t="inlineStr">
        <is>
          <t>门客</t>
        </is>
      </c>
      <c r="E73" s="2" t="inlineStr">
        <is>
          <t>task_cellar_guard</t>
        </is>
      </c>
      <c r="F73" s="2" t="n">
        <v>1</v>
      </c>
      <c r="G73" s="2" t="inlineStr">
        <is>
          <t>守卫</t>
        </is>
      </c>
      <c r="H73" s="2" t="inlineStr">
        <is>
          <t>使用模板默认技能</t>
        </is>
      </c>
      <c r="I73" s="2" t="n">
        <v>8</v>
      </c>
      <c r="J73" s="2" t="n">
        <v>50</v>
      </c>
      <c r="K73" s="4" t="n">
        <v>0.12</v>
      </c>
      <c r="L73" s="2" t="inlineStr">
        <is>
          <t>data/mission_templates.yaml:L731:enemy_guests</t>
        </is>
      </c>
      <c r="M73" s="2" t="inlineStr">
        <is>
          <t>{"key":"task_cellar_guard","label":"守卫"}</t>
        </is>
      </c>
    </row>
    <row r="74">
      <c r="A74" s="2" t="inlineStr">
        <is>
          <t>tianpeng_dijiao_2</t>
        </is>
      </c>
      <c r="B74" s="2" t="inlineStr">
        <is>
          <t>天蓬元帅的地窖（第二层）</t>
        </is>
      </c>
      <c r="C74" s="2" t="inlineStr">
        <is>
          <t>个人任务</t>
        </is>
      </c>
      <c r="D74" s="2" t="inlineStr">
        <is>
          <t>门客</t>
        </is>
      </c>
      <c r="E74" s="2" t="inlineStr">
        <is>
          <t>task_fox_spirit_keeper</t>
        </is>
      </c>
      <c r="F74" s="2" t="n">
        <v>1</v>
      </c>
      <c r="G74" s="2" t="inlineStr">
        <is>
          <t>小狐仙</t>
        </is>
      </c>
      <c r="H74" s="2" t="inlineStr">
        <is>
          <t>使用模板默认技能</t>
        </is>
      </c>
      <c r="I74" s="2" t="n">
        <v>9</v>
      </c>
      <c r="J74" s="2" t="n">
        <v>80</v>
      </c>
      <c r="K74" s="4" t="n">
        <v>0.2</v>
      </c>
      <c r="L74" s="2" t="inlineStr">
        <is>
          <t>data/mission_templates.yaml:L777:enemy_guests</t>
        </is>
      </c>
      <c r="M74" s="2" t="inlineStr">
        <is>
          <t>{"key":"task_fox_spirit_keeper","label":"小狐仙"}</t>
        </is>
      </c>
    </row>
    <row r="75">
      <c r="A75" s="2" t="inlineStr">
        <is>
          <t>tianpeng_dijiao_2</t>
        </is>
      </c>
      <c r="B75" s="2" t="inlineStr">
        <is>
          <t>天蓬元帅的地窖（第二层）</t>
        </is>
      </c>
      <c r="C75" s="2" t="inlineStr">
        <is>
          <t>个人任务</t>
        </is>
      </c>
      <c r="D75" s="2" t="inlineStr">
        <is>
          <t>门客</t>
        </is>
      </c>
      <c r="E75" s="2" t="inlineStr">
        <is>
          <t>task_fox_spirit_keeper</t>
        </is>
      </c>
      <c r="F75" s="2" t="n">
        <v>1</v>
      </c>
      <c r="G75" s="2" t="inlineStr">
        <is>
          <t>小狐仙</t>
        </is>
      </c>
      <c r="H75" s="2" t="inlineStr">
        <is>
          <t>使用模板默认技能</t>
        </is>
      </c>
      <c r="I75" s="2" t="n">
        <v>9</v>
      </c>
      <c r="J75" s="2" t="n">
        <v>80</v>
      </c>
      <c r="K75" s="4" t="n">
        <v>0.2</v>
      </c>
      <c r="L75" s="2" t="inlineStr">
        <is>
          <t>data/mission_templates.yaml:L777:enemy_guests</t>
        </is>
      </c>
      <c r="M75" s="2" t="inlineStr">
        <is>
          <t>{"key":"task_fox_spirit_keeper","label":"小狐仙"}</t>
        </is>
      </c>
    </row>
    <row r="76">
      <c r="A76" s="2" t="inlineStr">
        <is>
          <t>tianpeng_dijiao_2</t>
        </is>
      </c>
      <c r="B76" s="2" t="inlineStr">
        <is>
          <t>天蓬元帅的地窖（第二层）</t>
        </is>
      </c>
      <c r="C76" s="2" t="inlineStr">
        <is>
          <t>个人任务</t>
        </is>
      </c>
      <c r="D76" s="2" t="inlineStr">
        <is>
          <t>门客</t>
        </is>
      </c>
      <c r="E76" s="2" t="inlineStr">
        <is>
          <t>task_fox_spirit_keeper</t>
        </is>
      </c>
      <c r="F76" s="2" t="n">
        <v>1</v>
      </c>
      <c r="G76" s="2" t="inlineStr">
        <is>
          <t>小狐仙</t>
        </is>
      </c>
      <c r="H76" s="2" t="inlineStr">
        <is>
          <t>使用模板默认技能</t>
        </is>
      </c>
      <c r="I76" s="2" t="n">
        <v>9</v>
      </c>
      <c r="J76" s="2" t="n">
        <v>80</v>
      </c>
      <c r="K76" s="4" t="n">
        <v>0.2</v>
      </c>
      <c r="L76" s="2" t="inlineStr">
        <is>
          <t>data/mission_templates.yaml:L777:enemy_guests</t>
        </is>
      </c>
      <c r="M76" s="2" t="inlineStr">
        <is>
          <t>{"key":"task_fox_spirit_keeper","label":"小狐仙"}</t>
        </is>
      </c>
    </row>
    <row r="77">
      <c r="A77" s="2" t="inlineStr">
        <is>
          <t>tianpeng_dijiao_2</t>
        </is>
      </c>
      <c r="B77" s="2" t="inlineStr">
        <is>
          <t>天蓬元帅的地窖（第二层）</t>
        </is>
      </c>
      <c r="C77" s="2" t="inlineStr">
        <is>
          <t>个人任务</t>
        </is>
      </c>
      <c r="D77" s="2" t="inlineStr">
        <is>
          <t>门客</t>
        </is>
      </c>
      <c r="E77" s="2" t="inlineStr">
        <is>
          <t>task_fox_spirit_keeper</t>
        </is>
      </c>
      <c r="F77" s="2" t="n">
        <v>1</v>
      </c>
      <c r="G77" s="2" t="inlineStr">
        <is>
          <t>小狐仙</t>
        </is>
      </c>
      <c r="H77" s="2" t="inlineStr">
        <is>
          <t>使用模板默认技能</t>
        </is>
      </c>
      <c r="I77" s="2" t="n">
        <v>9</v>
      </c>
      <c r="J77" s="2" t="n">
        <v>80</v>
      </c>
      <c r="K77" s="4" t="n">
        <v>0.2</v>
      </c>
      <c r="L77" s="2" t="inlineStr">
        <is>
          <t>data/mission_templates.yaml:L777:enemy_guests</t>
        </is>
      </c>
      <c r="M77" s="2" t="inlineStr">
        <is>
          <t>{"key":"task_fox_spirit_keeper","label":"小狐仙"}</t>
        </is>
      </c>
    </row>
    <row r="78">
      <c r="A78" s="2" t="inlineStr">
        <is>
          <t>tianpeng_dijiao_2</t>
        </is>
      </c>
      <c r="B78" s="2" t="inlineStr">
        <is>
          <t>天蓬元帅的地窖（第二层）</t>
        </is>
      </c>
      <c r="C78" s="2" t="inlineStr">
        <is>
          <t>个人任务</t>
        </is>
      </c>
      <c r="D78" s="2" t="inlineStr">
        <is>
          <t>门客</t>
        </is>
      </c>
      <c r="E78" s="2" t="inlineStr">
        <is>
          <t>task_fox_spirit_keeper</t>
        </is>
      </c>
      <c r="F78" s="2" t="n">
        <v>1</v>
      </c>
      <c r="G78" s="2" t="inlineStr">
        <is>
          <t>小狐仙</t>
        </is>
      </c>
      <c r="H78" s="2" t="inlineStr">
        <is>
          <t>使用模板默认技能</t>
        </is>
      </c>
      <c r="I78" s="2" t="n">
        <v>9</v>
      </c>
      <c r="J78" s="2" t="n">
        <v>80</v>
      </c>
      <c r="K78" s="4" t="n">
        <v>0.2</v>
      </c>
      <c r="L78" s="2" t="inlineStr">
        <is>
          <t>data/mission_templates.yaml:L777:enemy_guests</t>
        </is>
      </c>
      <c r="M78" s="2" t="inlineStr">
        <is>
          <t>{"key":"task_fox_spirit_keeper","label":"小狐仙"}</t>
        </is>
      </c>
    </row>
    <row r="79">
      <c r="A79" s="2" t="inlineStr">
        <is>
          <t>tianpeng_dijiao_2</t>
        </is>
      </c>
      <c r="B79" s="2" t="inlineStr">
        <is>
          <t>天蓬元帅的地窖（第二层）</t>
        </is>
      </c>
      <c r="C79" s="2" t="inlineStr">
        <is>
          <t>个人任务</t>
        </is>
      </c>
      <c r="D79" s="2" t="inlineStr">
        <is>
          <t>门客</t>
        </is>
      </c>
      <c r="E79" s="2" t="inlineStr">
        <is>
          <t>task_fox_spirit_keeper</t>
        </is>
      </c>
      <c r="F79" s="2" t="n">
        <v>1</v>
      </c>
      <c r="G79" s="2" t="inlineStr">
        <is>
          <t>小狐仙</t>
        </is>
      </c>
      <c r="H79" s="2" t="inlineStr">
        <is>
          <t>使用模板默认技能</t>
        </is>
      </c>
      <c r="I79" s="2" t="n">
        <v>9</v>
      </c>
      <c r="J79" s="2" t="n">
        <v>80</v>
      </c>
      <c r="K79" s="4" t="n">
        <v>0.2</v>
      </c>
      <c r="L79" s="2" t="inlineStr">
        <is>
          <t>data/mission_templates.yaml:L777:enemy_guests</t>
        </is>
      </c>
      <c r="M79" s="2" t="inlineStr">
        <is>
          <t>{"key":"task_fox_spirit_keeper","label":"小狐仙"}</t>
        </is>
      </c>
    </row>
    <row r="80">
      <c r="A80" s="2" t="inlineStr">
        <is>
          <t>tianpeng_dijiao_2</t>
        </is>
      </c>
      <c r="B80" s="2" t="inlineStr">
        <is>
          <t>天蓬元帅的地窖（第二层）</t>
        </is>
      </c>
      <c r="C80" s="2" t="inlineStr">
        <is>
          <t>个人任务</t>
        </is>
      </c>
      <c r="D80" s="2" t="inlineStr">
        <is>
          <t>门客</t>
        </is>
      </c>
      <c r="E80" s="2" t="inlineStr">
        <is>
          <t>task_fox_spirit_keeper</t>
        </is>
      </c>
      <c r="F80" s="2" t="n">
        <v>1</v>
      </c>
      <c r="G80" s="2" t="inlineStr">
        <is>
          <t>小狐仙</t>
        </is>
      </c>
      <c r="H80" s="2" t="inlineStr">
        <is>
          <t>使用模板默认技能</t>
        </is>
      </c>
      <c r="I80" s="2" t="n">
        <v>9</v>
      </c>
      <c r="J80" s="2" t="n">
        <v>80</v>
      </c>
      <c r="K80" s="4" t="n">
        <v>0.2</v>
      </c>
      <c r="L80" s="2" t="inlineStr">
        <is>
          <t>data/mission_templates.yaml:L777:enemy_guests</t>
        </is>
      </c>
      <c r="M80" s="2" t="inlineStr">
        <is>
          <t>{"key":"task_fox_spirit_keeper","label":"小狐仙"}</t>
        </is>
      </c>
    </row>
    <row r="81">
      <c r="A81" s="2" t="inlineStr">
        <is>
          <t>tianpeng_dijiao_2</t>
        </is>
      </c>
      <c r="B81" s="2" t="inlineStr">
        <is>
          <t>天蓬元帅的地窖（第二层）</t>
        </is>
      </c>
      <c r="C81" s="2" t="inlineStr">
        <is>
          <t>个人任务</t>
        </is>
      </c>
      <c r="D81" s="2" t="inlineStr">
        <is>
          <t>门客</t>
        </is>
      </c>
      <c r="E81" s="2" t="inlineStr">
        <is>
          <t>task_fox_spirit_keeper</t>
        </is>
      </c>
      <c r="F81" s="2" t="n">
        <v>1</v>
      </c>
      <c r="G81" s="2" t="inlineStr">
        <is>
          <t>小狐仙</t>
        </is>
      </c>
      <c r="H81" s="2" t="inlineStr">
        <is>
          <t>使用模板默认技能</t>
        </is>
      </c>
      <c r="I81" s="2" t="n">
        <v>9</v>
      </c>
      <c r="J81" s="2" t="n">
        <v>80</v>
      </c>
      <c r="K81" s="4" t="n">
        <v>0.2</v>
      </c>
      <c r="L81" s="2" t="inlineStr">
        <is>
          <t>data/mission_templates.yaml:L777:enemy_guests</t>
        </is>
      </c>
      <c r="M81" s="2" t="inlineStr">
        <is>
          <t>{"key":"task_fox_spirit_keeper","label":"小狐仙"}</t>
        </is>
      </c>
    </row>
    <row r="82">
      <c r="A82" s="2" t="inlineStr">
        <is>
          <t>jiguan_chuniao</t>
        </is>
      </c>
      <c r="B82" s="2" t="inlineStr">
        <is>
          <t>机关雏鸟</t>
        </is>
      </c>
      <c r="C82" s="2" t="inlineStr">
        <is>
          <t>个人任务</t>
        </is>
      </c>
      <c r="D82" s="2" t="inlineStr">
        <is>
          <t>门客</t>
        </is>
      </c>
      <c r="E82" s="2" t="inlineStr">
        <is>
          <t>task_mechanism_bird</t>
        </is>
      </c>
      <c r="F82" s="2" t="n">
        <v>1</v>
      </c>
      <c r="G82" s="2" t="inlineStr">
        <is>
          <t>黑衣人</t>
        </is>
      </c>
      <c r="H82" s="2" t="inlineStr">
        <is>
          <t>使用模板默认技能</t>
        </is>
      </c>
      <c r="I82" s="2" t="n">
        <v>7</v>
      </c>
      <c r="J82" s="2" t="n">
        <v>60</v>
      </c>
      <c r="K82" s="4" t="n">
        <v>0.1</v>
      </c>
      <c r="L82" s="2" t="inlineStr">
        <is>
          <t>data/mission_templates.yaml:L830:enemy_guests</t>
        </is>
      </c>
      <c r="M82" s="2" t="inlineStr">
        <is>
          <t>{"key":"task_mechanism_bird","label":"黑衣人"}</t>
        </is>
      </c>
    </row>
    <row r="83">
      <c r="A83" s="2" t="inlineStr">
        <is>
          <t>jiguan_chuniao</t>
        </is>
      </c>
      <c r="B83" s="2" t="inlineStr">
        <is>
          <t>机关雏鸟</t>
        </is>
      </c>
      <c r="C83" s="2" t="inlineStr">
        <is>
          <t>个人任务</t>
        </is>
      </c>
      <c r="D83" s="2" t="inlineStr">
        <is>
          <t>门客</t>
        </is>
      </c>
      <c r="E83" s="2" t="inlineStr">
        <is>
          <t>task_mechanism_bird</t>
        </is>
      </c>
      <c r="F83" s="2" t="n">
        <v>1</v>
      </c>
      <c r="G83" s="2" t="inlineStr">
        <is>
          <t>黑衣人</t>
        </is>
      </c>
      <c r="H83" s="2" t="inlineStr">
        <is>
          <t>使用模板默认技能</t>
        </is>
      </c>
      <c r="I83" s="2" t="n">
        <v>7</v>
      </c>
      <c r="J83" s="2" t="n">
        <v>60</v>
      </c>
      <c r="K83" s="4" t="n">
        <v>0.1</v>
      </c>
      <c r="L83" s="2" t="inlineStr">
        <is>
          <t>data/mission_templates.yaml:L830:enemy_guests</t>
        </is>
      </c>
      <c r="M83" s="2" t="inlineStr">
        <is>
          <t>{"key":"task_mechanism_bird","label":"黑衣人"}</t>
        </is>
      </c>
    </row>
    <row r="84">
      <c r="A84" s="2" t="inlineStr">
        <is>
          <t>jiguan_chuniao</t>
        </is>
      </c>
      <c r="B84" s="2" t="inlineStr">
        <is>
          <t>机关雏鸟</t>
        </is>
      </c>
      <c r="C84" s="2" t="inlineStr">
        <is>
          <t>个人任务</t>
        </is>
      </c>
      <c r="D84" s="2" t="inlineStr">
        <is>
          <t>门客</t>
        </is>
      </c>
      <c r="E84" s="2" t="inlineStr">
        <is>
          <t>task_mechanism_bird</t>
        </is>
      </c>
      <c r="F84" s="2" t="n">
        <v>1</v>
      </c>
      <c r="G84" s="2" t="inlineStr">
        <is>
          <t>黑衣人</t>
        </is>
      </c>
      <c r="H84" s="2" t="inlineStr">
        <is>
          <t>使用模板默认技能</t>
        </is>
      </c>
      <c r="I84" s="2" t="n">
        <v>7</v>
      </c>
      <c r="J84" s="2" t="n">
        <v>60</v>
      </c>
      <c r="K84" s="4" t="n">
        <v>0.1</v>
      </c>
      <c r="L84" s="2" t="inlineStr">
        <is>
          <t>data/mission_templates.yaml:L830:enemy_guests</t>
        </is>
      </c>
      <c r="M84" s="2" t="inlineStr">
        <is>
          <t>{"key":"task_mechanism_bird","label":"黑衣人"}</t>
        </is>
      </c>
    </row>
    <row r="85">
      <c r="A85" s="2" t="inlineStr">
        <is>
          <t>jiguan_chuniao</t>
        </is>
      </c>
      <c r="B85" s="2" t="inlineStr">
        <is>
          <t>机关雏鸟</t>
        </is>
      </c>
      <c r="C85" s="2" t="inlineStr">
        <is>
          <t>个人任务</t>
        </is>
      </c>
      <c r="D85" s="2" t="inlineStr">
        <is>
          <t>门客</t>
        </is>
      </c>
      <c r="E85" s="2" t="inlineStr">
        <is>
          <t>task_mechanism_bird</t>
        </is>
      </c>
      <c r="F85" s="2" t="n">
        <v>1</v>
      </c>
      <c r="G85" s="2" t="inlineStr">
        <is>
          <t>黑衣人</t>
        </is>
      </c>
      <c r="H85" s="2" t="inlineStr">
        <is>
          <t>使用模板默认技能</t>
        </is>
      </c>
      <c r="I85" s="2" t="n">
        <v>7</v>
      </c>
      <c r="J85" s="2" t="n">
        <v>60</v>
      </c>
      <c r="K85" s="4" t="n">
        <v>0.1</v>
      </c>
      <c r="L85" s="2" t="inlineStr">
        <is>
          <t>data/mission_templates.yaml:L830:enemy_guests</t>
        </is>
      </c>
      <c r="M85" s="2" t="inlineStr">
        <is>
          <t>{"key":"task_mechanism_bird","label":"黑衣人"}</t>
        </is>
      </c>
    </row>
    <row r="86">
      <c r="A86" s="2" t="inlineStr">
        <is>
          <t>jiguan_chuniao</t>
        </is>
      </c>
      <c r="B86" s="2" t="inlineStr">
        <is>
          <t>机关雏鸟</t>
        </is>
      </c>
      <c r="C86" s="2" t="inlineStr">
        <is>
          <t>个人任务</t>
        </is>
      </c>
      <c r="D86" s="2" t="inlineStr">
        <is>
          <t>护院</t>
        </is>
      </c>
      <c r="E86" s="2" t="inlineStr">
        <is>
          <t>qiang_wang</t>
        </is>
      </c>
      <c r="F86" s="2" t="n">
        <v>300</v>
      </c>
      <c r="G86" s="2" t="inlineStr">
        <is>
          <t>枪王</t>
        </is>
      </c>
      <c r="H86" s="2" t="inlineStr"/>
      <c r="I86" s="2" t="n">
        <v>7</v>
      </c>
      <c r="J86" s="2" t="n"/>
      <c r="K86" s="4" t="n"/>
      <c r="L86" s="2" t="inlineStr">
        <is>
          <t>data/mission_templates.yaml:L830:enemy_troops</t>
        </is>
      </c>
      <c r="M86" s="2" t="inlineStr">
        <is>
          <t>{"qiang_wang":300}</t>
        </is>
      </c>
    </row>
    <row r="87">
      <c r="A87" s="2" t="inlineStr">
        <is>
          <t>jiguan_chuniao</t>
        </is>
      </c>
      <c r="B87" s="2" t="inlineStr">
        <is>
          <t>机关雏鸟</t>
        </is>
      </c>
      <c r="C87" s="2" t="inlineStr">
        <is>
          <t>个人任务</t>
        </is>
      </c>
      <c r="D87" s="2" t="inlineStr">
        <is>
          <t>护院</t>
        </is>
      </c>
      <c r="E87" s="2" t="inlineStr">
        <is>
          <t>jian_sheng</t>
        </is>
      </c>
      <c r="F87" s="2" t="n">
        <v>300</v>
      </c>
      <c r="G87" s="2" t="inlineStr">
        <is>
          <t>剑圣</t>
        </is>
      </c>
      <c r="H87" s="2" t="inlineStr"/>
      <c r="I87" s="2" t="n">
        <v>7</v>
      </c>
      <c r="J87" s="2" t="n"/>
      <c r="K87" s="4" t="n"/>
      <c r="L87" s="2" t="inlineStr">
        <is>
          <t>data/mission_templates.yaml:L830:enemy_troops</t>
        </is>
      </c>
      <c r="M87" s="2" t="inlineStr">
        <is>
          <t>{"jian_sheng":300}</t>
        </is>
      </c>
    </row>
    <row r="88">
      <c r="A88" s="2" t="inlineStr">
        <is>
          <t>dongtian_fudi</t>
        </is>
      </c>
      <c r="B88" s="2" t="inlineStr">
        <is>
          <t>洞天福地</t>
        </is>
      </c>
      <c r="C88" s="2" t="inlineStr">
        <is>
          <t>个人任务</t>
        </is>
      </c>
      <c r="D88" s="2" t="inlineStr">
        <is>
          <t>门客</t>
        </is>
      </c>
      <c r="E88" s="2" t="inlineStr">
        <is>
          <t>task_heaven_cave_sentinel</t>
        </is>
      </c>
      <c r="F88" s="2" t="n">
        <v>1</v>
      </c>
      <c r="G88" s="2" t="inlineStr">
        <is>
          <t>金甲神兵</t>
        </is>
      </c>
      <c r="H88" s="2" t="inlineStr">
        <is>
          <t>使用模板默认技能</t>
        </is>
      </c>
      <c r="I88" s="2" t="n">
        <v>9</v>
      </c>
      <c r="J88" s="2" t="n">
        <v>80</v>
      </c>
      <c r="K88" s="4" t="n">
        <v>0.26</v>
      </c>
      <c r="L88" s="2" t="inlineStr">
        <is>
          <t>data/mission_templates.yaml:L873:enemy_guests</t>
        </is>
      </c>
      <c r="M88" s="2" t="inlineStr">
        <is>
          <t>{"key":"task_heaven_cave_sentinel","label":"金甲神兵"}</t>
        </is>
      </c>
    </row>
    <row r="89">
      <c r="A89" s="2" t="inlineStr">
        <is>
          <t>dongtian_fudi</t>
        </is>
      </c>
      <c r="B89" s="2" t="inlineStr">
        <is>
          <t>洞天福地</t>
        </is>
      </c>
      <c r="C89" s="2" t="inlineStr">
        <is>
          <t>个人任务</t>
        </is>
      </c>
      <c r="D89" s="2" t="inlineStr">
        <is>
          <t>门客</t>
        </is>
      </c>
      <c r="E89" s="2" t="inlineStr">
        <is>
          <t>task_heaven_cave_sentinel</t>
        </is>
      </c>
      <c r="F89" s="2" t="n">
        <v>1</v>
      </c>
      <c r="G89" s="2" t="inlineStr">
        <is>
          <t>金甲神兵</t>
        </is>
      </c>
      <c r="H89" s="2" t="inlineStr">
        <is>
          <t>使用模板默认技能</t>
        </is>
      </c>
      <c r="I89" s="2" t="n">
        <v>9</v>
      </c>
      <c r="J89" s="2" t="n">
        <v>80</v>
      </c>
      <c r="K89" s="4" t="n">
        <v>0.26</v>
      </c>
      <c r="L89" s="2" t="inlineStr">
        <is>
          <t>data/mission_templates.yaml:L873:enemy_guests</t>
        </is>
      </c>
      <c r="M89" s="2" t="inlineStr">
        <is>
          <t>{"key":"task_heaven_cave_sentinel","label":"金甲神兵"}</t>
        </is>
      </c>
    </row>
    <row r="90">
      <c r="A90" s="2" t="inlineStr">
        <is>
          <t>dongtian_fudi</t>
        </is>
      </c>
      <c r="B90" s="2" t="inlineStr">
        <is>
          <t>洞天福地</t>
        </is>
      </c>
      <c r="C90" s="2" t="inlineStr">
        <is>
          <t>个人任务</t>
        </is>
      </c>
      <c r="D90" s="2" t="inlineStr">
        <is>
          <t>护院</t>
        </is>
      </c>
      <c r="E90" s="2" t="inlineStr">
        <is>
          <t>arrow_god</t>
        </is>
      </c>
      <c r="F90" s="2" t="n">
        <v>300</v>
      </c>
      <c r="G90" s="2" t="inlineStr">
        <is>
          <t>箭神</t>
        </is>
      </c>
      <c r="H90" s="2" t="inlineStr"/>
      <c r="I90" s="2" t="n">
        <v>9</v>
      </c>
      <c r="J90" s="2" t="n"/>
      <c r="K90" s="4" t="n"/>
      <c r="L90" s="2" t="inlineStr">
        <is>
          <t>data/mission_templates.yaml:L873:enemy_troops</t>
        </is>
      </c>
      <c r="M90" s="2" t="inlineStr">
        <is>
          <t>{"arrow_god":300}</t>
        </is>
      </c>
    </row>
    <row r="91">
      <c r="A91" s="2" t="inlineStr">
        <is>
          <t>dongtian_fudi</t>
        </is>
      </c>
      <c r="B91" s="2" t="inlineStr">
        <is>
          <t>洞天福地</t>
        </is>
      </c>
      <c r="C91" s="2" t="inlineStr">
        <is>
          <t>个人任务</t>
        </is>
      </c>
      <c r="D91" s="2" t="inlineStr">
        <is>
          <t>护院</t>
        </is>
      </c>
      <c r="E91" s="2" t="inlineStr">
        <is>
          <t>quan_sheng</t>
        </is>
      </c>
      <c r="F91" s="2" t="n">
        <v>700</v>
      </c>
      <c r="G91" s="2" t="inlineStr">
        <is>
          <t>拳圣</t>
        </is>
      </c>
      <c r="H91" s="2" t="inlineStr"/>
      <c r="I91" s="2" t="n">
        <v>9</v>
      </c>
      <c r="J91" s="2" t="n"/>
      <c r="K91" s="4" t="n"/>
      <c r="L91" s="2" t="inlineStr">
        <is>
          <t>data/mission_templates.yaml:L873:enemy_troops</t>
        </is>
      </c>
      <c r="M91" s="2" t="inlineStr">
        <is>
          <t>{"quan_sheng":700}</t>
        </is>
      </c>
    </row>
    <row r="92">
      <c r="A92" s="2" t="inlineStr">
        <is>
          <t>jiufeng_feihuan</t>
        </is>
      </c>
      <c r="B92" s="2" t="inlineStr">
        <is>
          <t>九峰匪患</t>
        </is>
      </c>
      <c r="C92" s="2" t="inlineStr">
        <is>
          <t>个人任务</t>
        </is>
      </c>
      <c r="D92" s="2" t="inlineStr">
        <is>
          <t>门客</t>
        </is>
      </c>
      <c r="E92" s="2" t="inlineStr">
        <is>
          <t>task_nine_peaks_bandit</t>
        </is>
      </c>
      <c r="F92" s="2" t="n">
        <v>1</v>
      </c>
      <c r="G92" s="2" t="inlineStr">
        <is>
          <t>土匪</t>
        </is>
      </c>
      <c r="H92" s="2" t="inlineStr">
        <is>
          <t>使用模板默认技能</t>
        </is>
      </c>
      <c r="I92" s="2" t="n">
        <v>6</v>
      </c>
      <c r="J92" s="2" t="n">
        <v>58</v>
      </c>
      <c r="K92" s="4" t="n">
        <v>0.12</v>
      </c>
      <c r="L92" s="2" t="inlineStr">
        <is>
          <t>data/mission_templates.yaml:L908:enemy_guests</t>
        </is>
      </c>
      <c r="M92" s="2" t="inlineStr">
        <is>
          <t>{"key":"task_nine_peaks_bandit","label":"土匪"}</t>
        </is>
      </c>
    </row>
    <row r="93">
      <c r="A93" s="2" t="inlineStr">
        <is>
          <t>jiufeng_feihuan</t>
        </is>
      </c>
      <c r="B93" s="2" t="inlineStr">
        <is>
          <t>九峰匪患</t>
        </is>
      </c>
      <c r="C93" s="2" t="inlineStr">
        <is>
          <t>个人任务</t>
        </is>
      </c>
      <c r="D93" s="2" t="inlineStr">
        <is>
          <t>门客</t>
        </is>
      </c>
      <c r="E93" s="2" t="inlineStr">
        <is>
          <t>task_nine_peaks_bandit</t>
        </is>
      </c>
      <c r="F93" s="2" t="n">
        <v>1</v>
      </c>
      <c r="G93" s="2" t="inlineStr">
        <is>
          <t>土匪</t>
        </is>
      </c>
      <c r="H93" s="2" t="inlineStr">
        <is>
          <t>使用模板默认技能</t>
        </is>
      </c>
      <c r="I93" s="2" t="n">
        <v>6</v>
      </c>
      <c r="J93" s="2" t="n">
        <v>58</v>
      </c>
      <c r="K93" s="4" t="n">
        <v>0.12</v>
      </c>
      <c r="L93" s="2" t="inlineStr">
        <is>
          <t>data/mission_templates.yaml:L908:enemy_guests</t>
        </is>
      </c>
      <c r="M93" s="2" t="inlineStr">
        <is>
          <t>{"key":"task_nine_peaks_bandit","label":"土匪"}</t>
        </is>
      </c>
    </row>
    <row r="94">
      <c r="A94" s="2" t="inlineStr">
        <is>
          <t>jiufeng_feihuan</t>
        </is>
      </c>
      <c r="B94" s="2" t="inlineStr">
        <is>
          <t>九峰匪患</t>
        </is>
      </c>
      <c r="C94" s="2" t="inlineStr">
        <is>
          <t>个人任务</t>
        </is>
      </c>
      <c r="D94" s="2" t="inlineStr">
        <is>
          <t>门客</t>
        </is>
      </c>
      <c r="E94" s="2" t="inlineStr">
        <is>
          <t>task_nine_peaks_bandit</t>
        </is>
      </c>
      <c r="F94" s="2" t="n">
        <v>1</v>
      </c>
      <c r="G94" s="2" t="inlineStr">
        <is>
          <t>土匪</t>
        </is>
      </c>
      <c r="H94" s="2" t="inlineStr">
        <is>
          <t>使用模板默认技能</t>
        </is>
      </c>
      <c r="I94" s="2" t="n">
        <v>6</v>
      </c>
      <c r="J94" s="2" t="n">
        <v>58</v>
      </c>
      <c r="K94" s="4" t="n">
        <v>0.12</v>
      </c>
      <c r="L94" s="2" t="inlineStr">
        <is>
          <t>data/mission_templates.yaml:L908:enemy_guests</t>
        </is>
      </c>
      <c r="M94" s="2" t="inlineStr">
        <is>
          <t>{"key":"task_nine_peaks_bandit","label":"土匪"}</t>
        </is>
      </c>
    </row>
    <row r="95">
      <c r="A95" s="2" t="inlineStr">
        <is>
          <t>jiufeng_feihuan</t>
        </is>
      </c>
      <c r="B95" s="2" t="inlineStr">
        <is>
          <t>九峰匪患</t>
        </is>
      </c>
      <c r="C95" s="2" t="inlineStr">
        <is>
          <t>个人任务</t>
        </is>
      </c>
      <c r="D95" s="2" t="inlineStr">
        <is>
          <t>护院</t>
        </is>
      </c>
      <c r="E95" s="2" t="inlineStr">
        <is>
          <t>quan_sheng</t>
        </is>
      </c>
      <c r="F95" s="2" t="n">
        <v>500</v>
      </c>
      <c r="G95" s="2" t="inlineStr">
        <is>
          <t>拳圣</t>
        </is>
      </c>
      <c r="H95" s="2" t="inlineStr"/>
      <c r="I95" s="2" t="n">
        <v>6</v>
      </c>
      <c r="J95" s="2" t="n"/>
      <c r="K95" s="4" t="n"/>
      <c r="L95" s="2" t="inlineStr">
        <is>
          <t>data/mission_templates.yaml:L908:enemy_troops</t>
        </is>
      </c>
      <c r="M95" s="2" t="inlineStr">
        <is>
          <t>{"quan_sheng":500}</t>
        </is>
      </c>
    </row>
    <row r="96">
      <c r="A96" s="2" t="inlineStr">
        <is>
          <t>jiufeng_feihuan</t>
        </is>
      </c>
      <c r="B96" s="2" t="inlineStr">
        <is>
          <t>九峰匪患</t>
        </is>
      </c>
      <c r="C96" s="2" t="inlineStr">
        <is>
          <t>个人任务</t>
        </is>
      </c>
      <c r="D96" s="2" t="inlineStr">
        <is>
          <t>护院</t>
        </is>
      </c>
      <c r="E96" s="2" t="inlineStr">
        <is>
          <t>arrow_god</t>
        </is>
      </c>
      <c r="F96" s="2" t="n">
        <v>100</v>
      </c>
      <c r="G96" s="2" t="inlineStr">
        <is>
          <t>箭神</t>
        </is>
      </c>
      <c r="H96" s="2" t="inlineStr"/>
      <c r="I96" s="2" t="n">
        <v>6</v>
      </c>
      <c r="J96" s="2" t="n"/>
      <c r="K96" s="4" t="n"/>
      <c r="L96" s="2" t="inlineStr">
        <is>
          <t>data/mission_templates.yaml:L908:enemy_troops</t>
        </is>
      </c>
      <c r="M96" s="2" t="inlineStr">
        <is>
          <t>{"arrow_god":100}</t>
        </is>
      </c>
    </row>
    <row r="97">
      <c r="A97" s="2" t="inlineStr">
        <is>
          <t>taozi_fenban</t>
        </is>
      </c>
      <c r="B97" s="2" t="inlineStr">
        <is>
          <t>我的桃子分你一半</t>
        </is>
      </c>
      <c r="C97" s="2" t="inlineStr">
        <is>
          <t>个人任务</t>
        </is>
      </c>
      <c r="D97" s="2" t="inlineStr">
        <is>
          <t>门客</t>
        </is>
      </c>
      <c r="E97" s="2" t="inlineStr">
        <is>
          <t>task_orchard_wraith</t>
        </is>
      </c>
      <c r="F97" s="2" t="n">
        <v>1</v>
      </c>
      <c r="G97" s="2" t="inlineStr">
        <is>
          <t>孤魂野鬼</t>
        </is>
      </c>
      <c r="H97" s="2" t="inlineStr">
        <is>
          <t>使用模板默认技能</t>
        </is>
      </c>
      <c r="I97" s="2" t="n">
        <v>3</v>
      </c>
      <c r="J97" s="2" t="n">
        <v>40</v>
      </c>
      <c r="K97" s="4" t="n">
        <v>0.06</v>
      </c>
      <c r="L97" s="2" t="inlineStr">
        <is>
          <t>data/mission_templates.yaml:L951:enemy_guests</t>
        </is>
      </c>
      <c r="M97" s="2" t="inlineStr">
        <is>
          <t>{"key":"task_orchard_wraith","label":"孤魂野鬼"}</t>
        </is>
      </c>
    </row>
    <row r="98">
      <c r="A98" s="2" t="inlineStr">
        <is>
          <t>taozi_fenban</t>
        </is>
      </c>
      <c r="B98" s="2" t="inlineStr">
        <is>
          <t>我的桃子分你一半</t>
        </is>
      </c>
      <c r="C98" s="2" t="inlineStr">
        <is>
          <t>个人任务</t>
        </is>
      </c>
      <c r="D98" s="2" t="inlineStr">
        <is>
          <t>门客</t>
        </is>
      </c>
      <c r="E98" s="2" t="inlineStr">
        <is>
          <t>task_orchard_wraith</t>
        </is>
      </c>
      <c r="F98" s="2" t="n">
        <v>1</v>
      </c>
      <c r="G98" s="2" t="inlineStr">
        <is>
          <t>孤魂野鬼</t>
        </is>
      </c>
      <c r="H98" s="2" t="inlineStr">
        <is>
          <t>使用模板默认技能</t>
        </is>
      </c>
      <c r="I98" s="2" t="n">
        <v>3</v>
      </c>
      <c r="J98" s="2" t="n">
        <v>40</v>
      </c>
      <c r="K98" s="4" t="n">
        <v>0.06</v>
      </c>
      <c r="L98" s="2" t="inlineStr">
        <is>
          <t>data/mission_templates.yaml:L951:enemy_guests</t>
        </is>
      </c>
      <c r="M98" s="2" t="inlineStr">
        <is>
          <t>{"key":"task_orchard_wraith","label":"孤魂野鬼"}</t>
        </is>
      </c>
    </row>
    <row r="99">
      <c r="A99" s="2" t="inlineStr">
        <is>
          <t>taozi_fenban</t>
        </is>
      </c>
      <c r="B99" s="2" t="inlineStr">
        <is>
          <t>我的桃子分你一半</t>
        </is>
      </c>
      <c r="C99" s="2" t="inlineStr">
        <is>
          <t>个人任务</t>
        </is>
      </c>
      <c r="D99" s="2" t="inlineStr">
        <is>
          <t>门客</t>
        </is>
      </c>
      <c r="E99" s="2" t="inlineStr">
        <is>
          <t>task_orchard_wraith</t>
        </is>
      </c>
      <c r="F99" s="2" t="n">
        <v>1</v>
      </c>
      <c r="G99" s="2" t="inlineStr">
        <is>
          <t>孤魂野鬼</t>
        </is>
      </c>
      <c r="H99" s="2" t="inlineStr">
        <is>
          <t>使用模板默认技能</t>
        </is>
      </c>
      <c r="I99" s="2" t="n">
        <v>3</v>
      </c>
      <c r="J99" s="2" t="n">
        <v>40</v>
      </c>
      <c r="K99" s="4" t="n">
        <v>0.06</v>
      </c>
      <c r="L99" s="2" t="inlineStr">
        <is>
          <t>data/mission_templates.yaml:L951:enemy_guests</t>
        </is>
      </c>
      <c r="M99" s="2" t="inlineStr">
        <is>
          <t>{"key":"task_orchard_wraith","label":"孤魂野鬼"}</t>
        </is>
      </c>
    </row>
    <row r="100">
      <c r="A100" s="2" t="inlineStr">
        <is>
          <t>taozi_fenban</t>
        </is>
      </c>
      <c r="B100" s="2" t="inlineStr">
        <is>
          <t>我的桃子分你一半</t>
        </is>
      </c>
      <c r="C100" s="2" t="inlineStr">
        <is>
          <t>个人任务</t>
        </is>
      </c>
      <c r="D100" s="2" t="inlineStr">
        <is>
          <t>门客</t>
        </is>
      </c>
      <c r="E100" s="2" t="inlineStr">
        <is>
          <t>task_orchard_wraith</t>
        </is>
      </c>
      <c r="F100" s="2" t="n">
        <v>1</v>
      </c>
      <c r="G100" s="2" t="inlineStr">
        <is>
          <t>孤魂野鬼</t>
        </is>
      </c>
      <c r="H100" s="2" t="inlineStr">
        <is>
          <t>使用模板默认技能</t>
        </is>
      </c>
      <c r="I100" s="2" t="n">
        <v>3</v>
      </c>
      <c r="J100" s="2" t="n">
        <v>40</v>
      </c>
      <c r="K100" s="4" t="n">
        <v>0.06</v>
      </c>
      <c r="L100" s="2" t="inlineStr">
        <is>
          <t>data/mission_templates.yaml:L951:enemy_guests</t>
        </is>
      </c>
      <c r="M100" s="2" t="inlineStr">
        <is>
          <t>{"key":"task_orchard_wraith","label":"孤魂野鬼"}</t>
        </is>
      </c>
    </row>
    <row r="101">
      <c r="A101" s="2" t="inlineStr">
        <is>
          <t>taozi_fenban</t>
        </is>
      </c>
      <c r="B101" s="2" t="inlineStr">
        <is>
          <t>我的桃子分你一半</t>
        </is>
      </c>
      <c r="C101" s="2" t="inlineStr">
        <is>
          <t>个人任务</t>
        </is>
      </c>
      <c r="D101" s="2" t="inlineStr">
        <is>
          <t>门客</t>
        </is>
      </c>
      <c r="E101" s="2" t="inlineStr">
        <is>
          <t>task_orchard_wraith</t>
        </is>
      </c>
      <c r="F101" s="2" t="n">
        <v>1</v>
      </c>
      <c r="G101" s="2" t="inlineStr">
        <is>
          <t>孤魂野鬼</t>
        </is>
      </c>
      <c r="H101" s="2" t="inlineStr">
        <is>
          <t>使用模板默认技能</t>
        </is>
      </c>
      <c r="I101" s="2" t="n">
        <v>3</v>
      </c>
      <c r="J101" s="2" t="n">
        <v>40</v>
      </c>
      <c r="K101" s="4" t="n">
        <v>0.06</v>
      </c>
      <c r="L101" s="2" t="inlineStr">
        <is>
          <t>data/mission_templates.yaml:L951:enemy_guests</t>
        </is>
      </c>
      <c r="M101" s="2" t="inlineStr">
        <is>
          <t>{"key":"task_orchard_wraith","label":"孤魂野鬼"}</t>
        </is>
      </c>
    </row>
    <row r="102">
      <c r="A102" s="2" t="inlineStr">
        <is>
          <t>taozi_fenban</t>
        </is>
      </c>
      <c r="B102" s="2" t="inlineStr">
        <is>
          <t>我的桃子分你一半</t>
        </is>
      </c>
      <c r="C102" s="2" t="inlineStr">
        <is>
          <t>个人任务</t>
        </is>
      </c>
      <c r="D102" s="2" t="inlineStr">
        <is>
          <t>门客</t>
        </is>
      </c>
      <c r="E102" s="2" t="inlineStr">
        <is>
          <t>task_orchard_wraith</t>
        </is>
      </c>
      <c r="F102" s="2" t="n">
        <v>1</v>
      </c>
      <c r="G102" s="2" t="inlineStr">
        <is>
          <t>孤魂野鬼</t>
        </is>
      </c>
      <c r="H102" s="2" t="inlineStr">
        <is>
          <t>使用模板默认技能</t>
        </is>
      </c>
      <c r="I102" s="2" t="n">
        <v>3</v>
      </c>
      <c r="J102" s="2" t="n">
        <v>40</v>
      </c>
      <c r="K102" s="4" t="n">
        <v>0.06</v>
      </c>
      <c r="L102" s="2" t="inlineStr">
        <is>
          <t>data/mission_templates.yaml:L951:enemy_guests</t>
        </is>
      </c>
      <c r="M102" s="2" t="inlineStr">
        <is>
          <t>{"key":"task_orchard_wraith","label":"孤魂野鬼"}</t>
        </is>
      </c>
    </row>
    <row r="103">
      <c r="A103" s="2" t="inlineStr">
        <is>
          <t>taozi_fenban</t>
        </is>
      </c>
      <c r="B103" s="2" t="inlineStr">
        <is>
          <t>我的桃子分你一半</t>
        </is>
      </c>
      <c r="C103" s="2" t="inlineStr">
        <is>
          <t>个人任务</t>
        </is>
      </c>
      <c r="D103" s="2" t="inlineStr">
        <is>
          <t>门客</t>
        </is>
      </c>
      <c r="E103" s="2" t="inlineStr">
        <is>
          <t>task_orchard_wraith</t>
        </is>
      </c>
      <c r="F103" s="2" t="n">
        <v>1</v>
      </c>
      <c r="G103" s="2" t="inlineStr">
        <is>
          <t>孤魂野鬼</t>
        </is>
      </c>
      <c r="H103" s="2" t="inlineStr">
        <is>
          <t>使用模板默认技能</t>
        </is>
      </c>
      <c r="I103" s="2" t="n">
        <v>3</v>
      </c>
      <c r="J103" s="2" t="n">
        <v>40</v>
      </c>
      <c r="K103" s="4" t="n">
        <v>0.06</v>
      </c>
      <c r="L103" s="2" t="inlineStr">
        <is>
          <t>data/mission_templates.yaml:L951:enemy_guests</t>
        </is>
      </c>
      <c r="M103" s="2" t="inlineStr">
        <is>
          <t>{"key":"task_orchard_wraith","label":"孤魂野鬼"}</t>
        </is>
      </c>
    </row>
    <row r="104">
      <c r="A104" s="2" t="inlineStr">
        <is>
          <t>taozi_fenban</t>
        </is>
      </c>
      <c r="B104" s="2" t="inlineStr">
        <is>
          <t>我的桃子分你一半</t>
        </is>
      </c>
      <c r="C104" s="2" t="inlineStr">
        <is>
          <t>个人任务</t>
        </is>
      </c>
      <c r="D104" s="2" t="inlineStr">
        <is>
          <t>门客</t>
        </is>
      </c>
      <c r="E104" s="2" t="inlineStr">
        <is>
          <t>task_orchard_wraith</t>
        </is>
      </c>
      <c r="F104" s="2" t="n">
        <v>1</v>
      </c>
      <c r="G104" s="2" t="inlineStr">
        <is>
          <t>孤魂野鬼</t>
        </is>
      </c>
      <c r="H104" s="2" t="inlineStr">
        <is>
          <t>使用模板默认技能</t>
        </is>
      </c>
      <c r="I104" s="2" t="n">
        <v>3</v>
      </c>
      <c r="J104" s="2" t="n">
        <v>40</v>
      </c>
      <c r="K104" s="4" t="n">
        <v>0.06</v>
      </c>
      <c r="L104" s="2" t="inlineStr">
        <is>
          <t>data/mission_templates.yaml:L951:enemy_guests</t>
        </is>
      </c>
      <c r="M104" s="2" t="inlineStr">
        <is>
          <t>{"key":"task_orchard_wraith","label":"孤魂野鬼"}</t>
        </is>
      </c>
    </row>
    <row r="105">
      <c r="A105" s="2" t="inlineStr">
        <is>
          <t>simian_chuge</t>
        </is>
      </c>
      <c r="B105" s="2" t="inlineStr">
        <is>
          <t>四面楚歌</t>
        </is>
      </c>
      <c r="C105" s="2" t="inlineStr">
        <is>
          <t>个人任务</t>
        </is>
      </c>
      <c r="D105" s="2" t="inlineStr">
        <is>
          <t>门客</t>
        </is>
      </c>
      <c r="E105" s="2" t="inlineStr">
        <is>
          <t>task_simian_chuge_hanxin_boss</t>
        </is>
      </c>
      <c r="F105" s="2" t="n">
        <v>1</v>
      </c>
      <c r="G105" s="2" t="inlineStr">
        <is>
          <t>韩信</t>
        </is>
      </c>
      <c r="H105" s="2" t="inlineStr">
        <is>
          <t>奇策突袭</t>
        </is>
      </c>
      <c r="I105" s="2" t="n">
        <v>10</v>
      </c>
      <c r="J105" s="2" t="n">
        <v>100</v>
      </c>
      <c r="K105" s="4" t="n">
        <v>0.28</v>
      </c>
      <c r="L105" s="2" t="inlineStr">
        <is>
          <t>data/mission_templates.yaml:L1007:enemy_guests</t>
        </is>
      </c>
      <c r="M105" s="2" t="inlineStr">
        <is>
          <t>{"key":"task_simian_chuge_hanxin_boss","label":"韩信","skills":["stratagem_burst"]}</t>
        </is>
      </c>
    </row>
    <row r="106">
      <c r="A106" s="2" t="inlineStr">
        <is>
          <t>simian_chuge</t>
        </is>
      </c>
      <c r="B106" s="2" t="inlineStr">
        <is>
          <t>四面楚歌</t>
        </is>
      </c>
      <c r="C106" s="2" t="inlineStr">
        <is>
          <t>个人任务</t>
        </is>
      </c>
      <c r="D106" s="2" t="inlineStr">
        <is>
          <t>门客</t>
        </is>
      </c>
      <c r="E106" s="2" t="inlineStr">
        <is>
          <t>task_simian_chuge_pengyue_boss</t>
        </is>
      </c>
      <c r="F106" s="2" t="n">
        <v>1</v>
      </c>
      <c r="G106" s="2" t="inlineStr">
        <is>
          <t>彭越·垓下</t>
        </is>
      </c>
      <c r="H106" s="2" t="inlineStr">
        <is>
          <t>倾城一击</t>
        </is>
      </c>
      <c r="I106" s="2" t="n">
        <v>10</v>
      </c>
      <c r="J106" s="2" t="n">
        <v>100</v>
      </c>
      <c r="K106" s="4" t="n">
        <v>0.28</v>
      </c>
      <c r="L106" s="2" t="inlineStr">
        <is>
          <t>data/mission_templates.yaml:L1007:enemy_guests</t>
        </is>
      </c>
      <c r="M106" s="2" t="inlineStr">
        <is>
          <t>{"key":"task_simian_chuge_pengyue_boss","skills":["city_felling_strike"]}</t>
        </is>
      </c>
    </row>
    <row r="107">
      <c r="A107" s="2" t="inlineStr">
        <is>
          <t>simian_chuge</t>
        </is>
      </c>
      <c r="B107" s="2" t="inlineStr">
        <is>
          <t>四面楚歌</t>
        </is>
      </c>
      <c r="C107" s="2" t="inlineStr">
        <is>
          <t>个人任务</t>
        </is>
      </c>
      <c r="D107" s="2" t="inlineStr">
        <is>
          <t>门客</t>
        </is>
      </c>
      <c r="E107" s="2" t="inlineStr">
        <is>
          <t>task_simian_chuge_yingbu_boss</t>
        </is>
      </c>
      <c r="F107" s="2" t="n">
        <v>1</v>
      </c>
      <c r="G107" s="2" t="inlineStr">
        <is>
          <t>英布·垓下</t>
        </is>
      </c>
      <c r="H107" s="2" t="inlineStr">
        <is>
          <t>倾城一击</t>
        </is>
      </c>
      <c r="I107" s="2" t="n">
        <v>10</v>
      </c>
      <c r="J107" s="2" t="n">
        <v>100</v>
      </c>
      <c r="K107" s="4" t="n">
        <v>0.28</v>
      </c>
      <c r="L107" s="2" t="inlineStr">
        <is>
          <t>data/mission_templates.yaml:L1007:enemy_guests</t>
        </is>
      </c>
      <c r="M107" s="2" t="inlineStr">
        <is>
          <t>{"key":"task_simian_chuge_yingbu_boss","skills":["city_felling_strike"]}</t>
        </is>
      </c>
    </row>
    <row r="108">
      <c r="A108" s="2" t="inlineStr">
        <is>
          <t>simian_chuge</t>
        </is>
      </c>
      <c r="B108" s="2" t="inlineStr">
        <is>
          <t>四面楚歌</t>
        </is>
      </c>
      <c r="C108" s="2" t="inlineStr">
        <is>
          <t>个人任务</t>
        </is>
      </c>
      <c r="D108" s="2" t="inlineStr">
        <is>
          <t>护院</t>
        </is>
      </c>
      <c r="E108" s="2" t="inlineStr">
        <is>
          <t>dao_sheng</t>
        </is>
      </c>
      <c r="F108" s="2" t="n">
        <v>500</v>
      </c>
      <c r="G108" s="2" t="inlineStr">
        <is>
          <t>刀圣</t>
        </is>
      </c>
      <c r="H108" s="2" t="inlineStr"/>
      <c r="I108" s="2" t="n">
        <v>10</v>
      </c>
      <c r="J108" s="2" t="n"/>
      <c r="K108" s="4" t="n"/>
      <c r="L108" s="2" t="inlineStr">
        <is>
          <t>data/mission_templates.yaml:L1007:enemy_troops</t>
        </is>
      </c>
      <c r="M108" s="2" t="inlineStr">
        <is>
          <t>{"dao_sheng":500}</t>
        </is>
      </c>
    </row>
    <row r="109">
      <c r="A109" s="2" t="inlineStr">
        <is>
          <t>simian_chuge</t>
        </is>
      </c>
      <c r="B109" s="2" t="inlineStr">
        <is>
          <t>四面楚歌</t>
        </is>
      </c>
      <c r="C109" s="2" t="inlineStr">
        <is>
          <t>个人任务</t>
        </is>
      </c>
      <c r="D109" s="2" t="inlineStr">
        <is>
          <t>护院</t>
        </is>
      </c>
      <c r="E109" s="2" t="inlineStr">
        <is>
          <t>qiang_wang</t>
        </is>
      </c>
      <c r="F109" s="2" t="n">
        <v>500</v>
      </c>
      <c r="G109" s="2" t="inlineStr">
        <is>
          <t>枪王</t>
        </is>
      </c>
      <c r="H109" s="2" t="inlineStr"/>
      <c r="I109" s="2" t="n">
        <v>10</v>
      </c>
      <c r="J109" s="2" t="n"/>
      <c r="K109" s="4" t="n"/>
      <c r="L109" s="2" t="inlineStr">
        <is>
          <t>data/mission_templates.yaml:L1007:enemy_troops</t>
        </is>
      </c>
      <c r="M109" s="2" t="inlineStr">
        <is>
          <t>{"qiang_wang":500}</t>
        </is>
      </c>
    </row>
    <row r="110">
      <c r="A110" s="2" t="inlineStr">
        <is>
          <t>manzu_ruqin</t>
        </is>
      </c>
      <c r="B110" s="2" t="inlineStr">
        <is>
          <t>蛮族入侵</t>
        </is>
      </c>
      <c r="C110" s="2" t="inlineStr">
        <is>
          <t>个人任务</t>
        </is>
      </c>
      <c r="D110" s="2" t="inlineStr">
        <is>
          <t>门客</t>
        </is>
      </c>
      <c r="E110" s="2" t="inlineStr">
        <is>
          <t>task_barbarian_chanyu</t>
        </is>
      </c>
      <c r="F110" s="2" t="n">
        <v>1</v>
      </c>
      <c r="G110" s="2" t="inlineStr">
        <is>
          <t>单于</t>
        </is>
      </c>
      <c r="H110" s="2" t="inlineStr">
        <is>
          <t>使用模板默认技能</t>
        </is>
      </c>
      <c r="I110" s="2" t="n">
        <v>10</v>
      </c>
      <c r="J110" s="2" t="n">
        <v>100</v>
      </c>
      <c r="K110" s="4" t="n">
        <v>0.5</v>
      </c>
      <c r="L110" s="2" t="inlineStr">
        <is>
          <t>data/mission_templates.yaml:L1046:enemy_guests</t>
        </is>
      </c>
      <c r="M110" s="2" t="inlineStr">
        <is>
          <t>{"key":"task_barbarian_chanyu","label":"单于"}</t>
        </is>
      </c>
    </row>
    <row r="111">
      <c r="A111" s="2" t="inlineStr">
        <is>
          <t>manzu_ruqin</t>
        </is>
      </c>
      <c r="B111" s="2" t="inlineStr">
        <is>
          <t>蛮族入侵</t>
        </is>
      </c>
      <c r="C111" s="2" t="inlineStr">
        <is>
          <t>个人任务</t>
        </is>
      </c>
      <c r="D111" s="2" t="inlineStr">
        <is>
          <t>护院</t>
        </is>
      </c>
      <c r="E111" s="2" t="inlineStr">
        <is>
          <t>qiang_wang</t>
        </is>
      </c>
      <c r="F111" s="2" t="n">
        <v>1500</v>
      </c>
      <c r="G111" s="2" t="inlineStr">
        <is>
          <t>枪王</t>
        </is>
      </c>
      <c r="H111" s="2" t="inlineStr"/>
      <c r="I111" s="2" t="n">
        <v>10</v>
      </c>
      <c r="J111" s="2" t="n"/>
      <c r="K111" s="4" t="n"/>
      <c r="L111" s="2" t="inlineStr">
        <is>
          <t>data/mission_templates.yaml:L1046:enemy_troops</t>
        </is>
      </c>
      <c r="M111" s="2" t="inlineStr">
        <is>
          <t>{"qiang_wang":1500}</t>
        </is>
      </c>
    </row>
    <row r="112">
      <c r="A112" s="2" t="inlineStr">
        <is>
          <t>zhuiji_manzu</t>
        </is>
      </c>
      <c r="B112" s="2" t="inlineStr">
        <is>
          <t>追击蛮族</t>
        </is>
      </c>
      <c r="C112" s="2" t="inlineStr">
        <is>
          <t>个人任务</t>
        </is>
      </c>
      <c r="D112" s="2" t="inlineStr">
        <is>
          <t>门客</t>
        </is>
      </c>
      <c r="E112" s="2" t="inlineStr">
        <is>
          <t>task_barbarian_chanyu</t>
        </is>
      </c>
      <c r="F112" s="2" t="n">
        <v>1</v>
      </c>
      <c r="G112" s="2" t="inlineStr">
        <is>
          <t>单于</t>
        </is>
      </c>
      <c r="H112" s="2" t="inlineStr">
        <is>
          <t>使用模板默认技能</t>
        </is>
      </c>
      <c r="I112" s="2" t="n">
        <v>10</v>
      </c>
      <c r="J112" s="2" t="n">
        <v>100</v>
      </c>
      <c r="K112" s="4" t="n">
        <v>0.26</v>
      </c>
      <c r="L112" s="2" t="inlineStr">
        <is>
          <t>data/mission_templates.yaml:L1075:enemy_guests</t>
        </is>
      </c>
      <c r="M112" s="2" t="inlineStr">
        <is>
          <t>{"key":"task_barbarian_chanyu","label":"单于"}</t>
        </is>
      </c>
    </row>
    <row r="113">
      <c r="A113" s="2" t="inlineStr">
        <is>
          <t>zhuiji_manzu</t>
        </is>
      </c>
      <c r="B113" s="2" t="inlineStr">
        <is>
          <t>追击蛮族</t>
        </is>
      </c>
      <c r="C113" s="2" t="inlineStr">
        <is>
          <t>个人任务</t>
        </is>
      </c>
      <c r="D113" s="2" t="inlineStr">
        <is>
          <t>护院</t>
        </is>
      </c>
      <c r="E113" s="2" t="inlineStr">
        <is>
          <t>qiang_wang</t>
        </is>
      </c>
      <c r="F113" s="2" t="n">
        <v>1000</v>
      </c>
      <c r="G113" s="2" t="inlineStr">
        <is>
          <t>枪王</t>
        </is>
      </c>
      <c r="H113" s="2" t="inlineStr"/>
      <c r="I113" s="2" t="n">
        <v>10</v>
      </c>
      <c r="J113" s="2" t="n"/>
      <c r="K113" s="4" t="n"/>
      <c r="L113" s="2" t="inlineStr">
        <is>
          <t>data/mission_templates.yaml:L1075:enemy_troops</t>
        </is>
      </c>
      <c r="M113" s="2" t="inlineStr">
        <is>
          <t>{"qiang_wang":1000}</t>
        </is>
      </c>
    </row>
    <row r="114">
      <c r="A114" s="2" t="inlineStr">
        <is>
          <t>liangshanbo_zhuyingtai</t>
        </is>
      </c>
      <c r="B114" s="2" t="inlineStr">
        <is>
          <t>梁山伯与祝英台</t>
        </is>
      </c>
      <c r="C114" s="2" t="inlineStr">
        <is>
          <t>个人任务</t>
        </is>
      </c>
      <c r="D114" s="2" t="inlineStr">
        <is>
          <t>门客</t>
        </is>
      </c>
      <c r="E114" s="2" t="inlineStr">
        <is>
          <t>orig_ma_wencai</t>
        </is>
      </c>
      <c r="F114" s="2" t="n">
        <v>1</v>
      </c>
      <c r="G114" s="2" t="inlineStr">
        <is>
          <t>马文才</t>
        </is>
      </c>
      <c r="H114" s="2" t="inlineStr">
        <is>
          <t>奇策突袭</t>
        </is>
      </c>
      <c r="I114" s="2" t="n">
        <v>5</v>
      </c>
      <c r="J114" s="2" t="n">
        <v>60</v>
      </c>
      <c r="K114" s="4" t="n">
        <v>0.16</v>
      </c>
      <c r="L114" s="2" t="inlineStr">
        <is>
          <t>data/mission_templates.yaml:L1108:enemy_guests</t>
        </is>
      </c>
      <c r="M114" s="2" t="inlineStr">
        <is>
          <t>{"key":"orig_ma_wencai","label":"马文才","skills":["stratagem_burst"]}</t>
        </is>
      </c>
    </row>
    <row r="115">
      <c r="A115" s="2" t="inlineStr">
        <is>
          <t>liangshanbo_zhuyingtai</t>
        </is>
      </c>
      <c r="B115" s="2" t="inlineStr">
        <is>
          <t>梁山伯与祝英台</t>
        </is>
      </c>
      <c r="C115" s="2" t="inlineStr">
        <is>
          <t>个人任务</t>
        </is>
      </c>
      <c r="D115" s="2" t="inlineStr">
        <is>
          <t>护院</t>
        </is>
      </c>
      <c r="E115" s="2" t="inlineStr">
        <is>
          <t>qiang_wang</t>
        </is>
      </c>
      <c r="F115" s="2" t="n">
        <v>200</v>
      </c>
      <c r="G115" s="2" t="inlineStr">
        <is>
          <t>枪王</t>
        </is>
      </c>
      <c r="H115" s="2" t="inlineStr"/>
      <c r="I115" s="2" t="n">
        <v>5</v>
      </c>
      <c r="J115" s="2" t="n"/>
      <c r="K115" s="4" t="n"/>
      <c r="L115" s="2" t="inlineStr">
        <is>
          <t>data/mission_templates.yaml:L1108:enemy_troops</t>
        </is>
      </c>
      <c r="M115" s="2" t="inlineStr">
        <is>
          <t>{"qiang_wang":200}</t>
        </is>
      </c>
    </row>
    <row r="116">
      <c r="A116" s="2" t="inlineStr">
        <is>
          <t>liangshanbo_zhuyingtai</t>
        </is>
      </c>
      <c r="B116" s="2" t="inlineStr">
        <is>
          <t>梁山伯与祝英台</t>
        </is>
      </c>
      <c r="C116" s="2" t="inlineStr">
        <is>
          <t>个人任务</t>
        </is>
      </c>
      <c r="D116" s="2" t="inlineStr">
        <is>
          <t>护院</t>
        </is>
      </c>
      <c r="E116" s="2" t="inlineStr">
        <is>
          <t>arrow_god</t>
        </is>
      </c>
      <c r="F116" s="2" t="n">
        <v>200</v>
      </c>
      <c r="G116" s="2" t="inlineStr">
        <is>
          <t>箭神</t>
        </is>
      </c>
      <c r="H116" s="2" t="inlineStr"/>
      <c r="I116" s="2" t="n">
        <v>5</v>
      </c>
      <c r="J116" s="2" t="n"/>
      <c r="K116" s="4" t="n"/>
      <c r="L116" s="2" t="inlineStr">
        <is>
          <t>data/mission_templates.yaml:L1108:enemy_troops</t>
        </is>
      </c>
      <c r="M116" s="2" t="inlineStr">
        <is>
          <t>{"arrow_god":200}</t>
        </is>
      </c>
    </row>
    <row r="117">
      <c r="A117" s="2" t="inlineStr">
        <is>
          <t>liangshanbo_zhuyingtai</t>
        </is>
      </c>
      <c r="B117" s="2" t="inlineStr">
        <is>
          <t>梁山伯与祝英台</t>
        </is>
      </c>
      <c r="C117" s="2" t="inlineStr">
        <is>
          <t>个人任务</t>
        </is>
      </c>
      <c r="D117" s="2" t="inlineStr">
        <is>
          <t>护院</t>
        </is>
      </c>
      <c r="E117" s="2" t="inlineStr">
        <is>
          <t>dao_sheng</t>
        </is>
      </c>
      <c r="F117" s="2" t="n">
        <v>200</v>
      </c>
      <c r="G117" s="2" t="inlineStr">
        <is>
          <t>刀圣</t>
        </is>
      </c>
      <c r="H117" s="2" t="inlineStr"/>
      <c r="I117" s="2" t="n">
        <v>5</v>
      </c>
      <c r="J117" s="2" t="n"/>
      <c r="K117" s="4" t="n"/>
      <c r="L117" s="2" t="inlineStr">
        <is>
          <t>data/mission_templates.yaml:L1108:enemy_troops</t>
        </is>
      </c>
      <c r="M117" s="2" t="inlineStr">
        <is>
          <t>{"dao_sheng":200}</t>
        </is>
      </c>
    </row>
    <row r="118">
      <c r="A118" s="2" t="inlineStr">
        <is>
          <t>biyou_candeng</t>
        </is>
      </c>
      <c r="B118" s="2" t="inlineStr">
        <is>
          <t>封神之战：碧游残灯</t>
        </is>
      </c>
      <c r="C118" s="2" t="inlineStr">
        <is>
          <t>个人任务</t>
        </is>
      </c>
      <c r="D118" s="2" t="inlineStr">
        <is>
          <t>门客</t>
        </is>
      </c>
      <c r="E118" s="2" t="inlineStr">
        <is>
          <t>task_wanxian_nangong_lie</t>
        </is>
      </c>
      <c r="F118" s="2" t="n">
        <v>1</v>
      </c>
      <c r="G118" s="2" t="inlineStr">
        <is>
          <t>南宫烈</t>
        </is>
      </c>
      <c r="H118" s="2" t="inlineStr">
        <is>
          <t>使用模板默认技能</t>
        </is>
      </c>
      <c r="I118" s="2" t="n">
        <v>10</v>
      </c>
      <c r="J118" s="2" t="n">
        <v>88</v>
      </c>
      <c r="K118" s="4" t="n">
        <v>0.34</v>
      </c>
      <c r="L118" s="2" t="inlineStr">
        <is>
          <t>data/mission_templates.yaml:L1158:enemy_guests</t>
        </is>
      </c>
      <c r="M118" s="2" t="inlineStr">
        <is>
          <t>"task_wanxian_nangong_lie"</t>
        </is>
      </c>
    </row>
    <row r="119">
      <c r="A119" s="2" t="inlineStr">
        <is>
          <t>biyou_candeng</t>
        </is>
      </c>
      <c r="B119" s="2" t="inlineStr">
        <is>
          <t>封神之战：碧游残灯</t>
        </is>
      </c>
      <c r="C119" s="2" t="inlineStr">
        <is>
          <t>个人任务</t>
        </is>
      </c>
      <c r="D119" s="2" t="inlineStr">
        <is>
          <t>门客</t>
        </is>
      </c>
      <c r="E119" s="2" t="inlineStr">
        <is>
          <t>task_wanxian_lu_xuanqing</t>
        </is>
      </c>
      <c r="F119" s="2" t="n">
        <v>1</v>
      </c>
      <c r="G119" s="2" t="inlineStr">
        <is>
          <t>陆玄清</t>
        </is>
      </c>
      <c r="H119" s="2" t="inlineStr">
        <is>
          <t>使用模板默认技能</t>
        </is>
      </c>
      <c r="I119" s="2" t="n">
        <v>10</v>
      </c>
      <c r="J119" s="2" t="n">
        <v>88</v>
      </c>
      <c r="K119" s="4" t="n">
        <v>0.34</v>
      </c>
      <c r="L119" s="2" t="inlineStr">
        <is>
          <t>data/mission_templates.yaml:L1158:enemy_guests</t>
        </is>
      </c>
      <c r="M119" s="2" t="inlineStr">
        <is>
          <t>"task_wanxian_lu_xuanqing"</t>
        </is>
      </c>
    </row>
    <row r="120">
      <c r="A120" s="2" t="inlineStr">
        <is>
          <t>biyou_candeng</t>
        </is>
      </c>
      <c r="B120" s="2" t="inlineStr">
        <is>
          <t>封神之战：碧游残灯</t>
        </is>
      </c>
      <c r="C120" s="2" t="inlineStr">
        <is>
          <t>个人任务</t>
        </is>
      </c>
      <c r="D120" s="2" t="inlineStr">
        <is>
          <t>门客</t>
        </is>
      </c>
      <c r="E120" s="2" t="inlineStr">
        <is>
          <t>task_wanxian_baihe_fushi</t>
        </is>
      </c>
      <c r="F120" s="2" t="n">
        <v>1</v>
      </c>
      <c r="G120" s="2" t="inlineStr">
        <is>
          <t>白鹤符使</t>
        </is>
      </c>
      <c r="H120" s="2" t="inlineStr">
        <is>
          <t>使用模板默认技能</t>
        </is>
      </c>
      <c r="I120" s="2" t="n">
        <v>10</v>
      </c>
      <c r="J120" s="2" t="n">
        <v>88</v>
      </c>
      <c r="K120" s="4" t="n">
        <v>0.34</v>
      </c>
      <c r="L120" s="2" t="inlineStr">
        <is>
          <t>data/mission_templates.yaml:L1158:enemy_guests</t>
        </is>
      </c>
      <c r="M120" s="2" t="inlineStr">
        <is>
          <t>"task_wanxian_baihe_fushi"</t>
        </is>
      </c>
    </row>
    <row r="121">
      <c r="A121" s="2" t="inlineStr">
        <is>
          <t>biyou_candeng</t>
        </is>
      </c>
      <c r="B121" s="2" t="inlineStr">
        <is>
          <t>封神之战：碧游残灯</t>
        </is>
      </c>
      <c r="C121" s="2" t="inlineStr">
        <is>
          <t>个人任务</t>
        </is>
      </c>
      <c r="D121" s="2" t="inlineStr">
        <is>
          <t>门客</t>
        </is>
      </c>
      <c r="E121" s="2" t="inlineStr">
        <is>
          <t>task_wanxian_zhuxian_canfeng</t>
        </is>
      </c>
      <c r="F121" s="2" t="n">
        <v>1</v>
      </c>
      <c r="G121" s="2" t="inlineStr">
        <is>
          <t>诛仙残锋</t>
        </is>
      </c>
      <c r="H121" s="2" t="inlineStr">
        <is>
          <t>使用模板默认技能</t>
        </is>
      </c>
      <c r="I121" s="2" t="n">
        <v>10</v>
      </c>
      <c r="J121" s="2" t="n">
        <v>88</v>
      </c>
      <c r="K121" s="4" t="n">
        <v>0.34</v>
      </c>
      <c r="L121" s="2" t="inlineStr">
        <is>
          <t>data/mission_templates.yaml:L1158:enemy_guests</t>
        </is>
      </c>
      <c r="M121" s="2" t="inlineStr">
        <is>
          <t>"task_wanxian_zhuxian_canfeng"</t>
        </is>
      </c>
    </row>
    <row r="122">
      <c r="A122" s="2" t="inlineStr">
        <is>
          <t>biyou_candeng</t>
        </is>
      </c>
      <c r="B122" s="2" t="inlineStr">
        <is>
          <t>封神之战：碧游残灯</t>
        </is>
      </c>
      <c r="C122" s="2" t="inlineStr">
        <is>
          <t>个人任务</t>
        </is>
      </c>
      <c r="D122" s="2" t="inlineStr">
        <is>
          <t>门客</t>
        </is>
      </c>
      <c r="E122" s="2" t="inlineStr">
        <is>
          <t>task_wanxian_yuzhu</t>
        </is>
      </c>
      <c r="F122" s="2" t="n">
        <v>1</v>
      </c>
      <c r="G122" s="2" t="inlineStr">
        <is>
          <t>余烛</t>
        </is>
      </c>
      <c r="H122" s="2" t="inlineStr">
        <is>
          <t>使用模板默认技能</t>
        </is>
      </c>
      <c r="I122" s="2" t="n">
        <v>10</v>
      </c>
      <c r="J122" s="2" t="n">
        <v>88</v>
      </c>
      <c r="K122" s="4" t="n">
        <v>0.34</v>
      </c>
      <c r="L122" s="2" t="inlineStr">
        <is>
          <t>data/mission_templates.yaml:L1158:enemy_guests</t>
        </is>
      </c>
      <c r="M122" s="2" t="inlineStr">
        <is>
          <t>"task_wanxian_yuzhu"</t>
        </is>
      </c>
    </row>
    <row r="123">
      <c r="A123" s="2" t="inlineStr">
        <is>
          <t>biyou_candeng</t>
        </is>
      </c>
      <c r="B123" s="2" t="inlineStr">
        <is>
          <t>封神之战：碧游残灯</t>
        </is>
      </c>
      <c r="C123" s="2" t="inlineStr">
        <is>
          <t>个人任务</t>
        </is>
      </c>
      <c r="D123" s="2" t="inlineStr">
        <is>
          <t>门客</t>
        </is>
      </c>
      <c r="E123" s="2" t="inlineStr">
        <is>
          <t>task_wanxian_qingsuan_fuzhao</t>
        </is>
      </c>
      <c r="F123" s="2" t="n">
        <v>1</v>
      </c>
      <c r="G123" s="2" t="inlineStr">
        <is>
          <t>清算符诏</t>
        </is>
      </c>
      <c r="H123" s="2" t="inlineStr">
        <is>
          <t>使用模板默认技能</t>
        </is>
      </c>
      <c r="I123" s="2" t="n">
        <v>10</v>
      </c>
      <c r="J123" s="2" t="n">
        <v>88</v>
      </c>
      <c r="K123" s="4" t="n">
        <v>0.34</v>
      </c>
      <c r="L123" s="2" t="inlineStr">
        <is>
          <t>data/mission_templates.yaml:L1158:enemy_guests</t>
        </is>
      </c>
      <c r="M123" s="2" t="inlineStr">
        <is>
          <t>"task_wanxian_qingsuan_fuzhao"</t>
        </is>
      </c>
    </row>
    <row r="124">
      <c r="A124" s="2" t="inlineStr">
        <is>
          <t>biyou_candeng</t>
        </is>
      </c>
      <c r="B124" s="2" t="inlineStr">
        <is>
          <t>封神之战：碧游残灯</t>
        </is>
      </c>
      <c r="C124" s="2" t="inlineStr">
        <is>
          <t>个人任务</t>
        </is>
      </c>
      <c r="D124" s="2" t="inlineStr">
        <is>
          <t>护院</t>
        </is>
      </c>
      <c r="E124" s="2" t="inlineStr">
        <is>
          <t>dao_sheng</t>
        </is>
      </c>
      <c r="F124" s="2" t="n">
        <v>700</v>
      </c>
      <c r="G124" s="2" t="inlineStr">
        <is>
          <t>刀圣</t>
        </is>
      </c>
      <c r="H124" s="2" t="inlineStr"/>
      <c r="I124" s="2" t="n">
        <v>10</v>
      </c>
      <c r="J124" s="2" t="n"/>
      <c r="K124" s="4" t="n"/>
      <c r="L124" s="2" t="inlineStr">
        <is>
          <t>data/mission_templates.yaml:L1158:enemy_troops</t>
        </is>
      </c>
      <c r="M124" s="2" t="inlineStr">
        <is>
          <t>{"dao_sheng":700}</t>
        </is>
      </c>
    </row>
    <row r="125">
      <c r="A125" s="2" t="inlineStr">
        <is>
          <t>biyou_candeng</t>
        </is>
      </c>
      <c r="B125" s="2" t="inlineStr">
        <is>
          <t>封神之战：碧游残灯</t>
        </is>
      </c>
      <c r="C125" s="2" t="inlineStr">
        <is>
          <t>个人任务</t>
        </is>
      </c>
      <c r="D125" s="2" t="inlineStr">
        <is>
          <t>护院</t>
        </is>
      </c>
      <c r="E125" s="2" t="inlineStr">
        <is>
          <t>qiang_wang</t>
        </is>
      </c>
      <c r="F125" s="2" t="n">
        <v>650</v>
      </c>
      <c r="G125" s="2" t="inlineStr">
        <is>
          <t>枪王</t>
        </is>
      </c>
      <c r="H125" s="2" t="inlineStr"/>
      <c r="I125" s="2" t="n">
        <v>10</v>
      </c>
      <c r="J125" s="2" t="n"/>
      <c r="K125" s="4" t="n"/>
      <c r="L125" s="2" t="inlineStr">
        <is>
          <t>data/mission_templates.yaml:L1158:enemy_troops</t>
        </is>
      </c>
      <c r="M125" s="2" t="inlineStr">
        <is>
          <t>{"qiang_wang":650}</t>
        </is>
      </c>
    </row>
    <row r="126">
      <c r="A126" s="2" t="inlineStr">
        <is>
          <t>biyou_candeng</t>
        </is>
      </c>
      <c r="B126" s="2" t="inlineStr">
        <is>
          <t>封神之战：碧游残灯</t>
        </is>
      </c>
      <c r="C126" s="2" t="inlineStr">
        <is>
          <t>个人任务</t>
        </is>
      </c>
      <c r="D126" s="2" t="inlineStr">
        <is>
          <t>护院</t>
        </is>
      </c>
      <c r="E126" s="2" t="inlineStr">
        <is>
          <t>arrow_god</t>
        </is>
      </c>
      <c r="F126" s="2" t="n">
        <v>500</v>
      </c>
      <c r="G126" s="2" t="inlineStr">
        <is>
          <t>箭神</t>
        </is>
      </c>
      <c r="H126" s="2" t="inlineStr"/>
      <c r="I126" s="2" t="n">
        <v>10</v>
      </c>
      <c r="J126" s="2" t="n"/>
      <c r="K126" s="4" t="n"/>
      <c r="L126" s="2" t="inlineStr">
        <is>
          <t>data/mission_templates.yaml:L1158:enemy_troops</t>
        </is>
      </c>
      <c r="M126" s="2" t="inlineStr">
        <is>
          <t>{"arrow_god":500}</t>
        </is>
      </c>
    </row>
    <row r="127">
      <c r="A127" s="2" t="inlineStr">
        <is>
          <t>shier_xianyin</t>
        </is>
      </c>
      <c r="B127" s="2" t="inlineStr">
        <is>
          <t>封神之战：十二仙印</t>
        </is>
      </c>
      <c r="C127" s="2" t="inlineStr">
        <is>
          <t>个人任务</t>
        </is>
      </c>
      <c r="D127" s="2" t="inlineStr">
        <is>
          <t>门客</t>
        </is>
      </c>
      <c r="E127" s="2" t="inlineStr">
        <is>
          <t>task_wanxian_nezha</t>
        </is>
      </c>
      <c r="F127" s="2" t="n">
        <v>1</v>
      </c>
      <c r="G127" s="2" t="inlineStr">
        <is>
          <t>哪吒</t>
        </is>
      </c>
      <c r="H127" s="2" t="inlineStr">
        <is>
          <t>使用模板默认技能</t>
        </is>
      </c>
      <c r="I127" s="2" t="n">
        <v>10</v>
      </c>
      <c r="J127" s="2" t="n">
        <v>94</v>
      </c>
      <c r="K127" s="4" t="n">
        <v>0.46</v>
      </c>
      <c r="L127" s="2" t="inlineStr">
        <is>
          <t>data/mission_templates.yaml:L1212:enemy_guests</t>
        </is>
      </c>
      <c r="M127" s="2" t="inlineStr">
        <is>
          <t>"task_wanxian_nezha"</t>
        </is>
      </c>
    </row>
    <row r="128">
      <c r="A128" s="2" t="inlineStr">
        <is>
          <t>shier_xianyin</t>
        </is>
      </c>
      <c r="B128" s="2" t="inlineStr">
        <is>
          <t>封神之战：十二仙印</t>
        </is>
      </c>
      <c r="C128" s="2" t="inlineStr">
        <is>
          <t>个人任务</t>
        </is>
      </c>
      <c r="D128" s="2" t="inlineStr">
        <is>
          <t>门客</t>
        </is>
      </c>
      <c r="E128" s="2" t="inlineStr">
        <is>
          <t>task_wanxian_yangjian</t>
        </is>
      </c>
      <c r="F128" s="2" t="n">
        <v>1</v>
      </c>
      <c r="G128" s="2" t="inlineStr">
        <is>
          <t>杨戬</t>
        </is>
      </c>
      <c r="H128" s="2" t="inlineStr">
        <is>
          <t>使用模板默认技能</t>
        </is>
      </c>
      <c r="I128" s="2" t="n">
        <v>10</v>
      </c>
      <c r="J128" s="2" t="n">
        <v>94</v>
      </c>
      <c r="K128" s="4" t="n">
        <v>0.46</v>
      </c>
      <c r="L128" s="2" t="inlineStr">
        <is>
          <t>data/mission_templates.yaml:L1212:enemy_guests</t>
        </is>
      </c>
      <c r="M128" s="2" t="inlineStr">
        <is>
          <t>"task_wanxian_yangjian"</t>
        </is>
      </c>
    </row>
    <row r="129">
      <c r="A129" s="2" t="inlineStr">
        <is>
          <t>shier_xianyin</t>
        </is>
      </c>
      <c r="B129" s="2" t="inlineStr">
        <is>
          <t>封神之战：十二仙印</t>
        </is>
      </c>
      <c r="C129" s="2" t="inlineStr">
        <is>
          <t>个人任务</t>
        </is>
      </c>
      <c r="D129" s="2" t="inlineStr">
        <is>
          <t>门客</t>
        </is>
      </c>
      <c r="E129" s="2" t="inlineStr">
        <is>
          <t>task_wanxian_taiyi</t>
        </is>
      </c>
      <c r="F129" s="2" t="n">
        <v>1</v>
      </c>
      <c r="G129" s="2" t="inlineStr">
        <is>
          <t>太乙</t>
        </is>
      </c>
      <c r="H129" s="2" t="inlineStr">
        <is>
          <t>使用模板默认技能</t>
        </is>
      </c>
      <c r="I129" s="2" t="n">
        <v>10</v>
      </c>
      <c r="J129" s="2" t="n">
        <v>94</v>
      </c>
      <c r="K129" s="4" t="n">
        <v>0.46</v>
      </c>
      <c r="L129" s="2" t="inlineStr">
        <is>
          <t>data/mission_templates.yaml:L1212:enemy_guests</t>
        </is>
      </c>
      <c r="M129" s="2" t="inlineStr">
        <is>
          <t>"task_wanxian_taiyi"</t>
        </is>
      </c>
    </row>
    <row r="130">
      <c r="A130" s="2" t="inlineStr">
        <is>
          <t>shier_xianyin</t>
        </is>
      </c>
      <c r="B130" s="2" t="inlineStr">
        <is>
          <t>封神之战：十二仙印</t>
        </is>
      </c>
      <c r="C130" s="2" t="inlineStr">
        <is>
          <t>个人任务</t>
        </is>
      </c>
      <c r="D130" s="2" t="inlineStr">
        <is>
          <t>门客</t>
        </is>
      </c>
      <c r="E130" s="2" t="inlineStr">
        <is>
          <t>task_wanxian_guangchengzi</t>
        </is>
      </c>
      <c r="F130" s="2" t="n">
        <v>1</v>
      </c>
      <c r="G130" s="2" t="inlineStr">
        <is>
          <t>广成子</t>
        </is>
      </c>
      <c r="H130" s="2" t="inlineStr">
        <is>
          <t>使用模板默认技能</t>
        </is>
      </c>
      <c r="I130" s="2" t="n">
        <v>10</v>
      </c>
      <c r="J130" s="2" t="n">
        <v>94</v>
      </c>
      <c r="K130" s="4" t="n">
        <v>0.46</v>
      </c>
      <c r="L130" s="2" t="inlineStr">
        <is>
          <t>data/mission_templates.yaml:L1212:enemy_guests</t>
        </is>
      </c>
      <c r="M130" s="2" t="inlineStr">
        <is>
          <t>"task_wanxian_guangchengzi"</t>
        </is>
      </c>
    </row>
    <row r="131">
      <c r="A131" s="2" t="inlineStr">
        <is>
          <t>shier_xianyin</t>
        </is>
      </c>
      <c r="B131" s="2" t="inlineStr">
        <is>
          <t>封神之战：十二仙印</t>
        </is>
      </c>
      <c r="C131" s="2" t="inlineStr">
        <is>
          <t>个人任务</t>
        </is>
      </c>
      <c r="D131" s="2" t="inlineStr">
        <is>
          <t>门客</t>
        </is>
      </c>
      <c r="E131" s="2" t="inlineStr">
        <is>
          <t>task_wanxian_chijingzi</t>
        </is>
      </c>
      <c r="F131" s="2" t="n">
        <v>1</v>
      </c>
      <c r="G131" s="2" t="inlineStr">
        <is>
          <t>赤精子</t>
        </is>
      </c>
      <c r="H131" s="2" t="inlineStr">
        <is>
          <t>使用模板默认技能</t>
        </is>
      </c>
      <c r="I131" s="2" t="n">
        <v>10</v>
      </c>
      <c r="J131" s="2" t="n">
        <v>94</v>
      </c>
      <c r="K131" s="4" t="n">
        <v>0.46</v>
      </c>
      <c r="L131" s="2" t="inlineStr">
        <is>
          <t>data/mission_templates.yaml:L1212:enemy_guests</t>
        </is>
      </c>
      <c r="M131" s="2" t="inlineStr">
        <is>
          <t>"task_wanxian_chijingzi"</t>
        </is>
      </c>
    </row>
    <row r="132">
      <c r="A132" s="2" t="inlineStr">
        <is>
          <t>shier_xianyin</t>
        </is>
      </c>
      <c r="B132" s="2" t="inlineStr">
        <is>
          <t>封神之战：十二仙印</t>
        </is>
      </c>
      <c r="C132" s="2" t="inlineStr">
        <is>
          <t>个人任务</t>
        </is>
      </c>
      <c r="D132" s="2" t="inlineStr">
        <is>
          <t>门客</t>
        </is>
      </c>
      <c r="E132" s="2" t="inlineStr">
        <is>
          <t>task_wanxian_cihang</t>
        </is>
      </c>
      <c r="F132" s="2" t="n">
        <v>1</v>
      </c>
      <c r="G132" s="2" t="inlineStr">
        <is>
          <t>慈航</t>
        </is>
      </c>
      <c r="H132" s="2" t="inlineStr">
        <is>
          <t>使用模板默认技能</t>
        </is>
      </c>
      <c r="I132" s="2" t="n">
        <v>10</v>
      </c>
      <c r="J132" s="2" t="n">
        <v>94</v>
      </c>
      <c r="K132" s="4" t="n">
        <v>0.46</v>
      </c>
      <c r="L132" s="2" t="inlineStr">
        <is>
          <t>data/mission_templates.yaml:L1212:enemy_guests</t>
        </is>
      </c>
      <c r="M132" s="2" t="inlineStr">
        <is>
          <t>"task_wanxian_cihang"</t>
        </is>
      </c>
    </row>
    <row r="133">
      <c r="A133" s="2" t="inlineStr">
        <is>
          <t>shier_xianyin</t>
        </is>
      </c>
      <c r="B133" s="2" t="inlineStr">
        <is>
          <t>封神之战：十二仙印</t>
        </is>
      </c>
      <c r="C133" s="2" t="inlineStr">
        <is>
          <t>个人任务</t>
        </is>
      </c>
      <c r="D133" s="2" t="inlineStr">
        <is>
          <t>门客</t>
        </is>
      </c>
      <c r="E133" s="2" t="inlineStr">
        <is>
          <t>task_wanxian_juliusun</t>
        </is>
      </c>
      <c r="F133" s="2" t="n">
        <v>1</v>
      </c>
      <c r="G133" s="2" t="inlineStr">
        <is>
          <t>惧留孙</t>
        </is>
      </c>
      <c r="H133" s="2" t="inlineStr">
        <is>
          <t>使用模板默认技能</t>
        </is>
      </c>
      <c r="I133" s="2" t="n">
        <v>10</v>
      </c>
      <c r="J133" s="2" t="n">
        <v>94</v>
      </c>
      <c r="K133" s="4" t="n">
        <v>0.46</v>
      </c>
      <c r="L133" s="2" t="inlineStr">
        <is>
          <t>data/mission_templates.yaml:L1212:enemy_guests</t>
        </is>
      </c>
      <c r="M133" s="2" t="inlineStr">
        <is>
          <t>"task_wanxian_juliusun"</t>
        </is>
      </c>
    </row>
    <row r="134">
      <c r="A134" s="2" t="inlineStr">
        <is>
          <t>shier_xianyin</t>
        </is>
      </c>
      <c r="B134" s="2" t="inlineStr">
        <is>
          <t>封神之战：十二仙印</t>
        </is>
      </c>
      <c r="C134" s="2" t="inlineStr">
        <is>
          <t>个人任务</t>
        </is>
      </c>
      <c r="D134" s="2" t="inlineStr">
        <is>
          <t>门客</t>
        </is>
      </c>
      <c r="E134" s="2" t="inlineStr">
        <is>
          <t>task_wanxian_shier_xianyin</t>
        </is>
      </c>
      <c r="F134" s="2" t="n">
        <v>1</v>
      </c>
      <c r="G134" s="2" t="inlineStr">
        <is>
          <t>十二仙印</t>
        </is>
      </c>
      <c r="H134" s="2" t="inlineStr">
        <is>
          <t>使用模板默认技能</t>
        </is>
      </c>
      <c r="I134" s="2" t="n">
        <v>10</v>
      </c>
      <c r="J134" s="2" t="n">
        <v>94</v>
      </c>
      <c r="K134" s="4" t="n">
        <v>0.46</v>
      </c>
      <c r="L134" s="2" t="inlineStr">
        <is>
          <t>data/mission_templates.yaml:L1212:enemy_guests</t>
        </is>
      </c>
      <c r="M134" s="2" t="inlineStr">
        <is>
          <t>"task_wanxian_shier_xianyin"</t>
        </is>
      </c>
    </row>
    <row r="135">
      <c r="A135" s="2" t="inlineStr">
        <is>
          <t>shier_xianyin</t>
        </is>
      </c>
      <c r="B135" s="2" t="inlineStr">
        <is>
          <t>封神之战：十二仙印</t>
        </is>
      </c>
      <c r="C135" s="2" t="inlineStr">
        <is>
          <t>个人任务</t>
        </is>
      </c>
      <c r="D135" s="2" t="inlineStr">
        <is>
          <t>护院</t>
        </is>
      </c>
      <c r="E135" s="2" t="inlineStr">
        <is>
          <t>jian_sheng</t>
        </is>
      </c>
      <c r="F135" s="2" t="n">
        <v>850</v>
      </c>
      <c r="G135" s="2" t="inlineStr">
        <is>
          <t>剑圣</t>
        </is>
      </c>
      <c r="H135" s="2" t="inlineStr"/>
      <c r="I135" s="2" t="n">
        <v>10</v>
      </c>
      <c r="J135" s="2" t="n"/>
      <c r="K135" s="4" t="n"/>
      <c r="L135" s="2" t="inlineStr">
        <is>
          <t>data/mission_templates.yaml:L1212:enemy_troops</t>
        </is>
      </c>
      <c r="M135" s="2" t="inlineStr">
        <is>
          <t>{"jian_sheng":850}</t>
        </is>
      </c>
    </row>
    <row r="136">
      <c r="A136" s="2" t="inlineStr">
        <is>
          <t>shier_xianyin</t>
        </is>
      </c>
      <c r="B136" s="2" t="inlineStr">
        <is>
          <t>封神之战：十二仙印</t>
        </is>
      </c>
      <c r="C136" s="2" t="inlineStr">
        <is>
          <t>个人任务</t>
        </is>
      </c>
      <c r="D136" s="2" t="inlineStr">
        <is>
          <t>护院</t>
        </is>
      </c>
      <c r="E136" s="2" t="inlineStr">
        <is>
          <t>arrow_god</t>
        </is>
      </c>
      <c r="F136" s="2" t="n">
        <v>800</v>
      </c>
      <c r="G136" s="2" t="inlineStr">
        <is>
          <t>箭神</t>
        </is>
      </c>
      <c r="H136" s="2" t="inlineStr"/>
      <c r="I136" s="2" t="n">
        <v>10</v>
      </c>
      <c r="J136" s="2" t="n"/>
      <c r="K136" s="4" t="n"/>
      <c r="L136" s="2" t="inlineStr">
        <is>
          <t>data/mission_templates.yaml:L1212:enemy_troops</t>
        </is>
      </c>
      <c r="M136" s="2" t="inlineStr">
        <is>
          <t>{"arrow_god":800}</t>
        </is>
      </c>
    </row>
    <row r="137">
      <c r="A137" s="2" t="inlineStr">
        <is>
          <t>shier_xianyin</t>
        </is>
      </c>
      <c r="B137" s="2" t="inlineStr">
        <is>
          <t>封神之战：十二仙印</t>
        </is>
      </c>
      <c r="C137" s="2" t="inlineStr">
        <is>
          <t>个人任务</t>
        </is>
      </c>
      <c r="D137" s="2" t="inlineStr">
        <is>
          <t>护院</t>
        </is>
      </c>
      <c r="E137" s="2" t="inlineStr">
        <is>
          <t>qiang_wang</t>
        </is>
      </c>
      <c r="F137" s="2" t="n">
        <v>750</v>
      </c>
      <c r="G137" s="2" t="inlineStr">
        <is>
          <t>枪王</t>
        </is>
      </c>
      <c r="H137" s="2" t="inlineStr"/>
      <c r="I137" s="2" t="n">
        <v>10</v>
      </c>
      <c r="J137" s="2" t="n"/>
      <c r="K137" s="4" t="n"/>
      <c r="L137" s="2" t="inlineStr">
        <is>
          <t>data/mission_templates.yaml:L1212:enemy_troops</t>
        </is>
      </c>
      <c r="M137" s="2" t="inlineStr">
        <is>
          <t>{"qiang_wang":750}</t>
        </is>
      </c>
    </row>
    <row r="138">
      <c r="A138" s="2" t="inlineStr">
        <is>
          <t>shier_xianyin</t>
        </is>
      </c>
      <c r="B138" s="2" t="inlineStr">
        <is>
          <t>封神之战：十二仙印</t>
        </is>
      </c>
      <c r="C138" s="2" t="inlineStr">
        <is>
          <t>个人任务</t>
        </is>
      </c>
      <c r="D138" s="2" t="inlineStr">
        <is>
          <t>护院</t>
        </is>
      </c>
      <c r="E138" s="2" t="inlineStr">
        <is>
          <t>quan_sheng</t>
        </is>
      </c>
      <c r="F138" s="2" t="n">
        <v>500</v>
      </c>
      <c r="G138" s="2" t="inlineStr">
        <is>
          <t>拳圣</t>
        </is>
      </c>
      <c r="H138" s="2" t="inlineStr"/>
      <c r="I138" s="2" t="n">
        <v>10</v>
      </c>
      <c r="J138" s="2" t="n"/>
      <c r="K138" s="4" t="n"/>
      <c r="L138" s="2" t="inlineStr">
        <is>
          <t>data/mission_templates.yaml:L1212:enemy_troops</t>
        </is>
      </c>
      <c r="M138" s="2" t="inlineStr">
        <is>
          <t>{"quan_sheng":500}</t>
        </is>
      </c>
    </row>
    <row r="139">
      <c r="A139" s="2" t="inlineStr">
        <is>
          <t>fengbang_tianmen</t>
        </is>
      </c>
      <c r="B139" s="2" t="inlineStr">
        <is>
          <t>封神之战：封榜天门</t>
        </is>
      </c>
      <c r="C139" s="2" t="inlineStr">
        <is>
          <t>个人任务</t>
        </is>
      </c>
      <c r="D139" s="2" t="inlineStr">
        <is>
          <t>门客</t>
        </is>
      </c>
      <c r="E139" s="2" t="inlineStr">
        <is>
          <t>task_wanxian_randeng</t>
        </is>
      </c>
      <c r="F139" s="2" t="n">
        <v>1</v>
      </c>
      <c r="G139" s="2" t="inlineStr">
        <is>
          <t>燃灯</t>
        </is>
      </c>
      <c r="H139" s="2" t="inlineStr">
        <is>
          <t>使用模板默认技能</t>
        </is>
      </c>
      <c r="I139" s="2" t="n">
        <v>10</v>
      </c>
      <c r="J139" s="2" t="n">
        <v>100</v>
      </c>
      <c r="K139" s="4" t="n">
        <v>0.62</v>
      </c>
      <c r="L139" s="2" t="inlineStr">
        <is>
          <t>data/mission_templates.yaml:L1259:enemy_guests</t>
        </is>
      </c>
      <c r="M139" s="2" t="inlineStr">
        <is>
          <t>"task_wanxian_randeng"</t>
        </is>
      </c>
    </row>
    <row r="140">
      <c r="A140" s="2" t="inlineStr">
        <is>
          <t>fengbang_tianmen</t>
        </is>
      </c>
      <c r="B140" s="2" t="inlineStr">
        <is>
          <t>封神之战：封榜天门</t>
        </is>
      </c>
      <c r="C140" s="2" t="inlineStr">
        <is>
          <t>个人任务</t>
        </is>
      </c>
      <c r="D140" s="2" t="inlineStr">
        <is>
          <t>门客</t>
        </is>
      </c>
      <c r="E140" s="2" t="inlineStr">
        <is>
          <t>task_wanxian_nanji_xianweng</t>
        </is>
      </c>
      <c r="F140" s="2" t="n">
        <v>1</v>
      </c>
      <c r="G140" s="2" t="inlineStr">
        <is>
          <t>南极仙翁</t>
        </is>
      </c>
      <c r="H140" s="2" t="inlineStr">
        <is>
          <t>使用模板默认技能</t>
        </is>
      </c>
      <c r="I140" s="2" t="n">
        <v>10</v>
      </c>
      <c r="J140" s="2" t="n">
        <v>100</v>
      </c>
      <c r="K140" s="4" t="n">
        <v>0.62</v>
      </c>
      <c r="L140" s="2" t="inlineStr">
        <is>
          <t>data/mission_templates.yaml:L1259:enemy_guests</t>
        </is>
      </c>
      <c r="M140" s="2" t="inlineStr">
        <is>
          <t>"task_wanxian_nanji_xianweng"</t>
        </is>
      </c>
    </row>
    <row r="141">
      <c r="A141" s="2" t="inlineStr">
        <is>
          <t>fengbang_tianmen</t>
        </is>
      </c>
      <c r="B141" s="2" t="inlineStr">
        <is>
          <t>封神之战：封榜天门</t>
        </is>
      </c>
      <c r="C141" s="2" t="inlineStr">
        <is>
          <t>个人任务</t>
        </is>
      </c>
      <c r="D141" s="2" t="inlineStr">
        <is>
          <t>门客</t>
        </is>
      </c>
      <c r="E141" s="2" t="inlineStr">
        <is>
          <t>task_wanxian_jiang_ziya</t>
        </is>
      </c>
      <c r="F141" s="2" t="n">
        <v>1</v>
      </c>
      <c r="G141" s="2" t="inlineStr">
        <is>
          <t>姜子牙</t>
        </is>
      </c>
      <c r="H141" s="2" t="inlineStr">
        <is>
          <t>使用模板默认技能</t>
        </is>
      </c>
      <c r="I141" s="2" t="n">
        <v>10</v>
      </c>
      <c r="J141" s="2" t="n">
        <v>100</v>
      </c>
      <c r="K141" s="4" t="n">
        <v>0.62</v>
      </c>
      <c r="L141" s="2" t="inlineStr">
        <is>
          <t>data/mission_templates.yaml:L1259:enemy_guests</t>
        </is>
      </c>
      <c r="M141" s="2" t="inlineStr">
        <is>
          <t>"task_wanxian_jiang_ziya"</t>
        </is>
      </c>
    </row>
    <row r="142">
      <c r="A142" s="2" t="inlineStr">
        <is>
          <t>fengbang_tianmen</t>
        </is>
      </c>
      <c r="B142" s="2" t="inlineStr">
        <is>
          <t>封神之战：封榜天门</t>
        </is>
      </c>
      <c r="C142" s="2" t="inlineStr">
        <is>
          <t>个人任务</t>
        </is>
      </c>
      <c r="D142" s="2" t="inlineStr">
        <is>
          <t>门客</t>
        </is>
      </c>
      <c r="E142" s="2" t="inlineStr">
        <is>
          <t>task_wanxian_dashenbian</t>
        </is>
      </c>
      <c r="F142" s="2" t="n">
        <v>1</v>
      </c>
      <c r="G142" s="2" t="inlineStr">
        <is>
          <t>打神鞭</t>
        </is>
      </c>
      <c r="H142" s="2" t="inlineStr">
        <is>
          <t>使用模板默认技能</t>
        </is>
      </c>
      <c r="I142" s="2" t="n">
        <v>10</v>
      </c>
      <c r="J142" s="2" t="n">
        <v>100</v>
      </c>
      <c r="K142" s="4" t="n">
        <v>0.62</v>
      </c>
      <c r="L142" s="2" t="inlineStr">
        <is>
          <t>data/mission_templates.yaml:L1259:enemy_guests</t>
        </is>
      </c>
      <c r="M142" s="2" t="inlineStr">
        <is>
          <t>"task_wanxian_dashenbian"</t>
        </is>
      </c>
    </row>
    <row r="143">
      <c r="A143" s="2" t="inlineStr">
        <is>
          <t>fengbang_tianmen</t>
        </is>
      </c>
      <c r="B143" s="2" t="inlineStr">
        <is>
          <t>封神之战：封榜天门</t>
        </is>
      </c>
      <c r="C143" s="2" t="inlineStr">
        <is>
          <t>个人任务</t>
        </is>
      </c>
      <c r="D143" s="2" t="inlineStr">
        <is>
          <t>门客</t>
        </is>
      </c>
      <c r="E143" s="2" t="inlineStr">
        <is>
          <t>task_wanxian_bangshangming</t>
        </is>
      </c>
      <c r="F143" s="2" t="n">
        <v>1</v>
      </c>
      <c r="G143" s="2" t="inlineStr">
        <is>
          <t>榜上名</t>
        </is>
      </c>
      <c r="H143" s="2" t="inlineStr">
        <is>
          <t>使用模板默认技能</t>
        </is>
      </c>
      <c r="I143" s="2" t="n">
        <v>10</v>
      </c>
      <c r="J143" s="2" t="n">
        <v>100</v>
      </c>
      <c r="K143" s="4" t="n">
        <v>0.62</v>
      </c>
      <c r="L143" s="2" t="inlineStr">
        <is>
          <t>data/mission_templates.yaml:L1259:enemy_guests</t>
        </is>
      </c>
      <c r="M143" s="2" t="inlineStr">
        <is>
          <t>"task_wanxian_bangshangming"</t>
        </is>
      </c>
    </row>
    <row r="144">
      <c r="A144" s="2" t="inlineStr">
        <is>
          <t>fengbang_tianmen</t>
        </is>
      </c>
      <c r="B144" s="2" t="inlineStr">
        <is>
          <t>封神之战：封榜天门</t>
        </is>
      </c>
      <c r="C144" s="2" t="inlineStr">
        <is>
          <t>个人任务</t>
        </is>
      </c>
      <c r="D144" s="2" t="inlineStr">
        <is>
          <t>门客</t>
        </is>
      </c>
      <c r="E144" s="2" t="inlineStr">
        <is>
          <t>task_wanxian_yuxu_tianfa</t>
        </is>
      </c>
      <c r="F144" s="2" t="n">
        <v>1</v>
      </c>
      <c r="G144" s="2" t="inlineStr">
        <is>
          <t>玉虚天罚</t>
        </is>
      </c>
      <c r="H144" s="2" t="inlineStr">
        <is>
          <t>使用模板默认技能</t>
        </is>
      </c>
      <c r="I144" s="2" t="n">
        <v>10</v>
      </c>
      <c r="J144" s="2" t="n">
        <v>100</v>
      </c>
      <c r="K144" s="4" t="n">
        <v>0.62</v>
      </c>
      <c r="L144" s="2" t="inlineStr">
        <is>
          <t>data/mission_templates.yaml:L1259:enemy_guests</t>
        </is>
      </c>
      <c r="M144" s="2" t="inlineStr">
        <is>
          <t>"task_wanxian_yuxu_tianfa"</t>
        </is>
      </c>
    </row>
    <row r="145">
      <c r="A145" s="2" t="inlineStr">
        <is>
          <t>fengbang_tianmen</t>
        </is>
      </c>
      <c r="B145" s="2" t="inlineStr">
        <is>
          <t>封神之战：封榜天门</t>
        </is>
      </c>
      <c r="C145" s="2" t="inlineStr">
        <is>
          <t>个人任务</t>
        </is>
      </c>
      <c r="D145" s="2" t="inlineStr">
        <is>
          <t>护院</t>
        </is>
      </c>
      <c r="E145" s="2" t="inlineStr">
        <is>
          <t>dao_sheng</t>
        </is>
      </c>
      <c r="F145" s="2" t="n">
        <v>1000</v>
      </c>
      <c r="G145" s="2" t="inlineStr">
        <is>
          <t>刀圣</t>
        </is>
      </c>
      <c r="H145" s="2" t="inlineStr"/>
      <c r="I145" s="2" t="n">
        <v>10</v>
      </c>
      <c r="J145" s="2" t="n"/>
      <c r="K145" s="4" t="n"/>
      <c r="L145" s="2" t="inlineStr">
        <is>
          <t>data/mission_templates.yaml:L1259:enemy_troops</t>
        </is>
      </c>
      <c r="M145" s="2" t="inlineStr">
        <is>
          <t>{"dao_sheng":1000}</t>
        </is>
      </c>
    </row>
    <row r="146">
      <c r="A146" s="2" t="inlineStr">
        <is>
          <t>fengbang_tianmen</t>
        </is>
      </c>
      <c r="B146" s="2" t="inlineStr">
        <is>
          <t>封神之战：封榜天门</t>
        </is>
      </c>
      <c r="C146" s="2" t="inlineStr">
        <is>
          <t>个人任务</t>
        </is>
      </c>
      <c r="D146" s="2" t="inlineStr">
        <is>
          <t>护院</t>
        </is>
      </c>
      <c r="E146" s="2" t="inlineStr">
        <is>
          <t>jian_sheng</t>
        </is>
      </c>
      <c r="F146" s="2" t="n">
        <v>1000</v>
      </c>
      <c r="G146" s="2" t="inlineStr">
        <is>
          <t>剑圣</t>
        </is>
      </c>
      <c r="H146" s="2" t="inlineStr"/>
      <c r="I146" s="2" t="n">
        <v>10</v>
      </c>
      <c r="J146" s="2" t="n"/>
      <c r="K146" s="4" t="n"/>
      <c r="L146" s="2" t="inlineStr">
        <is>
          <t>data/mission_templates.yaml:L1259:enemy_troops</t>
        </is>
      </c>
      <c r="M146" s="2" t="inlineStr">
        <is>
          <t>{"jian_sheng":1000}</t>
        </is>
      </c>
    </row>
    <row r="147">
      <c r="A147" s="2" t="inlineStr">
        <is>
          <t>fengbang_tianmen</t>
        </is>
      </c>
      <c r="B147" s="2" t="inlineStr">
        <is>
          <t>封神之战：封榜天门</t>
        </is>
      </c>
      <c r="C147" s="2" t="inlineStr">
        <is>
          <t>个人任务</t>
        </is>
      </c>
      <c r="D147" s="2" t="inlineStr">
        <is>
          <t>护院</t>
        </is>
      </c>
      <c r="E147" s="2" t="inlineStr">
        <is>
          <t>arrow_god</t>
        </is>
      </c>
      <c r="F147" s="2" t="n">
        <v>900</v>
      </c>
      <c r="G147" s="2" t="inlineStr">
        <is>
          <t>箭神</t>
        </is>
      </c>
      <c r="H147" s="2" t="inlineStr"/>
      <c r="I147" s="2" t="n">
        <v>10</v>
      </c>
      <c r="J147" s="2" t="n"/>
      <c r="K147" s="4" t="n"/>
      <c r="L147" s="2" t="inlineStr">
        <is>
          <t>data/mission_templates.yaml:L1259:enemy_troops</t>
        </is>
      </c>
      <c r="M147" s="2" t="inlineStr">
        <is>
          <t>{"arrow_god":900}</t>
        </is>
      </c>
    </row>
    <row r="148">
      <c r="A148" s="2" t="inlineStr">
        <is>
          <t>fengbang_tianmen</t>
        </is>
      </c>
      <c r="B148" s="2" t="inlineStr">
        <is>
          <t>封神之战：封榜天门</t>
        </is>
      </c>
      <c r="C148" s="2" t="inlineStr">
        <is>
          <t>个人任务</t>
        </is>
      </c>
      <c r="D148" s="2" t="inlineStr">
        <is>
          <t>护院</t>
        </is>
      </c>
      <c r="E148" s="2" t="inlineStr">
        <is>
          <t>qiang_wang</t>
        </is>
      </c>
      <c r="F148" s="2" t="n">
        <v>900</v>
      </c>
      <c r="G148" s="2" t="inlineStr">
        <is>
          <t>枪王</t>
        </is>
      </c>
      <c r="H148" s="2" t="inlineStr"/>
      <c r="I148" s="2" t="n">
        <v>10</v>
      </c>
      <c r="J148" s="2" t="n"/>
      <c r="K148" s="4" t="n"/>
      <c r="L148" s="2" t="inlineStr">
        <is>
          <t>data/mission_templates.yaml:L1259:enemy_troops</t>
        </is>
      </c>
      <c r="M148" s="2" t="inlineStr">
        <is>
          <t>{"qiang_wang":900}</t>
        </is>
      </c>
    </row>
    <row r="149">
      <c r="A149" s="2" t="inlineStr">
        <is>
          <t>fengbang_tianmen</t>
        </is>
      </c>
      <c r="B149" s="2" t="inlineStr">
        <is>
          <t>封神之战：封榜天门</t>
        </is>
      </c>
      <c r="C149" s="2" t="inlineStr">
        <is>
          <t>个人任务</t>
        </is>
      </c>
      <c r="D149" s="2" t="inlineStr">
        <is>
          <t>护院</t>
        </is>
      </c>
      <c r="E149" s="2" t="inlineStr">
        <is>
          <t>quan_sheng</t>
        </is>
      </c>
      <c r="F149" s="2" t="n">
        <v>700</v>
      </c>
      <c r="G149" s="2" t="inlineStr">
        <is>
          <t>拳圣</t>
        </is>
      </c>
      <c r="H149" s="2" t="inlineStr"/>
      <c r="I149" s="2" t="n">
        <v>10</v>
      </c>
      <c r="J149" s="2" t="n"/>
      <c r="K149" s="4" t="n"/>
      <c r="L149" s="2" t="inlineStr">
        <is>
          <t>data/mission_templates.yaml:L1259:enemy_troops</t>
        </is>
      </c>
      <c r="M149" s="2" t="inlineStr">
        <is>
          <t>{"quan_sheng":700}</t>
        </is>
      </c>
    </row>
    <row r="150">
      <c r="A150" s="2" t="inlineStr">
        <is>
          <t>zhuolu_zhongyuan</t>
        </is>
      </c>
      <c r="B150" s="2" t="inlineStr">
        <is>
          <t>逐鹿中原</t>
        </is>
      </c>
      <c r="C150" s="2" t="inlineStr">
        <is>
          <t>个人任务</t>
        </is>
      </c>
      <c r="D150" s="2" t="inlineStr">
        <is>
          <t>门客</t>
        </is>
      </c>
      <c r="E150" s="2" t="inlineStr">
        <is>
          <t>task_zhuolu_chiyou</t>
        </is>
      </c>
      <c r="F150" s="2" t="n">
        <v>1</v>
      </c>
      <c r="G150" s="2" t="inlineStr">
        <is>
          <t>蚩尤</t>
        </is>
      </c>
      <c r="H150" s="2" t="inlineStr">
        <is>
          <t>使用模板默认技能</t>
        </is>
      </c>
      <c r="I150" s="2" t="n">
        <v>10</v>
      </c>
      <c r="J150" s="2" t="n">
        <v>100</v>
      </c>
      <c r="K150" s="4" t="n">
        <v>0.62</v>
      </c>
      <c r="L150" s="2" t="inlineStr">
        <is>
          <t>data/mission_templates.yaml:L1326:enemy_guests</t>
        </is>
      </c>
      <c r="M150" s="2" t="inlineStr">
        <is>
          <t>"task_zhuolu_chiyou"</t>
        </is>
      </c>
    </row>
    <row r="151">
      <c r="A151" s="2" t="inlineStr">
        <is>
          <t>zhuolu_zhongyuan</t>
        </is>
      </c>
      <c r="B151" s="2" t="inlineStr">
        <is>
          <t>逐鹿中原</t>
        </is>
      </c>
      <c r="C151" s="2" t="inlineStr">
        <is>
          <t>个人任务</t>
        </is>
      </c>
      <c r="D151" s="2" t="inlineStr">
        <is>
          <t>门客</t>
        </is>
      </c>
      <c r="E151" s="2" t="inlineStr">
        <is>
          <t>task_zhuolu_fengbo</t>
        </is>
      </c>
      <c r="F151" s="2" t="n">
        <v>1</v>
      </c>
      <c r="G151" s="2" t="inlineStr">
        <is>
          <t>风伯</t>
        </is>
      </c>
      <c r="H151" s="2" t="inlineStr">
        <is>
          <t>使用模板默认技能</t>
        </is>
      </c>
      <c r="I151" s="2" t="n">
        <v>10</v>
      </c>
      <c r="J151" s="2" t="n">
        <v>100</v>
      </c>
      <c r="K151" s="4" t="n">
        <v>0.62</v>
      </c>
      <c r="L151" s="2" t="inlineStr">
        <is>
          <t>data/mission_templates.yaml:L1326:enemy_guests</t>
        </is>
      </c>
      <c r="M151" s="2" t="inlineStr">
        <is>
          <t>"task_zhuolu_fengbo"</t>
        </is>
      </c>
    </row>
    <row r="152">
      <c r="A152" s="2" t="inlineStr">
        <is>
          <t>zhuolu_zhongyuan</t>
        </is>
      </c>
      <c r="B152" s="2" t="inlineStr">
        <is>
          <t>逐鹿中原</t>
        </is>
      </c>
      <c r="C152" s="2" t="inlineStr">
        <is>
          <t>个人任务</t>
        </is>
      </c>
      <c r="D152" s="2" t="inlineStr">
        <is>
          <t>门客</t>
        </is>
      </c>
      <c r="E152" s="2" t="inlineStr">
        <is>
          <t>task_zhuolu_yushi</t>
        </is>
      </c>
      <c r="F152" s="2" t="n">
        <v>1</v>
      </c>
      <c r="G152" s="2" t="inlineStr">
        <is>
          <t>雨师</t>
        </is>
      </c>
      <c r="H152" s="2" t="inlineStr">
        <is>
          <t>使用模板默认技能</t>
        </is>
      </c>
      <c r="I152" s="2" t="n">
        <v>10</v>
      </c>
      <c r="J152" s="2" t="n">
        <v>100</v>
      </c>
      <c r="K152" s="4" t="n">
        <v>0.62</v>
      </c>
      <c r="L152" s="2" t="inlineStr">
        <is>
          <t>data/mission_templates.yaml:L1326:enemy_guests</t>
        </is>
      </c>
      <c r="M152" s="2" t="inlineStr">
        <is>
          <t>"task_zhuolu_yushi"</t>
        </is>
      </c>
    </row>
    <row r="153">
      <c r="A153" s="2" t="inlineStr">
        <is>
          <t>zhuolu_zhongyuan</t>
        </is>
      </c>
      <c r="B153" s="2" t="inlineStr">
        <is>
          <t>逐鹿中原</t>
        </is>
      </c>
      <c r="C153" s="2" t="inlineStr">
        <is>
          <t>个人任务</t>
        </is>
      </c>
      <c r="D153" s="2" t="inlineStr">
        <is>
          <t>门客</t>
        </is>
      </c>
      <c r="E153" s="2" t="inlineStr">
        <is>
          <t>task_zhuolu_shitieshou</t>
        </is>
      </c>
      <c r="F153" s="2" t="n">
        <v>1</v>
      </c>
      <c r="G153" s="2" t="inlineStr">
        <is>
          <t>食铁兽</t>
        </is>
      </c>
      <c r="H153" s="2" t="inlineStr">
        <is>
          <t>使用模板默认技能</t>
        </is>
      </c>
      <c r="I153" s="2" t="n">
        <v>10</v>
      </c>
      <c r="J153" s="2" t="n">
        <v>100</v>
      </c>
      <c r="K153" s="4" t="n">
        <v>0.62</v>
      </c>
      <c r="L153" s="2" t="inlineStr">
        <is>
          <t>data/mission_templates.yaml:L1326:enemy_guests</t>
        </is>
      </c>
      <c r="M153" s="2" t="inlineStr">
        <is>
          <t>"task_zhuolu_shitieshou"</t>
        </is>
      </c>
    </row>
    <row r="154">
      <c r="A154" s="2" t="inlineStr">
        <is>
          <t>zhuolu_zhongyuan</t>
        </is>
      </c>
      <c r="B154" s="2" t="inlineStr">
        <is>
          <t>逐鹿中原</t>
        </is>
      </c>
      <c r="C154" s="2" t="inlineStr">
        <is>
          <t>个人任务</t>
        </is>
      </c>
      <c r="D154" s="2" t="inlineStr">
        <is>
          <t>门客</t>
        </is>
      </c>
      <c r="E154" s="2" t="inlineStr">
        <is>
          <t>task_zhuolu_shitieshou</t>
        </is>
      </c>
      <c r="F154" s="2" t="n">
        <v>1</v>
      </c>
      <c r="G154" s="2" t="inlineStr">
        <is>
          <t>食铁兽</t>
        </is>
      </c>
      <c r="H154" s="2" t="inlineStr">
        <is>
          <t>使用模板默认技能</t>
        </is>
      </c>
      <c r="I154" s="2" t="n">
        <v>10</v>
      </c>
      <c r="J154" s="2" t="n">
        <v>100</v>
      </c>
      <c r="K154" s="4" t="n">
        <v>0.62</v>
      </c>
      <c r="L154" s="2" t="inlineStr">
        <is>
          <t>data/mission_templates.yaml:L1326:enemy_guests</t>
        </is>
      </c>
      <c r="M154" s="2" t="inlineStr">
        <is>
          <t>"task_zhuolu_shitieshou"</t>
        </is>
      </c>
    </row>
    <row r="155">
      <c r="A155" s="2" t="inlineStr">
        <is>
          <t>zhuolu_zhongyuan</t>
        </is>
      </c>
      <c r="B155" s="2" t="inlineStr">
        <is>
          <t>逐鹿中原</t>
        </is>
      </c>
      <c r="C155" s="2" t="inlineStr">
        <is>
          <t>个人任务</t>
        </is>
      </c>
      <c r="D155" s="2" t="inlineStr">
        <is>
          <t>门客</t>
        </is>
      </c>
      <c r="E155" s="2" t="inlineStr">
        <is>
          <t>task_zhuolu_shitieshou</t>
        </is>
      </c>
      <c r="F155" s="2" t="n">
        <v>1</v>
      </c>
      <c r="G155" s="2" t="inlineStr">
        <is>
          <t>食铁兽</t>
        </is>
      </c>
      <c r="H155" s="2" t="inlineStr">
        <is>
          <t>使用模板默认技能</t>
        </is>
      </c>
      <c r="I155" s="2" t="n">
        <v>10</v>
      </c>
      <c r="J155" s="2" t="n">
        <v>100</v>
      </c>
      <c r="K155" s="4" t="n">
        <v>0.62</v>
      </c>
      <c r="L155" s="2" t="inlineStr">
        <is>
          <t>data/mission_templates.yaml:L1326:enemy_guests</t>
        </is>
      </c>
      <c r="M155" s="2" t="inlineStr">
        <is>
          <t>"task_zhuolu_shitieshou"</t>
        </is>
      </c>
    </row>
    <row r="156">
      <c r="A156" s="2" t="inlineStr">
        <is>
          <t>zhuolu_zhongyuan</t>
        </is>
      </c>
      <c r="B156" s="2" t="inlineStr">
        <is>
          <t>逐鹿中原</t>
        </is>
      </c>
      <c r="C156" s="2" t="inlineStr">
        <is>
          <t>个人任务</t>
        </is>
      </c>
      <c r="D156" s="2" t="inlineStr">
        <is>
          <t>护院</t>
        </is>
      </c>
      <c r="E156" s="2" t="inlineStr">
        <is>
          <t>dao_sheng</t>
        </is>
      </c>
      <c r="F156" s="2" t="n">
        <v>1000</v>
      </c>
      <c r="G156" s="2" t="inlineStr">
        <is>
          <t>刀圣</t>
        </is>
      </c>
      <c r="H156" s="2" t="inlineStr"/>
      <c r="I156" s="2" t="n">
        <v>10</v>
      </c>
      <c r="J156" s="2" t="n"/>
      <c r="K156" s="4" t="n"/>
      <c r="L156" s="2" t="inlineStr">
        <is>
          <t>data/mission_templates.yaml:L1326:enemy_troops</t>
        </is>
      </c>
      <c r="M156" s="2" t="inlineStr">
        <is>
          <t>{"dao_sheng":1000}</t>
        </is>
      </c>
    </row>
    <row r="157">
      <c r="A157" s="2" t="inlineStr">
        <is>
          <t>zhuolu_zhongyuan</t>
        </is>
      </c>
      <c r="B157" s="2" t="inlineStr">
        <is>
          <t>逐鹿中原</t>
        </is>
      </c>
      <c r="C157" s="2" t="inlineStr">
        <is>
          <t>个人任务</t>
        </is>
      </c>
      <c r="D157" s="2" t="inlineStr">
        <is>
          <t>护院</t>
        </is>
      </c>
      <c r="E157" s="2" t="inlineStr">
        <is>
          <t>qiang_wang</t>
        </is>
      </c>
      <c r="F157" s="2" t="n">
        <v>1000</v>
      </c>
      <c r="G157" s="2" t="inlineStr">
        <is>
          <t>枪王</t>
        </is>
      </c>
      <c r="H157" s="2" t="inlineStr"/>
      <c r="I157" s="2" t="n">
        <v>10</v>
      </c>
      <c r="J157" s="2" t="n"/>
      <c r="K157" s="4" t="n"/>
      <c r="L157" s="2" t="inlineStr">
        <is>
          <t>data/mission_templates.yaml:L1326:enemy_troops</t>
        </is>
      </c>
      <c r="M157" s="2" t="inlineStr">
        <is>
          <t>{"qiang_wang":1000}</t>
        </is>
      </c>
    </row>
    <row r="158">
      <c r="A158" s="2" t="inlineStr">
        <is>
          <t>zhuolu_zhongyuan</t>
        </is>
      </c>
      <c r="B158" s="2" t="inlineStr">
        <is>
          <t>逐鹿中原</t>
        </is>
      </c>
      <c r="C158" s="2" t="inlineStr">
        <is>
          <t>个人任务</t>
        </is>
      </c>
      <c r="D158" s="2" t="inlineStr">
        <is>
          <t>护院</t>
        </is>
      </c>
      <c r="E158" s="2" t="inlineStr">
        <is>
          <t>jian_sheng</t>
        </is>
      </c>
      <c r="F158" s="2" t="n">
        <v>1000</v>
      </c>
      <c r="G158" s="2" t="inlineStr">
        <is>
          <t>剑圣</t>
        </is>
      </c>
      <c r="H158" s="2" t="inlineStr"/>
      <c r="I158" s="2" t="n">
        <v>10</v>
      </c>
      <c r="J158" s="2" t="n"/>
      <c r="K158" s="4" t="n"/>
      <c r="L158" s="2" t="inlineStr">
        <is>
          <t>data/mission_templates.yaml:L1326:enemy_troops</t>
        </is>
      </c>
      <c r="M158" s="2" t="inlineStr">
        <is>
          <t>{"jian_sheng":1000}</t>
        </is>
      </c>
    </row>
    <row r="159">
      <c r="A159" s="2" t="inlineStr">
        <is>
          <t>zhuolu_zhongyuan</t>
        </is>
      </c>
      <c r="B159" s="2" t="inlineStr">
        <is>
          <t>逐鹿中原</t>
        </is>
      </c>
      <c r="C159" s="2" t="inlineStr">
        <is>
          <t>个人任务</t>
        </is>
      </c>
      <c r="D159" s="2" t="inlineStr">
        <is>
          <t>护院</t>
        </is>
      </c>
      <c r="E159" s="2" t="inlineStr">
        <is>
          <t>quan_sheng</t>
        </is>
      </c>
      <c r="F159" s="2" t="n">
        <v>900</v>
      </c>
      <c r="G159" s="2" t="inlineStr">
        <is>
          <t>拳圣</t>
        </is>
      </c>
      <c r="H159" s="2" t="inlineStr"/>
      <c r="I159" s="2" t="n">
        <v>10</v>
      </c>
      <c r="J159" s="2" t="n"/>
      <c r="K159" s="4" t="n"/>
      <c r="L159" s="2" t="inlineStr">
        <is>
          <t>data/mission_templates.yaml:L1326:enemy_troops</t>
        </is>
      </c>
      <c r="M159" s="2" t="inlineStr">
        <is>
          <t>{"quan_sheng":900}</t>
        </is>
      </c>
    </row>
    <row r="160">
      <c r="A160" s="2" t="inlineStr">
        <is>
          <t>zhuolu_zhongyuan</t>
        </is>
      </c>
      <c r="B160" s="2" t="inlineStr">
        <is>
          <t>逐鹿中原</t>
        </is>
      </c>
      <c r="C160" s="2" t="inlineStr">
        <is>
          <t>个人任务</t>
        </is>
      </c>
      <c r="D160" s="2" t="inlineStr">
        <is>
          <t>护院</t>
        </is>
      </c>
      <c r="E160" s="2" t="inlineStr">
        <is>
          <t>arrow_god</t>
        </is>
      </c>
      <c r="F160" s="2" t="n">
        <v>900</v>
      </c>
      <c r="G160" s="2" t="inlineStr">
        <is>
          <t>箭神</t>
        </is>
      </c>
      <c r="H160" s="2" t="inlineStr"/>
      <c r="I160" s="2" t="n">
        <v>10</v>
      </c>
      <c r="J160" s="2" t="n"/>
      <c r="K160" s="4" t="n"/>
      <c r="L160" s="2" t="inlineStr">
        <is>
          <t>data/mission_templates.yaml:L1326:enemy_troops</t>
        </is>
      </c>
      <c r="M160" s="2" t="inlineStr">
        <is>
          <t>{"arrow_god":900}</t>
        </is>
      </c>
    </row>
    <row r="161">
      <c r="A161" s="2" t="inlineStr">
        <is>
          <t>guandu_zhizhan</t>
        </is>
      </c>
      <c r="B161" s="2" t="inlineStr">
        <is>
          <t>官渡之战</t>
        </is>
      </c>
      <c r="C161" s="2" t="inlineStr">
        <is>
          <t>个人任务</t>
        </is>
      </c>
      <c r="D161" s="2" t="inlineStr">
        <is>
          <t>门客</t>
        </is>
      </c>
      <c r="E161" s="2" t="inlineStr">
        <is>
          <t>task_guandu_yuanshao</t>
        </is>
      </c>
      <c r="F161" s="2" t="n">
        <v>1</v>
      </c>
      <c r="G161" s="2" t="inlineStr">
        <is>
          <t>袁绍</t>
        </is>
      </c>
      <c r="H161" s="2" t="inlineStr">
        <is>
          <t>奇策突袭</t>
        </is>
      </c>
      <c r="I161" s="2" t="n">
        <v>10</v>
      </c>
      <c r="J161" s="2" t="n">
        <v>100</v>
      </c>
      <c r="K161" s="4" t="n">
        <v>0.68</v>
      </c>
      <c r="L161" s="2" t="inlineStr">
        <is>
          <t>data/mission_templates.yaml:L1391:enemy_guests</t>
        </is>
      </c>
      <c r="M161" s="2" t="inlineStr">
        <is>
          <t>{"key":"task_guandu_yuanshao","label":"袁绍"}</t>
        </is>
      </c>
    </row>
    <row r="162">
      <c r="A162" s="2" t="inlineStr">
        <is>
          <t>guandu_zhizhan</t>
        </is>
      </c>
      <c r="B162" s="2" t="inlineStr">
        <is>
          <t>官渡之战</t>
        </is>
      </c>
      <c r="C162" s="2" t="inlineStr">
        <is>
          <t>个人任务</t>
        </is>
      </c>
      <c r="D162" s="2" t="inlineStr">
        <is>
          <t>护院</t>
        </is>
      </c>
      <c r="E162" s="2" t="inlineStr">
        <is>
          <t>dao_sheng</t>
        </is>
      </c>
      <c r="F162" s="2" t="n">
        <v>1400</v>
      </c>
      <c r="G162" s="2" t="inlineStr">
        <is>
          <t>刀圣</t>
        </is>
      </c>
      <c r="H162" s="2" t="inlineStr"/>
      <c r="I162" s="2" t="n">
        <v>10</v>
      </c>
      <c r="J162" s="2" t="n"/>
      <c r="K162" s="4" t="n"/>
      <c r="L162" s="2" t="inlineStr">
        <is>
          <t>data/mission_templates.yaml:L1391:enemy_troops</t>
        </is>
      </c>
      <c r="M162" s="2" t="inlineStr">
        <is>
          <t>{"dao_sheng":1400}</t>
        </is>
      </c>
    </row>
    <row r="163">
      <c r="A163" s="2" t="inlineStr">
        <is>
          <t>guandu_zhizhan</t>
        </is>
      </c>
      <c r="B163" s="2" t="inlineStr">
        <is>
          <t>官渡之战</t>
        </is>
      </c>
      <c r="C163" s="2" t="inlineStr">
        <is>
          <t>个人任务</t>
        </is>
      </c>
      <c r="D163" s="2" t="inlineStr">
        <is>
          <t>护院</t>
        </is>
      </c>
      <c r="E163" s="2" t="inlineStr">
        <is>
          <t>qiang_wang</t>
        </is>
      </c>
      <c r="F163" s="2" t="n">
        <v>1400</v>
      </c>
      <c r="G163" s="2" t="inlineStr">
        <is>
          <t>枪王</t>
        </is>
      </c>
      <c r="H163" s="2" t="inlineStr"/>
      <c r="I163" s="2" t="n">
        <v>10</v>
      </c>
      <c r="J163" s="2" t="n"/>
      <c r="K163" s="4" t="n"/>
      <c r="L163" s="2" t="inlineStr">
        <is>
          <t>data/mission_templates.yaml:L1391:enemy_troops</t>
        </is>
      </c>
      <c r="M163" s="2" t="inlineStr">
        <is>
          <t>{"qiang_wang":1400}</t>
        </is>
      </c>
    </row>
    <row r="164">
      <c r="A164" s="2" t="inlineStr">
        <is>
          <t>guandu_zhizhan</t>
        </is>
      </c>
      <c r="B164" s="2" t="inlineStr">
        <is>
          <t>官渡之战</t>
        </is>
      </c>
      <c r="C164" s="2" t="inlineStr">
        <is>
          <t>个人任务</t>
        </is>
      </c>
      <c r="D164" s="2" t="inlineStr">
        <is>
          <t>护院</t>
        </is>
      </c>
      <c r="E164" s="2" t="inlineStr">
        <is>
          <t>jian_sheng</t>
        </is>
      </c>
      <c r="F164" s="2" t="n">
        <v>1200</v>
      </c>
      <c r="G164" s="2" t="inlineStr">
        <is>
          <t>剑圣</t>
        </is>
      </c>
      <c r="H164" s="2" t="inlineStr"/>
      <c r="I164" s="2" t="n">
        <v>10</v>
      </c>
      <c r="J164" s="2" t="n"/>
      <c r="K164" s="4" t="n"/>
      <c r="L164" s="2" t="inlineStr">
        <is>
          <t>data/mission_templates.yaml:L1391:enemy_troops</t>
        </is>
      </c>
      <c r="M164" s="2" t="inlineStr">
        <is>
          <t>{"jian_sheng":1200}</t>
        </is>
      </c>
    </row>
    <row r="165">
      <c r="A165" s="2" t="inlineStr">
        <is>
          <t>guandu_zhizhan</t>
        </is>
      </c>
      <c r="B165" s="2" t="inlineStr">
        <is>
          <t>官渡之战</t>
        </is>
      </c>
      <c r="C165" s="2" t="inlineStr">
        <is>
          <t>个人任务</t>
        </is>
      </c>
      <c r="D165" s="2" t="inlineStr">
        <is>
          <t>护院</t>
        </is>
      </c>
      <c r="E165" s="2" t="inlineStr">
        <is>
          <t>quan_sheng</t>
        </is>
      </c>
      <c r="F165" s="2" t="n">
        <v>1000</v>
      </c>
      <c r="G165" s="2" t="inlineStr">
        <is>
          <t>拳圣</t>
        </is>
      </c>
      <c r="H165" s="2" t="inlineStr"/>
      <c r="I165" s="2" t="n">
        <v>10</v>
      </c>
      <c r="J165" s="2" t="n"/>
      <c r="K165" s="4" t="n"/>
      <c r="L165" s="2" t="inlineStr">
        <is>
          <t>data/mission_templates.yaml:L1391:enemy_troops</t>
        </is>
      </c>
      <c r="M165" s="2" t="inlineStr">
        <is>
          <t>{"quan_sheng":1000}</t>
        </is>
      </c>
    </row>
    <row r="166">
      <c r="A166" s="2" t="inlineStr">
        <is>
          <t>guandu_zhizhan</t>
        </is>
      </c>
      <c r="B166" s="2" t="inlineStr">
        <is>
          <t>官渡之战</t>
        </is>
      </c>
      <c r="C166" s="2" t="inlineStr">
        <is>
          <t>个人任务</t>
        </is>
      </c>
      <c r="D166" s="2" t="inlineStr">
        <is>
          <t>护院</t>
        </is>
      </c>
      <c r="E166" s="2" t="inlineStr">
        <is>
          <t>arrow_god</t>
        </is>
      </c>
      <c r="F166" s="2" t="n">
        <v>1200</v>
      </c>
      <c r="G166" s="2" t="inlineStr">
        <is>
          <t>箭神</t>
        </is>
      </c>
      <c r="H166" s="2" t="inlineStr"/>
      <c r="I166" s="2" t="n">
        <v>10</v>
      </c>
      <c r="J166" s="2" t="n"/>
      <c r="K166" s="4" t="n"/>
      <c r="L166" s="2" t="inlineStr">
        <is>
          <t>data/mission_templates.yaml:L1391:enemy_troops</t>
        </is>
      </c>
      <c r="M166" s="2" t="inlineStr">
        <is>
          <t>{"arrow_god":1200}</t>
        </is>
      </c>
    </row>
    <row r="167">
      <c r="A167" s="2" t="inlineStr">
        <is>
          <t>huashan_lunjian_advanced</t>
        </is>
      </c>
      <c r="B167" s="2" t="inlineStr">
        <is>
          <t>华山论剑</t>
        </is>
      </c>
      <c r="C167" s="2" t="inlineStr">
        <is>
          <t>个人任务</t>
        </is>
      </c>
      <c r="D167" s="2" t="inlineStr">
        <is>
          <t>门客</t>
        </is>
      </c>
      <c r="E167" s="2" t="inlineStr">
        <is>
          <t>hero_sao_di_seng</t>
        </is>
      </c>
      <c r="F167" s="2" t="n">
        <v>1</v>
      </c>
      <c r="G167" s="2" t="inlineStr">
        <is>
          <t>扫地僧</t>
        </is>
      </c>
      <c r="H167" s="2" t="inlineStr">
        <is>
          <t>铁壁心法、绝处逢生</t>
        </is>
      </c>
      <c r="I167" s="2" t="n">
        <v>10</v>
      </c>
      <c r="J167" s="2" t="n">
        <v>100</v>
      </c>
      <c r="K167" s="4" t="n">
        <v>0.68</v>
      </c>
      <c r="L167" s="2" t="inlineStr">
        <is>
          <t>data/mission_templates.yaml:L1437:enemy_guests</t>
        </is>
      </c>
      <c r="M167" s="2" t="inlineStr">
        <is>
          <t>{"key":"hero_sao_di_seng","label":"扫地僧","skills":["iron_wall_heart","last_chance_revival"]}</t>
        </is>
      </c>
    </row>
    <row r="168">
      <c r="A168" s="2" t="inlineStr">
        <is>
          <t>huashan_lunjian_advanced</t>
        </is>
      </c>
      <c r="B168" s="2" t="inlineStr">
        <is>
          <t>华山论剑</t>
        </is>
      </c>
      <c r="C168" s="2" t="inlineStr">
        <is>
          <t>个人任务</t>
        </is>
      </c>
      <c r="D168" s="2" t="inlineStr">
        <is>
          <t>门客</t>
        </is>
      </c>
      <c r="E168" s="2" t="inlineStr">
        <is>
          <t>hero_zhang_sanfeng</t>
        </is>
      </c>
      <c r="F168" s="2" t="n">
        <v>1</v>
      </c>
      <c r="G168" s="2" t="inlineStr">
        <is>
          <t>张三丰</t>
        </is>
      </c>
      <c r="H168" s="2" t="inlineStr">
        <is>
          <t>太乙生风、招锋引敌</t>
        </is>
      </c>
      <c r="I168" s="2" t="n">
        <v>10</v>
      </c>
      <c r="J168" s="2" t="n">
        <v>100</v>
      </c>
      <c r="K168" s="4" t="n">
        <v>0.68</v>
      </c>
      <c r="L168" s="2" t="inlineStr">
        <is>
          <t>data/mission_templates.yaml:L1437:enemy_guests</t>
        </is>
      </c>
      <c r="M168" s="2" t="inlineStr">
        <is>
          <t>{"key":"hero_zhang_sanfeng","label":"张三丰","skills":["taiyi_wind","draw_enemy_blades"]}</t>
        </is>
      </c>
    </row>
    <row r="169">
      <c r="A169" s="2" t="inlineStr">
        <is>
          <t>huashan_lunjian_advanced</t>
        </is>
      </c>
      <c r="B169" s="2" t="inlineStr">
        <is>
          <t>华山论剑</t>
        </is>
      </c>
      <c r="C169" s="2" t="inlineStr">
        <is>
          <t>个人任务</t>
        </is>
      </c>
      <c r="D169" s="2" t="inlineStr">
        <is>
          <t>门客</t>
        </is>
      </c>
      <c r="E169" s="2" t="inlineStr">
        <is>
          <t>hero_dugu_qiubai</t>
        </is>
      </c>
      <c r="F169" s="2" t="n">
        <v>1</v>
      </c>
      <c r="G169" s="2" t="inlineStr">
        <is>
          <t>独孤求败</t>
        </is>
      </c>
      <c r="H169" s="2" t="inlineStr">
        <is>
          <t>夺命连环剑、破狱狂刀</t>
        </is>
      </c>
      <c r="I169" s="2" t="n">
        <v>10</v>
      </c>
      <c r="J169" s="2" t="n">
        <v>100</v>
      </c>
      <c r="K169" s="4" t="n">
        <v>0.68</v>
      </c>
      <c r="L169" s="2" t="inlineStr">
        <is>
          <t>data/mission_templates.yaml:L1437:enemy_guests</t>
        </is>
      </c>
      <c r="M169" s="2" t="inlineStr">
        <is>
          <t>{"key":"hero_dugu_qiubai","label":"独孤求败","skills":["fatal_chain_sword","prison_break_blade"]}</t>
        </is>
      </c>
    </row>
    <row r="170">
      <c r="A170" s="2" t="inlineStr">
        <is>
          <t>huashan_lunjian_advanced</t>
        </is>
      </c>
      <c r="B170" s="2" t="inlineStr">
        <is>
          <t>华山论剑</t>
        </is>
      </c>
      <c r="C170" s="2" t="inlineStr">
        <is>
          <t>个人任务</t>
        </is>
      </c>
      <c r="D170" s="2" t="inlineStr">
        <is>
          <t>门客</t>
        </is>
      </c>
      <c r="E170" s="2" t="inlineStr">
        <is>
          <t>hero_dongfang_bubai</t>
        </is>
      </c>
      <c r="F170" s="2" t="n">
        <v>1</v>
      </c>
      <c r="G170" s="2" t="inlineStr">
        <is>
          <t>东方不败</t>
        </is>
      </c>
      <c r="H170" s="2" t="inlineStr">
        <is>
          <t>天花乱坠、流星贯月</t>
        </is>
      </c>
      <c r="I170" s="2" t="n">
        <v>10</v>
      </c>
      <c r="J170" s="2" t="n">
        <v>100</v>
      </c>
      <c r="K170" s="4" t="n">
        <v>0.68</v>
      </c>
      <c r="L170" s="2" t="inlineStr">
        <is>
          <t>data/mission_templates.yaml:L1437:enemy_guests</t>
        </is>
      </c>
      <c r="M170" s="2" t="inlineStr">
        <is>
          <t>{"key":"hero_dongfang_bubai","label":"东方不败","skills":["flower_rain","meteor_pierce_moon"]}</t>
        </is>
      </c>
    </row>
    <row r="171">
      <c r="A171" s="2" t="inlineStr">
        <is>
          <t>huashan_lunjian_advanced</t>
        </is>
      </c>
      <c r="B171" s="2" t="inlineStr">
        <is>
          <t>华山论剑</t>
        </is>
      </c>
      <c r="C171" s="2" t="inlineStr">
        <is>
          <t>个人任务</t>
        </is>
      </c>
      <c r="D171" s="2" t="inlineStr">
        <is>
          <t>门客</t>
        </is>
      </c>
      <c r="E171" s="2" t="inlineStr">
        <is>
          <t>hero_shi_zhongjian</t>
        </is>
      </c>
      <c r="F171" s="2" t="n">
        <v>1</v>
      </c>
      <c r="G171" s="2" t="inlineStr">
        <is>
          <t>石破天</t>
        </is>
      </c>
      <c r="H171" s="2" t="inlineStr">
        <is>
          <t>龙吟破阵、困兽犹斗</t>
        </is>
      </c>
      <c r="I171" s="2" t="n">
        <v>10</v>
      </c>
      <c r="J171" s="2" t="n">
        <v>100</v>
      </c>
      <c r="K171" s="4" t="n">
        <v>0.68</v>
      </c>
      <c r="L171" s="2" t="inlineStr">
        <is>
          <t>data/mission_templates.yaml:L1437:enemy_guests</t>
        </is>
      </c>
      <c r="M171" s="2" t="inlineStr">
        <is>
          <t>{"key":"hero_shi_zhongjian","label":"石破天","skills":["dragon_roar","desperate_beast"]}</t>
        </is>
      </c>
    </row>
    <row r="172">
      <c r="A172" s="2" t="inlineStr">
        <is>
          <t>huashan_lunjian_advanced</t>
        </is>
      </c>
      <c r="B172" s="2" t="inlineStr">
        <is>
          <t>华山论剑</t>
        </is>
      </c>
      <c r="C172" s="2" t="inlineStr">
        <is>
          <t>个人任务</t>
        </is>
      </c>
      <c r="D172" s="2" t="inlineStr">
        <is>
          <t>门客</t>
        </is>
      </c>
      <c r="E172" s="2" t="inlineStr">
        <is>
          <t>task_huashan_huang_shang</t>
        </is>
      </c>
      <c r="F172" s="2" t="n">
        <v>1</v>
      </c>
      <c r="G172" s="2" t="inlineStr">
        <is>
          <t>黄裳</t>
        </is>
      </c>
      <c r="H172" s="2" t="inlineStr">
        <is>
          <t>使用模板默认技能</t>
        </is>
      </c>
      <c r="I172" s="2" t="n">
        <v>10</v>
      </c>
      <c r="J172" s="2" t="n">
        <v>100</v>
      </c>
      <c r="K172" s="4" t="n">
        <v>0.68</v>
      </c>
      <c r="L172" s="2" t="inlineStr">
        <is>
          <t>data/mission_templates.yaml:L1437:enemy_guests</t>
        </is>
      </c>
      <c r="M172" s="2" t="inlineStr">
        <is>
          <t>{"key":"task_huashan_huang_shang","label":"黄裳"}</t>
        </is>
      </c>
    </row>
    <row r="173">
      <c r="A173" s="2" t="inlineStr">
        <is>
          <t>huashan_lunjian_advanced</t>
        </is>
      </c>
      <c r="B173" s="2" t="inlineStr">
        <is>
          <t>华山论剑</t>
        </is>
      </c>
      <c r="C173" s="2" t="inlineStr">
        <is>
          <t>个人任务</t>
        </is>
      </c>
      <c r="D173" s="2" t="inlineStr">
        <is>
          <t>门客</t>
        </is>
      </c>
      <c r="E173" s="2" t="inlineStr">
        <is>
          <t>hero_a_qing</t>
        </is>
      </c>
      <c r="F173" s="2" t="n">
        <v>1</v>
      </c>
      <c r="G173" s="2" t="inlineStr">
        <is>
          <t>阿青</t>
        </is>
      </c>
      <c r="H173" s="2" t="inlineStr">
        <is>
          <t>倾城一击、流星贯月</t>
        </is>
      </c>
      <c r="I173" s="2" t="n">
        <v>10</v>
      </c>
      <c r="J173" s="2" t="n">
        <v>100</v>
      </c>
      <c r="K173" s="4" t="n">
        <v>0.68</v>
      </c>
      <c r="L173" s="2" t="inlineStr">
        <is>
          <t>data/mission_templates.yaml:L1437:enemy_guests</t>
        </is>
      </c>
      <c r="M173" s="2" t="inlineStr">
        <is>
          <t>{"key":"hero_a_qing","label":"阿青","skills":["city_felling_strike","meteor_pierce_moon"]}</t>
        </is>
      </c>
    </row>
    <row r="174">
      <c r="A174" s="2" t="inlineStr">
        <is>
          <t>huashan_lunjian_advanced</t>
        </is>
      </c>
      <c r="B174" s="2" t="inlineStr">
        <is>
          <t>华山论剑</t>
        </is>
      </c>
      <c r="C174" s="2" t="inlineStr">
        <is>
          <t>个人任务</t>
        </is>
      </c>
      <c r="D174" s="2" t="inlineStr">
        <is>
          <t>门客</t>
        </is>
      </c>
      <c r="E174" s="2" t="inlineStr">
        <is>
          <t>hero_xiaoyao_zi</t>
        </is>
      </c>
      <c r="F174" s="2" t="n">
        <v>1</v>
      </c>
      <c r="G174" s="2" t="inlineStr">
        <is>
          <t>逍遥子</t>
        </is>
      </c>
      <c r="H174" s="2" t="inlineStr">
        <is>
          <t>太乙生风、销魂蚀骨</t>
        </is>
      </c>
      <c r="I174" s="2" t="n">
        <v>10</v>
      </c>
      <c r="J174" s="2" t="n">
        <v>100</v>
      </c>
      <c r="K174" s="4" t="n">
        <v>0.68</v>
      </c>
      <c r="L174" s="2" t="inlineStr">
        <is>
          <t>data/mission_templates.yaml:L1437:enemy_guests</t>
        </is>
      </c>
      <c r="M174" s="2" t="inlineStr">
        <is>
          <t>{"key":"hero_xiaoyao_zi","label":"逍遥子","skills":["taiyi_wind","soul_erode"]}</t>
        </is>
      </c>
    </row>
    <row r="175">
      <c r="A175" s="2" t="inlineStr">
        <is>
          <t>huashan_lunjian_advanced</t>
        </is>
      </c>
      <c r="B175" s="2" t="inlineStr">
        <is>
          <t>华山论剑</t>
        </is>
      </c>
      <c r="C175" s="2" t="inlineStr">
        <is>
          <t>个人任务</t>
        </is>
      </c>
      <c r="D175" s="2" t="inlineStr">
        <is>
          <t>门客</t>
        </is>
      </c>
      <c r="E175" s="2" t="inlineStr">
        <is>
          <t>hero_wang_chongyang</t>
        </is>
      </c>
      <c r="F175" s="2" t="n">
        <v>1</v>
      </c>
      <c r="G175" s="2" t="inlineStr">
        <is>
          <t>王重阳</t>
        </is>
      </c>
      <c r="H175" s="2" t="inlineStr">
        <is>
          <t>雷动九天、同袍号令</t>
        </is>
      </c>
      <c r="I175" s="2" t="n">
        <v>10</v>
      </c>
      <c r="J175" s="2" t="n">
        <v>100</v>
      </c>
      <c r="K175" s="4" t="n">
        <v>0.68</v>
      </c>
      <c r="L175" s="2" t="inlineStr">
        <is>
          <t>data/mission_templates.yaml:L1437:enemy_guests</t>
        </is>
      </c>
      <c r="M175" s="2" t="inlineStr">
        <is>
          <t>{"key":"hero_wang_chongyang","label":"王重阳","skills":["thunder_nine_heavens","comrade_command"]}</t>
        </is>
      </c>
    </row>
    <row r="176">
      <c r="A176" s="2" t="inlineStr">
        <is>
          <t>sishui_huaxiong_chengwei</t>
        </is>
      </c>
      <c r="B176" s="2" t="inlineStr">
        <is>
          <t>飞将浮沉录：汜水关华雄逞威</t>
        </is>
      </c>
      <c r="C176" s="2" t="inlineStr">
        <is>
          <t>个人任务</t>
        </is>
      </c>
      <c r="D176" s="2" t="inlineStr">
        <is>
          <t>门客</t>
        </is>
      </c>
      <c r="E176" s="2" t="inlineStr">
        <is>
          <t>task_sishui_huaxiong</t>
        </is>
      </c>
      <c r="F176" s="2" t="n">
        <v>1</v>
      </c>
      <c r="G176" s="2" t="inlineStr">
        <is>
          <t>华雄</t>
        </is>
      </c>
      <c r="H176" s="2" t="inlineStr">
        <is>
          <t>使用模板默认技能</t>
        </is>
      </c>
      <c r="I176" s="2" t="n">
        <v>10</v>
      </c>
      <c r="J176" s="2" t="n">
        <v>92</v>
      </c>
      <c r="K176" s="4" t="n">
        <v>0.58</v>
      </c>
      <c r="L176" s="2" t="inlineStr">
        <is>
          <t>data/mission_templates.yaml:L1511:enemy_guests</t>
        </is>
      </c>
      <c r="M176" s="2" t="inlineStr">
        <is>
          <t>{"key":"task_sishui_huaxiong","label":"华雄"}</t>
        </is>
      </c>
    </row>
    <row r="177">
      <c r="A177" s="2" t="inlineStr">
        <is>
          <t>sishui_huaxiong_chengwei</t>
        </is>
      </c>
      <c r="B177" s="2" t="inlineStr">
        <is>
          <t>飞将浮沉录：汜水关华雄逞威</t>
        </is>
      </c>
      <c r="C177" s="2" t="inlineStr">
        <is>
          <t>个人任务</t>
        </is>
      </c>
      <c r="D177" s="2" t="inlineStr">
        <is>
          <t>护院</t>
        </is>
      </c>
      <c r="E177" s="2" t="inlineStr">
        <is>
          <t>dao_sheng</t>
        </is>
      </c>
      <c r="F177" s="2" t="n">
        <v>1200</v>
      </c>
      <c r="G177" s="2" t="inlineStr">
        <is>
          <t>刀圣</t>
        </is>
      </c>
      <c r="H177" s="2" t="inlineStr"/>
      <c r="I177" s="2" t="n">
        <v>10</v>
      </c>
      <c r="J177" s="2" t="n"/>
      <c r="K177" s="4" t="n"/>
      <c r="L177" s="2" t="inlineStr">
        <is>
          <t>data/mission_templates.yaml:L1511:enemy_troops</t>
        </is>
      </c>
      <c r="M177" s="2" t="inlineStr">
        <is>
          <t>{"dao_sheng":1200}</t>
        </is>
      </c>
    </row>
    <row r="178">
      <c r="A178" s="2" t="inlineStr">
        <is>
          <t>sishui_huaxiong_chengwei</t>
        </is>
      </c>
      <c r="B178" s="2" t="inlineStr">
        <is>
          <t>飞将浮沉录：汜水关华雄逞威</t>
        </is>
      </c>
      <c r="C178" s="2" t="inlineStr">
        <is>
          <t>个人任务</t>
        </is>
      </c>
      <c r="D178" s="2" t="inlineStr">
        <is>
          <t>护院</t>
        </is>
      </c>
      <c r="E178" s="2" t="inlineStr">
        <is>
          <t>qiang_wang</t>
        </is>
      </c>
      <c r="F178" s="2" t="n">
        <v>1100</v>
      </c>
      <c r="G178" s="2" t="inlineStr">
        <is>
          <t>枪王</t>
        </is>
      </c>
      <c r="H178" s="2" t="inlineStr"/>
      <c r="I178" s="2" t="n">
        <v>10</v>
      </c>
      <c r="J178" s="2" t="n"/>
      <c r="K178" s="4" t="n"/>
      <c r="L178" s="2" t="inlineStr">
        <is>
          <t>data/mission_templates.yaml:L1511:enemy_troops</t>
        </is>
      </c>
      <c r="M178" s="2" t="inlineStr">
        <is>
          <t>{"qiang_wang":1100}</t>
        </is>
      </c>
    </row>
    <row r="179">
      <c r="A179" s="2" t="inlineStr">
        <is>
          <t>sishui_huaxiong_chengwei</t>
        </is>
      </c>
      <c r="B179" s="2" t="inlineStr">
        <is>
          <t>飞将浮沉录：汜水关华雄逞威</t>
        </is>
      </c>
      <c r="C179" s="2" t="inlineStr">
        <is>
          <t>个人任务</t>
        </is>
      </c>
      <c r="D179" s="2" t="inlineStr">
        <is>
          <t>护院</t>
        </is>
      </c>
      <c r="E179" s="2" t="inlineStr">
        <is>
          <t>arrow_god</t>
        </is>
      </c>
      <c r="F179" s="2" t="n">
        <v>900</v>
      </c>
      <c r="G179" s="2" t="inlineStr">
        <is>
          <t>箭神</t>
        </is>
      </c>
      <c r="H179" s="2" t="inlineStr"/>
      <c r="I179" s="2" t="n">
        <v>10</v>
      </c>
      <c r="J179" s="2" t="n"/>
      <c r="K179" s="4" t="n"/>
      <c r="L179" s="2" t="inlineStr">
        <is>
          <t>data/mission_templates.yaml:L1511:enemy_troops</t>
        </is>
      </c>
      <c r="M179" s="2" t="inlineStr">
        <is>
          <t>{"arrow_god":900}</t>
        </is>
      </c>
    </row>
    <row r="180">
      <c r="A180" s="2" t="inlineStr">
        <is>
          <t>hulao_qunying_zhan_lvbu</t>
        </is>
      </c>
      <c r="B180" s="2" t="inlineStr">
        <is>
          <t>飞将浮沉录：虎牢关群英战吕布</t>
        </is>
      </c>
      <c r="C180" s="2" t="inlineStr">
        <is>
          <t>个人任务</t>
        </is>
      </c>
      <c r="D180" s="2" t="inlineStr">
        <is>
          <t>门客</t>
        </is>
      </c>
      <c r="E180" s="2" t="inlineStr">
        <is>
          <t>task_hulao_lvbu</t>
        </is>
      </c>
      <c r="F180" s="2" t="n">
        <v>1</v>
      </c>
      <c r="G180" s="2" t="inlineStr">
        <is>
          <t>吕布</t>
        </is>
      </c>
      <c r="H180" s="2" t="inlineStr">
        <is>
          <t>龙吟破阵</t>
        </is>
      </c>
      <c r="I180" s="2" t="n">
        <v>10</v>
      </c>
      <c r="J180" s="2" t="n">
        <v>100</v>
      </c>
      <c r="K180" s="4" t="n">
        <v>0.72</v>
      </c>
      <c r="L180" s="2" t="inlineStr">
        <is>
          <t>data/mission_templates.yaml:L1556:enemy_guests</t>
        </is>
      </c>
      <c r="M180" s="2" t="inlineStr">
        <is>
          <t>{"key":"task_hulao_lvbu","label":"吕布"}</t>
        </is>
      </c>
    </row>
    <row r="181">
      <c r="A181" s="2" t="inlineStr">
        <is>
          <t>hulao_qunying_zhan_lvbu</t>
        </is>
      </c>
      <c r="B181" s="2" t="inlineStr">
        <is>
          <t>飞将浮沉录：虎牢关群英战吕布</t>
        </is>
      </c>
      <c r="C181" s="2" t="inlineStr">
        <is>
          <t>个人任务</t>
        </is>
      </c>
      <c r="D181" s="2" t="inlineStr">
        <is>
          <t>护院</t>
        </is>
      </c>
      <c r="E181" s="2" t="inlineStr">
        <is>
          <t>dao_sheng</t>
        </is>
      </c>
      <c r="F181" s="2" t="n">
        <v>1500</v>
      </c>
      <c r="G181" s="2" t="inlineStr">
        <is>
          <t>刀圣</t>
        </is>
      </c>
      <c r="H181" s="2" t="inlineStr"/>
      <c r="I181" s="2" t="n">
        <v>10</v>
      </c>
      <c r="J181" s="2" t="n"/>
      <c r="K181" s="4" t="n"/>
      <c r="L181" s="2" t="inlineStr">
        <is>
          <t>data/mission_templates.yaml:L1556:enemy_troops</t>
        </is>
      </c>
      <c r="M181" s="2" t="inlineStr">
        <is>
          <t>{"dao_sheng":1500}</t>
        </is>
      </c>
    </row>
    <row r="182">
      <c r="A182" s="2" t="inlineStr">
        <is>
          <t>hulao_qunying_zhan_lvbu</t>
        </is>
      </c>
      <c r="B182" s="2" t="inlineStr">
        <is>
          <t>飞将浮沉录：虎牢关群英战吕布</t>
        </is>
      </c>
      <c r="C182" s="2" t="inlineStr">
        <is>
          <t>个人任务</t>
        </is>
      </c>
      <c r="D182" s="2" t="inlineStr">
        <is>
          <t>护院</t>
        </is>
      </c>
      <c r="E182" s="2" t="inlineStr">
        <is>
          <t>qiang_wang</t>
        </is>
      </c>
      <c r="F182" s="2" t="n">
        <v>1500</v>
      </c>
      <c r="G182" s="2" t="inlineStr">
        <is>
          <t>枪王</t>
        </is>
      </c>
      <c r="H182" s="2" t="inlineStr"/>
      <c r="I182" s="2" t="n">
        <v>10</v>
      </c>
      <c r="J182" s="2" t="n"/>
      <c r="K182" s="4" t="n"/>
      <c r="L182" s="2" t="inlineStr">
        <is>
          <t>data/mission_templates.yaml:L1556:enemy_troops</t>
        </is>
      </c>
      <c r="M182" s="2" t="inlineStr">
        <is>
          <t>{"qiang_wang":1500}</t>
        </is>
      </c>
    </row>
    <row r="183">
      <c r="A183" s="2" t="inlineStr">
        <is>
          <t>hulao_qunying_zhan_lvbu</t>
        </is>
      </c>
      <c r="B183" s="2" t="inlineStr">
        <is>
          <t>飞将浮沉录：虎牢关群英战吕布</t>
        </is>
      </c>
      <c r="C183" s="2" t="inlineStr">
        <is>
          <t>个人任务</t>
        </is>
      </c>
      <c r="D183" s="2" t="inlineStr">
        <is>
          <t>护院</t>
        </is>
      </c>
      <c r="E183" s="2" t="inlineStr">
        <is>
          <t>jian_sheng</t>
        </is>
      </c>
      <c r="F183" s="2" t="n">
        <v>1300</v>
      </c>
      <c r="G183" s="2" t="inlineStr">
        <is>
          <t>剑圣</t>
        </is>
      </c>
      <c r="H183" s="2" t="inlineStr"/>
      <c r="I183" s="2" t="n">
        <v>10</v>
      </c>
      <c r="J183" s="2" t="n"/>
      <c r="K183" s="4" t="n"/>
      <c r="L183" s="2" t="inlineStr">
        <is>
          <t>data/mission_templates.yaml:L1556:enemy_troops</t>
        </is>
      </c>
      <c r="M183" s="2" t="inlineStr">
        <is>
          <t>{"jian_sheng":1300}</t>
        </is>
      </c>
    </row>
    <row r="184">
      <c r="A184" s="2" t="inlineStr">
        <is>
          <t>hulao_qunying_zhan_lvbu</t>
        </is>
      </c>
      <c r="B184" s="2" t="inlineStr">
        <is>
          <t>飞将浮沉录：虎牢关群英战吕布</t>
        </is>
      </c>
      <c r="C184" s="2" t="inlineStr">
        <is>
          <t>个人任务</t>
        </is>
      </c>
      <c r="D184" s="2" t="inlineStr">
        <is>
          <t>护院</t>
        </is>
      </c>
      <c r="E184" s="2" t="inlineStr">
        <is>
          <t>quan_sheng</t>
        </is>
      </c>
      <c r="F184" s="2" t="n">
        <v>1000</v>
      </c>
      <c r="G184" s="2" t="inlineStr">
        <is>
          <t>拳圣</t>
        </is>
      </c>
      <c r="H184" s="2" t="inlineStr"/>
      <c r="I184" s="2" t="n">
        <v>10</v>
      </c>
      <c r="J184" s="2" t="n"/>
      <c r="K184" s="4" t="n"/>
      <c r="L184" s="2" t="inlineStr">
        <is>
          <t>data/mission_templates.yaml:L1556:enemy_troops</t>
        </is>
      </c>
      <c r="M184" s="2" t="inlineStr">
        <is>
          <t>{"quan_sheng":1000}</t>
        </is>
      </c>
    </row>
    <row r="185">
      <c r="A185" s="2" t="inlineStr">
        <is>
          <t>hulao_qunying_zhan_lvbu</t>
        </is>
      </c>
      <c r="B185" s="2" t="inlineStr">
        <is>
          <t>飞将浮沉录：虎牢关群英战吕布</t>
        </is>
      </c>
      <c r="C185" s="2" t="inlineStr">
        <is>
          <t>个人任务</t>
        </is>
      </c>
      <c r="D185" s="2" t="inlineStr">
        <is>
          <t>护院</t>
        </is>
      </c>
      <c r="E185" s="2" t="inlineStr">
        <is>
          <t>arrow_god</t>
        </is>
      </c>
      <c r="F185" s="2" t="n">
        <v>1300</v>
      </c>
      <c r="G185" s="2" t="inlineStr">
        <is>
          <t>箭神</t>
        </is>
      </c>
      <c r="H185" s="2" t="inlineStr"/>
      <c r="I185" s="2" t="n">
        <v>10</v>
      </c>
      <c r="J185" s="2" t="n"/>
      <c r="K185" s="4" t="n"/>
      <c r="L185" s="2" t="inlineStr">
        <is>
          <t>data/mission_templates.yaml:L1556:enemy_troops</t>
        </is>
      </c>
      <c r="M185" s="2" t="inlineStr">
        <is>
          <t>{"arrow_god":1300}</t>
        </is>
      </c>
    </row>
    <row r="186">
      <c r="A186" s="2" t="inlineStr">
        <is>
          <t>baimenlou_mingyun_jueze</t>
        </is>
      </c>
      <c r="B186" s="2" t="inlineStr">
        <is>
          <t>飞将浮沉录：白门楼命运抉择</t>
        </is>
      </c>
      <c r="C186" s="2" t="inlineStr">
        <is>
          <t>个人任务</t>
        </is>
      </c>
      <c r="D186" s="2" t="inlineStr">
        <is>
          <t>门客</t>
        </is>
      </c>
      <c r="E186" s="2" t="inlineStr">
        <is>
          <t>task_baimenlou_lvbu</t>
        </is>
      </c>
      <c r="F186" s="2" t="n">
        <v>1</v>
      </c>
      <c r="G186" s="2" t="inlineStr">
        <is>
          <t>吕布</t>
        </is>
      </c>
      <c r="H186" s="2" t="inlineStr">
        <is>
          <t>使用模板默认技能</t>
        </is>
      </c>
      <c r="I186" s="2" t="n">
        <v>10</v>
      </c>
      <c r="J186" s="2" t="n">
        <v>100</v>
      </c>
      <c r="K186" s="4" t="n">
        <v>0.8</v>
      </c>
      <c r="L186" s="2" t="inlineStr">
        <is>
          <t>data/mission_templates.yaml:L1602:enemy_guests</t>
        </is>
      </c>
      <c r="M186" s="2" t="inlineStr">
        <is>
          <t>{"key":"task_baimenlou_lvbu","label":"吕布"}</t>
        </is>
      </c>
    </row>
    <row r="187">
      <c r="A187" s="2" t="inlineStr">
        <is>
          <t>baimenlou_mingyun_jueze</t>
        </is>
      </c>
      <c r="B187" s="2" t="inlineStr">
        <is>
          <t>飞将浮沉录：白门楼命运抉择</t>
        </is>
      </c>
      <c r="C187" s="2" t="inlineStr">
        <is>
          <t>个人任务</t>
        </is>
      </c>
      <c r="D187" s="2" t="inlineStr">
        <is>
          <t>门客</t>
        </is>
      </c>
      <c r="E187" s="2" t="inlineStr">
        <is>
          <t>task_baimenlou_gaoshun</t>
        </is>
      </c>
      <c r="F187" s="2" t="n">
        <v>1</v>
      </c>
      <c r="G187" s="2" t="inlineStr">
        <is>
          <t>高顺</t>
        </is>
      </c>
      <c r="H187" s="2" t="inlineStr">
        <is>
          <t>使用模板默认技能</t>
        </is>
      </c>
      <c r="I187" s="2" t="n">
        <v>10</v>
      </c>
      <c r="J187" s="2" t="n">
        <v>100</v>
      </c>
      <c r="K187" s="4" t="n">
        <v>0.8</v>
      </c>
      <c r="L187" s="2" t="inlineStr">
        <is>
          <t>data/mission_templates.yaml:L1602:enemy_guests</t>
        </is>
      </c>
      <c r="M187" s="2" t="inlineStr">
        <is>
          <t>{"key":"task_baimenlou_gaoshun","label":"高顺"}</t>
        </is>
      </c>
    </row>
    <row r="188">
      <c r="A188" s="2" t="inlineStr">
        <is>
          <t>baimenlou_mingyun_jueze</t>
        </is>
      </c>
      <c r="B188" s="2" t="inlineStr">
        <is>
          <t>飞将浮沉录：白门楼命运抉择</t>
        </is>
      </c>
      <c r="C188" s="2" t="inlineStr">
        <is>
          <t>个人任务</t>
        </is>
      </c>
      <c r="D188" s="2" t="inlineStr">
        <is>
          <t>门客</t>
        </is>
      </c>
      <c r="E188" s="2" t="inlineStr">
        <is>
          <t>task_baimenlou_zhangliao</t>
        </is>
      </c>
      <c r="F188" s="2" t="n">
        <v>1</v>
      </c>
      <c r="G188" s="2" t="inlineStr">
        <is>
          <t>张辽</t>
        </is>
      </c>
      <c r="H188" s="2" t="inlineStr">
        <is>
          <t>使用模板默认技能</t>
        </is>
      </c>
      <c r="I188" s="2" t="n">
        <v>10</v>
      </c>
      <c r="J188" s="2" t="n">
        <v>100</v>
      </c>
      <c r="K188" s="4" t="n">
        <v>0.8</v>
      </c>
      <c r="L188" s="2" t="inlineStr">
        <is>
          <t>data/mission_templates.yaml:L1602:enemy_guests</t>
        </is>
      </c>
      <c r="M188" s="2" t="inlineStr">
        <is>
          <t>{"key":"task_baimenlou_zhangliao","label":"张辽"}</t>
        </is>
      </c>
    </row>
    <row r="189">
      <c r="A189" s="2" t="inlineStr">
        <is>
          <t>baimenlou_mingyun_jueze</t>
        </is>
      </c>
      <c r="B189" s="2" t="inlineStr">
        <is>
          <t>飞将浮沉录：白门楼命运抉择</t>
        </is>
      </c>
      <c r="C189" s="2" t="inlineStr">
        <is>
          <t>个人任务</t>
        </is>
      </c>
      <c r="D189" s="2" t="inlineStr">
        <is>
          <t>门客</t>
        </is>
      </c>
      <c r="E189" s="2" t="inlineStr">
        <is>
          <t>task_baimenlou_chengong</t>
        </is>
      </c>
      <c r="F189" s="2" t="n">
        <v>1</v>
      </c>
      <c r="G189" s="2" t="inlineStr">
        <is>
          <t>陈宫</t>
        </is>
      </c>
      <c r="H189" s="2" t="inlineStr">
        <is>
          <t>使用模板默认技能</t>
        </is>
      </c>
      <c r="I189" s="2" t="n">
        <v>10</v>
      </c>
      <c r="J189" s="2" t="n">
        <v>100</v>
      </c>
      <c r="K189" s="4" t="n">
        <v>0.8</v>
      </c>
      <c r="L189" s="2" t="inlineStr">
        <is>
          <t>data/mission_templates.yaml:L1602:enemy_guests</t>
        </is>
      </c>
      <c r="M189" s="2" t="inlineStr">
        <is>
          <t>{"key":"task_baimenlou_chengong","label":"陈宫"}</t>
        </is>
      </c>
    </row>
    <row r="190">
      <c r="A190" s="2" t="inlineStr">
        <is>
          <t>baimenlou_mingyun_jueze</t>
        </is>
      </c>
      <c r="B190" s="2" t="inlineStr">
        <is>
          <t>飞将浮沉录：白门楼命运抉择</t>
        </is>
      </c>
      <c r="C190" s="2" t="inlineStr">
        <is>
          <t>个人任务</t>
        </is>
      </c>
      <c r="D190" s="2" t="inlineStr">
        <is>
          <t>门客</t>
        </is>
      </c>
      <c r="E190" s="2" t="inlineStr">
        <is>
          <t>task_baimenlou_zangba</t>
        </is>
      </c>
      <c r="F190" s="2" t="n">
        <v>1</v>
      </c>
      <c r="G190" s="2" t="inlineStr">
        <is>
          <t>臧霸</t>
        </is>
      </c>
      <c r="H190" s="2" t="inlineStr">
        <is>
          <t>使用模板默认技能</t>
        </is>
      </c>
      <c r="I190" s="2" t="n">
        <v>10</v>
      </c>
      <c r="J190" s="2" t="n">
        <v>100</v>
      </c>
      <c r="K190" s="4" t="n">
        <v>0.8</v>
      </c>
      <c r="L190" s="2" t="inlineStr">
        <is>
          <t>data/mission_templates.yaml:L1602:enemy_guests</t>
        </is>
      </c>
      <c r="M190" s="2" t="inlineStr">
        <is>
          <t>{"key":"task_baimenlou_zangba","label":"臧霸"}</t>
        </is>
      </c>
    </row>
    <row r="191">
      <c r="A191" s="2" t="inlineStr">
        <is>
          <t>baimenlou_mingyun_jueze</t>
        </is>
      </c>
      <c r="B191" s="2" t="inlineStr">
        <is>
          <t>飞将浮沉录：白门楼命运抉择</t>
        </is>
      </c>
      <c r="C191" s="2" t="inlineStr">
        <is>
          <t>个人任务</t>
        </is>
      </c>
      <c r="D191" s="2" t="inlineStr">
        <is>
          <t>护院</t>
        </is>
      </c>
      <c r="E191" s="2" t="inlineStr">
        <is>
          <t>dao_sheng</t>
        </is>
      </c>
      <c r="F191" s="2" t="n">
        <v>1800</v>
      </c>
      <c r="G191" s="2" t="inlineStr">
        <is>
          <t>刀圣</t>
        </is>
      </c>
      <c r="H191" s="2" t="inlineStr"/>
      <c r="I191" s="2" t="n">
        <v>10</v>
      </c>
      <c r="J191" s="2" t="n"/>
      <c r="K191" s="4" t="n"/>
      <c r="L191" s="2" t="inlineStr">
        <is>
          <t>data/mission_templates.yaml:L1602:enemy_troops</t>
        </is>
      </c>
      <c r="M191" s="2" t="inlineStr">
        <is>
          <t>{"dao_sheng":1800}</t>
        </is>
      </c>
    </row>
    <row r="192">
      <c r="A192" s="2" t="inlineStr">
        <is>
          <t>baimenlou_mingyun_jueze</t>
        </is>
      </c>
      <c r="B192" s="2" t="inlineStr">
        <is>
          <t>飞将浮沉录：白门楼命运抉择</t>
        </is>
      </c>
      <c r="C192" s="2" t="inlineStr">
        <is>
          <t>个人任务</t>
        </is>
      </c>
      <c r="D192" s="2" t="inlineStr">
        <is>
          <t>护院</t>
        </is>
      </c>
      <c r="E192" s="2" t="inlineStr">
        <is>
          <t>qiang_wang</t>
        </is>
      </c>
      <c r="F192" s="2" t="n">
        <v>1700</v>
      </c>
      <c r="G192" s="2" t="inlineStr">
        <is>
          <t>枪王</t>
        </is>
      </c>
      <c r="H192" s="2" t="inlineStr"/>
      <c r="I192" s="2" t="n">
        <v>10</v>
      </c>
      <c r="J192" s="2" t="n"/>
      <c r="K192" s="4" t="n"/>
      <c r="L192" s="2" t="inlineStr">
        <is>
          <t>data/mission_templates.yaml:L1602:enemy_troops</t>
        </is>
      </c>
      <c r="M192" s="2" t="inlineStr">
        <is>
          <t>{"qiang_wang":1700}</t>
        </is>
      </c>
    </row>
    <row r="193">
      <c r="A193" s="2" t="inlineStr">
        <is>
          <t>baimenlou_mingyun_jueze</t>
        </is>
      </c>
      <c r="B193" s="2" t="inlineStr">
        <is>
          <t>飞将浮沉录：白门楼命运抉择</t>
        </is>
      </c>
      <c r="C193" s="2" t="inlineStr">
        <is>
          <t>个人任务</t>
        </is>
      </c>
      <c r="D193" s="2" t="inlineStr">
        <is>
          <t>护院</t>
        </is>
      </c>
      <c r="E193" s="2" t="inlineStr">
        <is>
          <t>jian_sheng</t>
        </is>
      </c>
      <c r="F193" s="2" t="n">
        <v>1600</v>
      </c>
      <c r="G193" s="2" t="inlineStr">
        <is>
          <t>剑圣</t>
        </is>
      </c>
      <c r="H193" s="2" t="inlineStr"/>
      <c r="I193" s="2" t="n">
        <v>10</v>
      </c>
      <c r="J193" s="2" t="n"/>
      <c r="K193" s="4" t="n"/>
      <c r="L193" s="2" t="inlineStr">
        <is>
          <t>data/mission_templates.yaml:L1602:enemy_troops</t>
        </is>
      </c>
      <c r="M193" s="2" t="inlineStr">
        <is>
          <t>{"jian_sheng":1600}</t>
        </is>
      </c>
    </row>
    <row r="194">
      <c r="A194" s="2" t="inlineStr">
        <is>
          <t>baimenlou_mingyun_jueze</t>
        </is>
      </c>
      <c r="B194" s="2" t="inlineStr">
        <is>
          <t>飞将浮沉录：白门楼命运抉择</t>
        </is>
      </c>
      <c r="C194" s="2" t="inlineStr">
        <is>
          <t>个人任务</t>
        </is>
      </c>
      <c r="D194" s="2" t="inlineStr">
        <is>
          <t>护院</t>
        </is>
      </c>
      <c r="E194" s="2" t="inlineStr">
        <is>
          <t>quan_sheng</t>
        </is>
      </c>
      <c r="F194" s="2" t="n">
        <v>1200</v>
      </c>
      <c r="G194" s="2" t="inlineStr">
        <is>
          <t>拳圣</t>
        </is>
      </c>
      <c r="H194" s="2" t="inlineStr"/>
      <c r="I194" s="2" t="n">
        <v>10</v>
      </c>
      <c r="J194" s="2" t="n"/>
      <c r="K194" s="4" t="n"/>
      <c r="L194" s="2" t="inlineStr">
        <is>
          <t>data/mission_templates.yaml:L1602:enemy_troops</t>
        </is>
      </c>
      <c r="M194" s="2" t="inlineStr">
        <is>
          <t>{"quan_sheng":1200}</t>
        </is>
      </c>
    </row>
    <row r="195">
      <c r="A195" s="2" t="inlineStr">
        <is>
          <t>baimenlou_mingyun_jueze</t>
        </is>
      </c>
      <c r="B195" s="2" t="inlineStr">
        <is>
          <t>飞将浮沉录：白门楼命运抉择</t>
        </is>
      </c>
      <c r="C195" s="2" t="inlineStr">
        <is>
          <t>个人任务</t>
        </is>
      </c>
      <c r="D195" s="2" t="inlineStr">
        <is>
          <t>护院</t>
        </is>
      </c>
      <c r="E195" s="2" t="inlineStr">
        <is>
          <t>arrow_god</t>
        </is>
      </c>
      <c r="F195" s="2" t="n">
        <v>1500</v>
      </c>
      <c r="G195" s="2" t="inlineStr">
        <is>
          <t>箭神</t>
        </is>
      </c>
      <c r="H195" s="2" t="inlineStr"/>
      <c r="I195" s="2" t="n">
        <v>10</v>
      </c>
      <c r="J195" s="2" t="n"/>
      <c r="K195" s="4" t="n"/>
      <c r="L195" s="2" t="inlineStr">
        <is>
          <t>data/mission_templates.yaml:L1602:enemy_troops</t>
        </is>
      </c>
      <c r="M195" s="2" t="inlineStr">
        <is>
          <t>{"arrow_god":1500}</t>
        </is>
      </c>
    </row>
    <row r="196">
      <c r="A196" s="2" t="inlineStr">
        <is>
          <t>guild_patrol_alpha</t>
        </is>
      </c>
      <c r="B196" s="2" t="inlineStr">
        <is>
          <t>夜袭乌鳞寨</t>
        </is>
      </c>
      <c r="C196" s="2" t="inlineStr">
        <is>
          <t>帮会任务</t>
        </is>
      </c>
      <c r="D196" s="2" t="inlineStr">
        <is>
          <t>门客</t>
        </is>
      </c>
      <c r="E196" s="2" t="inlineStr">
        <is>
          <t>guild_wulinzhai_zhai_zhu</t>
        </is>
      </c>
      <c r="F196" s="2" t="n">
        <v>1</v>
      </c>
      <c r="G196" s="2" t="inlineStr">
        <is>
          <t>乌鳞寨寨主</t>
        </is>
      </c>
      <c r="H196" s="2" t="inlineStr">
        <is>
          <t>使用模板默认技能</t>
        </is>
      </c>
      <c r="I196" s="2" t="n">
        <v>7</v>
      </c>
      <c r="J196" s="2" t="n">
        <v>88</v>
      </c>
      <c r="K196" s="4" t="n">
        <v>0.36</v>
      </c>
      <c r="L196" s="2" t="inlineStr">
        <is>
          <t>data/guild_mission_templates.yaml:L9:enemy_guests</t>
        </is>
      </c>
      <c r="M196" s="2" t="inlineStr">
        <is>
          <t>{"template_key":"guild_wulinzhai_zhai_zhu"}</t>
        </is>
      </c>
    </row>
    <row r="197">
      <c r="A197" s="2" t="inlineStr">
        <is>
          <t>guild_patrol_alpha</t>
        </is>
      </c>
      <c r="B197" s="2" t="inlineStr">
        <is>
          <t>夜袭乌鳞寨</t>
        </is>
      </c>
      <c r="C197" s="2" t="inlineStr">
        <is>
          <t>帮会任务</t>
        </is>
      </c>
      <c r="D197" s="2" t="inlineStr">
        <is>
          <t>门客</t>
        </is>
      </c>
      <c r="E197" s="2" t="inlineStr">
        <is>
          <t>guild_wulinzhai_junshi</t>
        </is>
      </c>
      <c r="F197" s="2" t="n">
        <v>1</v>
      </c>
      <c r="G197" s="2" t="inlineStr">
        <is>
          <t>乌鳞寨军师</t>
        </is>
      </c>
      <c r="H197" s="2" t="inlineStr">
        <is>
          <t>使用模板默认技能</t>
        </is>
      </c>
      <c r="I197" s="2" t="n">
        <v>7</v>
      </c>
      <c r="J197" s="2" t="n">
        <v>88</v>
      </c>
      <c r="K197" s="4" t="n">
        <v>0.36</v>
      </c>
      <c r="L197" s="2" t="inlineStr">
        <is>
          <t>data/guild_mission_templates.yaml:L9:enemy_guests</t>
        </is>
      </c>
      <c r="M197" s="2" t="inlineStr">
        <is>
          <t>{"template_key":"guild_wulinzhai_junshi"}</t>
        </is>
      </c>
    </row>
    <row r="198">
      <c r="A198" s="2" t="inlineStr">
        <is>
          <t>guild_patrol_alpha</t>
        </is>
      </c>
      <c r="B198" s="2" t="inlineStr">
        <is>
          <t>夜袭乌鳞寨</t>
        </is>
      </c>
      <c r="C198" s="2" t="inlineStr">
        <is>
          <t>帮会任务</t>
        </is>
      </c>
      <c r="D198" s="2" t="inlineStr">
        <is>
          <t>门客</t>
        </is>
      </c>
      <c r="E198" s="2" t="inlineStr">
        <is>
          <t>guild_wulinzhai_night_watch</t>
        </is>
      </c>
      <c r="F198" s="2" t="n">
        <v>1</v>
      </c>
      <c r="G198" s="2" t="inlineStr">
        <is>
          <t>乌鳞夜哨</t>
        </is>
      </c>
      <c r="H198" s="2" t="inlineStr">
        <is>
          <t>使用模板默认技能</t>
        </is>
      </c>
      <c r="I198" s="2" t="n">
        <v>7</v>
      </c>
      <c r="J198" s="2" t="n">
        <v>88</v>
      </c>
      <c r="K198" s="4" t="n">
        <v>0.36</v>
      </c>
      <c r="L198" s="2" t="inlineStr">
        <is>
          <t>data/guild_mission_templates.yaml:L9:enemy_guests</t>
        </is>
      </c>
      <c r="M198" s="2" t="inlineStr">
        <is>
          <t>{"template_key":"guild_wulinzhai_night_watch"}</t>
        </is>
      </c>
    </row>
    <row r="199">
      <c r="A199" s="2" t="inlineStr">
        <is>
          <t>guild_patrol_alpha</t>
        </is>
      </c>
      <c r="B199" s="2" t="inlineStr">
        <is>
          <t>夜袭乌鳞寨</t>
        </is>
      </c>
      <c r="C199" s="2" t="inlineStr">
        <is>
          <t>帮会任务</t>
        </is>
      </c>
      <c r="D199" s="2" t="inlineStr">
        <is>
          <t>门客</t>
        </is>
      </c>
      <c r="E199" s="2" t="inlineStr">
        <is>
          <t>guild_wulinzhai_blade_ambusher</t>
        </is>
      </c>
      <c r="F199" s="2" t="n">
        <v>1</v>
      </c>
      <c r="G199" s="2" t="inlineStr">
        <is>
          <t>乌鳞伏刀手</t>
        </is>
      </c>
      <c r="H199" s="2" t="inlineStr">
        <is>
          <t>使用模板默认技能</t>
        </is>
      </c>
      <c r="I199" s="2" t="n">
        <v>7</v>
      </c>
      <c r="J199" s="2" t="n">
        <v>88</v>
      </c>
      <c r="K199" s="4" t="n">
        <v>0.36</v>
      </c>
      <c r="L199" s="2" t="inlineStr">
        <is>
          <t>data/guild_mission_templates.yaml:L9:enemy_guests</t>
        </is>
      </c>
      <c r="M199" s="2" t="inlineStr">
        <is>
          <t>{"template_key":"guild_wulinzhai_blade_ambusher"}</t>
        </is>
      </c>
    </row>
    <row r="200">
      <c r="A200" s="2" t="inlineStr">
        <is>
          <t>guild_patrol_alpha</t>
        </is>
      </c>
      <c r="B200" s="2" t="inlineStr">
        <is>
          <t>夜袭乌鳞寨</t>
        </is>
      </c>
      <c r="C200" s="2" t="inlineStr">
        <is>
          <t>帮会任务</t>
        </is>
      </c>
      <c r="D200" s="2" t="inlineStr">
        <is>
          <t>门客</t>
        </is>
      </c>
      <c r="E200" s="2" t="inlineStr">
        <is>
          <t>guild_wulinzhai_blade_ambusher</t>
        </is>
      </c>
      <c r="F200" s="2" t="n">
        <v>1</v>
      </c>
      <c r="G200" s="2" t="inlineStr">
        <is>
          <t>乌鳞伏刀手</t>
        </is>
      </c>
      <c r="H200" s="2" t="inlineStr">
        <is>
          <t>使用模板默认技能</t>
        </is>
      </c>
      <c r="I200" s="2" t="n">
        <v>7</v>
      </c>
      <c r="J200" s="2" t="n">
        <v>88</v>
      </c>
      <c r="K200" s="4" t="n">
        <v>0.36</v>
      </c>
      <c r="L200" s="2" t="inlineStr">
        <is>
          <t>data/guild_mission_templates.yaml:L9:enemy_guests</t>
        </is>
      </c>
      <c r="M200" s="2" t="inlineStr">
        <is>
          <t>{"template_key":"guild_wulinzhai_blade_ambusher"}</t>
        </is>
      </c>
    </row>
    <row r="201">
      <c r="A201" s="2" t="inlineStr">
        <is>
          <t>guild_patrol_alpha</t>
        </is>
      </c>
      <c r="B201" s="2" t="inlineStr">
        <is>
          <t>夜袭乌鳞寨</t>
        </is>
      </c>
      <c r="C201" s="2" t="inlineStr">
        <is>
          <t>帮会任务</t>
        </is>
      </c>
      <c r="D201" s="2" t="inlineStr">
        <is>
          <t>门客</t>
        </is>
      </c>
      <c r="E201" s="2" t="inlineStr">
        <is>
          <t>guild_wulinzhai_blade_ambusher</t>
        </is>
      </c>
      <c r="F201" s="2" t="n">
        <v>1</v>
      </c>
      <c r="G201" s="2" t="inlineStr">
        <is>
          <t>乌鳞伏刀手</t>
        </is>
      </c>
      <c r="H201" s="2" t="inlineStr">
        <is>
          <t>使用模板默认技能</t>
        </is>
      </c>
      <c r="I201" s="2" t="n">
        <v>7</v>
      </c>
      <c r="J201" s="2" t="n">
        <v>88</v>
      </c>
      <c r="K201" s="4" t="n">
        <v>0.36</v>
      </c>
      <c r="L201" s="2" t="inlineStr">
        <is>
          <t>data/guild_mission_templates.yaml:L9:enemy_guests</t>
        </is>
      </c>
      <c r="M201" s="2" t="inlineStr">
        <is>
          <t>{"template_key":"guild_wulinzhai_blade_ambusher"}</t>
        </is>
      </c>
    </row>
    <row r="202">
      <c r="A202" s="2" t="inlineStr">
        <is>
          <t>guild_patrol_alpha</t>
        </is>
      </c>
      <c r="B202" s="2" t="inlineStr">
        <is>
          <t>夜袭乌鳞寨</t>
        </is>
      </c>
      <c r="C202" s="2" t="inlineStr">
        <is>
          <t>帮会任务</t>
        </is>
      </c>
      <c r="D202" s="2" t="inlineStr">
        <is>
          <t>门客</t>
        </is>
      </c>
      <c r="E202" s="2" t="inlineStr">
        <is>
          <t>guild_wulinzhai_torch_archer</t>
        </is>
      </c>
      <c r="F202" s="2" t="n">
        <v>1</v>
      </c>
      <c r="G202" s="2" t="inlineStr">
        <is>
          <t>乌鳞火把弓手</t>
        </is>
      </c>
      <c r="H202" s="2" t="inlineStr">
        <is>
          <t>使用模板默认技能</t>
        </is>
      </c>
      <c r="I202" s="2" t="n">
        <v>7</v>
      </c>
      <c r="J202" s="2" t="n">
        <v>88</v>
      </c>
      <c r="K202" s="4" t="n">
        <v>0.36</v>
      </c>
      <c r="L202" s="2" t="inlineStr">
        <is>
          <t>data/guild_mission_templates.yaml:L9:enemy_guests</t>
        </is>
      </c>
      <c r="M202" s="2" t="inlineStr">
        <is>
          <t>{"template_key":"guild_wulinzhai_torch_archer"}</t>
        </is>
      </c>
    </row>
    <row r="203">
      <c r="A203" s="2" t="inlineStr">
        <is>
          <t>guild_patrol_alpha</t>
        </is>
      </c>
      <c r="B203" s="2" t="inlineStr">
        <is>
          <t>夜袭乌鳞寨</t>
        </is>
      </c>
      <c r="C203" s="2" t="inlineStr">
        <is>
          <t>帮会任务</t>
        </is>
      </c>
      <c r="D203" s="2" t="inlineStr">
        <is>
          <t>门客</t>
        </is>
      </c>
      <c r="E203" s="2" t="inlineStr">
        <is>
          <t>guild_wulinzhai_torch_archer</t>
        </is>
      </c>
      <c r="F203" s="2" t="n">
        <v>1</v>
      </c>
      <c r="G203" s="2" t="inlineStr">
        <is>
          <t>乌鳞火把弓手</t>
        </is>
      </c>
      <c r="H203" s="2" t="inlineStr">
        <is>
          <t>使用模板默认技能</t>
        </is>
      </c>
      <c r="I203" s="2" t="n">
        <v>7</v>
      </c>
      <c r="J203" s="2" t="n">
        <v>88</v>
      </c>
      <c r="K203" s="4" t="n">
        <v>0.36</v>
      </c>
      <c r="L203" s="2" t="inlineStr">
        <is>
          <t>data/guild_mission_templates.yaml:L9:enemy_guests</t>
        </is>
      </c>
      <c r="M203" s="2" t="inlineStr">
        <is>
          <t>{"template_key":"guild_wulinzhai_torch_archer"}</t>
        </is>
      </c>
    </row>
    <row r="204">
      <c r="A204" s="2" t="inlineStr">
        <is>
          <t>guild_patrol_alpha</t>
        </is>
      </c>
      <c r="B204" s="2" t="inlineStr">
        <is>
          <t>夜袭乌鳞寨</t>
        </is>
      </c>
      <c r="C204" s="2" t="inlineStr">
        <is>
          <t>帮会任务</t>
        </is>
      </c>
      <c r="D204" s="2" t="inlineStr">
        <is>
          <t>门客</t>
        </is>
      </c>
      <c r="E204" s="2" t="inlineStr">
        <is>
          <t>guild_wulinzhai_torch_archer</t>
        </is>
      </c>
      <c r="F204" s="2" t="n">
        <v>1</v>
      </c>
      <c r="G204" s="2" t="inlineStr">
        <is>
          <t>乌鳞火把弓手</t>
        </is>
      </c>
      <c r="H204" s="2" t="inlineStr">
        <is>
          <t>使用模板默认技能</t>
        </is>
      </c>
      <c r="I204" s="2" t="n">
        <v>7</v>
      </c>
      <c r="J204" s="2" t="n">
        <v>88</v>
      </c>
      <c r="K204" s="4" t="n">
        <v>0.36</v>
      </c>
      <c r="L204" s="2" t="inlineStr">
        <is>
          <t>data/guild_mission_templates.yaml:L9:enemy_guests</t>
        </is>
      </c>
      <c r="M204" s="2" t="inlineStr">
        <is>
          <t>{"template_key":"guild_wulinzhai_torch_archer"}</t>
        </is>
      </c>
    </row>
    <row r="205">
      <c r="A205" s="2" t="inlineStr">
        <is>
          <t>guild_patrol_alpha</t>
        </is>
      </c>
      <c r="B205" s="2" t="inlineStr">
        <is>
          <t>夜袭乌鳞寨</t>
        </is>
      </c>
      <c r="C205" s="2" t="inlineStr">
        <is>
          <t>帮会任务</t>
        </is>
      </c>
      <c r="D205" s="2" t="inlineStr">
        <is>
          <t>门客</t>
        </is>
      </c>
      <c r="E205" s="2" t="inlineStr">
        <is>
          <t>guild_wulinzhai_path_scout</t>
        </is>
      </c>
      <c r="F205" s="2" t="n">
        <v>1</v>
      </c>
      <c r="G205" s="2" t="inlineStr">
        <is>
          <t>乌鳞探路哨</t>
        </is>
      </c>
      <c r="H205" s="2" t="inlineStr">
        <is>
          <t>使用模板默认技能</t>
        </is>
      </c>
      <c r="I205" s="2" t="n">
        <v>7</v>
      </c>
      <c r="J205" s="2" t="n">
        <v>88</v>
      </c>
      <c r="K205" s="4" t="n">
        <v>0.36</v>
      </c>
      <c r="L205" s="2" t="inlineStr">
        <is>
          <t>data/guild_mission_templates.yaml:L9:enemy_guests</t>
        </is>
      </c>
      <c r="M205" s="2" t="inlineStr">
        <is>
          <t>{"template_key":"guild_wulinzhai_path_scout"}</t>
        </is>
      </c>
    </row>
    <row r="206">
      <c r="A206" s="2" t="inlineStr">
        <is>
          <t>guild_patrol_alpha</t>
        </is>
      </c>
      <c r="B206" s="2" t="inlineStr">
        <is>
          <t>夜袭乌鳞寨</t>
        </is>
      </c>
      <c r="C206" s="2" t="inlineStr">
        <is>
          <t>帮会任务</t>
        </is>
      </c>
      <c r="D206" s="2" t="inlineStr">
        <is>
          <t>门客</t>
        </is>
      </c>
      <c r="E206" s="2" t="inlineStr">
        <is>
          <t>guild_wulinzhai_minion</t>
        </is>
      </c>
      <c r="F206" s="2" t="n">
        <v>1</v>
      </c>
      <c r="G206" s="2" t="inlineStr">
        <is>
          <t>乌鳞寨喽啰</t>
        </is>
      </c>
      <c r="H206" s="2" t="inlineStr">
        <is>
          <t>使用模板默认技能</t>
        </is>
      </c>
      <c r="I206" s="2" t="n">
        <v>7</v>
      </c>
      <c r="J206" s="2" t="n">
        <v>88</v>
      </c>
      <c r="K206" s="4" t="n">
        <v>0.36</v>
      </c>
      <c r="L206" s="2" t="inlineStr">
        <is>
          <t>data/guild_mission_templates.yaml:L9:enemy_guests</t>
        </is>
      </c>
      <c r="M206" s="2" t="inlineStr">
        <is>
          <t>{"template_key":"guild_wulinzhai_minion"}</t>
        </is>
      </c>
    </row>
    <row r="207">
      <c r="A207" s="2" t="inlineStr">
        <is>
          <t>guild_patrol_alpha</t>
        </is>
      </c>
      <c r="B207" s="2" t="inlineStr">
        <is>
          <t>夜袭乌鳞寨</t>
        </is>
      </c>
      <c r="C207" s="2" t="inlineStr">
        <is>
          <t>帮会任务</t>
        </is>
      </c>
      <c r="D207" s="2" t="inlineStr">
        <is>
          <t>门客</t>
        </is>
      </c>
      <c r="E207" s="2" t="inlineStr">
        <is>
          <t>guild_wulinzhai_minion</t>
        </is>
      </c>
      <c r="F207" s="2" t="n">
        <v>1</v>
      </c>
      <c r="G207" s="2" t="inlineStr">
        <is>
          <t>乌鳞寨喽啰</t>
        </is>
      </c>
      <c r="H207" s="2" t="inlineStr">
        <is>
          <t>使用模板默认技能</t>
        </is>
      </c>
      <c r="I207" s="2" t="n">
        <v>7</v>
      </c>
      <c r="J207" s="2" t="n">
        <v>88</v>
      </c>
      <c r="K207" s="4" t="n">
        <v>0.36</v>
      </c>
      <c r="L207" s="2" t="inlineStr">
        <is>
          <t>data/guild_mission_templates.yaml:L9:enemy_guests</t>
        </is>
      </c>
      <c r="M207" s="2" t="inlineStr">
        <is>
          <t>{"template_key":"guild_wulinzhai_minion"}</t>
        </is>
      </c>
    </row>
    <row r="208">
      <c r="A208" s="2" t="inlineStr">
        <is>
          <t>guild_patrol_alpha</t>
        </is>
      </c>
      <c r="B208" s="2" t="inlineStr">
        <is>
          <t>夜袭乌鳞寨</t>
        </is>
      </c>
      <c r="C208" s="2" t="inlineStr">
        <is>
          <t>帮会任务</t>
        </is>
      </c>
      <c r="D208" s="2" t="inlineStr">
        <is>
          <t>护院</t>
        </is>
      </c>
      <c r="E208" s="2" t="inlineStr">
        <is>
          <t>qiang_hao</t>
        </is>
      </c>
      <c r="F208" s="2" t="n">
        <v>760</v>
      </c>
      <c r="G208" s="2" t="inlineStr">
        <is>
          <t>枪豪</t>
        </is>
      </c>
      <c r="H208" s="2" t="inlineStr"/>
      <c r="I208" s="2" t="n">
        <v>7</v>
      </c>
      <c r="J208" s="2" t="n"/>
      <c r="K208" s="4" t="n"/>
      <c r="L208" s="2" t="inlineStr">
        <is>
          <t>data/guild_mission_templates.yaml:L9:enemy_troops</t>
        </is>
      </c>
      <c r="M208" s="2" t="inlineStr">
        <is>
          <t>{"qiang_hao":760}</t>
        </is>
      </c>
    </row>
    <row r="209">
      <c r="A209" s="2" t="inlineStr">
        <is>
          <t>guild_patrol_alpha</t>
        </is>
      </c>
      <c r="B209" s="2" t="inlineStr">
        <is>
          <t>夜袭乌鳞寨</t>
        </is>
      </c>
      <c r="C209" s="2" t="inlineStr">
        <is>
          <t>帮会任务</t>
        </is>
      </c>
      <c r="D209" s="2" t="inlineStr">
        <is>
          <t>护院</t>
        </is>
      </c>
      <c r="E209" s="2" t="inlineStr">
        <is>
          <t>jian_hao</t>
        </is>
      </c>
      <c r="F209" s="2" t="n">
        <v>700</v>
      </c>
      <c r="G209" s="2" t="inlineStr">
        <is>
          <t>剑豪</t>
        </is>
      </c>
      <c r="H209" s="2" t="inlineStr"/>
      <c r="I209" s="2" t="n">
        <v>7</v>
      </c>
      <c r="J209" s="2" t="n"/>
      <c r="K209" s="4" t="n"/>
      <c r="L209" s="2" t="inlineStr">
        <is>
          <t>data/guild_mission_templates.yaml:L9:enemy_troops</t>
        </is>
      </c>
      <c r="M209" s="2" t="inlineStr">
        <is>
          <t>{"jian_hao":700}</t>
        </is>
      </c>
    </row>
    <row r="210">
      <c r="A210" s="2" t="inlineStr">
        <is>
          <t>guild_patrol_alpha</t>
        </is>
      </c>
      <c r="B210" s="2" t="inlineStr">
        <is>
          <t>夜袭乌鳞寨</t>
        </is>
      </c>
      <c r="C210" s="2" t="inlineStr">
        <is>
          <t>帮会任务</t>
        </is>
      </c>
      <c r="D210" s="2" t="inlineStr">
        <is>
          <t>护院</t>
        </is>
      </c>
      <c r="E210" s="2" t="inlineStr">
        <is>
          <t>fast_archer</t>
        </is>
      </c>
      <c r="F210" s="2" t="n">
        <v>650</v>
      </c>
      <c r="G210" s="2" t="inlineStr">
        <is>
          <t>快箭手</t>
        </is>
      </c>
      <c r="H210" s="2" t="inlineStr"/>
      <c r="I210" s="2" t="n">
        <v>7</v>
      </c>
      <c r="J210" s="2" t="n"/>
      <c r="K210" s="4" t="n"/>
      <c r="L210" s="2" t="inlineStr">
        <is>
          <t>data/guild_mission_templates.yaml:L9:enemy_troops</t>
        </is>
      </c>
      <c r="M210" s="2" t="inlineStr">
        <is>
          <t>{"fast_archer":650}</t>
        </is>
      </c>
    </row>
    <row r="211">
      <c r="A211" s="2" t="inlineStr">
        <is>
          <t>guild_patrol_alpha</t>
        </is>
      </c>
      <c r="B211" s="2" t="inlineStr">
        <is>
          <t>夜袭乌鳞寨</t>
        </is>
      </c>
      <c r="C211" s="2" t="inlineStr">
        <is>
          <t>帮会任务</t>
        </is>
      </c>
      <c r="D211" s="2" t="inlineStr">
        <is>
          <t>护院</t>
        </is>
      </c>
      <c r="E211" s="2" t="inlineStr">
        <is>
          <t>dao_jie</t>
        </is>
      </c>
      <c r="F211" s="2" t="n">
        <v>500</v>
      </c>
      <c r="G211" s="2" t="inlineStr">
        <is>
          <t>刀杰</t>
        </is>
      </c>
      <c r="H211" s="2" t="inlineStr"/>
      <c r="I211" s="2" t="n">
        <v>7</v>
      </c>
      <c r="J211" s="2" t="n"/>
      <c r="K211" s="4" t="n"/>
      <c r="L211" s="2" t="inlineStr">
        <is>
          <t>data/guild_mission_templates.yaml:L9:enemy_troops</t>
        </is>
      </c>
      <c r="M211" s="2" t="inlineStr">
        <is>
          <t>{"dao_jie":500}</t>
        </is>
      </c>
    </row>
    <row r="212">
      <c r="A212" s="2" t="inlineStr">
        <is>
          <t>guild_supply_escort</t>
        </is>
      </c>
      <c r="B212" s="2" t="inlineStr">
        <is>
          <t>血旗镖局风云</t>
        </is>
      </c>
      <c r="C212" s="2" t="inlineStr">
        <is>
          <t>帮会任务</t>
        </is>
      </c>
      <c r="D212" s="2" t="inlineStr">
        <is>
          <t>门客</t>
        </is>
      </c>
      <c r="E212" s="2" t="inlineStr">
        <is>
          <t>guild_bloodflag_head_escort</t>
        </is>
      </c>
      <c r="F212" s="2" t="n">
        <v>1</v>
      </c>
      <c r="G212" s="2" t="inlineStr">
        <is>
          <t>血旗总镖头</t>
        </is>
      </c>
      <c r="H212" s="2" t="inlineStr">
        <is>
          <t>使用模板默认技能</t>
        </is>
      </c>
      <c r="I212" s="2" t="n">
        <v>10</v>
      </c>
      <c r="J212" s="2" t="n">
        <v>102</v>
      </c>
      <c r="K212" s="4" t="n">
        <v>0.62</v>
      </c>
      <c r="L212" s="2" t="inlineStr">
        <is>
          <t>data/guild_mission_templates.yaml:L47:enemy_guests</t>
        </is>
      </c>
      <c r="M212" s="2" t="inlineStr">
        <is>
          <t>{"template_key":"guild_bloodflag_head_escort"}</t>
        </is>
      </c>
    </row>
    <row r="213">
      <c r="A213" s="2" t="inlineStr">
        <is>
          <t>guild_supply_escort</t>
        </is>
      </c>
      <c r="B213" s="2" t="inlineStr">
        <is>
          <t>血旗镖局风云</t>
        </is>
      </c>
      <c r="C213" s="2" t="inlineStr">
        <is>
          <t>帮会任务</t>
        </is>
      </c>
      <c r="D213" s="2" t="inlineStr">
        <is>
          <t>门客</t>
        </is>
      </c>
      <c r="E213" s="2" t="inlineStr">
        <is>
          <t>guild_bloodflag_deputy_escort</t>
        </is>
      </c>
      <c r="F213" s="2" t="n">
        <v>1</v>
      </c>
      <c r="G213" s="2" t="inlineStr">
        <is>
          <t>血旗副镖头</t>
        </is>
      </c>
      <c r="H213" s="2" t="inlineStr">
        <is>
          <t>使用模板默认技能</t>
        </is>
      </c>
      <c r="I213" s="2" t="n">
        <v>10</v>
      </c>
      <c r="J213" s="2" t="n">
        <v>102</v>
      </c>
      <c r="K213" s="4" t="n">
        <v>0.62</v>
      </c>
      <c r="L213" s="2" t="inlineStr">
        <is>
          <t>data/guild_mission_templates.yaml:L47:enemy_guests</t>
        </is>
      </c>
      <c r="M213" s="2" t="inlineStr">
        <is>
          <t>{"template_key":"guild_bloodflag_deputy_escort"}</t>
        </is>
      </c>
    </row>
    <row r="214">
      <c r="A214" s="2" t="inlineStr">
        <is>
          <t>guild_supply_escort</t>
        </is>
      </c>
      <c r="B214" s="2" t="inlineStr">
        <is>
          <t>血旗镖局风云</t>
        </is>
      </c>
      <c r="C214" s="2" t="inlineStr">
        <is>
          <t>帮会任务</t>
        </is>
      </c>
      <c r="D214" s="2" t="inlineStr">
        <is>
          <t>门客</t>
        </is>
      </c>
      <c r="E214" s="2" t="inlineStr">
        <is>
          <t>guild_bloodflag_rearguard_veteran</t>
        </is>
      </c>
      <c r="F214" s="2" t="n">
        <v>1</v>
      </c>
      <c r="G214" s="2" t="inlineStr">
        <is>
          <t>血旗断后老手</t>
        </is>
      </c>
      <c r="H214" s="2" t="inlineStr">
        <is>
          <t>使用模板默认技能</t>
        </is>
      </c>
      <c r="I214" s="2" t="n">
        <v>10</v>
      </c>
      <c r="J214" s="2" t="n">
        <v>102</v>
      </c>
      <c r="K214" s="4" t="n">
        <v>0.62</v>
      </c>
      <c r="L214" s="2" t="inlineStr">
        <is>
          <t>data/guild_mission_templates.yaml:L47:enemy_guests</t>
        </is>
      </c>
      <c r="M214" s="2" t="inlineStr">
        <is>
          <t>{"template_key":"guild_bloodflag_rearguard_veteran"}</t>
        </is>
      </c>
    </row>
    <row r="215">
      <c r="A215" s="2" t="inlineStr">
        <is>
          <t>guild_supply_escort</t>
        </is>
      </c>
      <c r="B215" s="2" t="inlineStr">
        <is>
          <t>血旗镖局风云</t>
        </is>
      </c>
      <c r="C215" s="2" t="inlineStr">
        <is>
          <t>帮会任务</t>
        </is>
      </c>
      <c r="D215" s="2" t="inlineStr">
        <is>
          <t>门客</t>
        </is>
      </c>
      <c r="E215" s="2" t="inlineStr">
        <is>
          <t>guild_bloodflag_blade_guard</t>
        </is>
      </c>
      <c r="F215" s="2" t="n">
        <v>1</v>
      </c>
      <c r="G215" s="2" t="inlineStr">
        <is>
          <t>血旗刀镖手</t>
        </is>
      </c>
      <c r="H215" s="2" t="inlineStr">
        <is>
          <t>使用模板默认技能</t>
        </is>
      </c>
      <c r="I215" s="2" t="n">
        <v>10</v>
      </c>
      <c r="J215" s="2" t="n">
        <v>102</v>
      </c>
      <c r="K215" s="4" t="n">
        <v>0.62</v>
      </c>
      <c r="L215" s="2" t="inlineStr">
        <is>
          <t>data/guild_mission_templates.yaml:L47:enemy_guests</t>
        </is>
      </c>
      <c r="M215" s="2" t="inlineStr">
        <is>
          <t>{"template_key":"guild_bloodflag_blade_guard"}</t>
        </is>
      </c>
    </row>
    <row r="216">
      <c r="A216" s="2" t="inlineStr">
        <is>
          <t>guild_supply_escort</t>
        </is>
      </c>
      <c r="B216" s="2" t="inlineStr">
        <is>
          <t>血旗镖局风云</t>
        </is>
      </c>
      <c r="C216" s="2" t="inlineStr">
        <is>
          <t>帮会任务</t>
        </is>
      </c>
      <c r="D216" s="2" t="inlineStr">
        <is>
          <t>门客</t>
        </is>
      </c>
      <c r="E216" s="2" t="inlineStr">
        <is>
          <t>guild_bloodflag_blade_guard</t>
        </is>
      </c>
      <c r="F216" s="2" t="n">
        <v>1</v>
      </c>
      <c r="G216" s="2" t="inlineStr">
        <is>
          <t>血旗刀镖手</t>
        </is>
      </c>
      <c r="H216" s="2" t="inlineStr">
        <is>
          <t>使用模板默认技能</t>
        </is>
      </c>
      <c r="I216" s="2" t="n">
        <v>10</v>
      </c>
      <c r="J216" s="2" t="n">
        <v>102</v>
      </c>
      <c r="K216" s="4" t="n">
        <v>0.62</v>
      </c>
      <c r="L216" s="2" t="inlineStr">
        <is>
          <t>data/guild_mission_templates.yaml:L47:enemy_guests</t>
        </is>
      </c>
      <c r="M216" s="2" t="inlineStr">
        <is>
          <t>{"template_key":"guild_bloodflag_blade_guard"}</t>
        </is>
      </c>
    </row>
    <row r="217">
      <c r="A217" s="2" t="inlineStr">
        <is>
          <t>guild_supply_escort</t>
        </is>
      </c>
      <c r="B217" s="2" t="inlineStr">
        <is>
          <t>血旗镖局风云</t>
        </is>
      </c>
      <c r="C217" s="2" t="inlineStr">
        <is>
          <t>帮会任务</t>
        </is>
      </c>
      <c r="D217" s="2" t="inlineStr">
        <is>
          <t>门客</t>
        </is>
      </c>
      <c r="E217" s="2" t="inlineStr">
        <is>
          <t>guild_bloodflag_blade_guard</t>
        </is>
      </c>
      <c r="F217" s="2" t="n">
        <v>1</v>
      </c>
      <c r="G217" s="2" t="inlineStr">
        <is>
          <t>血旗刀镖手</t>
        </is>
      </c>
      <c r="H217" s="2" t="inlineStr">
        <is>
          <t>使用模板默认技能</t>
        </is>
      </c>
      <c r="I217" s="2" t="n">
        <v>10</v>
      </c>
      <c r="J217" s="2" t="n">
        <v>102</v>
      </c>
      <c r="K217" s="4" t="n">
        <v>0.62</v>
      </c>
      <c r="L217" s="2" t="inlineStr">
        <is>
          <t>data/guild_mission_templates.yaml:L47:enemy_guests</t>
        </is>
      </c>
      <c r="M217" s="2" t="inlineStr">
        <is>
          <t>{"template_key":"guild_bloodflag_blade_guard"}</t>
        </is>
      </c>
    </row>
    <row r="218">
      <c r="A218" s="2" t="inlineStr">
        <is>
          <t>guild_supply_escort</t>
        </is>
      </c>
      <c r="B218" s="2" t="inlineStr">
        <is>
          <t>血旗镖局风云</t>
        </is>
      </c>
      <c r="C218" s="2" t="inlineStr">
        <is>
          <t>帮会任务</t>
        </is>
      </c>
      <c r="D218" s="2" t="inlineStr">
        <is>
          <t>门客</t>
        </is>
      </c>
      <c r="E218" s="2" t="inlineStr">
        <is>
          <t>guild_bloodflag_blade_guard</t>
        </is>
      </c>
      <c r="F218" s="2" t="n">
        <v>1</v>
      </c>
      <c r="G218" s="2" t="inlineStr">
        <is>
          <t>血旗刀镖手</t>
        </is>
      </c>
      <c r="H218" s="2" t="inlineStr">
        <is>
          <t>使用模板默认技能</t>
        </is>
      </c>
      <c r="I218" s="2" t="n">
        <v>10</v>
      </c>
      <c r="J218" s="2" t="n">
        <v>102</v>
      </c>
      <c r="K218" s="4" t="n">
        <v>0.62</v>
      </c>
      <c r="L218" s="2" t="inlineStr">
        <is>
          <t>data/guild_mission_templates.yaml:L47:enemy_guests</t>
        </is>
      </c>
      <c r="M218" s="2" t="inlineStr">
        <is>
          <t>{"template_key":"guild_bloodflag_blade_guard"}</t>
        </is>
      </c>
    </row>
    <row r="219">
      <c r="A219" s="2" t="inlineStr">
        <is>
          <t>guild_supply_escort</t>
        </is>
      </c>
      <c r="B219" s="2" t="inlineStr">
        <is>
          <t>血旗镖局风云</t>
        </is>
      </c>
      <c r="C219" s="2" t="inlineStr">
        <is>
          <t>帮会任务</t>
        </is>
      </c>
      <c r="D219" s="2" t="inlineStr">
        <is>
          <t>门客</t>
        </is>
      </c>
      <c r="E219" s="2" t="inlineStr">
        <is>
          <t>guild_bloodflag_bow_guard</t>
        </is>
      </c>
      <c r="F219" s="2" t="n">
        <v>1</v>
      </c>
      <c r="G219" s="2" t="inlineStr">
        <is>
          <t>血旗弓镖手</t>
        </is>
      </c>
      <c r="H219" s="2" t="inlineStr">
        <is>
          <t>使用模板默认技能</t>
        </is>
      </c>
      <c r="I219" s="2" t="n">
        <v>10</v>
      </c>
      <c r="J219" s="2" t="n">
        <v>102</v>
      </c>
      <c r="K219" s="4" t="n">
        <v>0.62</v>
      </c>
      <c r="L219" s="2" t="inlineStr">
        <is>
          <t>data/guild_mission_templates.yaml:L47:enemy_guests</t>
        </is>
      </c>
      <c r="M219" s="2" t="inlineStr">
        <is>
          <t>{"template_key":"guild_bloodflag_bow_guard"}</t>
        </is>
      </c>
    </row>
    <row r="220">
      <c r="A220" s="2" t="inlineStr">
        <is>
          <t>guild_supply_escort</t>
        </is>
      </c>
      <c r="B220" s="2" t="inlineStr">
        <is>
          <t>血旗镖局风云</t>
        </is>
      </c>
      <c r="C220" s="2" t="inlineStr">
        <is>
          <t>帮会任务</t>
        </is>
      </c>
      <c r="D220" s="2" t="inlineStr">
        <is>
          <t>门客</t>
        </is>
      </c>
      <c r="E220" s="2" t="inlineStr">
        <is>
          <t>guild_bloodflag_bow_guard</t>
        </is>
      </c>
      <c r="F220" s="2" t="n">
        <v>1</v>
      </c>
      <c r="G220" s="2" t="inlineStr">
        <is>
          <t>血旗弓镖手</t>
        </is>
      </c>
      <c r="H220" s="2" t="inlineStr">
        <is>
          <t>使用模板默认技能</t>
        </is>
      </c>
      <c r="I220" s="2" t="n">
        <v>10</v>
      </c>
      <c r="J220" s="2" t="n">
        <v>102</v>
      </c>
      <c r="K220" s="4" t="n">
        <v>0.62</v>
      </c>
      <c r="L220" s="2" t="inlineStr">
        <is>
          <t>data/guild_mission_templates.yaml:L47:enemy_guests</t>
        </is>
      </c>
      <c r="M220" s="2" t="inlineStr">
        <is>
          <t>{"template_key":"guild_bloodflag_bow_guard"}</t>
        </is>
      </c>
    </row>
    <row r="221">
      <c r="A221" s="2" t="inlineStr">
        <is>
          <t>guild_supply_escort</t>
        </is>
      </c>
      <c r="B221" s="2" t="inlineStr">
        <is>
          <t>血旗镖局风云</t>
        </is>
      </c>
      <c r="C221" s="2" t="inlineStr">
        <is>
          <t>帮会任务</t>
        </is>
      </c>
      <c r="D221" s="2" t="inlineStr">
        <is>
          <t>门客</t>
        </is>
      </c>
      <c r="E221" s="2" t="inlineStr">
        <is>
          <t>guild_bloodflag_bow_guard</t>
        </is>
      </c>
      <c r="F221" s="2" t="n">
        <v>1</v>
      </c>
      <c r="G221" s="2" t="inlineStr">
        <is>
          <t>血旗弓镖手</t>
        </is>
      </c>
      <c r="H221" s="2" t="inlineStr">
        <is>
          <t>使用模板默认技能</t>
        </is>
      </c>
      <c r="I221" s="2" t="n">
        <v>10</v>
      </c>
      <c r="J221" s="2" t="n">
        <v>102</v>
      </c>
      <c r="K221" s="4" t="n">
        <v>0.62</v>
      </c>
      <c r="L221" s="2" t="inlineStr">
        <is>
          <t>data/guild_mission_templates.yaml:L47:enemy_guests</t>
        </is>
      </c>
      <c r="M221" s="2" t="inlineStr">
        <is>
          <t>{"template_key":"guild_bloodflag_bow_guard"}</t>
        </is>
      </c>
    </row>
    <row r="222">
      <c r="A222" s="2" t="inlineStr">
        <is>
          <t>guild_supply_escort</t>
        </is>
      </c>
      <c r="B222" s="2" t="inlineStr">
        <is>
          <t>血旗镖局风云</t>
        </is>
      </c>
      <c r="C222" s="2" t="inlineStr">
        <is>
          <t>帮会任务</t>
        </is>
      </c>
      <c r="D222" s="2" t="inlineStr">
        <is>
          <t>门客</t>
        </is>
      </c>
      <c r="E222" s="2" t="inlineStr">
        <is>
          <t>guild_bloodflag_bow_guard</t>
        </is>
      </c>
      <c r="F222" s="2" t="n">
        <v>1</v>
      </c>
      <c r="G222" s="2" t="inlineStr">
        <is>
          <t>血旗弓镖手</t>
        </is>
      </c>
      <c r="H222" s="2" t="inlineStr">
        <is>
          <t>使用模板默认技能</t>
        </is>
      </c>
      <c r="I222" s="2" t="n">
        <v>10</v>
      </c>
      <c r="J222" s="2" t="n">
        <v>102</v>
      </c>
      <c r="K222" s="4" t="n">
        <v>0.62</v>
      </c>
      <c r="L222" s="2" t="inlineStr">
        <is>
          <t>data/guild_mission_templates.yaml:L47:enemy_guests</t>
        </is>
      </c>
      <c r="M222" s="2" t="inlineStr">
        <is>
          <t>{"template_key":"guild_bloodflag_bow_guard"}</t>
        </is>
      </c>
    </row>
    <row r="223">
      <c r="A223" s="2" t="inlineStr">
        <is>
          <t>guild_supply_escort</t>
        </is>
      </c>
      <c r="B223" s="2" t="inlineStr">
        <is>
          <t>血旗镖局风云</t>
        </is>
      </c>
      <c r="C223" s="2" t="inlineStr">
        <is>
          <t>帮会任务</t>
        </is>
      </c>
      <c r="D223" s="2" t="inlineStr">
        <is>
          <t>门客</t>
        </is>
      </c>
      <c r="E223" s="2" t="inlineStr">
        <is>
          <t>guild_bloodflag_pathfinder</t>
        </is>
      </c>
      <c r="F223" s="2" t="n">
        <v>1</v>
      </c>
      <c r="G223" s="2" t="inlineStr">
        <is>
          <t>血旗趟子手</t>
        </is>
      </c>
      <c r="H223" s="2" t="inlineStr">
        <is>
          <t>使用模板默认技能</t>
        </is>
      </c>
      <c r="I223" s="2" t="n">
        <v>10</v>
      </c>
      <c r="J223" s="2" t="n">
        <v>102</v>
      </c>
      <c r="K223" s="4" t="n">
        <v>0.62</v>
      </c>
      <c r="L223" s="2" t="inlineStr">
        <is>
          <t>data/guild_mission_templates.yaml:L47:enemy_guests</t>
        </is>
      </c>
      <c r="M223" s="2" t="inlineStr">
        <is>
          <t>{"template_key":"guild_bloodflag_pathfinder"}</t>
        </is>
      </c>
    </row>
    <row r="224">
      <c r="A224" s="2" t="inlineStr">
        <is>
          <t>guild_supply_escort</t>
        </is>
      </c>
      <c r="B224" s="2" t="inlineStr">
        <is>
          <t>血旗镖局风云</t>
        </is>
      </c>
      <c r="C224" s="2" t="inlineStr">
        <is>
          <t>帮会任务</t>
        </is>
      </c>
      <c r="D224" s="2" t="inlineStr">
        <is>
          <t>门客</t>
        </is>
      </c>
      <c r="E224" s="2" t="inlineStr">
        <is>
          <t>guild_bloodflag_pathfinder</t>
        </is>
      </c>
      <c r="F224" s="2" t="n">
        <v>1</v>
      </c>
      <c r="G224" s="2" t="inlineStr">
        <is>
          <t>血旗趟子手</t>
        </is>
      </c>
      <c r="H224" s="2" t="inlineStr">
        <is>
          <t>使用模板默认技能</t>
        </is>
      </c>
      <c r="I224" s="2" t="n">
        <v>10</v>
      </c>
      <c r="J224" s="2" t="n">
        <v>102</v>
      </c>
      <c r="K224" s="4" t="n">
        <v>0.62</v>
      </c>
      <c r="L224" s="2" t="inlineStr">
        <is>
          <t>data/guild_mission_templates.yaml:L47:enemy_guests</t>
        </is>
      </c>
      <c r="M224" s="2" t="inlineStr">
        <is>
          <t>{"template_key":"guild_bloodflag_pathfinder"}</t>
        </is>
      </c>
    </row>
    <row r="225">
      <c r="A225" s="2" t="inlineStr">
        <is>
          <t>guild_supply_escort</t>
        </is>
      </c>
      <c r="B225" s="2" t="inlineStr">
        <is>
          <t>血旗镖局风云</t>
        </is>
      </c>
      <c r="C225" s="2" t="inlineStr">
        <is>
          <t>帮会任务</t>
        </is>
      </c>
      <c r="D225" s="2" t="inlineStr">
        <is>
          <t>门客</t>
        </is>
      </c>
      <c r="E225" s="2" t="inlineStr">
        <is>
          <t>guild_bloodflag_escort_master</t>
        </is>
      </c>
      <c r="F225" s="2" t="n">
        <v>1</v>
      </c>
      <c r="G225" s="2" t="inlineStr">
        <is>
          <t>血旗押阵师</t>
        </is>
      </c>
      <c r="H225" s="2" t="inlineStr">
        <is>
          <t>使用模板默认技能</t>
        </is>
      </c>
      <c r="I225" s="2" t="n">
        <v>10</v>
      </c>
      <c r="J225" s="2" t="n">
        <v>102</v>
      </c>
      <c r="K225" s="4" t="n">
        <v>0.62</v>
      </c>
      <c r="L225" s="2" t="inlineStr">
        <is>
          <t>data/guild_mission_templates.yaml:L47:enemy_guests</t>
        </is>
      </c>
      <c r="M225" s="2" t="inlineStr">
        <is>
          <t>{"template_key":"guild_bloodflag_escort_master"}</t>
        </is>
      </c>
    </row>
    <row r="226">
      <c r="A226" s="2" t="inlineStr">
        <is>
          <t>guild_supply_escort</t>
        </is>
      </c>
      <c r="B226" s="2" t="inlineStr">
        <is>
          <t>血旗镖局风云</t>
        </is>
      </c>
      <c r="C226" s="2" t="inlineStr">
        <is>
          <t>帮会任务</t>
        </is>
      </c>
      <c r="D226" s="2" t="inlineStr">
        <is>
          <t>门客</t>
        </is>
      </c>
      <c r="E226" s="2" t="inlineStr">
        <is>
          <t>guild_bloodflag_escort_master</t>
        </is>
      </c>
      <c r="F226" s="2" t="n">
        <v>1</v>
      </c>
      <c r="G226" s="2" t="inlineStr">
        <is>
          <t>血旗押阵师</t>
        </is>
      </c>
      <c r="H226" s="2" t="inlineStr">
        <is>
          <t>使用模板默认技能</t>
        </is>
      </c>
      <c r="I226" s="2" t="n">
        <v>10</v>
      </c>
      <c r="J226" s="2" t="n">
        <v>102</v>
      </c>
      <c r="K226" s="4" t="n">
        <v>0.62</v>
      </c>
      <c r="L226" s="2" t="inlineStr">
        <is>
          <t>data/guild_mission_templates.yaml:L47:enemy_guests</t>
        </is>
      </c>
      <c r="M226" s="2" t="inlineStr">
        <is>
          <t>{"template_key":"guild_bloodflag_escort_master"}</t>
        </is>
      </c>
    </row>
    <row r="227">
      <c r="A227" s="2" t="inlineStr">
        <is>
          <t>guild_supply_escort</t>
        </is>
      </c>
      <c r="B227" s="2" t="inlineStr">
        <is>
          <t>血旗镖局风云</t>
        </is>
      </c>
      <c r="C227" s="2" t="inlineStr">
        <is>
          <t>帮会任务</t>
        </is>
      </c>
      <c r="D227" s="2" t="inlineStr">
        <is>
          <t>门客</t>
        </is>
      </c>
      <c r="E227" s="2" t="inlineStr">
        <is>
          <t>guild_bloodflag_escort_master</t>
        </is>
      </c>
      <c r="F227" s="2" t="n">
        <v>1</v>
      </c>
      <c r="G227" s="2" t="inlineStr">
        <is>
          <t>血旗押阵师</t>
        </is>
      </c>
      <c r="H227" s="2" t="inlineStr">
        <is>
          <t>使用模板默认技能</t>
        </is>
      </c>
      <c r="I227" s="2" t="n">
        <v>10</v>
      </c>
      <c r="J227" s="2" t="n">
        <v>102</v>
      </c>
      <c r="K227" s="4" t="n">
        <v>0.62</v>
      </c>
      <c r="L227" s="2" t="inlineStr">
        <is>
          <t>data/guild_mission_templates.yaml:L47:enemy_guests</t>
        </is>
      </c>
      <c r="M227" s="2" t="inlineStr">
        <is>
          <t>{"template_key":"guild_bloodflag_escort_master"}</t>
        </is>
      </c>
    </row>
    <row r="228">
      <c r="A228" s="2" t="inlineStr">
        <is>
          <t>guild_supply_escort</t>
        </is>
      </c>
      <c r="B228" s="2" t="inlineStr">
        <is>
          <t>血旗镖局风云</t>
        </is>
      </c>
      <c r="C228" s="2" t="inlineStr">
        <is>
          <t>帮会任务</t>
        </is>
      </c>
      <c r="D228" s="2" t="inlineStr">
        <is>
          <t>护院</t>
        </is>
      </c>
      <c r="E228" s="2" t="inlineStr">
        <is>
          <t>qiang_ba</t>
        </is>
      </c>
      <c r="F228" s="2" t="n">
        <v>1180</v>
      </c>
      <c r="G228" s="2" t="inlineStr">
        <is>
          <t>枪霸</t>
        </is>
      </c>
      <c r="H228" s="2" t="inlineStr"/>
      <c r="I228" s="2" t="n">
        <v>10</v>
      </c>
      <c r="J228" s="2" t="n"/>
      <c r="K228" s="4" t="n"/>
      <c r="L228" s="2" t="inlineStr">
        <is>
          <t>data/guild_mission_templates.yaml:L47:enemy_troops</t>
        </is>
      </c>
      <c r="M228" s="2" t="inlineStr">
        <is>
          <t>{"qiang_ba":1180}</t>
        </is>
      </c>
    </row>
    <row r="229">
      <c r="A229" s="2" t="inlineStr">
        <is>
          <t>guild_supply_escort</t>
        </is>
      </c>
      <c r="B229" s="2" t="inlineStr">
        <is>
          <t>血旗镖局风云</t>
        </is>
      </c>
      <c r="C229" s="2" t="inlineStr">
        <is>
          <t>帮会任务</t>
        </is>
      </c>
      <c r="D229" s="2" t="inlineStr">
        <is>
          <t>护院</t>
        </is>
      </c>
      <c r="E229" s="2" t="inlineStr">
        <is>
          <t>jian_hao</t>
        </is>
      </c>
      <c r="F229" s="2" t="n">
        <v>980</v>
      </c>
      <c r="G229" s="2" t="inlineStr">
        <is>
          <t>剑豪</t>
        </is>
      </c>
      <c r="H229" s="2" t="inlineStr"/>
      <c r="I229" s="2" t="n">
        <v>10</v>
      </c>
      <c r="J229" s="2" t="n"/>
      <c r="K229" s="4" t="n"/>
      <c r="L229" s="2" t="inlineStr">
        <is>
          <t>data/guild_mission_templates.yaml:L47:enemy_troops</t>
        </is>
      </c>
      <c r="M229" s="2" t="inlineStr">
        <is>
          <t>{"jian_hao":980}</t>
        </is>
      </c>
    </row>
    <row r="230">
      <c r="A230" s="2" t="inlineStr">
        <is>
          <t>guild_supply_escort</t>
        </is>
      </c>
      <c r="B230" s="2" t="inlineStr">
        <is>
          <t>血旗镖局风云</t>
        </is>
      </c>
      <c r="C230" s="2" t="inlineStr">
        <is>
          <t>帮会任务</t>
        </is>
      </c>
      <c r="D230" s="2" t="inlineStr">
        <is>
          <t>护院</t>
        </is>
      </c>
      <c r="E230" s="2" t="inlineStr">
        <is>
          <t>divine_archer</t>
        </is>
      </c>
      <c r="F230" s="2" t="n">
        <v>1080</v>
      </c>
      <c r="G230" s="2" t="inlineStr">
        <is>
          <t>神箭手</t>
        </is>
      </c>
      <c r="H230" s="2" t="inlineStr"/>
      <c r="I230" s="2" t="n">
        <v>10</v>
      </c>
      <c r="J230" s="2" t="n"/>
      <c r="K230" s="4" t="n"/>
      <c r="L230" s="2" t="inlineStr">
        <is>
          <t>data/guild_mission_templates.yaml:L47:enemy_troops</t>
        </is>
      </c>
      <c r="M230" s="2" t="inlineStr">
        <is>
          <t>{"divine_archer":1080}</t>
        </is>
      </c>
    </row>
    <row r="231">
      <c r="A231" s="2" t="inlineStr">
        <is>
          <t>guild_supply_escort</t>
        </is>
      </c>
      <c r="B231" s="2" t="inlineStr">
        <is>
          <t>血旗镖局风云</t>
        </is>
      </c>
      <c r="C231" s="2" t="inlineStr">
        <is>
          <t>帮会任务</t>
        </is>
      </c>
      <c r="D231" s="2" t="inlineStr">
        <is>
          <t>护院</t>
        </is>
      </c>
      <c r="E231" s="2" t="inlineStr">
        <is>
          <t>quan_wang</t>
        </is>
      </c>
      <c r="F231" s="2" t="n">
        <v>860</v>
      </c>
      <c r="G231" s="2" t="inlineStr">
        <is>
          <t>拳王</t>
        </is>
      </c>
      <c r="H231" s="2" t="inlineStr"/>
      <c r="I231" s="2" t="n">
        <v>10</v>
      </c>
      <c r="J231" s="2" t="n"/>
      <c r="K231" s="4" t="n"/>
      <c r="L231" s="2" t="inlineStr">
        <is>
          <t>data/guild_mission_templates.yaml:L47:enemy_troops</t>
        </is>
      </c>
      <c r="M231" s="2" t="inlineStr">
        <is>
          <t>{"quan_wang":860}</t>
        </is>
      </c>
    </row>
    <row r="232">
      <c r="A232" s="2" t="inlineStr">
        <is>
          <t>guild_blackwind_assault</t>
        </is>
      </c>
      <c r="B232" s="2" t="inlineStr">
        <is>
          <t>黑风关总攻</t>
        </is>
      </c>
      <c r="C232" s="2" t="inlineStr">
        <is>
          <t>帮会任务</t>
        </is>
      </c>
      <c r="D232" s="2" t="inlineStr">
        <is>
          <t>门客</t>
        </is>
      </c>
      <c r="E232" s="2" t="inlineStr">
        <is>
          <t>guild_blackwind_gate_general</t>
        </is>
      </c>
      <c r="F232" s="2" t="n">
        <v>1</v>
      </c>
      <c r="G232" s="2" t="inlineStr">
        <is>
          <t>黑风关守将</t>
        </is>
      </c>
      <c r="H232" s="2" t="inlineStr">
        <is>
          <t>使用模板默认技能</t>
        </is>
      </c>
      <c r="I232" s="2" t="n">
        <v>12</v>
      </c>
      <c r="J232" s="2" t="n">
        <v>108</v>
      </c>
      <c r="K232" s="4" t="n">
        <v>0.96</v>
      </c>
      <c r="L232" s="2" t="inlineStr">
        <is>
          <t>data/guild_mission_templates.yaml:L89:enemy_guests</t>
        </is>
      </c>
      <c r="M232" s="2" t="inlineStr">
        <is>
          <t>{"template_key":"guild_blackwind_gate_general"}</t>
        </is>
      </c>
    </row>
    <row r="233">
      <c r="A233" s="2" t="inlineStr">
        <is>
          <t>guild_blackwind_assault</t>
        </is>
      </c>
      <c r="B233" s="2" t="inlineStr">
        <is>
          <t>黑风关总攻</t>
        </is>
      </c>
      <c r="C233" s="2" t="inlineStr">
        <is>
          <t>帮会任务</t>
        </is>
      </c>
      <c r="D233" s="2" t="inlineStr">
        <is>
          <t>门客</t>
        </is>
      </c>
      <c r="E233" s="2" t="inlineStr">
        <is>
          <t>guild_blackwind_gate_overseer</t>
        </is>
      </c>
      <c r="F233" s="2" t="n">
        <v>1</v>
      </c>
      <c r="G233" s="2" t="inlineStr">
        <is>
          <t>黑风关监军</t>
        </is>
      </c>
      <c r="H233" s="2" t="inlineStr">
        <is>
          <t>使用模板默认技能</t>
        </is>
      </c>
      <c r="I233" s="2" t="n">
        <v>12</v>
      </c>
      <c r="J233" s="2" t="n">
        <v>108</v>
      </c>
      <c r="K233" s="4" t="n">
        <v>0.96</v>
      </c>
      <c r="L233" s="2" t="inlineStr">
        <is>
          <t>data/guild_mission_templates.yaml:L89:enemy_guests</t>
        </is>
      </c>
      <c r="M233" s="2" t="inlineStr">
        <is>
          <t>{"template_key":"guild_blackwind_gate_overseer"}</t>
        </is>
      </c>
    </row>
    <row r="234">
      <c r="A234" s="2" t="inlineStr">
        <is>
          <t>guild_blackwind_assault</t>
        </is>
      </c>
      <c r="B234" s="2" t="inlineStr">
        <is>
          <t>黑风关总攻</t>
        </is>
      </c>
      <c r="C234" s="2" t="inlineStr">
        <is>
          <t>帮会任务</t>
        </is>
      </c>
      <c r="D234" s="2" t="inlineStr">
        <is>
          <t>门客</t>
        </is>
      </c>
      <c r="E234" s="2" t="inlineStr">
        <is>
          <t>guild_blackwind_iron_guard</t>
        </is>
      </c>
      <c r="F234" s="2" t="n">
        <v>1</v>
      </c>
      <c r="G234" s="2" t="inlineStr">
        <is>
          <t>黑风铁卫</t>
        </is>
      </c>
      <c r="H234" s="2" t="inlineStr">
        <is>
          <t>使用模板默认技能</t>
        </is>
      </c>
      <c r="I234" s="2" t="n">
        <v>12</v>
      </c>
      <c r="J234" s="2" t="n">
        <v>108</v>
      </c>
      <c r="K234" s="4" t="n">
        <v>0.96</v>
      </c>
      <c r="L234" s="2" t="inlineStr">
        <is>
          <t>data/guild_mission_templates.yaml:L89:enemy_guests</t>
        </is>
      </c>
      <c r="M234" s="2" t="inlineStr">
        <is>
          <t>{"template_key":"guild_blackwind_iron_guard"}</t>
        </is>
      </c>
    </row>
    <row r="235">
      <c r="A235" s="2" t="inlineStr">
        <is>
          <t>guild_blackwind_assault</t>
        </is>
      </c>
      <c r="B235" s="2" t="inlineStr">
        <is>
          <t>黑风关总攻</t>
        </is>
      </c>
      <c r="C235" s="2" t="inlineStr">
        <is>
          <t>帮会任务</t>
        </is>
      </c>
      <c r="D235" s="2" t="inlineStr">
        <is>
          <t>门客</t>
        </is>
      </c>
      <c r="E235" s="2" t="inlineStr">
        <is>
          <t>guild_blackwind_iron_guard</t>
        </is>
      </c>
      <c r="F235" s="2" t="n">
        <v>1</v>
      </c>
      <c r="G235" s="2" t="inlineStr">
        <is>
          <t>黑风铁卫</t>
        </is>
      </c>
      <c r="H235" s="2" t="inlineStr">
        <is>
          <t>使用模板默认技能</t>
        </is>
      </c>
      <c r="I235" s="2" t="n">
        <v>12</v>
      </c>
      <c r="J235" s="2" t="n">
        <v>108</v>
      </c>
      <c r="K235" s="4" t="n">
        <v>0.96</v>
      </c>
      <c r="L235" s="2" t="inlineStr">
        <is>
          <t>data/guild_mission_templates.yaml:L89:enemy_guests</t>
        </is>
      </c>
      <c r="M235" s="2" t="inlineStr">
        <is>
          <t>{"template_key":"guild_blackwind_iron_guard"}</t>
        </is>
      </c>
    </row>
    <row r="236">
      <c r="A236" s="2" t="inlineStr">
        <is>
          <t>guild_blackwind_assault</t>
        </is>
      </c>
      <c r="B236" s="2" t="inlineStr">
        <is>
          <t>黑风关总攻</t>
        </is>
      </c>
      <c r="C236" s="2" t="inlineStr">
        <is>
          <t>帮会任务</t>
        </is>
      </c>
      <c r="D236" s="2" t="inlineStr">
        <is>
          <t>门客</t>
        </is>
      </c>
      <c r="E236" s="2" t="inlineStr">
        <is>
          <t>guild_blackwind_iron_guard</t>
        </is>
      </c>
      <c r="F236" s="2" t="n">
        <v>1</v>
      </c>
      <c r="G236" s="2" t="inlineStr">
        <is>
          <t>黑风铁卫</t>
        </is>
      </c>
      <c r="H236" s="2" t="inlineStr">
        <is>
          <t>使用模板默认技能</t>
        </is>
      </c>
      <c r="I236" s="2" t="n">
        <v>12</v>
      </c>
      <c r="J236" s="2" t="n">
        <v>108</v>
      </c>
      <c r="K236" s="4" t="n">
        <v>0.96</v>
      </c>
      <c r="L236" s="2" t="inlineStr">
        <is>
          <t>data/guild_mission_templates.yaml:L89:enemy_guests</t>
        </is>
      </c>
      <c r="M236" s="2" t="inlineStr">
        <is>
          <t>{"template_key":"guild_blackwind_iron_guard"}</t>
        </is>
      </c>
    </row>
    <row r="237">
      <c r="A237" s="2" t="inlineStr">
        <is>
          <t>guild_blackwind_assault</t>
        </is>
      </c>
      <c r="B237" s="2" t="inlineStr">
        <is>
          <t>黑风关总攻</t>
        </is>
      </c>
      <c r="C237" s="2" t="inlineStr">
        <is>
          <t>帮会任务</t>
        </is>
      </c>
      <c r="D237" s="2" t="inlineStr">
        <is>
          <t>门客</t>
        </is>
      </c>
      <c r="E237" s="2" t="inlineStr">
        <is>
          <t>guild_blackwind_bow_captain</t>
        </is>
      </c>
      <c r="F237" s="2" t="n">
        <v>1</v>
      </c>
      <c r="G237" s="2" t="inlineStr">
        <is>
          <t>黑风关弓队都头</t>
        </is>
      </c>
      <c r="H237" s="2" t="inlineStr">
        <is>
          <t>使用模板默认技能</t>
        </is>
      </c>
      <c r="I237" s="2" t="n">
        <v>12</v>
      </c>
      <c r="J237" s="2" t="n">
        <v>108</v>
      </c>
      <c r="K237" s="4" t="n">
        <v>0.96</v>
      </c>
      <c r="L237" s="2" t="inlineStr">
        <is>
          <t>data/guild_mission_templates.yaml:L89:enemy_guests</t>
        </is>
      </c>
      <c r="M237" s="2" t="inlineStr">
        <is>
          <t>{"template_key":"guild_blackwind_bow_captain"}</t>
        </is>
      </c>
    </row>
    <row r="238">
      <c r="A238" s="2" t="inlineStr">
        <is>
          <t>guild_blackwind_assault</t>
        </is>
      </c>
      <c r="B238" s="2" t="inlineStr">
        <is>
          <t>黑风关总攻</t>
        </is>
      </c>
      <c r="C238" s="2" t="inlineStr">
        <is>
          <t>帮会任务</t>
        </is>
      </c>
      <c r="D238" s="2" t="inlineStr">
        <is>
          <t>门客</t>
        </is>
      </c>
      <c r="E238" s="2" t="inlineStr">
        <is>
          <t>guild_blackwind_bow_captain</t>
        </is>
      </c>
      <c r="F238" s="2" t="n">
        <v>1</v>
      </c>
      <c r="G238" s="2" t="inlineStr">
        <is>
          <t>黑风关弓队都头</t>
        </is>
      </c>
      <c r="H238" s="2" t="inlineStr">
        <is>
          <t>使用模板默认技能</t>
        </is>
      </c>
      <c r="I238" s="2" t="n">
        <v>12</v>
      </c>
      <c r="J238" s="2" t="n">
        <v>108</v>
      </c>
      <c r="K238" s="4" t="n">
        <v>0.96</v>
      </c>
      <c r="L238" s="2" t="inlineStr">
        <is>
          <t>data/guild_mission_templates.yaml:L89:enemy_guests</t>
        </is>
      </c>
      <c r="M238" s="2" t="inlineStr">
        <is>
          <t>{"template_key":"guild_blackwind_bow_captain"}</t>
        </is>
      </c>
    </row>
    <row r="239">
      <c r="A239" s="2" t="inlineStr">
        <is>
          <t>guild_blackwind_assault</t>
        </is>
      </c>
      <c r="B239" s="2" t="inlineStr">
        <is>
          <t>黑风关总攻</t>
        </is>
      </c>
      <c r="C239" s="2" t="inlineStr">
        <is>
          <t>帮会任务</t>
        </is>
      </c>
      <c r="D239" s="2" t="inlineStr">
        <is>
          <t>门客</t>
        </is>
      </c>
      <c r="E239" s="2" t="inlineStr">
        <is>
          <t>guild_blackwind_bow_captain</t>
        </is>
      </c>
      <c r="F239" s="2" t="n">
        <v>1</v>
      </c>
      <c r="G239" s="2" t="inlineStr">
        <is>
          <t>黑风关弓队都头</t>
        </is>
      </c>
      <c r="H239" s="2" t="inlineStr">
        <is>
          <t>使用模板默认技能</t>
        </is>
      </c>
      <c r="I239" s="2" t="n">
        <v>12</v>
      </c>
      <c r="J239" s="2" t="n">
        <v>108</v>
      </c>
      <c r="K239" s="4" t="n">
        <v>0.96</v>
      </c>
      <c r="L239" s="2" t="inlineStr">
        <is>
          <t>data/guild_mission_templates.yaml:L89:enemy_guests</t>
        </is>
      </c>
      <c r="M239" s="2" t="inlineStr">
        <is>
          <t>{"template_key":"guild_blackwind_bow_captain"}</t>
        </is>
      </c>
    </row>
    <row r="240">
      <c r="A240" s="2" t="inlineStr">
        <is>
          <t>guild_blackwind_assault</t>
        </is>
      </c>
      <c r="B240" s="2" t="inlineStr">
        <is>
          <t>黑风关总攻</t>
        </is>
      </c>
      <c r="C240" s="2" t="inlineStr">
        <is>
          <t>帮会任务</t>
        </is>
      </c>
      <c r="D240" s="2" t="inlineStr">
        <is>
          <t>门客</t>
        </is>
      </c>
      <c r="E240" s="2" t="inlineStr">
        <is>
          <t>guild_blackwind_assault_blade</t>
        </is>
      </c>
      <c r="F240" s="2" t="n">
        <v>1</v>
      </c>
      <c r="G240" s="2" t="inlineStr">
        <is>
          <t>黑风破阵刀手</t>
        </is>
      </c>
      <c r="H240" s="2" t="inlineStr">
        <is>
          <t>使用模板默认技能</t>
        </is>
      </c>
      <c r="I240" s="2" t="n">
        <v>12</v>
      </c>
      <c r="J240" s="2" t="n">
        <v>108</v>
      </c>
      <c r="K240" s="4" t="n">
        <v>0.96</v>
      </c>
      <c r="L240" s="2" t="inlineStr">
        <is>
          <t>data/guild_mission_templates.yaml:L89:enemy_guests</t>
        </is>
      </c>
      <c r="M240" s="2" t="inlineStr">
        <is>
          <t>{"template_key":"guild_blackwind_assault_blade"}</t>
        </is>
      </c>
    </row>
    <row r="241">
      <c r="A241" s="2" t="inlineStr">
        <is>
          <t>guild_blackwind_assault</t>
        </is>
      </c>
      <c r="B241" s="2" t="inlineStr">
        <is>
          <t>黑风关总攻</t>
        </is>
      </c>
      <c r="C241" s="2" t="inlineStr">
        <is>
          <t>帮会任务</t>
        </is>
      </c>
      <c r="D241" s="2" t="inlineStr">
        <is>
          <t>门客</t>
        </is>
      </c>
      <c r="E241" s="2" t="inlineStr">
        <is>
          <t>guild_blackwind_assault_blade</t>
        </is>
      </c>
      <c r="F241" s="2" t="n">
        <v>1</v>
      </c>
      <c r="G241" s="2" t="inlineStr">
        <is>
          <t>黑风破阵刀手</t>
        </is>
      </c>
      <c r="H241" s="2" t="inlineStr">
        <is>
          <t>使用模板默认技能</t>
        </is>
      </c>
      <c r="I241" s="2" t="n">
        <v>12</v>
      </c>
      <c r="J241" s="2" t="n">
        <v>108</v>
      </c>
      <c r="K241" s="4" t="n">
        <v>0.96</v>
      </c>
      <c r="L241" s="2" t="inlineStr">
        <is>
          <t>data/guild_mission_templates.yaml:L89:enemy_guests</t>
        </is>
      </c>
      <c r="M241" s="2" t="inlineStr">
        <is>
          <t>{"template_key":"guild_blackwind_assault_blade"}</t>
        </is>
      </c>
    </row>
    <row r="242">
      <c r="A242" s="2" t="inlineStr">
        <is>
          <t>guild_blackwind_assault</t>
        </is>
      </c>
      <c r="B242" s="2" t="inlineStr">
        <is>
          <t>黑风关总攻</t>
        </is>
      </c>
      <c r="C242" s="2" t="inlineStr">
        <is>
          <t>帮会任务</t>
        </is>
      </c>
      <c r="D242" s="2" t="inlineStr">
        <is>
          <t>门客</t>
        </is>
      </c>
      <c r="E242" s="2" t="inlineStr">
        <is>
          <t>guild_blackwind_assault_blade</t>
        </is>
      </c>
      <c r="F242" s="2" t="n">
        <v>1</v>
      </c>
      <c r="G242" s="2" t="inlineStr">
        <is>
          <t>黑风破阵刀手</t>
        </is>
      </c>
      <c r="H242" s="2" t="inlineStr">
        <is>
          <t>使用模板默认技能</t>
        </is>
      </c>
      <c r="I242" s="2" t="n">
        <v>12</v>
      </c>
      <c r="J242" s="2" t="n">
        <v>108</v>
      </c>
      <c r="K242" s="4" t="n">
        <v>0.96</v>
      </c>
      <c r="L242" s="2" t="inlineStr">
        <is>
          <t>data/guild_mission_templates.yaml:L89:enemy_guests</t>
        </is>
      </c>
      <c r="M242" s="2" t="inlineStr">
        <is>
          <t>{"template_key":"guild_blackwind_assault_blade"}</t>
        </is>
      </c>
    </row>
    <row r="243">
      <c r="A243" s="2" t="inlineStr">
        <is>
          <t>guild_blackwind_assault</t>
        </is>
      </c>
      <c r="B243" s="2" t="inlineStr">
        <is>
          <t>黑风关总攻</t>
        </is>
      </c>
      <c r="C243" s="2" t="inlineStr">
        <is>
          <t>帮会任务</t>
        </is>
      </c>
      <c r="D243" s="2" t="inlineStr">
        <is>
          <t>门客</t>
        </is>
      </c>
      <c r="E243" s="2" t="inlineStr">
        <is>
          <t>guild_blackwind_assault_blade</t>
        </is>
      </c>
      <c r="F243" s="2" t="n">
        <v>1</v>
      </c>
      <c r="G243" s="2" t="inlineStr">
        <is>
          <t>黑风破阵刀手</t>
        </is>
      </c>
      <c r="H243" s="2" t="inlineStr">
        <is>
          <t>使用模板默认技能</t>
        </is>
      </c>
      <c r="I243" s="2" t="n">
        <v>12</v>
      </c>
      <c r="J243" s="2" t="n">
        <v>108</v>
      </c>
      <c r="K243" s="4" t="n">
        <v>0.96</v>
      </c>
      <c r="L243" s="2" t="inlineStr">
        <is>
          <t>data/guild_mission_templates.yaml:L89:enemy_guests</t>
        </is>
      </c>
      <c r="M243" s="2" t="inlineStr">
        <is>
          <t>{"template_key":"guild_blackwind_assault_blade"}</t>
        </is>
      </c>
    </row>
    <row r="244">
      <c r="A244" s="2" t="inlineStr">
        <is>
          <t>guild_blackwind_assault</t>
        </is>
      </c>
      <c r="B244" s="2" t="inlineStr">
        <is>
          <t>黑风关总攻</t>
        </is>
      </c>
      <c r="C244" s="2" t="inlineStr">
        <is>
          <t>帮会任务</t>
        </is>
      </c>
      <c r="D244" s="2" t="inlineStr">
        <is>
          <t>门客</t>
        </is>
      </c>
      <c r="E244" s="2" t="inlineStr">
        <is>
          <t>guild_blackwind_assault_blade</t>
        </is>
      </c>
      <c r="F244" s="2" t="n">
        <v>1</v>
      </c>
      <c r="G244" s="2" t="inlineStr">
        <is>
          <t>黑风破阵刀手</t>
        </is>
      </c>
      <c r="H244" s="2" t="inlineStr">
        <is>
          <t>使用模板默认技能</t>
        </is>
      </c>
      <c r="I244" s="2" t="n">
        <v>12</v>
      </c>
      <c r="J244" s="2" t="n">
        <v>108</v>
      </c>
      <c r="K244" s="4" t="n">
        <v>0.96</v>
      </c>
      <c r="L244" s="2" t="inlineStr">
        <is>
          <t>data/guild_mission_templates.yaml:L89:enemy_guests</t>
        </is>
      </c>
      <c r="M244" s="2" t="inlineStr">
        <is>
          <t>{"template_key":"guild_blackwind_assault_blade"}</t>
        </is>
      </c>
    </row>
    <row r="245">
      <c r="A245" s="2" t="inlineStr">
        <is>
          <t>guild_blackwind_assault</t>
        </is>
      </c>
      <c r="B245" s="2" t="inlineStr">
        <is>
          <t>黑风关总攻</t>
        </is>
      </c>
      <c r="C245" s="2" t="inlineStr">
        <is>
          <t>帮会任务</t>
        </is>
      </c>
      <c r="D245" s="2" t="inlineStr">
        <is>
          <t>门客</t>
        </is>
      </c>
      <c r="E245" s="2" t="inlineStr">
        <is>
          <t>guild_blackwind_patrol_captain</t>
        </is>
      </c>
      <c r="F245" s="2" t="n">
        <v>1</v>
      </c>
      <c r="G245" s="2" t="inlineStr">
        <is>
          <t>黑风巡关校尉</t>
        </is>
      </c>
      <c r="H245" s="2" t="inlineStr">
        <is>
          <t>使用模板默认技能</t>
        </is>
      </c>
      <c r="I245" s="2" t="n">
        <v>12</v>
      </c>
      <c r="J245" s="2" t="n">
        <v>108</v>
      </c>
      <c r="K245" s="4" t="n">
        <v>0.96</v>
      </c>
      <c r="L245" s="2" t="inlineStr">
        <is>
          <t>data/guild_mission_templates.yaml:L89:enemy_guests</t>
        </is>
      </c>
      <c r="M245" s="2" t="inlineStr">
        <is>
          <t>{"template_key":"guild_blackwind_patrol_captain"}</t>
        </is>
      </c>
    </row>
    <row r="246">
      <c r="A246" s="2" t="inlineStr">
        <is>
          <t>guild_blackwind_assault</t>
        </is>
      </c>
      <c r="B246" s="2" t="inlineStr">
        <is>
          <t>黑风关总攻</t>
        </is>
      </c>
      <c r="C246" s="2" t="inlineStr">
        <is>
          <t>帮会任务</t>
        </is>
      </c>
      <c r="D246" s="2" t="inlineStr">
        <is>
          <t>门客</t>
        </is>
      </c>
      <c r="E246" s="2" t="inlineStr">
        <is>
          <t>guild_blackwind_patrol_captain</t>
        </is>
      </c>
      <c r="F246" s="2" t="n">
        <v>1</v>
      </c>
      <c r="G246" s="2" t="inlineStr">
        <is>
          <t>黑风巡关校尉</t>
        </is>
      </c>
      <c r="H246" s="2" t="inlineStr">
        <is>
          <t>使用模板默认技能</t>
        </is>
      </c>
      <c r="I246" s="2" t="n">
        <v>12</v>
      </c>
      <c r="J246" s="2" t="n">
        <v>108</v>
      </c>
      <c r="K246" s="4" t="n">
        <v>0.96</v>
      </c>
      <c r="L246" s="2" t="inlineStr">
        <is>
          <t>data/guild_mission_templates.yaml:L89:enemy_guests</t>
        </is>
      </c>
      <c r="M246" s="2" t="inlineStr">
        <is>
          <t>{"template_key":"guild_blackwind_patrol_captain"}</t>
        </is>
      </c>
    </row>
    <row r="247">
      <c r="A247" s="2" t="inlineStr">
        <is>
          <t>guild_blackwind_assault</t>
        </is>
      </c>
      <c r="B247" s="2" t="inlineStr">
        <is>
          <t>黑风关总攻</t>
        </is>
      </c>
      <c r="C247" s="2" t="inlineStr">
        <is>
          <t>帮会任务</t>
        </is>
      </c>
      <c r="D247" s="2" t="inlineStr">
        <is>
          <t>门客</t>
        </is>
      </c>
      <c r="E247" s="2" t="inlineStr">
        <is>
          <t>guild_blackwind_guard_soldier</t>
        </is>
      </c>
      <c r="F247" s="2" t="n">
        <v>1</v>
      </c>
      <c r="G247" s="2" t="inlineStr">
        <is>
          <t>黑风关守卒</t>
        </is>
      </c>
      <c r="H247" s="2" t="inlineStr">
        <is>
          <t>使用模板默认技能</t>
        </is>
      </c>
      <c r="I247" s="2" t="n">
        <v>12</v>
      </c>
      <c r="J247" s="2" t="n">
        <v>108</v>
      </c>
      <c r="K247" s="4" t="n">
        <v>0.96</v>
      </c>
      <c r="L247" s="2" t="inlineStr">
        <is>
          <t>data/guild_mission_templates.yaml:L89:enemy_guests</t>
        </is>
      </c>
      <c r="M247" s="2" t="inlineStr">
        <is>
          <t>{"template_key":"guild_blackwind_guard_soldier"}</t>
        </is>
      </c>
    </row>
    <row r="248">
      <c r="A248" s="2" t="inlineStr">
        <is>
          <t>guild_blackwind_assault</t>
        </is>
      </c>
      <c r="B248" s="2" t="inlineStr">
        <is>
          <t>黑风关总攻</t>
        </is>
      </c>
      <c r="C248" s="2" t="inlineStr">
        <is>
          <t>帮会任务</t>
        </is>
      </c>
      <c r="D248" s="2" t="inlineStr">
        <is>
          <t>门客</t>
        </is>
      </c>
      <c r="E248" s="2" t="inlineStr">
        <is>
          <t>guild_blackwind_guard_soldier</t>
        </is>
      </c>
      <c r="F248" s="2" t="n">
        <v>1</v>
      </c>
      <c r="G248" s="2" t="inlineStr">
        <is>
          <t>黑风关守卒</t>
        </is>
      </c>
      <c r="H248" s="2" t="inlineStr">
        <is>
          <t>使用模板默认技能</t>
        </is>
      </c>
      <c r="I248" s="2" t="n">
        <v>12</v>
      </c>
      <c r="J248" s="2" t="n">
        <v>108</v>
      </c>
      <c r="K248" s="4" t="n">
        <v>0.96</v>
      </c>
      <c r="L248" s="2" t="inlineStr">
        <is>
          <t>data/guild_mission_templates.yaml:L89:enemy_guests</t>
        </is>
      </c>
      <c r="M248" s="2" t="inlineStr">
        <is>
          <t>{"template_key":"guild_blackwind_guard_soldier"}</t>
        </is>
      </c>
    </row>
    <row r="249">
      <c r="A249" s="2" t="inlineStr">
        <is>
          <t>guild_blackwind_assault</t>
        </is>
      </c>
      <c r="B249" s="2" t="inlineStr">
        <is>
          <t>黑风关总攻</t>
        </is>
      </c>
      <c r="C249" s="2" t="inlineStr">
        <is>
          <t>帮会任务</t>
        </is>
      </c>
      <c r="D249" s="2" t="inlineStr">
        <is>
          <t>门客</t>
        </is>
      </c>
      <c r="E249" s="2" t="inlineStr">
        <is>
          <t>guild_blackwind_guard_soldier</t>
        </is>
      </c>
      <c r="F249" s="2" t="n">
        <v>1</v>
      </c>
      <c r="G249" s="2" t="inlineStr">
        <is>
          <t>黑风关守卒</t>
        </is>
      </c>
      <c r="H249" s="2" t="inlineStr">
        <is>
          <t>使用模板默认技能</t>
        </is>
      </c>
      <c r="I249" s="2" t="n">
        <v>12</v>
      </c>
      <c r="J249" s="2" t="n">
        <v>108</v>
      </c>
      <c r="K249" s="4" t="n">
        <v>0.96</v>
      </c>
      <c r="L249" s="2" t="inlineStr">
        <is>
          <t>data/guild_mission_templates.yaml:L89:enemy_guests</t>
        </is>
      </c>
      <c r="M249" s="2" t="inlineStr">
        <is>
          <t>{"template_key":"guild_blackwind_guard_soldier"}</t>
        </is>
      </c>
    </row>
    <row r="250">
      <c r="A250" s="2" t="inlineStr">
        <is>
          <t>guild_blackwind_assault</t>
        </is>
      </c>
      <c r="B250" s="2" t="inlineStr">
        <is>
          <t>黑风关总攻</t>
        </is>
      </c>
      <c r="C250" s="2" t="inlineStr">
        <is>
          <t>帮会任务</t>
        </is>
      </c>
      <c r="D250" s="2" t="inlineStr">
        <is>
          <t>门客</t>
        </is>
      </c>
      <c r="E250" s="2" t="inlineStr">
        <is>
          <t>guild_blackwind_spear_soldier</t>
        </is>
      </c>
      <c r="F250" s="2" t="n">
        <v>1</v>
      </c>
      <c r="G250" s="2" t="inlineStr">
        <is>
          <t>黑风枪卒</t>
        </is>
      </c>
      <c r="H250" s="2" t="inlineStr">
        <is>
          <t>使用模板默认技能</t>
        </is>
      </c>
      <c r="I250" s="2" t="n">
        <v>12</v>
      </c>
      <c r="J250" s="2" t="n">
        <v>108</v>
      </c>
      <c r="K250" s="4" t="n">
        <v>0.96</v>
      </c>
      <c r="L250" s="2" t="inlineStr">
        <is>
          <t>data/guild_mission_templates.yaml:L89:enemy_guests</t>
        </is>
      </c>
      <c r="M250" s="2" t="inlineStr">
        <is>
          <t>{"template_key":"guild_blackwind_spear_soldier"}</t>
        </is>
      </c>
    </row>
    <row r="251">
      <c r="A251" s="2" t="inlineStr">
        <is>
          <t>guild_blackwind_assault</t>
        </is>
      </c>
      <c r="B251" s="2" t="inlineStr">
        <is>
          <t>黑风关总攻</t>
        </is>
      </c>
      <c r="C251" s="2" t="inlineStr">
        <is>
          <t>帮会任务</t>
        </is>
      </c>
      <c r="D251" s="2" t="inlineStr">
        <is>
          <t>门客</t>
        </is>
      </c>
      <c r="E251" s="2" t="inlineStr">
        <is>
          <t>guild_blackwind_spear_soldier</t>
        </is>
      </c>
      <c r="F251" s="2" t="n">
        <v>1</v>
      </c>
      <c r="G251" s="2" t="inlineStr">
        <is>
          <t>黑风枪卒</t>
        </is>
      </c>
      <c r="H251" s="2" t="inlineStr">
        <is>
          <t>使用模板默认技能</t>
        </is>
      </c>
      <c r="I251" s="2" t="n">
        <v>12</v>
      </c>
      <c r="J251" s="2" t="n">
        <v>108</v>
      </c>
      <c r="K251" s="4" t="n">
        <v>0.96</v>
      </c>
      <c r="L251" s="2" t="inlineStr">
        <is>
          <t>data/guild_mission_templates.yaml:L89:enemy_guests</t>
        </is>
      </c>
      <c r="M251" s="2" t="inlineStr">
        <is>
          <t>{"template_key":"guild_blackwind_spear_soldier"}</t>
        </is>
      </c>
    </row>
    <row r="252">
      <c r="A252" s="2" t="inlineStr">
        <is>
          <t>guild_blackwind_assault</t>
        </is>
      </c>
      <c r="B252" s="2" t="inlineStr">
        <is>
          <t>黑风关总攻</t>
        </is>
      </c>
      <c r="C252" s="2" t="inlineStr">
        <is>
          <t>帮会任务</t>
        </is>
      </c>
      <c r="D252" s="2" t="inlineStr">
        <is>
          <t>门客</t>
        </is>
      </c>
      <c r="E252" s="2" t="inlineStr">
        <is>
          <t>guild_blackwind_spear_soldier</t>
        </is>
      </c>
      <c r="F252" s="2" t="n">
        <v>1</v>
      </c>
      <c r="G252" s="2" t="inlineStr">
        <is>
          <t>黑风枪卒</t>
        </is>
      </c>
      <c r="H252" s="2" t="inlineStr">
        <is>
          <t>使用模板默认技能</t>
        </is>
      </c>
      <c r="I252" s="2" t="n">
        <v>12</v>
      </c>
      <c r="J252" s="2" t="n">
        <v>108</v>
      </c>
      <c r="K252" s="4" t="n">
        <v>0.96</v>
      </c>
      <c r="L252" s="2" t="inlineStr">
        <is>
          <t>data/guild_mission_templates.yaml:L89:enemy_guests</t>
        </is>
      </c>
      <c r="M252" s="2" t="inlineStr">
        <is>
          <t>{"template_key":"guild_blackwind_spear_soldier"}</t>
        </is>
      </c>
    </row>
    <row r="253">
      <c r="A253" s="2" t="inlineStr">
        <is>
          <t>guild_blackwind_assault</t>
        </is>
      </c>
      <c r="B253" s="2" t="inlineStr">
        <is>
          <t>黑风关总攻</t>
        </is>
      </c>
      <c r="C253" s="2" t="inlineStr">
        <is>
          <t>帮会任务</t>
        </is>
      </c>
      <c r="D253" s="2" t="inlineStr">
        <is>
          <t>门客</t>
        </is>
      </c>
      <c r="E253" s="2" t="inlineStr">
        <is>
          <t>guild_blackwind_spear_soldier</t>
        </is>
      </c>
      <c r="F253" s="2" t="n">
        <v>1</v>
      </c>
      <c r="G253" s="2" t="inlineStr">
        <is>
          <t>黑风枪卒</t>
        </is>
      </c>
      <c r="H253" s="2" t="inlineStr">
        <is>
          <t>使用模板默认技能</t>
        </is>
      </c>
      <c r="I253" s="2" t="n">
        <v>12</v>
      </c>
      <c r="J253" s="2" t="n">
        <v>108</v>
      </c>
      <c r="K253" s="4" t="n">
        <v>0.96</v>
      </c>
      <c r="L253" s="2" t="inlineStr">
        <is>
          <t>data/guild_mission_templates.yaml:L89:enemy_guests</t>
        </is>
      </c>
      <c r="M253" s="2" t="inlineStr">
        <is>
          <t>{"template_key":"guild_blackwind_spear_soldier"}</t>
        </is>
      </c>
    </row>
    <row r="254">
      <c r="A254" s="2" t="inlineStr">
        <is>
          <t>guild_blackwind_assault</t>
        </is>
      </c>
      <c r="B254" s="2" t="inlineStr">
        <is>
          <t>黑风关总攻</t>
        </is>
      </c>
      <c r="C254" s="2" t="inlineStr">
        <is>
          <t>帮会任务</t>
        </is>
      </c>
      <c r="D254" s="2" t="inlineStr">
        <is>
          <t>护院</t>
        </is>
      </c>
      <c r="E254" s="2" t="inlineStr">
        <is>
          <t>qiang_wang</t>
        </is>
      </c>
      <c r="F254" s="2" t="n">
        <v>1700</v>
      </c>
      <c r="G254" s="2" t="inlineStr">
        <is>
          <t>枪王</t>
        </is>
      </c>
      <c r="H254" s="2" t="inlineStr"/>
      <c r="I254" s="2" t="n">
        <v>12</v>
      </c>
      <c r="J254" s="2" t="n"/>
      <c r="K254" s="4" t="n"/>
      <c r="L254" s="2" t="inlineStr">
        <is>
          <t>data/guild_mission_templates.yaml:L89:enemy_troops</t>
        </is>
      </c>
      <c r="M254" s="2" t="inlineStr">
        <is>
          <t>{"qiang_wang":1700}</t>
        </is>
      </c>
    </row>
    <row r="255">
      <c r="A255" s="2" t="inlineStr">
        <is>
          <t>guild_blackwind_assault</t>
        </is>
      </c>
      <c r="B255" s="2" t="inlineStr">
        <is>
          <t>黑风关总攻</t>
        </is>
      </c>
      <c r="C255" s="2" t="inlineStr">
        <is>
          <t>帮会任务</t>
        </is>
      </c>
      <c r="D255" s="2" t="inlineStr">
        <is>
          <t>护院</t>
        </is>
      </c>
      <c r="E255" s="2" t="inlineStr">
        <is>
          <t>jian_sheng</t>
        </is>
      </c>
      <c r="F255" s="2" t="n">
        <v>1450</v>
      </c>
      <c r="G255" s="2" t="inlineStr">
        <is>
          <t>剑圣</t>
        </is>
      </c>
      <c r="H255" s="2" t="inlineStr"/>
      <c r="I255" s="2" t="n">
        <v>12</v>
      </c>
      <c r="J255" s="2" t="n"/>
      <c r="K255" s="4" t="n"/>
      <c r="L255" s="2" t="inlineStr">
        <is>
          <t>data/guild_mission_templates.yaml:L89:enemy_troops</t>
        </is>
      </c>
      <c r="M255" s="2" t="inlineStr">
        <is>
          <t>{"jian_sheng":1450}</t>
        </is>
      </c>
    </row>
    <row r="256">
      <c r="A256" s="2" t="inlineStr">
        <is>
          <t>guild_blackwind_assault</t>
        </is>
      </c>
      <c r="B256" s="2" t="inlineStr">
        <is>
          <t>黑风关总攻</t>
        </is>
      </c>
      <c r="C256" s="2" t="inlineStr">
        <is>
          <t>帮会任务</t>
        </is>
      </c>
      <c r="D256" s="2" t="inlineStr">
        <is>
          <t>护院</t>
        </is>
      </c>
      <c r="E256" s="2" t="inlineStr">
        <is>
          <t>arrow_god</t>
        </is>
      </c>
      <c r="F256" s="2" t="n">
        <v>1620</v>
      </c>
      <c r="G256" s="2" t="inlineStr">
        <is>
          <t>箭神</t>
        </is>
      </c>
      <c r="H256" s="2" t="inlineStr"/>
      <c r="I256" s="2" t="n">
        <v>12</v>
      </c>
      <c r="J256" s="2" t="n"/>
      <c r="K256" s="4" t="n"/>
      <c r="L256" s="2" t="inlineStr">
        <is>
          <t>data/guild_mission_templates.yaml:L89:enemy_troops</t>
        </is>
      </c>
      <c r="M256" s="2" t="inlineStr">
        <is>
          <t>{"arrow_god":1620}</t>
        </is>
      </c>
    </row>
    <row r="257">
      <c r="A257" s="2" t="inlineStr">
        <is>
          <t>guild_blackwind_assault</t>
        </is>
      </c>
      <c r="B257" s="2" t="inlineStr">
        <is>
          <t>黑风关总攻</t>
        </is>
      </c>
      <c r="C257" s="2" t="inlineStr">
        <is>
          <t>帮会任务</t>
        </is>
      </c>
      <c r="D257" s="2" t="inlineStr">
        <is>
          <t>护院</t>
        </is>
      </c>
      <c r="E257" s="2" t="inlineStr">
        <is>
          <t>quan_sheng</t>
        </is>
      </c>
      <c r="F257" s="2" t="n">
        <v>980</v>
      </c>
      <c r="G257" s="2" t="inlineStr">
        <is>
          <t>拳圣</t>
        </is>
      </c>
      <c r="H257" s="2" t="inlineStr"/>
      <c r="I257" s="2" t="n">
        <v>12</v>
      </c>
      <c r="J257" s="2" t="n"/>
      <c r="K257" s="4" t="n"/>
      <c r="L257" s="2" t="inlineStr">
        <is>
          <t>data/guild_mission_templates.yaml:L89:enemy_troops</t>
        </is>
      </c>
      <c r="M257" s="2" t="inlineStr">
        <is>
          <t>{"quan_sheng":980}</t>
        </is>
      </c>
    </row>
    <row r="258">
      <c r="A258" s="2" t="inlineStr">
        <is>
          <t>guild_blackwind_assault</t>
        </is>
      </c>
      <c r="B258" s="2" t="inlineStr">
        <is>
          <t>黑风关总攻</t>
        </is>
      </c>
      <c r="C258" s="2" t="inlineStr">
        <is>
          <t>帮会任务</t>
        </is>
      </c>
      <c r="D258" s="2" t="inlineStr">
        <is>
          <t>护院</t>
        </is>
      </c>
      <c r="E258" s="2" t="inlineStr">
        <is>
          <t>dao_sheng</t>
        </is>
      </c>
      <c r="F258" s="2" t="n">
        <v>930</v>
      </c>
      <c r="G258" s="2" t="inlineStr">
        <is>
          <t>刀圣</t>
        </is>
      </c>
      <c r="H258" s="2" t="inlineStr"/>
      <c r="I258" s="2" t="n">
        <v>12</v>
      </c>
      <c r="J258" s="2" t="n"/>
      <c r="K258" s="4" t="n"/>
      <c r="L258" s="2" t="inlineStr">
        <is>
          <t>data/guild_mission_templates.yaml:L89:enemy_troops</t>
        </is>
      </c>
      <c r="M258" s="2" t="inlineStr">
        <is>
          <t>{"dao_sheng":930}</t>
        </is>
      </c>
    </row>
  </sheetData>
  <autoFilter ref="A1:M2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6" customWidth="1" min="1" max="1"/>
    <col width="34" customWidth="1" min="2" max="2"/>
    <col width="38" customWidth="1" min="3" max="3"/>
    <col width="32" customWidth="1" min="4" max="4"/>
    <col width="24" customWidth="1" min="5" max="5"/>
    <col width="95" customWidth="1" min="6" max="6"/>
    <col width="80" customWidth="1" min="7" max="7"/>
  </cols>
  <sheetData>
    <row r="1" ht="32" customHeight="1">
      <c r="A1" s="1" t="inlineStr">
        <is>
          <t>任务key</t>
        </is>
      </c>
      <c r="B1" s="1" t="inlineStr">
        <is>
          <t>任务名称</t>
        </is>
      </c>
      <c r="C1" s="1" t="inlineStr">
        <is>
          <t>物品key</t>
        </is>
      </c>
      <c r="D1" s="1" t="inlineStr">
        <is>
          <t>物品名称</t>
        </is>
      </c>
      <c r="E1" s="1" t="inlineStr">
        <is>
          <t>原始展示值(JSON)</t>
        </is>
      </c>
      <c r="F1" s="1" t="inlineStr">
        <is>
          <t>用途说明</t>
        </is>
      </c>
      <c r="G1" s="1" t="inlineStr">
        <is>
          <t>数据来源</t>
        </is>
      </c>
    </row>
    <row r="2">
      <c r="A2" s="2" t="inlineStr">
        <is>
          <t>liangshanbo_zhuyingtai</t>
        </is>
      </c>
      <c r="B2" s="2" t="inlineStr">
        <is>
          <t>梁山伯与祝英台</t>
        </is>
      </c>
      <c r="C2" s="2" t="inlineStr">
        <is>
          <t>equip_nichangyuyi</t>
        </is>
      </c>
      <c r="D2" s="2" t="inlineStr">
        <is>
          <t>霓裳羽衣</t>
        </is>
      </c>
      <c r="E2" s="2" t="inlineStr">
        <is>
          <t>1</t>
        </is>
      </c>
      <c r="F2" s="2" t="inlineStr">
        <is>
          <t>仅页面展示配置，不作为额外掉落发放，不将数值1解释为100%概率。</t>
        </is>
      </c>
      <c r="G2" s="2" t="inlineStr">
        <is>
          <t>data/mission_templates.yaml:L1108:probability_drop_table.equip_nichangyuyi</t>
        </is>
      </c>
    </row>
    <row r="3">
      <c r="A3" s="2" t="inlineStr">
        <is>
          <t>liangshanbo_zhuyingtai</t>
        </is>
      </c>
      <c r="B3" s="2" t="inlineStr">
        <is>
          <t>梁山伯与祝英台</t>
        </is>
      </c>
      <c r="C3" s="2" t="inlineStr">
        <is>
          <t>equip_nichangwuxie</t>
        </is>
      </c>
      <c r="D3" s="2" t="inlineStr">
        <is>
          <t>霓裳舞鞋</t>
        </is>
      </c>
      <c r="E3" s="2" t="inlineStr">
        <is>
          <t>1</t>
        </is>
      </c>
      <c r="F3" s="2" t="inlineStr">
        <is>
          <t>仅页面展示配置，不作为额外掉落发放，不将数值1解释为100%概率。</t>
        </is>
      </c>
      <c r="G3" s="2" t="inlineStr">
        <is>
          <t>data/mission_templates.yaml:L1108:probability_drop_table.equip_nichangwuxie</t>
        </is>
      </c>
    </row>
    <row r="4">
      <c r="A4" s="2" t="inlineStr">
        <is>
          <t>liangshanbo_zhuyingtai</t>
        </is>
      </c>
      <c r="B4" s="2" t="inlineStr">
        <is>
          <t>梁山伯与祝英台</t>
        </is>
      </c>
      <c r="C4" s="2" t="inlineStr">
        <is>
          <t>equip_nichangjian</t>
        </is>
      </c>
      <c r="D4" s="2" t="inlineStr">
        <is>
          <t>霓裳剑</t>
        </is>
      </c>
      <c r="E4" s="2" t="inlineStr">
        <is>
          <t>1</t>
        </is>
      </c>
      <c r="F4" s="2" t="inlineStr">
        <is>
          <t>仅页面展示配置，不作为额外掉落发放，不将数值1解释为100%概率。</t>
        </is>
      </c>
      <c r="G4" s="2" t="inlineStr">
        <is>
          <t>data/mission_templates.yaml:L1108:probability_drop_table.equip_nichangjian</t>
        </is>
      </c>
    </row>
  </sheetData>
  <autoFilter ref="A1:G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32" customWidth="1" min="2" max="2"/>
    <col width="42" customWidth="1" min="3" max="3"/>
    <col width="30" customWidth="1" min="4" max="4"/>
    <col width="105" customWidth="1" min="5" max="5"/>
    <col width="100" customWidth="1" min="6" max="6"/>
    <col width="65" customWidth="1" min="7" max="7"/>
    <col width="130" customWidth="1" min="8" max="8"/>
  </cols>
  <sheetData>
    <row r="1" ht="32" customHeight="1">
      <c r="A1" s="1" t="inlineStr">
        <is>
          <t>适用范围</t>
        </is>
      </c>
      <c r="B1" s="1" t="inlineStr">
        <is>
          <t>奖励规则</t>
        </is>
      </c>
      <c r="C1" s="1" t="inlineStr">
        <is>
          <t>物品key/取值来源</t>
        </is>
      </c>
      <c r="D1" s="1" t="inlineStr">
        <is>
          <t>奖励物品</t>
        </is>
      </c>
      <c r="E1" s="1" t="inlineStr">
        <is>
          <t>计算口径</t>
        </is>
      </c>
      <c r="F1" s="1" t="inlineStr">
        <is>
          <t>数量说明</t>
        </is>
      </c>
      <c r="G1" s="1" t="inlineStr">
        <is>
          <t>发奖条件</t>
        </is>
      </c>
      <c r="H1" s="1" t="inlineStr">
        <is>
          <t>代码来源</t>
        </is>
      </c>
    </row>
    <row r="2">
      <c r="A2" s="2" t="inlineStr">
        <is>
          <t>全部个人任务</t>
        </is>
      </c>
      <c r="B2" s="2" t="inlineStr">
        <is>
          <t>经验果：阵亡护院</t>
        </is>
      </c>
      <c r="C2" s="2" t="inlineStr">
        <is>
          <t>experience_fruit</t>
        </is>
      </c>
      <c r="D2" s="2" t="inlineStr">
        <is>
          <t>经验果</t>
        </is>
      </c>
      <c r="E2" s="2" t="inlineStr">
        <is>
          <t>双方阵亡护院数量×该兵种招募基准秒数/3600×0.1求和；排除门客及城防单位</t>
        </is>
      </c>
      <c r="F2" s="2" t="inlineStr">
        <is>
          <t>与阵亡门客贡献合并后向下取整，无固定保底数量</t>
        </is>
      </c>
      <c r="G2" s="2" t="inlineStr">
        <is>
          <t>玩家一方胜利，非撤退，返程结算</t>
        </is>
      </c>
      <c r="H2" s="2" t="inlineStr">
        <is>
          <t>gameplay/services/battle_salvage.py:_calculate_troop_exp_fruit；gameplay/services/missions_impl/finalization_helpers.py:build_mission_drops_with_salvage</t>
        </is>
      </c>
    </row>
    <row r="3">
      <c r="A3" s="2" t="inlineStr">
        <is>
          <t>全部个人任务</t>
        </is>
      </c>
      <c r="B3" s="2" t="inlineStr">
        <is>
          <t>经验果：阵亡门客</t>
        </is>
      </c>
      <c r="C3" s="2" t="inlineStr">
        <is>
          <t>experience_fruit</t>
        </is>
      </c>
      <c r="D3" s="2" t="inlineStr">
        <is>
          <t>经验果</t>
        </is>
      </c>
      <c r="E3" s="2" t="inlineStr">
        <is>
          <t>双方remaining_hp=0的门客：等级×稀有度倍率×初始血量/最大血量×0.05求和</t>
        </is>
      </c>
      <c r="F3" s="2" t="inlineStr">
        <is>
          <t>与阵亡护院贡献合并后向下取整；稀有度倍率见PVPConstants.RARITY_EXP_MULTIPLIER</t>
        </is>
      </c>
      <c r="G3" s="2" t="inlineStr">
        <is>
          <t>玩家一方胜利，非撤退，返程结算</t>
        </is>
      </c>
      <c r="H3" s="2" t="inlineStr">
        <is>
          <t>gameplay/services/battle_salvage.py:_member_exp_fruit；gameplay/constants.py:PVPConstants.RARITY_EXP_MULTIPLIER</t>
        </is>
      </c>
    </row>
    <row r="4">
      <c r="A4" s="2" t="inlineStr">
        <is>
          <t>全部个人任务</t>
        </is>
      </c>
      <c r="B4" s="2" t="inlineStr">
        <is>
          <t>己方阵亡护院装备回收</t>
        </is>
      </c>
      <c r="C4" s="2" t="inlineStr">
        <is>
          <t>取己方兵种recruit.equipment</t>
        </is>
      </c>
      <c r="D4" s="2" t="inlineStr">
        <is>
          <t>己方兵种招募装备</t>
        </is>
      </c>
      <c r="E4" s="2" t="inlineStr">
        <is>
          <t>仅己方阵亡护院；每名阵亡护院、每件招募装备独立以20%概率回收1件</t>
        </is>
      </c>
      <c r="F4" s="2" t="inlineStr">
        <is>
          <t>依实际己方兵种、阵亡数量及战报种子计算；未作为固定配置池写入掉落明细</t>
        </is>
      </c>
      <c r="G4" s="2" t="inlineStr">
        <is>
          <t>玩家一方胜利，非撤退，返程结算</t>
        </is>
      </c>
      <c r="H4" s="2" t="inlineStr">
        <is>
          <t>gameplay/services/battle_salvage.py:_calculate_equipment_recovery；gameplay/constants.py:PVPConstants.EQUIPMENT_RECOVERY_CHANCE</t>
        </is>
      </c>
    </row>
    <row r="5">
      <c r="A5" s="2" t="inlineStr">
        <is>
          <t>全部帮会任务</t>
        </is>
      </c>
      <c r="B5" s="2" t="inlineStr">
        <is>
          <t>无个人战损回收奖励</t>
        </is>
      </c>
      <c r="C5" s="2" t="inlineStr"/>
      <c r="D5" s="2" t="inlineStr"/>
      <c r="E5" s="2" t="inlineStr">
        <is>
          <t>auto_reward=False，仅确定发放配置红宝石至帮会仓库</t>
        </is>
      </c>
      <c r="F5" s="2" t="inlineStr">
        <is>
          <t>不将战报预览掉落解释为参与者收益</t>
        </is>
      </c>
      <c r="G5" s="2" t="inlineStr">
        <is>
          <t>帮会胜利后结算</t>
        </is>
      </c>
      <c r="H5" s="2" t="inlineStr">
        <is>
          <t>guilds/services/guild_missions.py:finalize_guild_mission_run</t>
        </is>
      </c>
    </row>
  </sheetData>
  <autoFilter ref="A1:H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2" customWidth="1" min="1" max="1"/>
    <col width="110" customWidth="1" min="2" max="2"/>
  </cols>
  <sheetData>
    <row r="1" ht="32" customHeight="1">
      <c r="A1" s="1" t="inlineStr">
        <is>
          <t>统计项</t>
        </is>
      </c>
      <c r="B1" s="1" t="inlineStr">
        <is>
          <t>值</t>
        </is>
      </c>
    </row>
    <row r="2">
      <c r="A2" s="2" t="inlineStr">
        <is>
          <t>个人任务数</t>
        </is>
      </c>
      <c r="B2" s="3">
        <f>COUNTIF(任务列表!$Q$2:$Q$36,"个人任务")</f>
        <v>32</v>
      </c>
    </row>
    <row r="3">
      <c r="A3" s="2" t="inlineStr">
        <is>
          <t>帮会任务数</t>
        </is>
      </c>
      <c r="B3" s="3">
        <f>COUNTIF(任务列表!$Q$2:$Q$36,"帮会任务")</f>
        <v>3</v>
      </c>
    </row>
    <row r="4">
      <c r="A4" s="2" t="inlineStr">
        <is>
          <t>任务总数</t>
        </is>
      </c>
      <c r="B4" s="3">
        <f>COUNTA(任务列表!B2:B36)</f>
        <v>35</v>
      </c>
    </row>
    <row r="5">
      <c r="A5" s="2" t="inlineStr">
        <is>
          <t>奖励掉落明细行数</t>
        </is>
      </c>
      <c r="B5" s="3">
        <f>COUNTA(任务掉落明细!B2:B290)</f>
        <v>289</v>
      </c>
    </row>
    <row r="6">
      <c r="A6" s="2" t="inlineStr">
        <is>
          <t>初级任务数</t>
        </is>
      </c>
      <c r="B6" s="3">
        <f>COUNTIF(任务列表!$D$2:$D$36,"初级")</f>
        <v>9</v>
      </c>
    </row>
    <row r="7">
      <c r="A7" s="2" t="inlineStr">
        <is>
          <t>中级任务数</t>
        </is>
      </c>
      <c r="B7" s="3">
        <f>COUNTIF(任务列表!$D$2:$D$36,"中级")</f>
        <v>11</v>
      </c>
    </row>
    <row r="8">
      <c r="A8" s="2" t="inlineStr">
        <is>
          <t>高级任务数</t>
        </is>
      </c>
      <c r="B8" s="3">
        <f>COUNTIF(任务列表!$D$2:$D$36,"高级")</f>
        <v>15</v>
      </c>
    </row>
    <row r="9">
      <c r="A9" s="2" t="inlineStr">
        <is>
          <t>生成时间</t>
        </is>
      </c>
      <c r="B9" s="2" t="inlineStr">
        <is>
          <t>2026-09-30 16:11:36 CST</t>
        </is>
      </c>
    </row>
    <row r="10">
      <c r="A10" s="2" t="inlineStr">
        <is>
          <t>数据范围</t>
        </is>
      </c>
      <c r="B10" s="2" t="inlineStr">
        <is>
          <t>当前工作区配置，未读取运行中数据库；含全部个人任务及帮会任务。</t>
        </is>
      </c>
    </row>
  </sheetData>
  <autoFilter ref="A1:B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35" customWidth="1" min="2" max="2"/>
  </cols>
  <sheetData>
    <row r="1" ht="32" customHeight="1">
      <c r="A1" s="1" t="inlineStr">
        <is>
          <t>字段/Sheet</t>
        </is>
      </c>
      <c r="B1" s="1" t="inlineStr">
        <is>
          <t>说明</t>
        </is>
      </c>
    </row>
    <row r="2">
      <c r="A2" s="2" t="inlineStr">
        <is>
          <t>任务列表</t>
        </is>
      </c>
      <c r="B2" s="2" t="inlineStr">
        <is>
          <t>每行一个任务。每日次数适用于个人任务，每周次数适用于每帮会每个任务模板；空白表示不适用。</t>
        </is>
      </c>
    </row>
    <row r="3">
      <c r="A3" s="2" t="inlineStr">
        <is>
          <t>奖励掉落范围</t>
        </is>
      </c>
      <c r="B3" s="2" t="inlineStr">
        <is>
          <t>个人配置掉落以drop_table及运行发奖逻辑为准；另有战损经验果和己方护院装备回收，见动态奖励规则。帮会只列明确结算的ruby_reward（红宝石）。宝箱内部奖励未作任务直接掉落。</t>
        </is>
      </c>
    </row>
    <row r="4">
      <c r="A4" s="2" t="inlineStr">
        <is>
          <t>发奖条件</t>
        </is>
      </c>
      <c r="B4" s="2" t="inlineStr">
        <is>
          <t>个人任务必须玩家一方胜利、非撤退，在返程结算发奖；防守玩家为defender，普通出征为attacker。</t>
        </is>
      </c>
    </row>
    <row r="5">
      <c r="A5" s="2" t="inlineStr">
        <is>
          <t>帮会奖励</t>
        </is>
      </c>
      <c r="B5" s="2" t="inlineStr">
        <is>
          <t>帮会任务胜利后红宝石进入帮会仓库，参与者不会因此直接获得同数量红宝石。当前任务结算未发现额外个人贡献度或个人物品奖励。</t>
        </is>
      </c>
    </row>
    <row r="6">
      <c r="A6" s="2" t="inlineStr">
        <is>
          <t>随机池</t>
        </is>
      </c>
      <c r="B6" s="2" t="inlineStr">
        <is>
          <t>一个池触发后按候选权重随机选一项；权重不是概率。明细将每个候选展开，实际概率及期望数量通过Excel公式计算。</t>
        </is>
      </c>
    </row>
    <row r="7">
      <c r="A7" s="2" t="inlineStr">
        <is>
          <t>同物品多条掉落</t>
        </is>
      </c>
      <c r="B7" s="2" t="inlineStr">
        <is>
          <t>每个drop_table条目独立判定并累加；例如广寒宫月饼存在保底与多个额外概率档，不应将这些档位当作互斥奖励。</t>
        </is>
      </c>
    </row>
    <row r="8">
      <c r="A8" s="2" t="inlineStr">
        <is>
          <t>页面展示配置</t>
        </is>
      </c>
      <c r="B8" s="2" t="inlineStr">
        <is>
          <t>probability_drop_table仅影响页面展示，单独列页保留原始值；不参与实际奖励或期望数量计算。guaranteed_drops是页面生成变量，非另一张发奖配置表。</t>
        </is>
      </c>
    </row>
    <row r="9">
      <c r="A9" s="2" t="inlineStr">
        <is>
          <t>实际概率</t>
        </is>
      </c>
      <c r="B9" s="2" t="inlineStr">
        <is>
          <t>仅表示一次胜利后对应条目的配置层发放概率，不包含挑战胜率或开放日期。不同条目的期望数量可相加，但至少获得一件的概率不能简单相加。</t>
        </is>
      </c>
    </row>
    <row r="10">
      <c r="A10" s="2" t="inlineStr">
        <is>
          <t>基础耗时</t>
        </is>
      </c>
      <c r="B10" s="2" t="inlineStr">
        <is>
          <t>个人base_travel_time未填按导入默认1800秒；进攻用于单程修正后再加返程，防守使用一次基准。实际受敏捷及时间倍率影响，不将配置秒数宣称实际耗时。帮会base_duration_seconds受时间倍率缩放，无额外返程。</t>
        </is>
      </c>
    </row>
    <row r="11">
      <c r="A11" s="2" t="inlineStr">
        <is>
          <t>发起消耗</t>
        </is>
      </c>
      <c r="B11" s="2" t="inlineStr">
        <is>
          <t>个人任务每次发起扣10行动点，另消耗entry_cost中的库存物品；行动点列与入场物品列分别展示。帮会任务行动点列为空，不套用个人任务规则。</t>
        </is>
      </c>
    </row>
    <row r="12">
      <c r="A12" s="2" t="inlineStr">
        <is>
          <t>个人任务默认值</t>
        </is>
      </c>
      <c r="B12" s="2" t="inlineStr">
        <is>
          <t>daily_limit=3，mission_card_daily_limit=5，display_order=1000，guest_only=False，is_defense=False；未填available_weekdays表示每日开放。</t>
        </is>
      </c>
    </row>
    <row r="13">
      <c r="A13" s="2" t="inlineStr">
        <is>
          <t>帮会任务次数</t>
        </is>
      </c>
      <c r="B13" s="2" t="inlineStr">
        <is>
          <t>每帮会每模板每自然周最多发起3次，周一开始计算；发起即占次数，撤退或失败不会返还次数。</t>
        </is>
      </c>
    </row>
    <row r="14">
      <c r="A14" s="2" t="inlineStr">
        <is>
          <t>敌方阵容</t>
        </is>
      </c>
      <c r="B14" s="2" t="inlineStr">
        <is>
          <t>门客逐个列出，重复门客保留数量；护院按兵种配置数量列出。敌方科技完整配置另存任务列表，精细levels覆盖统一level。</t>
        </is>
      </c>
    </row>
    <row r="15">
      <c r="A15" s="2" t="inlineStr">
        <is>
          <t>门客技能优先级</t>
        </is>
      </c>
      <c r="B15" s="2" t="inlineStr">
        <is>
          <t>个人门客单独skills优先，其次enemy_technology.guest_skills，再次模板initial_skills；无法解析时保留key或注明模板默认技能。</t>
        </is>
      </c>
    </row>
    <row r="16">
      <c r="A16" s="2" t="inlineStr">
        <is>
          <t>排序与开放</t>
        </is>
      </c>
      <c r="B16" s="2" t="inlineStr">
        <is>
          <t>任务列表沿配置文件顺序，另列显示排序字段；星期1~7为周一至周日，未从活动任务名称推断额外起止日期。</t>
        </is>
      </c>
    </row>
    <row r="17">
      <c r="A17" s="2" t="inlineStr">
        <is>
          <t>来源</t>
        </is>
      </c>
      <c r="B17" s="2" t="inlineStr">
        <is>
          <t>数据来自data/mission_templates.yaml、data/guild_mission_templates.yaml、data/item_templates.yaml及门客/护院模板。每条任务与奖励均附配置行号。</t>
        </is>
      </c>
    </row>
    <row r="18">
      <c r="A18" s="2" t="inlineStr">
        <is>
          <t>规则核对代码</t>
        </is>
      </c>
      <c r="B18" s="2" t="inlineStr">
        <is>
          <t>common/utils/loot.py；gameplay/management/commands/load_mission_templates.py；gameplay/services/missions_impl/finalize_command.py；guilds/services/guild_missions.py。</t>
        </is>
      </c>
    </row>
  </sheetData>
  <autoFilter ref="A1:B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2026-09-30T08:11:33Z</dcterms:created>
  <dcterms:modified xmlns:dcterms="http://purl.org/dc/terms/" xmlns:xsi="http://www.w3.org/2001/XMLSchema-instance" xsi:type="dcterms:W3CDTF">2026-09-30T08:11:36Z</dcterms:modified>
</cp:coreProperties>
</file>