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任务列表" sheetId="1" state="visible" r:id="rId1"/>
    <sheet xmlns:r="http://schemas.openxmlformats.org/officeDocument/2006/relationships" name="任务掉落明细" sheetId="2" state="visible" r:id="rId2"/>
    <sheet xmlns:r="http://schemas.openxmlformats.org/officeDocument/2006/relationships" name="掉落物反查" sheetId="3" state="visible" r:id="rId3"/>
    <sheet xmlns:r="http://schemas.openxmlformats.org/officeDocument/2006/relationships" name="敌方阵容" sheetId="4" state="visible" r:id="rId4"/>
    <sheet xmlns:r="http://schemas.openxmlformats.org/officeDocument/2006/relationships" name="页面展示配置" sheetId="5" state="visible" r:id="rId5"/>
    <sheet xmlns:r="http://schemas.openxmlformats.org/officeDocument/2006/relationships" name="动态奖励规则" sheetId="6" state="visible" r:id="rId6"/>
    <sheet xmlns:r="http://schemas.openxmlformats.org/officeDocument/2006/relationships" name="统计" sheetId="7" state="visible" r:id="rId7"/>
    <sheet xmlns:r="http://schemas.openxmlformats.org/officeDocument/2006/relationships" name="字段说明" sheetId="8" state="visible" r:id="rId8"/>
    <sheet xmlns:r="http://schemas.openxmlformats.org/officeDocument/2006/relationships" name="宝箱奖励明细" sheetId="9" state="visible" r:id="rId9"/>
    <sheet xmlns:r="http://schemas.openxmlformats.org/officeDocument/2006/relationships" name="宝箱养成预算" sheetId="10" state="visible" r:id="rId10"/>
    <sheet xmlns:r="http://schemas.openxmlformats.org/officeDocument/2006/relationships" name="宝箱规则说明" sheetId="11" state="visible" r:id="rId11"/>
    <sheet xmlns:r="http://schemas.openxmlformats.org/officeDocument/2006/relationships" name="长期目标与兑换" sheetId="12" state="visible" r:id="rId12"/>
  </sheets>
  <definedNames>
    <definedName name="_xlnm._FilterDatabase" localSheetId="0" hidden="1">'任务列表'!$A$1:$AH$36</definedName>
    <definedName name="_xlnm._FilterDatabase" localSheetId="1" hidden="1">'任务掉落明细'!$A$1:$AD$66</definedName>
    <definedName name="_xlnm._FilterDatabase" localSheetId="2" hidden="1">'掉落物反查'!$A$1:$N$66</definedName>
    <definedName name="_xlnm._FilterDatabase" localSheetId="3" hidden="1">'敌方阵容'!$A$1:$M$258</definedName>
    <definedName name="_xlnm._FilterDatabase" localSheetId="4" hidden="1">'页面展示配置'!$A$1:$G$1</definedName>
    <definedName name="_xlnm._FilterDatabase" localSheetId="5" hidden="1">'动态奖励规则'!$A$1:$H$5</definedName>
    <definedName name="_xlnm._FilterDatabase" localSheetId="6" hidden="1">'统计'!$A$1:$B$10</definedName>
    <definedName name="_xlnm._FilterDatabase" localSheetId="7" hidden="1">'字段说明'!$A$1:$B$18</definedName>
    <definedName name="_xlnm._FilterDatabase" localSheetId="8" hidden="1">'宝箱奖励明细'!$A$1:$V$696</definedName>
    <definedName name="_xlnm._FilterDatabase" localSheetId="9" hidden="1">'宝箱养成预算'!$A$1:$O$33</definedName>
    <definedName name="_xlnm._FilterDatabase" localSheetId="10" hidden="1">'宝箱规则说明'!$A$1:$B$15</definedName>
    <definedName name="_xlnm._FilterDatabase" localSheetId="11" hidden="1">'长期目标与兑换'!$A$1:$K$7</definedName>
  </definedNames>
  <calcPr calcId="124519" calcMode="auto" fullCalcOnLoad="1" forceFullCalc="1"/>
</workbook>
</file>

<file path=xl/styles.xml><?xml version="1.0" encoding="utf-8"?>
<styleSheet xmlns="http://schemas.openxmlformats.org/spreadsheetml/2006/main">
  <numFmts count="2">
    <numFmt numFmtId="164" formatCode="0.0000%"/>
    <numFmt numFmtId="165" formatCode="0.000000"/>
  </numFmts>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78"/>
      </patternFill>
    </fill>
    <fill>
      <patternFill patternType="solid">
        <fgColor rgb="0053634A"/>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 fontId="2" fillId="0" borderId="1" applyAlignment="1" pivotButton="0" quotePrefix="0" xfId="0">
      <alignment vertical="top" wrapText="1"/>
    </xf>
    <xf numFmtId="10" fontId="2" fillId="0" borderId="1" applyAlignment="1" pivotButton="0" quotePrefix="0" xfId="0">
      <alignment vertical="top" wrapText="1"/>
    </xf>
    <xf numFmtId="164" fontId="2" fillId="0" borderId="1" applyAlignment="1" pivotButton="0" quotePrefix="0" xfId="0">
      <alignment vertical="top" wrapText="1"/>
    </xf>
    <xf numFmtId="165" fontId="2" fillId="0" borderId="1" applyAlignment="1" pivotButton="0" quotePrefix="0" xfId="0">
      <alignment vertical="top" wrapText="1"/>
    </xf>
    <xf numFmtId="0" fontId="1" fillId="3"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说明</author>
  </authors>
  <commentList>
    <comment ref="I1" authorId="0" shapeId="0">
      <text>
        <t>配置基准秒数。个人进攻由单程修正后加返程，防守一次基准；实际受速度及游戏时间倍率影响。帮会任务受时间倍率影响，无额外返程。未填个人base_travel_time按导入默认1800秒。</t>
      </text>
    </comment>
    <comment ref="O1" authorId="0" shapeId="0">
      <text>
        <t>按展开后的实际候选掉落概率=100%统计，随机池的单一候选可计入此列。概率项数统计单项实际概率&lt;100%的明细行。</t>
      </text>
    </comment>
  </commentList>
</comments>
</file>

<file path=xl/comments/comment2.xml><?xml version="1.0" encoding="utf-8"?>
<comments xmlns="http://schemas.openxmlformats.org/spreadsheetml/2006/main">
  <authors>
    <author>说明</author>
  </authors>
  <commentList>
    <comment ref="X1" authorId="0" shapeId="0">
      <text>
        <t>普通掉落=触发概率；随机池=池触发概率×候选权重/池权重合计。各配置条目分别判定，同一物品可以多次获得。</t>
      </text>
    </comment>
    <comment ref="Y1" authorId="0" shapeId="0">
      <text>
        <t>单条掉落明细在一次任务胜利后的期望数量=单项实际概率×触发时数量，不表示保底数量；失败与撤退不适用。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H3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6" customWidth="1" min="2" max="2"/>
    <col width="34" customWidth="1" min="3" max="3"/>
    <col width="10" customWidth="1" min="4" max="4"/>
    <col width="12" customWidth="1" min="5" max="5"/>
    <col width="12" customWidth="1" min="6" max="6"/>
    <col width="12" customWidth="1" min="7" max="7"/>
    <col width="12" customWidth="1" min="8" max="8"/>
    <col width="20" customWidth="1" min="9" max="9"/>
    <col width="28" customWidth="1" min="10" max="10"/>
    <col width="35" customWidth="1" min="11" max="11"/>
    <col width="16" customWidth="1" min="12" max="12"/>
    <col width="18" customWidth="1" min="13" max="13"/>
    <col width="16" customWidth="1" min="14" max="14"/>
    <col width="14" customWidth="1" min="15" max="15"/>
    <col width="14" customWidth="1" min="16" max="16"/>
    <col width="15" customWidth="1" min="17" max="17"/>
    <col width="18" customWidth="1" min="18" max="18"/>
    <col width="20" customWidth="1" min="19" max="19"/>
    <col width="70" customWidth="1" min="20" max="20"/>
    <col width="22" customWidth="1" min="21" max="21"/>
    <col width="18" customWidth="1" min="22" max="22"/>
    <col width="23" customWidth="1" min="23" max="23"/>
    <col width="60" customWidth="1" min="24" max="24"/>
    <col width="95" customWidth="1" min="25" max="25"/>
    <col width="18" customWidth="1" min="26" max="26"/>
    <col width="17" customWidth="1" min="27" max="27"/>
    <col width="24" customWidth="1" min="28" max="28"/>
    <col width="55" customWidth="1" min="29" max="29"/>
    <col width="50" customWidth="1" min="30" max="30"/>
    <col width="75" customWidth="1" min="31" max="31"/>
    <col width="110" customWidth="1" min="32" max="32"/>
    <col width="22" customWidth="1" min="33" max="33"/>
    <col width="20" customWidth="1" min="34" max="34"/>
  </cols>
  <sheetData>
    <row r="1" ht="32" customHeight="1">
      <c r="A1" s="1" t="inlineStr">
        <is>
          <t>序号</t>
        </is>
      </c>
      <c r="B1" s="1" t="inlineStr">
        <is>
          <t>任务key</t>
        </is>
      </c>
      <c r="C1" s="1" t="inlineStr">
        <is>
          <t>任务名称</t>
        </is>
      </c>
      <c r="D1" s="1" t="inlineStr">
        <is>
          <t>难度</t>
        </is>
      </c>
      <c r="E1" s="1" t="inlineStr">
        <is>
          <t>战斗类型</t>
        </is>
      </c>
      <c r="F1" s="1" t="inlineStr">
        <is>
          <t>防守任务</t>
        </is>
      </c>
      <c r="G1" s="1" t="inlineStr">
        <is>
          <t>仅门客</t>
        </is>
      </c>
      <c r="H1" s="1" t="inlineStr">
        <is>
          <t>每日次数</t>
        </is>
      </c>
      <c r="I1" s="1" t="inlineStr">
        <is>
          <t>配置基础耗时秒</t>
        </is>
      </c>
      <c r="J1" s="1" t="inlineStr">
        <is>
          <t>开放星期</t>
        </is>
      </c>
      <c r="K1" s="1" t="inlineStr">
        <is>
          <t>进入消耗</t>
        </is>
      </c>
      <c r="L1" s="1" t="inlineStr">
        <is>
          <t>敌方门客数</t>
        </is>
      </c>
      <c r="M1" s="1" t="inlineStr">
        <is>
          <t>敌方护院总数</t>
        </is>
      </c>
      <c r="N1" s="1" t="inlineStr">
        <is>
          <t>掉落明细数</t>
        </is>
      </c>
      <c r="O1" s="1" t="inlineStr">
        <is>
          <t>固定项数</t>
        </is>
      </c>
      <c r="P1" s="1" t="inlineStr">
        <is>
          <t>概率项数</t>
        </is>
      </c>
      <c r="Q1" s="1" t="inlineStr">
        <is>
          <t>任务分类</t>
        </is>
      </c>
      <c r="R1" s="1" t="inlineStr">
        <is>
          <t>每周次数(帮会)</t>
        </is>
      </c>
      <c r="S1" s="1" t="inlineStr">
        <is>
          <t>任务卡每日上限</t>
        </is>
      </c>
      <c r="T1" s="1" t="inlineStr">
        <is>
          <t>任务描述</t>
        </is>
      </c>
      <c r="U1" s="1" t="inlineStr">
        <is>
          <t>敌方统一科技等级</t>
        </is>
      </c>
      <c r="V1" s="1" t="inlineStr">
        <is>
          <t>敌方门客等级</t>
        </is>
      </c>
      <c r="W1" s="1" t="inlineStr">
        <is>
          <t>敌方门客属性加成</t>
        </is>
      </c>
      <c r="X1" s="1" t="inlineStr">
        <is>
          <t>固定奖励摘要</t>
        </is>
      </c>
      <c r="Y1" s="1" t="inlineStr">
        <is>
          <t>随机奖励摘要</t>
        </is>
      </c>
      <c r="Z1" s="1" t="inlineStr">
        <is>
          <t>显示排序配置</t>
        </is>
      </c>
      <c r="AA1" s="1" t="inlineStr">
        <is>
          <t>启用状态</t>
        </is>
      </c>
      <c r="AB1" s="1" t="inlineStr">
        <is>
          <t>推荐门客数(帮会)</t>
        </is>
      </c>
      <c r="AC1" s="1" t="inlineStr">
        <is>
          <t>数据来源</t>
        </is>
      </c>
      <c r="AD1" s="1" t="inlineStr">
        <is>
          <t>进入消耗(JSON)</t>
        </is>
      </c>
      <c r="AE1" s="1" t="inlineStr">
        <is>
          <t>敌方科技(JSON)</t>
        </is>
      </c>
      <c r="AF1" s="1" t="inlineStr">
        <is>
          <t>原始任务配置(JSON)</t>
        </is>
      </c>
      <c r="AG1" s="1" t="inlineStr">
        <is>
          <t>发起行动点消耗</t>
        </is>
      </c>
      <c r="AH1" s="1" t="inlineStr">
        <is>
          <t>奖励接收方</t>
        </is>
      </c>
    </row>
    <row r="2">
      <c r="A2" s="2" t="n">
        <v>1</v>
      </c>
      <c r="B2" s="2" t="inlineStr">
        <is>
          <t>mid_autumn_moon_palace_trial</t>
        </is>
      </c>
      <c r="C2" s="2" t="inlineStr">
        <is>
          <t>广寒宫试炼</t>
        </is>
      </c>
      <c r="D2" s="2" t="inlineStr">
        <is>
          <t>中级</t>
        </is>
      </c>
      <c r="E2" s="2" t="inlineStr">
        <is>
          <t>task1</t>
        </is>
      </c>
      <c r="F2" s="2" t="inlineStr">
        <is>
          <t>否</t>
        </is>
      </c>
      <c r="G2" s="2" t="inlineStr">
        <is>
          <t>否</t>
        </is>
      </c>
      <c r="H2" s="2" t="n">
        <v>3</v>
      </c>
      <c r="I2" s="2" t="n">
        <v>1800</v>
      </c>
      <c r="J2" s="2" t="inlineStr">
        <is>
          <t>周二、周四、周六、周日</t>
        </is>
      </c>
      <c r="K2" s="2" t="inlineStr">
        <is>
          <t>无</t>
        </is>
      </c>
      <c r="L2" s="3">
        <f>SUMIFS(敌方阵容!$F$2:$F$258,敌方阵容!$A$2:$A$258,B2,敌方阵容!$D$2:$D$258,"门客")</f>
        <v>3</v>
      </c>
      <c r="M2" s="3">
        <f>SUMIFS(敌方阵容!$F$2:$F$258,敌方阵容!$A$2:$A$258,B2,敌方阵容!$D$2:$D$258,"护院")</f>
        <v>800</v>
      </c>
      <c r="N2" s="3">
        <f>COUNTIF(任务掉落明细!$B$2:$B$66,B2)</f>
        <v>2</v>
      </c>
      <c r="O2" s="3">
        <f>COUNTIFS(任务掉落明细!$B$2:$B$66,B2,任务掉落明细!$X$2:$X$66,1)</f>
        <v>2</v>
      </c>
      <c r="P2" s="3">
        <f>COUNTIFS(任务掉落明细!$B$2:$B$66,B2,任务掉落明细!$X$2:$X$66,"&lt;1")</f>
        <v>0</v>
      </c>
      <c r="Q2" s="2" t="inlineStr">
        <is>
          <t>个人任务</t>
        </is>
      </c>
      <c r="R2" s="2" t="n"/>
      <c r="S2" s="2" t="n">
        <v>5</v>
      </c>
      <c r="T2" s="2" t="inlineStr">
        <is>
          <t xml:space="preserve">中秋将近，广寒宫外的月桂忽然枝叶疯长，遮蔽月华，连玉兔捣药的石臼也被散落的桂枝掩埋。吴刚日夜挥斧仍无法遏止异变，嫦娥只得向人间庄园主发出月宫请帖。
受邀者需穿过桂影迷阵，协助玉兔收集药材，并通过吴刚与嫦娥设下的月宫试炼。完成试炼者可带回月饼，也有机会获得三位月宫门客留下的召唤卷轴。
</t>
        </is>
      </c>
      <c r="U2" s="2" t="n">
        <v>7</v>
      </c>
      <c r="V2" s="2" t="n">
        <v>60</v>
      </c>
      <c r="W2" s="4" t="n">
        <v>0.12</v>
      </c>
      <c r="X2" s="2" t="inlineStr">
        <is>
          <t>银两×40000；广寒宫试炼宝箱×1</t>
        </is>
      </c>
      <c r="Y2" s="2" t="inlineStr">
        <is>
          <t>开箱奖励及概率见宝箱奖励明细</t>
        </is>
      </c>
      <c r="Z2" s="2" t="n">
        <v>1000</v>
      </c>
      <c r="AA2" s="2" t="inlineStr">
        <is>
          <t>按配置导入</t>
        </is>
      </c>
      <c r="AB2" s="2" t="n"/>
      <c r="AC2" s="2" t="inlineStr">
        <is>
          <t>data/mission_templates.yaml:mid_autumn_moon_palace_trial</t>
        </is>
      </c>
      <c r="AD2" s="2" t="inlineStr">
        <is>
          <t>{}</t>
        </is>
      </c>
      <c r="AE2" s="2" t="inlineStr">
        <is>
          <t>{"level":7,"guest_level":60,"guest_bonus":0.12}</t>
        </is>
      </c>
      <c r="AF2" s="2" t="inlineStr">
        <is>
          <t>{"key":"mid_autumn_moon_palace_trial","name":"广寒宫试炼","difficulty":"intermediate","available_weekdays":[2,4,6,7],"description":"中秋将近，广寒宫外的月桂忽然枝叶疯长，遮蔽月华，连玉兔捣药的石臼也被散落的桂枝掩埋。吴刚日夜挥斧仍无法遏止异变，嫦娥只得向人间庄园主发出月宫请帖。\n\n受邀者需穿过桂影迷阵，协助玉兔收集药材，并通过吴刚与嫦娥设下的月宫试炼。完成试炼者可带回月饼，也有机会获得三位月宫门客留下的召唤卷轴。\n","battle_type":"task1","base_travel_time":1800,"enemy_guests":[{"key":"myth_moon_jade_rabbit","label":"玉兔"},{"key":"myth_moon_wu_gang","label":"吴刚"},{"key":"hist_xianqin_0413","label":"嫦娥"}],"enemy_troops":{"quan_wang":300,"jian_hao":300,"divine_archer":200},"enemy_technology":{"level":7,"guest_level":60,"guest_bonus":0.12},"drop_table":{"silver":40000,"mission_chest_mid_autumn_moon_palace_trial":1},"daily_limit":3}</t>
        </is>
      </c>
      <c r="AG2" s="2" t="n">
        <v>10</v>
      </c>
      <c r="AH2" s="2" t="inlineStr">
        <is>
          <t>挑战者庄园</t>
        </is>
      </c>
    </row>
    <row r="3">
      <c r="A3" s="2" t="n">
        <v>2</v>
      </c>
      <c r="B3" s="2" t="inlineStr">
        <is>
          <t>kasukabe_daisakusen</t>
        </is>
      </c>
      <c r="C3" s="2" t="inlineStr">
        <is>
          <t>春日部大作战</t>
        </is>
      </c>
      <c r="D3" s="2" t="inlineStr">
        <is>
          <t>中级</t>
        </is>
      </c>
      <c r="E3" s="2" t="inlineStr">
        <is>
          <t>task1</t>
        </is>
      </c>
      <c r="F3" s="2" t="inlineStr">
        <is>
          <t>否</t>
        </is>
      </c>
      <c r="G3" s="2" t="inlineStr">
        <is>
          <t>否</t>
        </is>
      </c>
      <c r="H3" s="2" t="n">
        <v>3</v>
      </c>
      <c r="I3" s="2" t="n">
        <v>1800</v>
      </c>
      <c r="J3" s="2" t="inlineStr">
        <is>
          <t>周二、周四、周六、周日</t>
        </is>
      </c>
      <c r="K3" s="2" t="inlineStr">
        <is>
          <t>无</t>
        </is>
      </c>
      <c r="L3" s="3">
        <f>SUMIFS(敌方阵容!$F$2:$F$258,敌方阵容!$A$2:$A$258,B3,敌方阵容!$D$2:$D$258,"门客")</f>
        <v>5</v>
      </c>
      <c r="M3" s="3">
        <f>SUMIFS(敌方阵容!$F$2:$F$258,敌方阵容!$A$2:$A$258,B3,敌方阵容!$D$2:$D$258,"护院")</f>
        <v>800</v>
      </c>
      <c r="N3" s="3">
        <f>COUNTIF(任务掉落明细!$B$2:$B$66,B3)</f>
        <v>2</v>
      </c>
      <c r="O3" s="3">
        <f>COUNTIFS(任务掉落明细!$B$2:$B$66,B3,任务掉落明细!$X$2:$X$66,1)</f>
        <v>2</v>
      </c>
      <c r="P3" s="3">
        <f>COUNTIFS(任务掉落明细!$B$2:$B$66,B3,任务掉落明细!$X$2:$X$66,"&lt;1")</f>
        <v>0</v>
      </c>
      <c r="Q3" s="2" t="inlineStr">
        <is>
          <t>个人任务</t>
        </is>
      </c>
      <c r="R3" s="2" t="n"/>
      <c r="S3" s="2" t="n">
        <v>5</v>
      </c>
      <c r="T3" s="2" t="inlineStr">
        <is>
          <t xml:space="preserve">庄园附近突然出现一支自称“春日部防卫队”的神秘队伍。他们本是追查被妖怪夺走的神奇蜡笔，却不慎把庄园周边画成了临时游乐战场：粮仓墙上长出大象鼻子，演武场地面变成蹦床，护院巡逻路线也被涂鸦迷宫搅得七零八落。
为了平息这场哭笑不得的混乱，庄主需要进入春日部游乐战场，突破玩具机关、恶作剧陷阱和防卫队试炼，击败被蜡笔力量影响的涂鸦大魔王，回收“小新的蜡笔”。集齐150个蜡笔后，可在仓库中招募紫色武门客「蜡笔小新」。
</t>
        </is>
      </c>
      <c r="U3" s="2" t="n">
        <v>7</v>
      </c>
      <c r="V3" s="2" t="n">
        <v>60</v>
      </c>
      <c r="W3" s="4" t="n">
        <v>0.12</v>
      </c>
      <c r="X3" s="2" t="inlineStr">
        <is>
          <t>银两×40000；春日部大作战宝箱×1</t>
        </is>
      </c>
      <c r="Y3" s="2" t="inlineStr">
        <is>
          <t>开箱奖励及概率见宝箱奖励明细</t>
        </is>
      </c>
      <c r="Z3" s="2" t="n">
        <v>1000</v>
      </c>
      <c r="AA3" s="2" t="inlineStr">
        <is>
          <t>按配置导入</t>
        </is>
      </c>
      <c r="AB3" s="2" t="n"/>
      <c r="AC3" s="2" t="inlineStr">
        <is>
          <t>data/mission_templates.yaml:kasukabe_daisakusen</t>
        </is>
      </c>
      <c r="AD3" s="2" t="inlineStr">
        <is>
          <t>{}</t>
        </is>
      </c>
      <c r="AE3" s="2" t="inlineStr">
        <is>
          <t>{"level":7,"guest_level":60,"guest_bonus":0.12}</t>
        </is>
      </c>
      <c r="AF3" s="2" t="inlineStr">
        <is>
          <t>{"key":"kasukabe_daisakusen","name":"春日部大作战","difficulty":"intermediate","available_weekdays":[2,4,6,7],"description":"庄园附近突然出现一支自称“春日部防卫队”的神秘队伍。他们本是追查被妖怪夺走的神奇蜡笔，却不慎把庄园周边画成了临时游乐战场：粮仓墙上长出大象鼻子，演武场地面变成蹦床，护院巡逻路线也被涂鸦迷宫搅得七零八落。\n\n为了平息这场哭笑不得的混乱，庄主需要进入春日部游乐战场，突破玩具机关、恶作剧陷阱和防卫队试炼，击败被蜡笔力量影响的涂鸦大魔王，回收“小新的蜡笔”。集齐150个蜡笔后，可在仓库中招募紫色武门客「蜡笔小新」。\n","battle_type":"task1","enemy_guests":[{"key":"task_kasukabe_patrol_captain","label":"春日部巡逻队长"},{"key":"task_kasukabe_toy_crocodile","label":"玩具机关鳄鱼"},{"key":"task_kasukabe_defense_member","label":"迷路的防卫队员"},{"key":"task_kasukabe_crayon_clone","label":"蜡笔恶作剧分身"},{"key":"task_kasukabe_doodle_boss","label":"涂鸦大魔王"}],"enemy_troops":{"quan_wang":300,"archer":300,"dao_ba":200},"enemy_technology":{"level":7,"guest_level":60,"guest_bonus":0.12},"drop_table":{"silver":40000,"mission_chest_kasukabe_daisakusen":1},"daily_limit":3}</t>
        </is>
      </c>
      <c r="AG3" s="2" t="n">
        <v>10</v>
      </c>
      <c r="AH3" s="2" t="inlineStr">
        <is>
          <t>挑战者庄园</t>
        </is>
      </c>
    </row>
    <row r="4">
      <c r="A4" s="2" t="n">
        <v>3</v>
      </c>
      <c r="B4" s="2" t="inlineStr">
        <is>
          <t>huashan_lunjian</t>
        </is>
      </c>
      <c r="C4" s="2" t="inlineStr">
        <is>
          <t>华山论贱</t>
        </is>
      </c>
      <c r="D4" s="2" t="inlineStr">
        <is>
          <t>初级</t>
        </is>
      </c>
      <c r="E4" s="2" t="inlineStr">
        <is>
          <t>task1</t>
        </is>
      </c>
      <c r="F4" s="2" t="inlineStr">
        <is>
          <t>否</t>
        </is>
      </c>
      <c r="G4" s="2" t="inlineStr">
        <is>
          <t>是</t>
        </is>
      </c>
      <c r="H4" s="2" t="n">
        <v>3</v>
      </c>
      <c r="I4" s="2" t="n">
        <v>1800</v>
      </c>
      <c r="J4" s="2" t="inlineStr">
        <is>
          <t>每日开放</t>
        </is>
      </c>
      <c r="K4" s="2" t="inlineStr">
        <is>
          <t>无</t>
        </is>
      </c>
      <c r="L4" s="3">
        <f>SUMIFS(敌方阵容!$F$2:$F$258,敌方阵容!$A$2:$A$258,B4,敌方阵容!$D$2:$D$258,"门客")</f>
        <v>4</v>
      </c>
      <c r="M4" s="3">
        <f>SUMIFS(敌方阵容!$F$2:$F$258,敌方阵容!$A$2:$A$258,B4,敌方阵容!$D$2:$D$258,"护院")</f>
        <v>0</v>
      </c>
      <c r="N4" s="3">
        <f>COUNTIF(任务掉落明细!$B$2:$B$66,B4)</f>
        <v>2</v>
      </c>
      <c r="O4" s="3">
        <f>COUNTIFS(任务掉落明细!$B$2:$B$66,B4,任务掉落明细!$X$2:$X$66,1)</f>
        <v>2</v>
      </c>
      <c r="P4" s="3">
        <f>COUNTIFS(任务掉落明细!$B$2:$B$66,B4,任务掉落明细!$X$2:$X$66,"&lt;1")</f>
        <v>0</v>
      </c>
      <c r="Q4" s="2" t="inlineStr">
        <is>
          <t>个人任务</t>
        </is>
      </c>
      <c r="R4" s="2" t="n"/>
      <c r="S4" s="2" t="n">
        <v>5</v>
      </c>
      <c r="T4" s="2" t="inlineStr">
        <is>
          <t xml:space="preserve">中原大地，经过无数年的风吹雨打，各大贱派均元气大伤，数百年的休养调整使各大贱客高手知耻后勇，不断创新各种贱术秘籍，停办经年的贱客比武大赛将顺应民意在华山之巅重新开启，各路英雄贱客可在此大展身手，争当新一届人见人爱、花见花开的贱客之王，在此和谐社会留下自己奋斗的印记。
</t>
        </is>
      </c>
      <c r="U4" s="2" t="n">
        <v>2</v>
      </c>
      <c r="V4" s="2" t="n">
        <v>12</v>
      </c>
      <c r="W4" s="4" t="n">
        <v>0</v>
      </c>
      <c r="X4" s="2" t="inlineStr">
        <is>
          <t>银两×8000；华山论贱宝箱×1</t>
        </is>
      </c>
      <c r="Y4" s="2" t="inlineStr">
        <is>
          <t>开箱奖励及概率见宝箱奖励明细</t>
        </is>
      </c>
      <c r="Z4" s="2" t="n">
        <v>2</v>
      </c>
      <c r="AA4" s="2" t="inlineStr">
        <is>
          <t>按配置导入</t>
        </is>
      </c>
      <c r="AB4" s="2" t="n"/>
      <c r="AC4" s="2" t="inlineStr">
        <is>
          <t>data/mission_templates.yaml:huashan_lunjian</t>
        </is>
      </c>
      <c r="AD4" s="2" t="inlineStr">
        <is>
          <t>{}</t>
        </is>
      </c>
      <c r="AE4" s="2" t="inlineStr">
        <is>
          <t>{"level":2,"guest_level":12,"guest_bonus":0}</t>
        </is>
      </c>
      <c r="AF4" s="2" t="inlineStr">
        <is>
          <t>{"key":"huashan_lunjian","name":"华山论贱","display_order":2,"difficulty":"junior","description":"中原大地，经过无数年的风吹雨打，各大贱派均元气大伤，数百年的休养调整使各大贱客高手知耻后勇，不断创新各种贱术秘籍，停办经年的贱客比武大赛将顺应民意在华山之巅重新开启，各路英雄贱客可在此大展身手，争当新一届人见人爱、花见花开的贱客之王，在此和谐社会留下自己奋斗的印记。\n","battle_type":"task1","guest_only":true,"enemy_guests":[{"key":"task_huashan_jianwang","label":"贱王之王"},{"key":"task_huashan_jianjing","label":"顶级贱精"},{"key":"task_huashan_jianjing","label":"顶级贱精"},{"key":"task_huashan_audience_a","label":"观众甲"}],"enemy_technology":{"level":2,"guest_level":12,"guest_bonus":0},"drop_table":{"silver":8000,"mission_chest_huashan_lunjian":1},"daily_limit":3}</t>
        </is>
      </c>
      <c r="AG4" s="2" t="n">
        <v>10</v>
      </c>
      <c r="AH4" s="2" t="inlineStr">
        <is>
          <t>挑战者庄园</t>
        </is>
      </c>
    </row>
    <row r="5">
      <c r="A5" s="2" t="n">
        <v>4</v>
      </c>
      <c r="B5" s="2" t="inlineStr">
        <is>
          <t>wagangzhai_nixi</t>
        </is>
      </c>
      <c r="C5" s="2" t="inlineStr">
        <is>
          <t>瓦岗寨的逆袭</t>
        </is>
      </c>
      <c r="D5" s="2" t="inlineStr">
        <is>
          <t>中级</t>
        </is>
      </c>
      <c r="E5" s="2" t="inlineStr">
        <is>
          <t>task1</t>
        </is>
      </c>
      <c r="F5" s="2" t="inlineStr">
        <is>
          <t>是</t>
        </is>
      </c>
      <c r="G5" s="2" t="inlineStr">
        <is>
          <t>否</t>
        </is>
      </c>
      <c r="H5" s="2" t="n">
        <v>3</v>
      </c>
      <c r="I5" s="2" t="n">
        <v>1800</v>
      </c>
      <c r="J5" s="2" t="inlineStr">
        <is>
          <t>每日开放</t>
        </is>
      </c>
      <c r="K5" s="2" t="inlineStr">
        <is>
          <t>无</t>
        </is>
      </c>
      <c r="L5" s="3">
        <f>SUMIFS(敌方阵容!$F$2:$F$258,敌方阵容!$A$2:$A$258,B5,敌方阵容!$D$2:$D$258,"门客")</f>
        <v>6</v>
      </c>
      <c r="M5" s="3">
        <f>SUMIFS(敌方阵容!$F$2:$F$258,敌方阵容!$A$2:$A$258,B5,敌方阵容!$D$2:$D$258,"护院")</f>
        <v>2400</v>
      </c>
      <c r="N5" s="3">
        <f>COUNTIF(任务掉落明细!$B$2:$B$66,B5)</f>
        <v>2</v>
      </c>
      <c r="O5" s="3">
        <f>COUNTIFS(任务掉落明细!$B$2:$B$66,B5,任务掉落明细!$X$2:$X$66,1)</f>
        <v>2</v>
      </c>
      <c r="P5" s="3">
        <f>COUNTIFS(任务掉落明细!$B$2:$B$66,B5,任务掉落明细!$X$2:$X$66,"&lt;1")</f>
        <v>0</v>
      </c>
      <c r="Q5" s="2" t="inlineStr">
        <is>
          <t>个人任务</t>
        </is>
      </c>
      <c r="R5" s="2" t="n"/>
      <c r="S5" s="2" t="n">
        <v>5</v>
      </c>
      <c r="T5" s="2" t="inlineStr">
        <is>
          <t xml:space="preserve">在上一次广大庄园主联手扫荡瓦岗寨时，正值瓦岗五虎出门执行任务，翟让和程咬金输的并不服气，为了证明瓦岗寨的实力，翟让率领瓦岗五虎"秦叔宝"、"单雄信"、"王伯当"、"罗成"、"程咬金"携山寨喽啰兵600人亲自上各庄园寻衅……这一次的战场变成了您的庄园，请加强防御设施，让您的门客和护院准备好迎接战斗洗礼。
</t>
        </is>
      </c>
      <c r="U5" s="2" t="n">
        <v>10</v>
      </c>
      <c r="V5" s="2" t="n">
        <v>100</v>
      </c>
      <c r="W5" s="4" t="n">
        <v>0.3</v>
      </c>
      <c r="X5" s="2" t="inlineStr">
        <is>
          <t>银两×40000；瓦岗寨的逆袭宝箱×1</t>
        </is>
      </c>
      <c r="Y5" s="2" t="inlineStr">
        <is>
          <t>开箱奖励及概率见宝箱奖励明细</t>
        </is>
      </c>
      <c r="Z5" s="2" t="n">
        <v>7</v>
      </c>
      <c r="AA5" s="2" t="inlineStr">
        <is>
          <t>按配置导入</t>
        </is>
      </c>
      <c r="AB5" s="2" t="n"/>
      <c r="AC5" s="2" t="inlineStr">
        <is>
          <t>data/mission_templates.yaml:wagangzhai_nixi</t>
        </is>
      </c>
      <c r="AD5" s="2" t="inlineStr">
        <is>
          <t>{}</t>
        </is>
      </c>
      <c r="AE5" s="2" t="inlineStr">
        <is>
          <t>{"level":10,"guest_level":100,"guest_bonus":0.3}</t>
        </is>
      </c>
      <c r="AF5" s="2" t="inlineStr">
        <is>
          <t>{"key":"wagangzhai_nixi","name":"瓦岗寨的逆袭","difficulty":"intermediate","description":"在上一次广大庄园主联手扫荡瓦岗寨时，正值瓦岗五虎出门执行任务，翟让和程咬金输的并不服气，为了证明瓦岗寨的实力，翟让率领瓦岗五虎\"秦叔宝\"、\"单雄信\"、\"王伯当\"、\"罗成\"、\"程咬金\"携山寨喽啰兵600人亲自上各庄园寻衅……这一次的战场变成了您的庄园，请加强防御设施，让您的门客和护院准备好迎接战斗洗礼。\n","battle_type":"task1","is_defense":true,"display_order":7,"enemy_guests":[{"key":"hist_suitang_0162_zhairang","skills":["tangseng_sermon"]},{"key":"hero_qin_shubao","skills":["brahma_true_fire"]},"hist_suitang_0164_shanxiongxin","hist_suitang_0165_wangbodang","hero_luo_cheng","hero_cheng_yaojin"],"enemy_technology":{"level":10,"guest_level":100,"guest_bonus":0.3},"enemy_troops":{"arrow_god":800,"quan_sheng":800,"qiang_wang":800},"drop_table":{"silver":40000,"mission_chest_wagangzhai_nixi":1},"base_travel_time":1800,"daily_limit":3}</t>
        </is>
      </c>
      <c r="AG5" s="2" t="n">
        <v>10</v>
      </c>
      <c r="AH5" s="2" t="inlineStr">
        <is>
          <t>挑战者庄园</t>
        </is>
      </c>
    </row>
    <row r="6">
      <c r="A6" s="2" t="n">
        <v>5</v>
      </c>
      <c r="B6" s="2" t="inlineStr">
        <is>
          <t>jingyanggang</t>
        </is>
      </c>
      <c r="C6" s="2" t="inlineStr">
        <is>
          <t>景阳冈</t>
        </is>
      </c>
      <c r="D6" s="2" t="inlineStr">
        <is>
          <t>初级</t>
        </is>
      </c>
      <c r="E6" s="2" t="inlineStr">
        <is>
          <t>task1</t>
        </is>
      </c>
      <c r="F6" s="2" t="inlineStr">
        <is>
          <t>否</t>
        </is>
      </c>
      <c r="G6" s="2" t="inlineStr">
        <is>
          <t>是</t>
        </is>
      </c>
      <c r="H6" s="2" t="n">
        <v>3</v>
      </c>
      <c r="I6" s="2" t="n">
        <v>1800</v>
      </c>
      <c r="J6" s="2" t="inlineStr">
        <is>
          <t>每日开放</t>
        </is>
      </c>
      <c r="K6" s="2" t="inlineStr">
        <is>
          <t>无</t>
        </is>
      </c>
      <c r="L6" s="3">
        <f>SUMIFS(敌方阵容!$F$2:$F$258,敌方阵容!$A$2:$A$258,B6,敌方阵容!$D$2:$D$258,"门客")</f>
        <v>1</v>
      </c>
      <c r="M6" s="3">
        <f>SUMIFS(敌方阵容!$F$2:$F$258,敌方阵容!$A$2:$A$258,B6,敌方阵容!$D$2:$D$258,"护院")</f>
        <v>0</v>
      </c>
      <c r="N6" s="3">
        <f>COUNTIF(任务掉落明细!$B$2:$B$66,B6)</f>
        <v>2</v>
      </c>
      <c r="O6" s="3">
        <f>COUNTIFS(任务掉落明细!$B$2:$B$66,B6,任务掉落明细!$X$2:$X$66,1)</f>
        <v>2</v>
      </c>
      <c r="P6" s="3">
        <f>COUNTIFS(任务掉落明细!$B$2:$B$66,B6,任务掉落明细!$X$2:$X$66,"&lt;1")</f>
        <v>0</v>
      </c>
      <c r="Q6" s="2" t="inlineStr">
        <is>
          <t>个人任务</t>
        </is>
      </c>
      <c r="R6" s="2" t="n"/>
      <c r="S6" s="2" t="n">
        <v>5</v>
      </c>
      <c r="T6" s="2" t="inlineStr">
        <is>
          <t xml:space="preserve">景阳冈上有只吊睛白额大虫伤害人命，官府多次派猎户擒捉未果，往客商人只能在巳午未三个时辰结伴过冈，其馀时分，及单身客人，不能过冈，恐被伤害性命。
</t>
        </is>
      </c>
      <c r="U6" s="2" t="n">
        <v>3</v>
      </c>
      <c r="V6" s="2" t="n">
        <v>15</v>
      </c>
      <c r="W6" s="4" t="n">
        <v>0.02</v>
      </c>
      <c r="X6" s="2" t="inlineStr">
        <is>
          <t>银两×7000；景阳冈宝箱×1</t>
        </is>
      </c>
      <c r="Y6" s="2" t="inlineStr">
        <is>
          <t>开箱奖励及概率见宝箱奖励明细</t>
        </is>
      </c>
      <c r="Z6" s="2" t="n">
        <v>1</v>
      </c>
      <c r="AA6" s="2" t="inlineStr">
        <is>
          <t>按配置导入</t>
        </is>
      </c>
      <c r="AB6" s="2" t="n"/>
      <c r="AC6" s="2" t="inlineStr">
        <is>
          <t>data/mission_templates.yaml:jingyanggang</t>
        </is>
      </c>
      <c r="AD6" s="2" t="inlineStr">
        <is>
          <t>{}</t>
        </is>
      </c>
      <c r="AE6" s="2" t="inlineStr">
        <is>
          <t>{"level":3,"guest_level":15,"guest_bonus":0.02}</t>
        </is>
      </c>
      <c r="AF6" s="2" t="inlineStr">
        <is>
          <t>{"key":"jingyanggang","name":"景阳冈","display_order":1,"difficulty":"junior","description":"景阳冈上有只吊睛白额大虫伤害人命，官府多次派猎户擒捉未果，往客商人只能在巳午未三个时辰结伴过冈，其馀时分，及单身客人，不能过冈，恐被伤害性命。\n","battle_type":"task1","guest_only":true,"enemy_guests":[{"key":"task_jingyang_tiger","label":"猛虎"}],"enemy_technology":{"level":3,"guest_level":15,"guest_bonus":0.02},"drop_table":{"silver":7000,"mission_chest_jingyanggang":1},"daily_limit":3}</t>
        </is>
      </c>
      <c r="AG6" s="2" t="n">
        <v>10</v>
      </c>
      <c r="AH6" s="2" t="inlineStr">
        <is>
          <t>挑战者庄园</t>
        </is>
      </c>
    </row>
    <row r="7">
      <c r="A7" s="2" t="n">
        <v>6</v>
      </c>
      <c r="B7" s="2" t="inlineStr">
        <is>
          <t>wulongshan</t>
        </is>
      </c>
      <c r="C7" s="2" t="inlineStr">
        <is>
          <t>乌龙山</t>
        </is>
      </c>
      <c r="D7" s="2" t="inlineStr">
        <is>
          <t>初级</t>
        </is>
      </c>
      <c r="E7" s="2" t="inlineStr">
        <is>
          <t>task1</t>
        </is>
      </c>
      <c r="F7" s="2" t="inlineStr">
        <is>
          <t>否</t>
        </is>
      </c>
      <c r="G7" s="2" t="inlineStr">
        <is>
          <t>否</t>
        </is>
      </c>
      <c r="H7" s="2" t="n">
        <v>3</v>
      </c>
      <c r="I7" s="2" t="n">
        <v>1800</v>
      </c>
      <c r="J7" s="2" t="inlineStr">
        <is>
          <t>每日开放</t>
        </is>
      </c>
      <c r="K7" s="2" t="inlineStr">
        <is>
          <t>无</t>
        </is>
      </c>
      <c r="L7" s="3">
        <f>SUMIFS(敌方阵容!$F$2:$F$258,敌方阵容!$A$2:$A$258,B7,敌方阵容!$D$2:$D$258,"门客")</f>
        <v>2</v>
      </c>
      <c r="M7" s="3">
        <f>SUMIFS(敌方阵容!$F$2:$F$258,敌方阵容!$A$2:$A$258,B7,敌方阵容!$D$2:$D$258,"护院")</f>
        <v>200</v>
      </c>
      <c r="N7" s="3">
        <f>COUNTIF(任务掉落明细!$B$2:$B$66,B7)</f>
        <v>2</v>
      </c>
      <c r="O7" s="3">
        <f>COUNTIFS(任务掉落明细!$B$2:$B$66,B7,任务掉落明细!$X$2:$X$66,1)</f>
        <v>2</v>
      </c>
      <c r="P7" s="3">
        <f>COUNTIFS(任务掉落明细!$B$2:$B$66,B7,任务掉落明细!$X$2:$X$66,"&lt;1")</f>
        <v>0</v>
      </c>
      <c r="Q7" s="2" t="inlineStr">
        <is>
          <t>个人任务</t>
        </is>
      </c>
      <c r="R7" s="2" t="n"/>
      <c r="S7" s="2" t="n">
        <v>5</v>
      </c>
      <c r="T7" s="2" t="inlineStr">
        <is>
          <t xml:space="preserve">湘黔边界的乌龙山鲜少人迹，这里盘聚着一帮强盗将那里作为他们的大本营。他们借这乱世之际四处行凶，烧杀凌掠无恶不作，种种罪行令人发指。由于此帮强盗行迹过于放肆导致朝野上下为之震动，朝廷号召各方能人尽快歼灭这帮流寇。
</t>
        </is>
      </c>
      <c r="U7" s="2" t="n">
        <v>4</v>
      </c>
      <c r="V7" s="2" t="n">
        <v>20</v>
      </c>
      <c r="W7" s="4" t="n">
        <v>0.04</v>
      </c>
      <c r="X7" s="2" t="inlineStr">
        <is>
          <t>银两×15000；乌龙山宝箱×1</t>
        </is>
      </c>
      <c r="Y7" s="2" t="inlineStr">
        <is>
          <t>开箱奖励及概率见宝箱奖励明细</t>
        </is>
      </c>
      <c r="Z7" s="2" t="n">
        <v>4</v>
      </c>
      <c r="AA7" s="2" t="inlineStr">
        <is>
          <t>按配置导入</t>
        </is>
      </c>
      <c r="AB7" s="2" t="n"/>
      <c r="AC7" s="2" t="inlineStr">
        <is>
          <t>data/mission_templates.yaml:wulongshan</t>
        </is>
      </c>
      <c r="AD7" s="2" t="inlineStr">
        <is>
          <t>{}</t>
        </is>
      </c>
      <c r="AE7" s="2" t="inlineStr">
        <is>
          <t>{"level":4,"guest_level":20,"guest_bonus":0.04}</t>
        </is>
      </c>
      <c r="AF7" s="2" t="inlineStr">
        <is>
          <t>{"key":"wulongshan","name":"乌龙山","difficulty":"junior","display_order":4,"description":"湘黔边界的乌龙山鲜少人迹，这里盘聚着一帮强盗将那里作为他们的大本营。他们借这乱世之际四处行凶，烧杀凌掠无恶不作，种种罪行令人发指。由于此帮强盗行迹过于放肆导致朝野上下为之震动，朝廷号召各方能人尽快歼灭这帮流寇。\n","battle_type":"task1","enemy_guests":[{"key":"task_wulong_bandit_chief_zuanshanbao","label":"钻山豹"},{"key":"task_wulong_bandit_chief_zuoshandiao","label":"座山雕"}],"enemy_technology":{"level":4,"guest_level":20,"guest_bonus":0.04},"enemy_troops":{"qiang_ke":200},"drop_table":{"silver":15000,"mission_chest_wulongshan":1},"daily_limit":3}</t>
        </is>
      </c>
      <c r="AG7" s="2" t="n">
        <v>10</v>
      </c>
      <c r="AH7" s="2" t="inlineStr">
        <is>
          <t>挑战者庄园</t>
        </is>
      </c>
    </row>
    <row r="8">
      <c r="A8" s="2" t="n">
        <v>7</v>
      </c>
      <c r="B8" s="2" t="inlineStr">
        <is>
          <t>wagangzhai</t>
        </is>
      </c>
      <c r="C8" s="2" t="inlineStr">
        <is>
          <t>瓦岗寨</t>
        </is>
      </c>
      <c r="D8" s="2" t="inlineStr">
        <is>
          <t>初级</t>
        </is>
      </c>
      <c r="E8" s="2" t="inlineStr">
        <is>
          <t>task1</t>
        </is>
      </c>
      <c r="F8" s="2" t="inlineStr">
        <is>
          <t>否</t>
        </is>
      </c>
      <c r="G8" s="2" t="inlineStr">
        <is>
          <t>否</t>
        </is>
      </c>
      <c r="H8" s="2" t="n">
        <v>3</v>
      </c>
      <c r="I8" s="2" t="n">
        <v>1800</v>
      </c>
      <c r="J8" s="2" t="inlineStr">
        <is>
          <t>每日开放</t>
        </is>
      </c>
      <c r="K8" s="2" t="inlineStr">
        <is>
          <t>无</t>
        </is>
      </c>
      <c r="L8" s="3">
        <f>SUMIFS(敌方阵容!$F$2:$F$258,敌方阵容!$A$2:$A$258,B8,敌方阵容!$D$2:$D$258,"门客")</f>
        <v>2</v>
      </c>
      <c r="M8" s="3">
        <f>SUMIFS(敌方阵容!$F$2:$F$258,敌方阵容!$A$2:$A$258,B8,敌方阵容!$D$2:$D$258,"护院")</f>
        <v>400</v>
      </c>
      <c r="N8" s="3">
        <f>COUNTIF(任务掉落明细!$B$2:$B$66,B8)</f>
        <v>2</v>
      </c>
      <c r="O8" s="3">
        <f>COUNTIFS(任务掉落明细!$B$2:$B$66,B8,任务掉落明细!$X$2:$X$66,1)</f>
        <v>2</v>
      </c>
      <c r="P8" s="3">
        <f>COUNTIFS(任务掉落明细!$B$2:$B$66,B8,任务掉落明细!$X$2:$X$66,"&lt;1")</f>
        <v>0</v>
      </c>
      <c r="Q8" s="2" t="inlineStr">
        <is>
          <t>个人任务</t>
        </is>
      </c>
      <c r="R8" s="2" t="n"/>
      <c r="S8" s="2" t="n">
        <v>5</v>
      </c>
      <c r="T8" s="2" t="inlineStr">
        <is>
          <t xml:space="preserve">瓦岗寨原来的寨主翟让被程咬金击败后让出寨主之位，程咬金自号"大魔国混世魔王"，并带领瓦岗军四处出门踢馆打劫，引得各地庄园主怨声在道，大家决定联手打击瓦岗寨，维护和保障各庄园的和平与稳定。
</t>
        </is>
      </c>
      <c r="U8" s="2" t="n">
        <v>5</v>
      </c>
      <c r="V8" s="2" t="n">
        <v>35</v>
      </c>
      <c r="W8" s="4" t="n">
        <v>0.1</v>
      </c>
      <c r="X8" s="2" t="inlineStr">
        <is>
          <t>银两×20000；瓦岗寨宝箱×1</t>
        </is>
      </c>
      <c r="Y8" s="2" t="inlineStr">
        <is>
          <t>开箱奖励及概率见宝箱奖励明细</t>
        </is>
      </c>
      <c r="Z8" s="2" t="n">
        <v>5</v>
      </c>
      <c r="AA8" s="2" t="inlineStr">
        <is>
          <t>按配置导入</t>
        </is>
      </c>
      <c r="AB8" s="2" t="n"/>
      <c r="AC8" s="2" t="inlineStr">
        <is>
          <t>data/mission_templates.yaml:wagangzhai</t>
        </is>
      </c>
      <c r="AD8" s="2" t="inlineStr">
        <is>
          <t>{}</t>
        </is>
      </c>
      <c r="AE8" s="2" t="inlineStr">
        <is>
          <t>{"level":5,"guest_level":35,"guest_bonus":0.1}</t>
        </is>
      </c>
      <c r="AF8" s="2" t="inlineStr">
        <is>
          <t>{"key":"wagangzhai","name":"瓦岗寨","difficulty":"junior","display_order":5,"description":"瓦岗寨原来的寨主翟让被程咬金击败后让出寨主之位，程咬金自号\"大魔国混世魔王\"，并带领瓦岗军四处出门踢馆打劫，引得各地庄园主怨声在道，大家决定联手打击瓦岗寨，维护和保障各庄园的和平与稳定。\n","battle_type":"task1","enemy_guests":["hero_cheng_yaojin","hist_suitang_0162_zhairang"],"enemy_troops":{"jian_xia":400},"enemy_technology":{"level":5,"guest_level":35,"guest_bonus":0.1},"drop_table":{"silver":20000,"mission_chest_wagangzhai":1},"daily_limit":3}</t>
        </is>
      </c>
      <c r="AG8" s="2" t="n">
        <v>10</v>
      </c>
      <c r="AH8" s="2" t="inlineStr">
        <is>
          <t>挑战者庄园</t>
        </is>
      </c>
    </row>
    <row r="9">
      <c r="A9" s="2" t="n">
        <v>8</v>
      </c>
      <c r="B9" s="2" t="inlineStr">
        <is>
          <t>fugui_shanzhuang</t>
        </is>
      </c>
      <c r="C9" s="2" t="inlineStr">
        <is>
          <t>富贵山庄</t>
        </is>
      </c>
      <c r="D9" s="2" t="inlineStr">
        <is>
          <t>初级</t>
        </is>
      </c>
      <c r="E9" s="2" t="inlineStr">
        <is>
          <t>task1</t>
        </is>
      </c>
      <c r="F9" s="2" t="inlineStr">
        <is>
          <t>否</t>
        </is>
      </c>
      <c r="G9" s="2" t="inlineStr">
        <is>
          <t>是</t>
        </is>
      </c>
      <c r="H9" s="2" t="n">
        <v>3</v>
      </c>
      <c r="I9" s="2" t="n">
        <v>1800</v>
      </c>
      <c r="J9" s="2" t="inlineStr">
        <is>
          <t>每日开放</t>
        </is>
      </c>
      <c r="K9" s="2" t="inlineStr">
        <is>
          <t>无</t>
        </is>
      </c>
      <c r="L9" s="3">
        <f>SUMIFS(敌方阵容!$F$2:$F$258,敌方阵容!$A$2:$A$258,B9,敌方阵容!$D$2:$D$258,"门客")</f>
        <v>1</v>
      </c>
      <c r="M9" s="3">
        <f>SUMIFS(敌方阵容!$F$2:$F$258,敌方阵容!$A$2:$A$258,B9,敌方阵容!$D$2:$D$258,"护院")</f>
        <v>0</v>
      </c>
      <c r="N9" s="3">
        <f>COUNTIF(任务掉落明细!$B$2:$B$66,B9)</f>
        <v>2</v>
      </c>
      <c r="O9" s="3">
        <f>COUNTIFS(任务掉落明细!$B$2:$B$66,B9,任务掉落明细!$X$2:$X$66,1)</f>
        <v>2</v>
      </c>
      <c r="P9" s="3">
        <f>COUNTIFS(任务掉落明细!$B$2:$B$66,B9,任务掉落明细!$X$2:$X$66,"&lt;1")</f>
        <v>0</v>
      </c>
      <c r="Q9" s="2" t="inlineStr">
        <is>
          <t>个人任务</t>
        </is>
      </c>
      <c r="R9" s="2" t="n"/>
      <c r="S9" s="2" t="n">
        <v>5</v>
      </c>
      <c r="T9" s="2" t="inlineStr">
        <is>
          <t xml:space="preserve">富贵山庄，其美甲天下、其富可敌国，庄主张富贵更是好客之人，但凡江湖有难，他都不遗余力伸出援助之手，解人燃眉。故被人予以"雪中炭"之美名。江湖多有时运不济、怀才不遇的落魄之士，若想求得张庄主帮助，必先证明自己才识。在接受庄主考验后，若能得到庄主赏识，则日后必荣禄相授。
</t>
        </is>
      </c>
      <c r="U9" s="2" t="n">
        <v>3</v>
      </c>
      <c r="V9" s="2" t="n">
        <v>40</v>
      </c>
      <c r="W9" s="4" t="n">
        <v>0.05</v>
      </c>
      <c r="X9" s="2" t="inlineStr">
        <is>
          <t>银两×14000；富贵山庄宝箱×1</t>
        </is>
      </c>
      <c r="Y9" s="2" t="inlineStr">
        <is>
          <t>开箱奖励及概率见宝箱奖励明细</t>
        </is>
      </c>
      <c r="Z9" s="2" t="n">
        <v>3</v>
      </c>
      <c r="AA9" s="2" t="inlineStr">
        <is>
          <t>按配置导入</t>
        </is>
      </c>
      <c r="AB9" s="2" t="n"/>
      <c r="AC9" s="2" t="inlineStr">
        <is>
          <t>data/mission_templates.yaml:fugui_shanzhuang</t>
        </is>
      </c>
      <c r="AD9" s="2" t="inlineStr">
        <is>
          <t>{}</t>
        </is>
      </c>
      <c r="AE9" s="2" t="inlineStr">
        <is>
          <t>{"level":3,"guest_level":40,"guest_bonus":0.05}</t>
        </is>
      </c>
      <c r="AF9" s="2" t="inlineStr">
        <is>
          <t>{"key":"fugui_shanzhuang","name":"富贵山庄","difficulty":"junior","display_order":3,"description":"富贵山庄，其美甲天下、其富可敌国，庄主张富贵更是好客之人，但凡江湖有难，他都不遗余力伸出援助之手，解人燃眉。故被人予以\"雪中炭\"之美名。江湖多有时运不济、怀才不遇的落魄之士，若想求得张庄主帮助，必先证明自己才识。在接受庄主考验后，若能得到庄主赏识，则日后必荣禄相授。\n","battle_type":"task1","guest_only":true,"enemy_guests":[{"key":"task_fugui_instructor","label":"武师教头"}],"enemy_technology":{"level":3,"guest_level":40,"guest_bonus":0.05},"drop_table":{"silver":14000,"mission_chest_fugui_shanzhuang":1},"daily_limit":3}</t>
        </is>
      </c>
      <c r="AG9" s="2" t="n">
        <v>10</v>
      </c>
      <c r="AH9" s="2" t="inlineStr">
        <is>
          <t>挑战者庄园</t>
        </is>
      </c>
    </row>
    <row r="10">
      <c r="A10" s="2" t="n">
        <v>9</v>
      </c>
      <c r="B10" s="2" t="inlineStr">
        <is>
          <t>shizipo_heidian</t>
        </is>
      </c>
      <c r="C10" s="2" t="inlineStr">
        <is>
          <t>十字坡黑店</t>
        </is>
      </c>
      <c r="D10" s="2" t="inlineStr">
        <is>
          <t>中级</t>
        </is>
      </c>
      <c r="E10" s="2" t="inlineStr">
        <is>
          <t>task1</t>
        </is>
      </c>
      <c r="F10" s="2" t="inlineStr">
        <is>
          <t>否</t>
        </is>
      </c>
      <c r="G10" s="2" t="inlineStr">
        <is>
          <t>否</t>
        </is>
      </c>
      <c r="H10" s="2" t="n">
        <v>3</v>
      </c>
      <c r="I10" s="2" t="n">
        <v>1800</v>
      </c>
      <c r="J10" s="2" t="inlineStr">
        <is>
          <t>每日开放</t>
        </is>
      </c>
      <c r="K10" s="2" t="inlineStr">
        <is>
          <t>无</t>
        </is>
      </c>
      <c r="L10" s="3">
        <f>SUMIFS(敌方阵容!$F$2:$F$258,敌方阵容!$A$2:$A$258,B10,敌方阵容!$D$2:$D$258,"门客")</f>
        <v>2</v>
      </c>
      <c r="M10" s="3">
        <f>SUMIFS(敌方阵容!$F$2:$F$258,敌方阵容!$A$2:$A$258,B10,敌方阵容!$D$2:$D$258,"护院")</f>
        <v>700</v>
      </c>
      <c r="N10" s="3">
        <f>COUNTIF(任务掉落明细!$B$2:$B$66,B10)</f>
        <v>2</v>
      </c>
      <c r="O10" s="3">
        <f>COUNTIFS(任务掉落明细!$B$2:$B$66,B10,任务掉落明细!$X$2:$X$66,1)</f>
        <v>2</v>
      </c>
      <c r="P10" s="3">
        <f>COUNTIFS(任务掉落明细!$B$2:$B$66,B10,任务掉落明细!$X$2:$X$66,"&lt;1")</f>
        <v>0</v>
      </c>
      <c r="Q10" s="2" t="inlineStr">
        <is>
          <t>个人任务</t>
        </is>
      </c>
      <c r="R10" s="2" t="n"/>
      <c r="S10" s="2" t="n">
        <v>5</v>
      </c>
      <c r="T10" s="2" t="inlineStr">
        <is>
          <t xml:space="preserve">孙二娘和张青在十字坡开酒店，常用蒙汗药蒙翻过往行人。他们将行人杀死后，大块好肉当作黄牛肉卖，零碎小肉，做馅包馒头。江湖有传言说："大树十字坡，客人谁敢那里过？肥的切做馒头馅，瘦的却丢去填河。"
</t>
        </is>
      </c>
      <c r="U10" s="2" t="n">
        <v>6</v>
      </c>
      <c r="V10" s="2" t="n">
        <v>70</v>
      </c>
      <c r="W10" s="4" t="n">
        <v>0.1</v>
      </c>
      <c r="X10" s="2" t="inlineStr">
        <is>
          <t>银两×30000；十字坡黑店宝箱×1</t>
        </is>
      </c>
      <c r="Y10" s="2" t="inlineStr">
        <is>
          <t>开箱奖励及概率见宝箱奖励明细</t>
        </is>
      </c>
      <c r="Z10" s="2" t="n">
        <v>5</v>
      </c>
      <c r="AA10" s="2" t="inlineStr">
        <is>
          <t>按配置导入</t>
        </is>
      </c>
      <c r="AB10" s="2" t="n"/>
      <c r="AC10" s="2" t="inlineStr">
        <is>
          <t>data/mission_templates.yaml:shizipo_heidian</t>
        </is>
      </c>
      <c r="AD10" s="2" t="inlineStr">
        <is>
          <t>{}</t>
        </is>
      </c>
      <c r="AE10" s="2" t="inlineStr">
        <is>
          <t>{"level":6,"guest_level":70,"guest_bonus":0.1}</t>
        </is>
      </c>
      <c r="AF10" s="2" t="inlineStr">
        <is>
          <t>{"key":"shizipo_heidian","name":"十字坡黑店","difficulty":"intermediate","display_order":5,"description":"孙二娘和张青在十字坡开酒店，常用蒙汗药蒙翻过往行人。他们将行人杀死后，大块好肉当作黄牛肉卖，零碎小肉，做馅包馒头。江湖有传言说：\"大树十字坡，客人谁敢那里过？肥的切做馒头馅，瘦的却丢去填河。\"\n","battle_type":"task1","enemy_guests":[{"key":"task_shizipo_sun_erniang","label":"孙二娘"},{"key":"task_shizipo_zhang_qing","label":"张青"}],"enemy_troops":{"quan_wang":300,"divine_archer":300,"dao_ba":100},"enemy_technology":{"level":6,"guest_level":70,"guest_bonus":0.1},"drop_table":{"silver":30000,"mission_chest_shizipo_heidian":1},"daily_limit":3}</t>
        </is>
      </c>
      <c r="AG10" s="2" t="n">
        <v>10</v>
      </c>
      <c r="AH10" s="2" t="inlineStr">
        <is>
          <t>挑战者庄园</t>
        </is>
      </c>
    </row>
    <row r="11">
      <c r="A11" s="2" t="n">
        <v>10</v>
      </c>
      <c r="B11" s="2" t="inlineStr">
        <is>
          <t>shanhaiguan</t>
        </is>
      </c>
      <c r="C11" s="2" t="inlineStr">
        <is>
          <t>山海关</t>
        </is>
      </c>
      <c r="D11" s="2" t="inlineStr">
        <is>
          <t>中级</t>
        </is>
      </c>
      <c r="E11" s="2" t="inlineStr">
        <is>
          <t>task1</t>
        </is>
      </c>
      <c r="F11" s="2" t="inlineStr">
        <is>
          <t>否</t>
        </is>
      </c>
      <c r="G11" s="2" t="inlineStr">
        <is>
          <t>否</t>
        </is>
      </c>
      <c r="H11" s="2" t="n">
        <v>3</v>
      </c>
      <c r="I11" s="2" t="n">
        <v>1800</v>
      </c>
      <c r="J11" s="2" t="inlineStr">
        <is>
          <t>每日开放</t>
        </is>
      </c>
      <c r="K11" s="2" t="inlineStr">
        <is>
          <t>无</t>
        </is>
      </c>
      <c r="L11" s="3">
        <f>SUMIFS(敌方阵容!$F$2:$F$258,敌方阵容!$A$2:$A$258,B11,敌方阵容!$D$2:$D$258,"门客")</f>
        <v>2</v>
      </c>
      <c r="M11" s="3">
        <f>SUMIFS(敌方阵容!$F$2:$F$258,敌方阵容!$A$2:$A$258,B11,敌方阵容!$D$2:$D$258,"护院")</f>
        <v>1500</v>
      </c>
      <c r="N11" s="3">
        <f>COUNTIF(任务掉落明细!$B$2:$B$66,B11)</f>
        <v>2</v>
      </c>
      <c r="O11" s="3">
        <f>COUNTIFS(任务掉落明细!$B$2:$B$66,B11,任务掉落明细!$X$2:$X$66,1)</f>
        <v>2</v>
      </c>
      <c r="P11" s="3">
        <f>COUNTIFS(任务掉落明细!$B$2:$B$66,B11,任务掉落明细!$X$2:$X$66,"&lt;1")</f>
        <v>0</v>
      </c>
      <c r="Q11" s="2" t="inlineStr">
        <is>
          <t>个人任务</t>
        </is>
      </c>
      <c r="R11" s="2" t="n"/>
      <c r="S11" s="2" t="n">
        <v>5</v>
      </c>
      <c r="T11" s="2" t="inlineStr">
        <is>
          <t xml:space="preserve">山海关所在的河西走廊是华北通向东北的咽喉地带，是一座及其重要的军事重镇，主要防御外族势力的入侵。吴三桂作为镇守山海关的大将，居然意图勾结外族势力，入侵中原。
</t>
        </is>
      </c>
      <c r="U11" s="2" t="n">
        <v>7</v>
      </c>
      <c r="V11" s="2" t="n">
        <v>70</v>
      </c>
      <c r="W11" s="4" t="n">
        <v>0.18</v>
      </c>
      <c r="X11" s="2" t="inlineStr">
        <is>
          <t>银两×40000；山海关宝箱×1</t>
        </is>
      </c>
      <c r="Y11" s="2" t="inlineStr">
        <is>
          <t>开箱奖励及概率见宝箱奖励明细</t>
        </is>
      </c>
      <c r="Z11" s="2" t="n">
        <v>6</v>
      </c>
      <c r="AA11" s="2" t="inlineStr">
        <is>
          <t>按配置导入</t>
        </is>
      </c>
      <c r="AB11" s="2" t="n"/>
      <c r="AC11" s="2" t="inlineStr">
        <is>
          <t>data/mission_templates.yaml:shanhaiguan</t>
        </is>
      </c>
      <c r="AD11" s="2" t="inlineStr">
        <is>
          <t>{}</t>
        </is>
      </c>
      <c r="AE11" s="2" t="inlineStr">
        <is>
          <t>{"level":7,"guest_level":70,"guest_bonus":0.18}</t>
        </is>
      </c>
      <c r="AF11" s="2" t="inlineStr">
        <is>
          <t>{"key":"shanhaiguan","name":"山海关","difficulty":"intermediate","display_order":6,"description":"山海关所在的河西走廊是华北通向东北的咽喉地带，是一座及其重要的军事重镇，主要防御外族势力的入侵。吴三桂作为镇守山海关的大将，居然意图勾结外族势力，入侵中原。\n","battle_type":"task1","enemy_guests":["hist_mingqing_0230","hist_mingqing_0054"],"enemy_troops":{"jian_sheng":500,"quan_wang":500,"qiang_ba":500},"enemy_technology":{"level":7,"guest_level":70,"guest_bonus":0.18},"drop_table":{"silver":40000,"mission_chest_shanhaiguan":1},"daily_limit":3}</t>
        </is>
      </c>
      <c r="AG11" s="2" t="n">
        <v>10</v>
      </c>
      <c r="AH11" s="2" t="inlineStr">
        <is>
          <t>挑战者庄园</t>
        </is>
      </c>
    </row>
    <row r="12">
      <c r="A12" s="2" t="n">
        <v>11</v>
      </c>
      <c r="B12" s="2" t="inlineStr">
        <is>
          <t>shiren_daochang</t>
        </is>
      </c>
      <c r="C12" s="2" t="inlineStr">
        <is>
          <t>十人道场</t>
        </is>
      </c>
      <c r="D12" s="2" t="inlineStr">
        <is>
          <t>中级</t>
        </is>
      </c>
      <c r="E12" s="2" t="inlineStr">
        <is>
          <t>task1</t>
        </is>
      </c>
      <c r="F12" s="2" t="inlineStr">
        <is>
          <t>否</t>
        </is>
      </c>
      <c r="G12" s="2" t="inlineStr">
        <is>
          <t>否</t>
        </is>
      </c>
      <c r="H12" s="2" t="n">
        <v>3</v>
      </c>
      <c r="I12" s="2" t="n">
        <v>1800</v>
      </c>
      <c r="J12" s="2" t="inlineStr">
        <is>
          <t>每日开放</t>
        </is>
      </c>
      <c r="K12" s="2" t="inlineStr">
        <is>
          <t>无</t>
        </is>
      </c>
      <c r="L12" s="3">
        <f>SUMIFS(敌方阵容!$F$2:$F$258,敌方阵容!$A$2:$A$258,B12,敌方阵容!$D$2:$D$258,"门客")</f>
        <v>10</v>
      </c>
      <c r="M12" s="3">
        <f>SUMIFS(敌方阵容!$F$2:$F$258,敌方阵容!$A$2:$A$258,B12,敌方阵容!$D$2:$D$258,"护院")</f>
        <v>0</v>
      </c>
      <c r="N12" s="3">
        <f>COUNTIF(任务掉落明细!$B$2:$B$66,B12)</f>
        <v>2</v>
      </c>
      <c r="O12" s="3">
        <f>COUNTIFS(任务掉落明细!$B$2:$B$66,B12,任务掉落明细!$X$2:$X$66,1)</f>
        <v>2</v>
      </c>
      <c r="P12" s="3">
        <f>COUNTIFS(任务掉落明细!$B$2:$B$66,B12,任务掉落明细!$X$2:$X$66,"&lt;1")</f>
        <v>0</v>
      </c>
      <c r="Q12" s="2" t="inlineStr">
        <is>
          <t>个人任务</t>
        </is>
      </c>
      <c r="R12" s="2" t="n"/>
      <c r="S12" s="2" t="n">
        <v>5</v>
      </c>
      <c r="T12" s="2" t="inlineStr">
        <is>
          <t xml:space="preserve">十人道场是春秋世界初级试炼之地，由恶人谷十大恶人驻守。只要能击败十大恶人，通过试炼，就能极速提升门客的等级和能力。
</t>
        </is>
      </c>
      <c r="U12" s="2" t="n">
        <v>6</v>
      </c>
      <c r="V12" s="2" t="n">
        <v>55</v>
      </c>
      <c r="W12" s="4" t="n">
        <v>0.08</v>
      </c>
      <c r="X12" s="2" t="inlineStr">
        <is>
          <t>银两×20000；十人道场宝箱×1</t>
        </is>
      </c>
      <c r="Y12" s="2" t="inlineStr">
        <is>
          <t>开箱奖励及概率见宝箱奖励明细</t>
        </is>
      </c>
      <c r="Z12" s="2" t="n">
        <v>3</v>
      </c>
      <c r="AA12" s="2" t="inlineStr">
        <is>
          <t>按配置导入</t>
        </is>
      </c>
      <c r="AB12" s="2" t="n"/>
      <c r="AC12" s="2" t="inlineStr">
        <is>
          <t>data/mission_templates.yaml:shiren_daochang</t>
        </is>
      </c>
      <c r="AD12" s="2" t="inlineStr">
        <is>
          <t>{}</t>
        </is>
      </c>
      <c r="AE12" s="2" t="inlineStr">
        <is>
          <t>{"level":6,"guest_level":55,"guest_bonus":0.08}</t>
        </is>
      </c>
      <c r="AF12" s="2" t="inlineStr">
        <is>
          <t>{"key":"shiren_daochang","name":"十人道场","difficulty":"intermediate","display_order":3,"description":"十人道场是春秋世界初级试炼之地，由恶人谷十大恶人驻守。只要能击败十大恶人，通过试炼，就能极速提升门客的等级和能力。\n","battle_type":"task1","enemy_guests":["hero_du_sha","hero_li_dazui","hero_hahaer","hero_tu_jiaojiao","hero_yin_jiuyou",{"key":"task_shiren_xiaomimi","label":"萧咪咪"},{"key":"task_shiren_xuanyuansanguang","label":"轩辕三光"},{"key":"task_shiren_tiezhan","label":"铁战"},"hero_bai_kaixin",{"key":"task_shiren_luoshixiongdi","label":"罗氏兄弟"}],"enemy_technology":{"level":6,"guest_level":55,"guest_bonus":0.08},"drop_table":{"silver":20000,"mission_chest_shiren_daochang":1},"daily_limit":3}</t>
        </is>
      </c>
      <c r="AG12" s="2" t="n">
        <v>10</v>
      </c>
      <c r="AH12" s="2" t="inlineStr">
        <is>
          <t>挑战者庄园</t>
        </is>
      </c>
    </row>
    <row r="13">
      <c r="A13" s="2" t="n">
        <v>12</v>
      </c>
      <c r="B13" s="2" t="inlineStr">
        <is>
          <t>jiguanshou_chuxian</t>
        </is>
      </c>
      <c r="C13" s="2" t="inlineStr">
        <is>
          <t>机关兽初现</t>
        </is>
      </c>
      <c r="D13" s="2" t="inlineStr">
        <is>
          <t>初级</t>
        </is>
      </c>
      <c r="E13" s="2" t="inlineStr">
        <is>
          <t>task1</t>
        </is>
      </c>
      <c r="F13" s="2" t="inlineStr">
        <is>
          <t>否</t>
        </is>
      </c>
      <c r="G13" s="2" t="inlineStr">
        <is>
          <t>否</t>
        </is>
      </c>
      <c r="H13" s="2" t="n">
        <v>2</v>
      </c>
      <c r="I13" s="2" t="n">
        <v>1800</v>
      </c>
      <c r="J13" s="2" t="inlineStr">
        <is>
          <t>每日开放</t>
        </is>
      </c>
      <c r="K13" s="2" t="inlineStr">
        <is>
          <t>无</t>
        </is>
      </c>
      <c r="L13" s="3">
        <f>SUMIFS(敌方阵容!$F$2:$F$258,敌方阵容!$A$2:$A$258,B13,敌方阵容!$D$2:$D$258,"门客")</f>
        <v>8</v>
      </c>
      <c r="M13" s="3">
        <f>SUMIFS(敌方阵容!$F$2:$F$258,敌方阵容!$A$2:$A$258,B13,敌方阵容!$D$2:$D$258,"护院")</f>
        <v>0</v>
      </c>
      <c r="N13" s="3">
        <f>COUNTIF(任务掉落明细!$B$2:$B$66,B13)</f>
        <v>2</v>
      </c>
      <c r="O13" s="3">
        <f>COUNTIFS(任务掉落明细!$B$2:$B$66,B13,任务掉落明细!$X$2:$X$66,1)</f>
        <v>2</v>
      </c>
      <c r="P13" s="3">
        <f>COUNTIFS(任务掉落明细!$B$2:$B$66,B13,任务掉落明细!$X$2:$X$66,"&lt;1")</f>
        <v>0</v>
      </c>
      <c r="Q13" s="2" t="inlineStr">
        <is>
          <t>个人任务</t>
        </is>
      </c>
      <c r="R13" s="2" t="n"/>
      <c r="S13" s="2" t="n">
        <v>1</v>
      </c>
      <c r="T13" s="2" t="inlineStr">
        <is>
          <t xml:space="preserve">乔家村以制做灵活轻巧、栩栩如生的「机械猫」闻名于天下。「机械猫」又称之为「钟离猫」，相传是墨家子弟孙钟离路过此地时，时逢村中鼠患肆虐，为清除鼠患取当地木材仿猫型制成。经历代乔家村民不断改良，「机械猫」以生具灵性、精巧无比，并作用于生活各用途中。某日乔家村第一铁匠乔大牛家中被盗，八只刚制成的「机械猫」见房门未锁，逃离乔家村。随后，逃离的八只「机械猫」开始在乔家村附近肆虐作恶，搞得乔家村民苦不堪言。
</t>
        </is>
      </c>
      <c r="U13" s="2" t="n">
        <v>7</v>
      </c>
      <c r="V13" s="2" t="n">
        <v>35</v>
      </c>
      <c r="W13" s="4" t="n">
        <v>0.12</v>
      </c>
      <c r="X13" s="2" t="inlineStr">
        <is>
          <t>银两×24000；机关兽初现宝箱×1</t>
        </is>
      </c>
      <c r="Y13" s="2" t="inlineStr">
        <is>
          <t>开箱奖励及概率见宝箱奖励明细</t>
        </is>
      </c>
      <c r="Z13" s="2" t="n">
        <v>7</v>
      </c>
      <c r="AA13" s="2" t="inlineStr">
        <is>
          <t>按配置导入</t>
        </is>
      </c>
      <c r="AB13" s="2" t="n"/>
      <c r="AC13" s="2" t="inlineStr">
        <is>
          <t>data/mission_templates.yaml:jiguanshou_chuxian</t>
        </is>
      </c>
      <c r="AD13" s="2" t="inlineStr">
        <is>
          <t>{}</t>
        </is>
      </c>
      <c r="AE13" s="2" t="inlineStr">
        <is>
          <t>{"level":7,"guest_level":35,"guest_bonus":0.12}</t>
        </is>
      </c>
      <c r="AF13" s="2" t="inlineStr">
        <is>
          <t>{"key":"jiguanshou_chuxian","name":"机关兽初现","difficulty":"junior","display_order":7,"description":"乔家村以制做灵活轻巧、栩栩如生的「机械猫」闻名于天下。「机械猫」又称之为「钟离猫」，相传是墨家子弟孙钟离路过此地时，时逢村中鼠患肆虐，为清除鼠患取当地木材仿猫型制成。经历代乔家村民不断改良，「机械猫」以生具灵性、精巧无比，并作用于生活各用途中。某日乔家村第一铁匠乔大牛家中被盗，八只刚制成的「机械猫」见房门未锁，逃离乔家村。随后，逃离的八只「机械猫」开始在乔家村附近肆虐作恶，搞得乔家村民苦不堪言。\n","battle_type":"task1","enemy_guests":[{"key":"task_mechanism_cat","label":"改装机械猫"},{"key":"task_mechanism_cat","label":"改装机械猫"},{"key":"task_mechanism_cat","label":"改装机械猫"},{"key":"task_mechanism_cat","label":"改装机械猫"},{"key":"task_mechanism_cat","label":"改装机械猫"},{"key":"task_mechanism_cat","label":"改装机械猫"},{"key":"task_mechanism_cat","label":"改装机械猫"},{"key":"task_mechanism_cat","label":"改装机械猫"}],"enemy_technology":{"level":7,"guest_level":35,"guest_bonus":0.12},"drop_table":{"silver":24000,"mission_chest_jiguanshou_chuxian":1},"daily_limit":2,"mission_card_daily_limit":1}</t>
        </is>
      </c>
      <c r="AG13" s="2" t="n">
        <v>10</v>
      </c>
      <c r="AH13" s="2" t="inlineStr">
        <is>
          <t>挑战者庄园</t>
        </is>
      </c>
    </row>
    <row r="14">
      <c r="A14" s="2" t="n">
        <v>13</v>
      </c>
      <c r="B14" s="2" t="inlineStr">
        <is>
          <t>biwu_zhaoqin</t>
        </is>
      </c>
      <c r="C14" s="2" t="inlineStr">
        <is>
          <t>比武招亲</t>
        </is>
      </c>
      <c r="D14" s="2" t="inlineStr">
        <is>
          <t>初级</t>
        </is>
      </c>
      <c r="E14" s="2" t="inlineStr">
        <is>
          <t>task1</t>
        </is>
      </c>
      <c r="F14" s="2" t="inlineStr">
        <is>
          <t>否</t>
        </is>
      </c>
      <c r="G14" s="2" t="inlineStr">
        <is>
          <t>是</t>
        </is>
      </c>
      <c r="H14" s="2" t="n">
        <v>3</v>
      </c>
      <c r="I14" s="2" t="n">
        <v>1800</v>
      </c>
      <c r="J14" s="2" t="inlineStr">
        <is>
          <t>每日开放</t>
        </is>
      </c>
      <c r="K14" s="2" t="inlineStr">
        <is>
          <t>无</t>
        </is>
      </c>
      <c r="L14" s="3">
        <f>SUMIFS(敌方阵容!$F$2:$F$258,敌方阵容!$A$2:$A$258,B14,敌方阵容!$D$2:$D$258,"门客")</f>
        <v>1</v>
      </c>
      <c r="M14" s="3">
        <f>SUMIFS(敌方阵容!$F$2:$F$258,敌方阵容!$A$2:$A$258,B14,敌方阵容!$D$2:$D$258,"护院")</f>
        <v>0</v>
      </c>
      <c r="N14" s="3">
        <f>COUNTIF(任务掉落明细!$B$2:$B$66,B14)</f>
        <v>2</v>
      </c>
      <c r="O14" s="3">
        <f>COUNTIFS(任务掉落明细!$B$2:$B$66,B14,任务掉落明细!$X$2:$X$66,1)</f>
        <v>2</v>
      </c>
      <c r="P14" s="3">
        <f>COUNTIFS(任务掉落明细!$B$2:$B$66,B14,任务掉落明细!$X$2:$X$66,"&lt;1")</f>
        <v>0</v>
      </c>
      <c r="Q14" s="2" t="inlineStr">
        <is>
          <t>个人任务</t>
        </is>
      </c>
      <c r="R14" s="2" t="n"/>
      <c r="S14" s="2" t="n">
        <v>5</v>
      </c>
      <c r="T14" s="2" t="inlineStr">
        <is>
          <t xml:space="preserve">苏州首富杜万年之女杜莞尔芳龄二八，登门求亲者络绎不绝，门庭若市。杜老爷既不想得罪朝廷中人，也不愿把女儿嫁给草莽之士，于是想出一招比武招亲。奇就奇在这代杜千金比武的，不是人，而是一只战斗熊。此熊周身每个关节都可活动，内部充满各种机关，战斗力强。比武当天无人能出其右，最终竟由穷小子管无介出马搏得头筹。原来小姐早已芳心暗许，只因那固执的父亲介意门第之见。管无介经众人帮助，得到铸熊大师珍藏图纸，命中熊身要害，一击即中。杜老爷在众人面前也不能食言而肥，只得将女儿许配给比赛冠军。管无介如愿以偿，开心抱得美人归。
</t>
        </is>
      </c>
      <c r="U14" s="2" t="n">
        <v>4</v>
      </c>
      <c r="V14" s="2" t="n">
        <v>55</v>
      </c>
      <c r="W14" s="4" t="n">
        <v>0.2</v>
      </c>
      <c r="X14" s="2" t="inlineStr">
        <is>
          <t>银两×20000；比武招亲宝箱×1</t>
        </is>
      </c>
      <c r="Y14" s="2" t="inlineStr">
        <is>
          <t>开箱奖励及概率见宝箱奖励明细</t>
        </is>
      </c>
      <c r="Z14" s="2" t="n">
        <v>6</v>
      </c>
      <c r="AA14" s="2" t="inlineStr">
        <is>
          <t>按配置导入</t>
        </is>
      </c>
      <c r="AB14" s="2" t="n"/>
      <c r="AC14" s="2" t="inlineStr">
        <is>
          <t>data/mission_templates.yaml:biwu_zhaoqin</t>
        </is>
      </c>
      <c r="AD14" s="2" t="inlineStr">
        <is>
          <t>{}</t>
        </is>
      </c>
      <c r="AE14" s="2" t="inlineStr">
        <is>
          <t>{"level":4,"guest_level":55,"guest_bonus":0.2}</t>
        </is>
      </c>
      <c r="AF14" s="2" t="inlineStr">
        <is>
          <t>{"key":"biwu_zhaoqin","name":"比武招亲","difficulty":"junior","display_order":6,"description":"苏州首富杜万年之女杜莞尔芳龄二八，登门求亲者络绎不绝，门庭若市。杜老爷既不想得罪朝廷中人，也不愿把女儿嫁给草莽之士，于是想出一招比武招亲。奇就奇在这代杜千金比武的，不是人，而是一只战斗熊。此熊周身每个关节都可活动，内部充满各种机关，战斗力强。比武当天无人能出其右，最终竟由穷小子管无介出马搏得头筹。原来小姐早已芳心暗许，只因那固执的父亲介意门第之见。管无介经众人帮助，得到铸熊大师珍藏图纸，命中熊身要害，一击即中。杜老爷在众人面前也不能食言而肥，只得将女儿许配给比赛冠军。管无介如愿以偿，开心抱得美人归。\n","battle_type":"task1","guest_only":true,"enemy_guests":[{"key":"task_matchmaking_bear","label":"机关熊"}],"enemy_technology":{"level":4,"guest_level":55,"guest_bonus":0.2},"drop_table":{"silver":20000,"mission_chest_biwu_zhaoqin":1},"daily_limit":3}</t>
        </is>
      </c>
      <c r="AG14" s="2" t="n">
        <v>10</v>
      </c>
      <c r="AH14" s="2" t="inlineStr">
        <is>
          <t>挑战者庄园</t>
        </is>
      </c>
    </row>
    <row r="15">
      <c r="A15" s="2" t="n">
        <v>14</v>
      </c>
      <c r="B15" s="2" t="inlineStr">
        <is>
          <t>tianpeng_dijiao_1</t>
        </is>
      </c>
      <c r="C15" s="2" t="inlineStr">
        <is>
          <t>天蓬元帅的地窖（第一层）</t>
        </is>
      </c>
      <c r="D15" s="2" t="inlineStr">
        <is>
          <t>中级</t>
        </is>
      </c>
      <c r="E15" s="2" t="inlineStr">
        <is>
          <t>task1</t>
        </is>
      </c>
      <c r="F15" s="2" t="inlineStr">
        <is>
          <t>否</t>
        </is>
      </c>
      <c r="G15" s="2" t="inlineStr">
        <is>
          <t>否</t>
        </is>
      </c>
      <c r="H15" s="2" t="n">
        <v>3</v>
      </c>
      <c r="I15" s="2" t="n">
        <v>1800</v>
      </c>
      <c r="J15" s="2" t="inlineStr">
        <is>
          <t>每日开放</t>
        </is>
      </c>
      <c r="K15" s="2" t="inlineStr">
        <is>
          <t>无</t>
        </is>
      </c>
      <c r="L15" s="3">
        <f>SUMIFS(敌方阵容!$F$2:$F$258,敌方阵容!$A$2:$A$258,B15,敌方阵容!$D$2:$D$258,"门客")</f>
        <v>8</v>
      </c>
      <c r="M15" s="3">
        <f>SUMIFS(敌方阵容!$F$2:$F$258,敌方阵容!$A$2:$A$258,B15,敌方阵容!$D$2:$D$258,"护院")</f>
        <v>0</v>
      </c>
      <c r="N15" s="3">
        <f>COUNTIF(任务掉落明细!$B$2:$B$66,B15)</f>
        <v>2</v>
      </c>
      <c r="O15" s="3">
        <f>COUNTIFS(任务掉落明细!$B$2:$B$66,B15,任务掉落明细!$X$2:$X$66,1)</f>
        <v>2</v>
      </c>
      <c r="P15" s="3">
        <f>COUNTIFS(任务掉落明细!$B$2:$B$66,B15,任务掉落明细!$X$2:$X$66,"&lt;1")</f>
        <v>0</v>
      </c>
      <c r="Q15" s="2" t="inlineStr">
        <is>
          <t>个人任务</t>
        </is>
      </c>
      <c r="R15" s="2" t="n"/>
      <c r="S15" s="2" t="n">
        <v>5</v>
      </c>
      <c r="T15" s="2" t="inlineStr">
        <is>
          <t xml:space="preserve">天蓬元帅何许人也，我想不必多加介绍，他的大名你我也都如雷贯耳了。天蓬元帅耳大招风，腰缠"万贯"，气宇方刚，心宽体胖。当然，他最出名的还是吃，不仅会吃，吃遍天下美食，还私藏了许多琼浆玉液、佳肴珍馐。每次天庭大请宾筵，我们的大元帅都是不仅吃得饱饱的，还要兜着走。拿了这么多食物，一时半会儿也消灭不了，那到底放在哪里才算妥当安全呢？天蓬元帅还真是聪明，他想到他在高老庄的老相好，还有他那个老丈人，也是很喜欢这个勤奋的女婿的，他们特地留出一块上好的、超大平方米、黄金地段、冬暖夏凉的地窖给猪女婿保存食物。要说天神也有打瞌睡的时候，天蓬元帅乘天门打开之际，每次都私自下凡，偷渡美食于此地窖中。经年累月，地窖倒也藏了不少宝贝。
</t>
        </is>
      </c>
      <c r="U15" s="2" t="n">
        <v>8</v>
      </c>
      <c r="V15" s="2" t="n">
        <v>50</v>
      </c>
      <c r="W15" s="4" t="n">
        <v>0.12</v>
      </c>
      <c r="X15" s="2" t="inlineStr">
        <is>
          <t>银两×50000；天蓬地窖一层宝箱×1</t>
        </is>
      </c>
      <c r="Y15" s="2" t="inlineStr">
        <is>
          <t>开箱奖励及概率见宝箱奖励明细</t>
        </is>
      </c>
      <c r="Z15" s="2" t="n">
        <v>1</v>
      </c>
      <c r="AA15" s="2" t="inlineStr">
        <is>
          <t>按配置导入</t>
        </is>
      </c>
      <c r="AB15" s="2" t="n"/>
      <c r="AC15" s="2" t="inlineStr">
        <is>
          <t>data/mission_templates.yaml:tianpeng_dijiao_1</t>
        </is>
      </c>
      <c r="AD15" s="2" t="inlineStr">
        <is>
          <t>{}</t>
        </is>
      </c>
      <c r="AE15" s="2" t="inlineStr">
        <is>
          <t>{"level":8,"guest_level":50,"guest_bonus":0.12}</t>
        </is>
      </c>
      <c r="AF15" s="2" t="inlineStr">
        <is>
          <t>{"key":"tianpeng_dijiao_1","name":"天蓬元帅的地窖（第一层）","difficulty":"intermediate","display_order":1,"description":"天蓬元帅何许人也，我想不必多加介绍，他的大名你我也都如雷贯耳了。天蓬元帅耳大招风，腰缠\"万贯\"，气宇方刚，心宽体胖。当然，他最出名的还是吃，不仅会吃，吃遍天下美食，还私藏了许多琼浆玉液、佳肴珍馐。每次天庭大请宾筵，我们的大元帅都是不仅吃得饱饱的，还要兜着走。拿了这么多食物，一时半会儿也消灭不了，那到底放在哪里才算妥当安全呢？天蓬元帅还真是聪明，他想到他在高老庄的老相好，还有他那个老丈人，也是很喜欢这个勤奋的女婿的，他们特地留出一块上好的、超大平方米、黄金地段、冬暖夏凉的地窖给猪女婿保存食物。要说天神也有打瞌睡的时候，天蓬元帅乘天门打开之际，每次都私自下凡，偷渡美食于此地窖中。经年累月，地窖倒也藏了不少宝贝。\n","battle_type":"task1","enemy_guests":[{"key":"task_cellar_guard","label":"守卫"},{"key":"task_cellar_guard","label":"守卫"},{"key":"task_cellar_guard","label":"守卫"},{"key":"task_cellar_guard","label":"守卫"},{"key":"task_cellar_guard","label":"守卫"},{"key":"task_cellar_guard","label":"守卫"},{"key":"task_cellar_guard","label":"守卫"},{"key":"task_cellar_guard","label":"守卫"}],"enemy_technology":{"level":8,"guest_level":50,"guest_bonus":0.12},"drop_table":{"silver":50000,"mission_chest_tianpeng_dijiao_1":1},"daily_limit":3}</t>
        </is>
      </c>
      <c r="AG15" s="2" t="n">
        <v>10</v>
      </c>
      <c r="AH15" s="2" t="inlineStr">
        <is>
          <t>挑战者庄园</t>
        </is>
      </c>
    </row>
    <row r="16">
      <c r="A16" s="2" t="n">
        <v>15</v>
      </c>
      <c r="B16" s="2" t="inlineStr">
        <is>
          <t>tianpeng_dijiao_2</t>
        </is>
      </c>
      <c r="C16" s="2" t="inlineStr">
        <is>
          <t>天蓬元帅的地窖（第二层）</t>
        </is>
      </c>
      <c r="D16" s="2" t="inlineStr">
        <is>
          <t>高级</t>
        </is>
      </c>
      <c r="E16" s="2" t="inlineStr">
        <is>
          <t>task1</t>
        </is>
      </c>
      <c r="F16" s="2" t="inlineStr">
        <is>
          <t>否</t>
        </is>
      </c>
      <c r="G16" s="2" t="inlineStr">
        <is>
          <t>否</t>
        </is>
      </c>
      <c r="H16" s="2" t="n">
        <v>3</v>
      </c>
      <c r="I16" s="2" t="n">
        <v>1800</v>
      </c>
      <c r="J16" s="2" t="inlineStr">
        <is>
          <t>每日开放</t>
        </is>
      </c>
      <c r="K16" s="2" t="inlineStr">
        <is>
          <t>无</t>
        </is>
      </c>
      <c r="L16" s="3">
        <f>SUMIFS(敌方阵容!$F$2:$F$258,敌方阵容!$A$2:$A$258,B16,敌方阵容!$D$2:$D$258,"门客")</f>
        <v>8</v>
      </c>
      <c r="M16" s="3">
        <f>SUMIFS(敌方阵容!$F$2:$F$258,敌方阵容!$A$2:$A$258,B16,敌方阵容!$D$2:$D$258,"护院")</f>
        <v>0</v>
      </c>
      <c r="N16" s="3">
        <f>COUNTIF(任务掉落明细!$B$2:$B$66,B16)</f>
        <v>1</v>
      </c>
      <c r="O16" s="3">
        <f>COUNTIFS(任务掉落明细!$B$2:$B$66,B16,任务掉落明细!$X$2:$X$66,1)</f>
        <v>1</v>
      </c>
      <c r="P16" s="3">
        <f>COUNTIFS(任务掉落明细!$B$2:$B$66,B16,任务掉落明细!$X$2:$X$66,"&lt;1")</f>
        <v>0</v>
      </c>
      <c r="Q16" s="2" t="inlineStr">
        <is>
          <t>个人任务</t>
        </is>
      </c>
      <c r="R16" s="2" t="n"/>
      <c r="S16" s="2" t="n">
        <v>5</v>
      </c>
      <c r="T16" s="2" t="inlineStr">
        <is>
          <t xml:space="preserve">天蓬元帅猪八戒在完成了跟随唐僧西天取经的重任后，混得了一个肥的流油的美差——净坛使者。不说人前人后，吃不完的山珍海味，更有深谙拍马溜须功夫的小妖小仙送上各种宝物，让天蓬元帅高兴之余也苦恼不已，净坛使者那小小地界根本无处可以存放东西。这时候天蓬元帅想起了N年前被搁置的他用来存放食物的高老庄地窖。
找到灵感的天蓬元帅喜滋滋的驾着他的装宝大车回到高老庄，却发现地窖内一片狼藉，他最喜欢的菠萝被抢劫了一大半。天蓬元帅怒从心头起，恶向胆边生。呔，哪方小贼，竟然胆敢洗劫本使者的粮仓！
这时，一绝色美貌狐仙扭着腰肢冲着天蓬元帅狂抛媚眼，八戒哥您消消气，气坏了身子可不好涅，对付这等小贼，奴家愿献上妙计。八戒哥一见美人便七荤八素，当下将满车宝物及地窖的后期开发工程交给了小狐仙。
小狐仙的目的其实是那满车宝物，可怜八戒有了美女就没了大脑，至此以后那车宝贝和地窖都归了小狐仙所有。小狐仙一时间没有地方存放宝贝，于是将地窖开发成好几层，并在各处委派了法力高强的妖仙好友把守。
消息不胫而走，各庄园主在尝过了菠萝的甜头后，将眼光伸向了小狐仙的藏宝库，小狐仙等着接招吧……
</t>
        </is>
      </c>
      <c r="U16" s="2" t="n">
        <v>9</v>
      </c>
      <c r="V16" s="2" t="n">
        <v>80</v>
      </c>
      <c r="W16" s="4" t="n">
        <v>0.2</v>
      </c>
      <c r="X16" s="2" t="inlineStr">
        <is>
          <t>天蓬地窖二层宝箱×1</t>
        </is>
      </c>
      <c r="Y16" s="2" t="inlineStr">
        <is>
          <t>开箱奖励及概率见宝箱奖励明细</t>
        </is>
      </c>
      <c r="Z16" s="2" t="n">
        <v>1000</v>
      </c>
      <c r="AA16" s="2" t="inlineStr">
        <is>
          <t>按配置导入</t>
        </is>
      </c>
      <c r="AB16" s="2" t="n"/>
      <c r="AC16" s="2" t="inlineStr">
        <is>
          <t>data/mission_templates.yaml:tianpeng_dijiao_2</t>
        </is>
      </c>
      <c r="AD16" s="2" t="inlineStr">
        <is>
          <t>{}</t>
        </is>
      </c>
      <c r="AE16" s="2" t="inlineStr">
        <is>
          <t>{"level":9,"guest_level":80,"guest_bonus":0.2}</t>
        </is>
      </c>
      <c r="AF16" s="2" t="inlineStr">
        <is>
          <t>{"key":"tianpeng_dijiao_2","name":"天蓬元帅的地窖（第二层）","difficulty":"advanced","description":"天蓬元帅猪八戒在完成了跟随唐僧西天取经的重任后，混得了一个肥的流油的美差——净坛使者。不说人前人后，吃不完的山珍海味，更有深谙拍马溜须功夫的小妖小仙送上各种宝物，让天蓬元帅高兴之余也苦恼不已，净坛使者那小小地界根本无处可以存放东西。这时候天蓬元帅想起了N年前被搁置的他用来存放食物的高老庄地窖。\n\n找到灵感的天蓬元帅喜滋滋的驾着他的装宝大车回到高老庄，却发现地窖内一片狼藉，他最喜欢的菠萝被抢劫了一大半。天蓬元帅怒从心头起，恶向胆边生。呔，哪方小贼，竟然胆敢洗劫本使者的粮仓！\n\n这时，一绝色美貌狐仙扭着腰肢冲着天蓬元帅狂抛媚眼，八戒哥您消消气，气坏了身子可不好涅，对付这等小贼，奴家愿献上妙计。八戒哥一见美人便七荤八素，当下将满车宝物及地窖的后期开发工程交给了小狐仙。\n\n小狐仙的目的其实是那满车宝物，可怜八戒有了美女就没了大脑，至此以后那车宝贝和地窖都归了小狐仙所有。小狐仙一时间没有地方存放宝贝，于是将地窖开发成好几层，并在各处委派了法力高强的妖仙好友把守。\n\n消息不胫而走，各庄园主在尝过了菠萝的甜头后，将眼光伸向了小狐仙的藏宝库，小狐仙等着接招吧……\n","battle_type":"task1","enemy_guests":[{"key":"task_fox_spirit_keeper","label":"小狐仙"},{"key":"task_fox_spirit_keeper","label":"小狐仙"},{"key":"task_fox_spirit_keeper","label":"小狐仙"},{"key":"task_fox_spirit_keeper","label":"小狐仙"},{"key":"task_fox_spirit_keeper","label":"小狐仙"},{"key":"task_fox_spirit_keeper","label":"小狐仙"},{"key":"task_fox_spirit_keeper","label":"小狐仙"},{"key":"task_fox_spirit_keeper","label":"小狐仙"}],"enemy_technology":{"level":9,"guest_level":80,"guest_bonus":0.2},"drop_table":{"mission_chest_tianpeng_dijiao_2":1},"daily_limit":3}</t>
        </is>
      </c>
      <c r="AG16" s="2" t="n">
        <v>10</v>
      </c>
      <c r="AH16" s="2" t="inlineStr">
        <is>
          <t>挑战者庄园</t>
        </is>
      </c>
    </row>
    <row r="17">
      <c r="A17" s="2" t="n">
        <v>16</v>
      </c>
      <c r="B17" s="2" t="inlineStr">
        <is>
          <t>jiguan_chuniao</t>
        </is>
      </c>
      <c r="C17" s="2" t="inlineStr">
        <is>
          <t>机关雏鸟</t>
        </is>
      </c>
      <c r="D17" s="2" t="inlineStr">
        <is>
          <t>中级</t>
        </is>
      </c>
      <c r="E17" s="2" t="inlineStr">
        <is>
          <t>task1</t>
        </is>
      </c>
      <c r="F17" s="2" t="inlineStr">
        <is>
          <t>否</t>
        </is>
      </c>
      <c r="G17" s="2" t="inlineStr">
        <is>
          <t>否</t>
        </is>
      </c>
      <c r="H17" s="2" t="n">
        <v>3</v>
      </c>
      <c r="I17" s="2" t="n">
        <v>1800</v>
      </c>
      <c r="J17" s="2" t="inlineStr">
        <is>
          <t>每日开放</t>
        </is>
      </c>
      <c r="K17" s="2" t="inlineStr">
        <is>
          <t>无</t>
        </is>
      </c>
      <c r="L17" s="3">
        <f>SUMIFS(敌方阵容!$F$2:$F$258,敌方阵容!$A$2:$A$258,B17,敌方阵容!$D$2:$D$258,"门客")</f>
        <v>4</v>
      </c>
      <c r="M17" s="3">
        <f>SUMIFS(敌方阵容!$F$2:$F$258,敌方阵容!$A$2:$A$258,B17,敌方阵容!$D$2:$D$258,"护院")</f>
        <v>600</v>
      </c>
      <c r="N17" s="3">
        <f>COUNTIF(任务掉落明细!$B$2:$B$66,B17)</f>
        <v>2</v>
      </c>
      <c r="O17" s="3">
        <f>COUNTIFS(任务掉落明细!$B$2:$B$66,B17,任务掉落明细!$X$2:$X$66,1)</f>
        <v>2</v>
      </c>
      <c r="P17" s="3">
        <f>COUNTIFS(任务掉落明细!$B$2:$B$66,B17,任务掉落明细!$X$2:$X$66,"&lt;1")</f>
        <v>0</v>
      </c>
      <c r="Q17" s="2" t="inlineStr">
        <is>
          <t>个人任务</t>
        </is>
      </c>
      <c r="R17" s="2" t="n"/>
      <c r="S17" s="2" t="n">
        <v>5</v>
      </c>
      <c r="T17" s="2" t="inlineStr">
        <is>
          <t xml:space="preserve">话说江家堡被仇家围攻，四面受敌，堡内粮草只能维持3天生计，突围的任务迫在眉睫。堡主曾派壮丁驾快马送信求救，可惜都遭遇埋伏。管家之子江犁墨献上自制的木结构机关雏鸟。其鸟可避弓矢，自动飞达目的地。江家堡靠此木鸟最终送出求救信号，得盟友支援解困。后来此鸟被奉为堡内"幸运鸟"，经改造后功能更强大，已成为江家堡著名的机关武器之一。
</t>
        </is>
      </c>
      <c r="U17" s="2" t="n">
        <v>7</v>
      </c>
      <c r="V17" s="2" t="n">
        <v>60</v>
      </c>
      <c r="W17" s="4" t="n">
        <v>0.1</v>
      </c>
      <c r="X17" s="2" t="inlineStr">
        <is>
          <t>银两×30000；机关雏鸟宝箱×1</t>
        </is>
      </c>
      <c r="Y17" s="2" t="inlineStr">
        <is>
          <t>开箱奖励及概率见宝箱奖励明细</t>
        </is>
      </c>
      <c r="Z17" s="2" t="n">
        <v>4</v>
      </c>
      <c r="AA17" s="2" t="inlineStr">
        <is>
          <t>按配置导入</t>
        </is>
      </c>
      <c r="AB17" s="2" t="n"/>
      <c r="AC17" s="2" t="inlineStr">
        <is>
          <t>data/mission_templates.yaml:jiguan_chuniao</t>
        </is>
      </c>
      <c r="AD17" s="2" t="inlineStr">
        <is>
          <t>{}</t>
        </is>
      </c>
      <c r="AE17" s="2" t="inlineStr">
        <is>
          <t>{"level":7,"guest_level":60,"guest_bonus":0.1}</t>
        </is>
      </c>
      <c r="AF17" s="2" t="inlineStr">
        <is>
          <t>{"key":"jiguan_chuniao","name":"机关雏鸟","difficulty":"intermediate","display_order":4,"description":"话说江家堡被仇家围攻，四面受敌，堡内粮草只能维持3天生计，突围的任务迫在眉睫。堡主曾派壮丁驾快马送信求救，可惜都遭遇埋伏。管家之子江犁墨献上自制的木结构机关雏鸟。其鸟可避弓矢，自动飞达目的地。江家堡靠此木鸟最终送出求救信号，得盟友支援解困。后来此鸟被奉为堡内\"幸运鸟\"，经改造后功能更强大，已成为江家堡著名的机关武器之一。\n","battle_type":"task1","enemy_guests":[{"key":"task_mechanism_bird","label":"黑衣人"},{"key":"task_mechanism_bird","label":"黑衣人"},{"key":"task_mechanism_bird","label":"黑衣人"},{"key":"task_mechanism_bird","label":"黑衣人"}],"enemy_troops":{"qiang_wang":300,"jian_sheng":300},"enemy_technology":{"level":7,"guest_level":60,"guest_bonus":0.1},"drop_table":{"silver":30000,"mission_chest_jiguan_chuniao":1},"daily_limit":3}</t>
        </is>
      </c>
      <c r="AG17" s="2" t="n">
        <v>10</v>
      </c>
      <c r="AH17" s="2" t="inlineStr">
        <is>
          <t>挑战者庄园</t>
        </is>
      </c>
    </row>
    <row r="18">
      <c r="A18" s="2" t="n">
        <v>17</v>
      </c>
      <c r="B18" s="2" t="inlineStr">
        <is>
          <t>dongtian_fudi</t>
        </is>
      </c>
      <c r="C18" s="2" t="inlineStr">
        <is>
          <t>洞天福地</t>
        </is>
      </c>
      <c r="D18" s="2" t="inlineStr">
        <is>
          <t>高级</t>
        </is>
      </c>
      <c r="E18" s="2" t="inlineStr">
        <is>
          <t>task1</t>
        </is>
      </c>
      <c r="F18" s="2" t="inlineStr">
        <is>
          <t>否</t>
        </is>
      </c>
      <c r="G18" s="2" t="inlineStr">
        <is>
          <t>否</t>
        </is>
      </c>
      <c r="H18" s="2" t="n">
        <v>3</v>
      </c>
      <c r="I18" s="2" t="n">
        <v>1800</v>
      </c>
      <c r="J18" s="2" t="inlineStr">
        <is>
          <t>每日开放</t>
        </is>
      </c>
      <c r="K18" s="2" t="inlineStr">
        <is>
          <t>无</t>
        </is>
      </c>
      <c r="L18" s="3">
        <f>SUMIFS(敌方阵容!$F$2:$F$258,敌方阵容!$A$2:$A$258,B18,敌方阵容!$D$2:$D$258,"门客")</f>
        <v>2</v>
      </c>
      <c r="M18" s="3">
        <f>SUMIFS(敌方阵容!$F$2:$F$258,敌方阵容!$A$2:$A$258,B18,敌方阵容!$D$2:$D$258,"护院")</f>
        <v>1000</v>
      </c>
      <c r="N18" s="3">
        <f>COUNTIF(任务掉落明细!$B$2:$B$66,B18)</f>
        <v>2</v>
      </c>
      <c r="O18" s="3">
        <f>COUNTIFS(任务掉落明细!$B$2:$B$66,B18,任务掉落明细!$X$2:$X$66,1)</f>
        <v>2</v>
      </c>
      <c r="P18" s="3">
        <f>COUNTIFS(任务掉落明细!$B$2:$B$66,B18,任务掉落明细!$X$2:$X$66,"&lt;1")</f>
        <v>0</v>
      </c>
      <c r="Q18" s="2" t="inlineStr">
        <is>
          <t>个人任务</t>
        </is>
      </c>
      <c r="R18" s="2" t="n"/>
      <c r="S18" s="2" t="n">
        <v>5</v>
      </c>
      <c r="T18" s="2" t="inlineStr">
        <is>
          <t xml:space="preserve">传说"洞天福地"位于西部大雪山之巅，当年丘真人携唯一弟子在此闭关修炼，洞内集日月精华，物华天宝俊彩星驰。百年后一场雪崩覆盖了洞口，珍贵的道家秘籍、炼丹点金之术也遭雪掩埋，就此不流于世。多年后各大门派竞相寻找此地，企图寻找求仙捷径。然而"洞天福地"内机关重重、关卡奥妙也是众所皆知，至今闯入禁区者无人生还。要想寻找财富，除了勇气，还需傲人的智慧和体魄才行。
</t>
        </is>
      </c>
      <c r="U18" s="2" t="n">
        <v>9</v>
      </c>
      <c r="V18" s="2" t="n">
        <v>80</v>
      </c>
      <c r="W18" s="4" t="n">
        <v>0.26</v>
      </c>
      <c r="X18" s="2" t="inlineStr">
        <is>
          <t>银两×50000；洞天福地宝箱×1</t>
        </is>
      </c>
      <c r="Y18" s="2" t="inlineStr">
        <is>
          <t>开箱奖励及概率见宝箱奖励明细</t>
        </is>
      </c>
      <c r="Z18" s="2" t="n">
        <v>1000</v>
      </c>
      <c r="AA18" s="2" t="inlineStr">
        <is>
          <t>按配置导入</t>
        </is>
      </c>
      <c r="AB18" s="2" t="n"/>
      <c r="AC18" s="2" t="inlineStr">
        <is>
          <t>data/mission_templates.yaml:dongtian_fudi</t>
        </is>
      </c>
      <c r="AD18" s="2" t="inlineStr">
        <is>
          <t>{}</t>
        </is>
      </c>
      <c r="AE18" s="2" t="inlineStr">
        <is>
          <t>{"level":9,"guest_level":80,"guest_bonus":0.26}</t>
        </is>
      </c>
      <c r="AF18" s="2" t="inlineStr">
        <is>
          <t>{"key":"dongtian_fudi","name":"洞天福地","difficulty":"advanced","description":"传说\"洞天福地\"位于西部大雪山之巅，当年丘真人携唯一弟子在此闭关修炼，洞内集日月精华，物华天宝俊彩星驰。百年后一场雪崩覆盖了洞口，珍贵的道家秘籍、炼丹点金之术也遭雪掩埋，就此不流于世。多年后各大门派竞相寻找此地，企图寻找求仙捷径。然而\"洞天福地\"内机关重重、关卡奥妙也是众所皆知，至今闯入禁区者无人生还。要想寻找财富，除了勇气，还需傲人的智慧和体魄才行。\n","battle_type":"task1","enemy_guests":[{"key":"task_heaven_cave_sentinel","label":"金甲神兵"},{"key":"task_heaven_cave_sentinel","label":"金甲神兵"}],"enemy_troops":{"arrow_god":300,"quan_sheng":700},"enemy_technology":{"level":9,"guest_level":80,"guest_bonus":0.26},"drop_table":{"silver":50000,"mission_chest_dongtian_fudi":1},"daily_limit":3}</t>
        </is>
      </c>
      <c r="AG18" s="2" t="n">
        <v>10</v>
      </c>
      <c r="AH18" s="2" t="inlineStr">
        <is>
          <t>挑战者庄园</t>
        </is>
      </c>
    </row>
    <row r="19">
      <c r="A19" s="2" t="n">
        <v>18</v>
      </c>
      <c r="B19" s="2" t="inlineStr">
        <is>
          <t>jiufeng_feihuan</t>
        </is>
      </c>
      <c r="C19" s="2" t="inlineStr">
        <is>
          <t>九峰匪患</t>
        </is>
      </c>
      <c r="D19" s="2" t="inlineStr">
        <is>
          <t>中级</t>
        </is>
      </c>
      <c r="E19" s="2" t="inlineStr">
        <is>
          <t>task1</t>
        </is>
      </c>
      <c r="F19" s="2" t="inlineStr">
        <is>
          <t>否</t>
        </is>
      </c>
      <c r="G19" s="2" t="inlineStr">
        <is>
          <t>否</t>
        </is>
      </c>
      <c r="H19" s="2" t="n">
        <v>3</v>
      </c>
      <c r="I19" s="2" t="n">
        <v>1800</v>
      </c>
      <c r="J19" s="2" t="inlineStr">
        <is>
          <t>每日开放</t>
        </is>
      </c>
      <c r="K19" s="2" t="inlineStr">
        <is>
          <t>无</t>
        </is>
      </c>
      <c r="L19" s="3">
        <f>SUMIFS(敌方阵容!$F$2:$F$258,敌方阵容!$A$2:$A$258,B19,敌方阵容!$D$2:$D$258,"门客")</f>
        <v>3</v>
      </c>
      <c r="M19" s="3">
        <f>SUMIFS(敌方阵容!$F$2:$F$258,敌方阵容!$A$2:$A$258,B19,敌方阵容!$D$2:$D$258,"护院")</f>
        <v>600</v>
      </c>
      <c r="N19" s="3">
        <f>COUNTIF(任务掉落明细!$B$2:$B$66,B19)</f>
        <v>2</v>
      </c>
      <c r="O19" s="3">
        <f>COUNTIFS(任务掉落明细!$B$2:$B$66,B19,任务掉落明细!$X$2:$X$66,1)</f>
        <v>2</v>
      </c>
      <c r="P19" s="3">
        <f>COUNTIFS(任务掉落明细!$B$2:$B$66,B19,任务掉落明细!$X$2:$X$66,"&lt;1")</f>
        <v>0</v>
      </c>
      <c r="Q19" s="2" t="inlineStr">
        <is>
          <t>个人任务</t>
        </is>
      </c>
      <c r="R19" s="2" t="n"/>
      <c r="S19" s="2" t="n">
        <v>5</v>
      </c>
      <c r="T19" s="2" t="inlineStr">
        <is>
          <t xml:space="preserve">话说有一座有着九个山峰的山叫做九峰山，那里山水秀丽，风景如画，九峰山下有个九峰村，这里的人民善良纯朴，吃苦耐劳，上天也因为这里的人勤劳善良，所以赐给了他们肥沃的土地，村民们也通过自己勤劳的双手将这片土地变成了万顷良田来回报上天的恩赐，于是一代一代的村民就在这里过着无忧无虑的生活。
但有一天这美好日子被一群土匪给搅乱了，带领这帮土匪的是三兄弟分别叫大胖、二胖和小胖，这三人原本是这里的村民，可是这三人好吃懒做，从不去干活，把自己家田里的粮食吃光后还去偷别人的庄稼，最终被村长赶出村，上山做了土匪头子，他们怀恨在心，所以每个月都到山下的村庄来抢粮食、鸡、鸭、牛、羊，还试图抢良家妇女上山做压寨夫人，搞的民不聊生，怨声载道。
于是村民们准备联合起来反抗，他们请村里的木匠赵牛把他发明的机关牛改造成可以防御土匪的武器，说到这赵牛发明的机关牛还真是神奇咧，不用吃草也不用喝水，却又能耕来又能拉，村民们种田犁地拉磨磨面都离不开它。听到了乡亲们的请求赵牛没日没夜的研制，最后给机关牛装上了厚厚的护甲和锋利的武器成为了攻防一体的兵器，同时村长给各地的庄主们发去了求援信希望能借助强大庄主的力量来帮助一起剿灭来犯的土匪，一场保卫九峰村的大战即将展开。
</t>
        </is>
      </c>
      <c r="U19" s="2" t="n">
        <v>6</v>
      </c>
      <c r="V19" s="2" t="n">
        <v>58</v>
      </c>
      <c r="W19" s="4" t="n">
        <v>0.12</v>
      </c>
      <c r="X19" s="2" t="inlineStr">
        <is>
          <t>银两×20000；九峰匪患宝箱×1</t>
        </is>
      </c>
      <c r="Y19" s="2" t="inlineStr">
        <is>
          <t>开箱奖励及概率见宝箱奖励明细</t>
        </is>
      </c>
      <c r="Z19" s="2" t="n">
        <v>2</v>
      </c>
      <c r="AA19" s="2" t="inlineStr">
        <is>
          <t>按配置导入</t>
        </is>
      </c>
      <c r="AB19" s="2" t="n"/>
      <c r="AC19" s="2" t="inlineStr">
        <is>
          <t>data/mission_templates.yaml:jiufeng_feihuan</t>
        </is>
      </c>
      <c r="AD19" s="2" t="inlineStr">
        <is>
          <t>{}</t>
        </is>
      </c>
      <c r="AE19" s="2" t="inlineStr">
        <is>
          <t>{"level":6,"guest_level":58,"guest_bonus":0.12}</t>
        </is>
      </c>
      <c r="AF19" s="2" t="inlineStr">
        <is>
          <t>{"key":"jiufeng_feihuan","name":"九峰匪患","difficulty":"intermediate","display_order":2,"description":"话说有一座有着九个山峰的山叫做九峰山，那里山水秀丽，风景如画，九峰山下有个九峰村，这里的人民善良纯朴，吃苦耐劳，上天也因为这里的人勤劳善良，所以赐给了他们肥沃的土地，村民们也通过自己勤劳的双手将这片土地变成了万顷良田来回报上天的恩赐，于是一代一代的村民就在这里过着无忧无虑的生活。\n\n但有一天这美好日子被一群土匪给搅乱了，带领这帮土匪的是三兄弟分别叫大胖、二胖和小胖，这三人原本是这里的村民，可是这三人好吃懒做，从不去干活，把自己家田里的粮食吃光后还去偷别人的庄稼，最终被村长赶出村，上山做了土匪头子，他们怀恨在心，所以每个月都到山下的村庄来抢粮食、鸡、鸭、牛、羊，还试图抢良家妇女上山做压寨夫人，搞的民不聊生，怨声载道。\n\n于是村民们准备联合起来反抗，他们请村里的木匠赵牛把他发明的机关牛改造成可以防御土匪的武器，说到这赵牛发明的机关牛还真是神奇咧，不用吃草也不用喝水，却又能耕来又能拉，村民们种田犁地拉磨磨面都离不开它。听到了乡亲们的请求赵牛没日没夜的研制，最后给机关牛装上了厚厚的护甲和锋利的武器成为了攻防一体的兵器，同时村长给各地的庄主们发去了求援信希望能借助强大庄主的力量来帮助一起剿灭来犯的土匪，一场保卫九峰村的大战即将展开。\n","battle_type":"task1","enemy_guests":[{"key":"task_nine_peaks_bandit","label":"土匪"},{"key":"task_nine_peaks_bandit","label":"土匪"},{"key":"task_nine_peaks_bandit","label":"土匪"}],"enemy_troops":{"quan_sheng":500,"arrow_god":100},"enemy_technology":{"level":6,"guest_level":58,"guest_bonus":0.12},"drop_table":{"silver":20000,"mission_chest_jiufeng_feihuan":1},"daily_limit":3}</t>
        </is>
      </c>
      <c r="AG19" s="2" t="n">
        <v>10</v>
      </c>
      <c r="AH19" s="2" t="inlineStr">
        <is>
          <t>挑战者庄园</t>
        </is>
      </c>
    </row>
    <row r="20">
      <c r="A20" s="2" t="n">
        <v>19</v>
      </c>
      <c r="B20" s="2" t="inlineStr">
        <is>
          <t>taozi_fenban</t>
        </is>
      </c>
      <c r="C20" s="2" t="inlineStr">
        <is>
          <t>我的桃子分你一半</t>
        </is>
      </c>
      <c r="D20" s="2" t="inlineStr">
        <is>
          <t>初级</t>
        </is>
      </c>
      <c r="E20" s="2" t="inlineStr">
        <is>
          <t>task1</t>
        </is>
      </c>
      <c r="F20" s="2" t="inlineStr">
        <is>
          <t>否</t>
        </is>
      </c>
      <c r="G20" s="2" t="inlineStr">
        <is>
          <t>否</t>
        </is>
      </c>
      <c r="H20" s="2" t="n">
        <v>1</v>
      </c>
      <c r="I20" s="2" t="n">
        <v>1800</v>
      </c>
      <c r="J20" s="2" t="inlineStr">
        <is>
          <t>每日开放</t>
        </is>
      </c>
      <c r="K20" s="2" t="inlineStr">
        <is>
          <t>无</t>
        </is>
      </c>
      <c r="L20" s="3">
        <f>SUMIFS(敌方阵容!$F$2:$F$258,敌方阵容!$A$2:$A$258,B20,敌方阵容!$D$2:$D$258,"门客")</f>
        <v>8</v>
      </c>
      <c r="M20" s="3">
        <f>SUMIFS(敌方阵容!$F$2:$F$258,敌方阵容!$A$2:$A$258,B20,敌方阵容!$D$2:$D$258,"护院")</f>
        <v>0</v>
      </c>
      <c r="N20" s="3">
        <f>COUNTIF(任务掉落明细!$B$2:$B$66,B20)</f>
        <v>1</v>
      </c>
      <c r="O20" s="3">
        <f>COUNTIFS(任务掉落明细!$B$2:$B$66,B20,任务掉落明细!$X$2:$X$66,1)</f>
        <v>1</v>
      </c>
      <c r="P20" s="3">
        <f>COUNTIFS(任务掉落明细!$B$2:$B$66,B20,任务掉落明细!$X$2:$X$66,"&lt;1")</f>
        <v>0</v>
      </c>
      <c r="Q20" s="2" t="inlineStr">
        <is>
          <t>个人任务</t>
        </is>
      </c>
      <c r="R20" s="2" t="n"/>
      <c r="S20" s="2" t="n">
        <v>0</v>
      </c>
      <c r="T20" s="2" t="inlineStr">
        <is>
          <t xml:space="preserve">终南山为道教发祥地之一。据传，周康王时，函谷关关令尹喜，在山中结草为楼，每日登草楼观星望气。一日圣人老子经过此关，尹喜忙把老子请到楼观，执弟子礼，请其讲经著书。老子为尹喜讲授《道德经》五千言后飘然而去。传说今日楼观台的说经台就是当年老子讲经之处。道教产生后，尊老子为道祖，尹喜为文始真人，奉《道德经》为根本经典。于是终南山上的楼观成了"天下道林张本之地"。
日后在山上修行的道士们在山下种了一片桃林，一方面种桃树可以修身养性、锻炼身体，这桃树还是道士们除妖降魔的利器桃木剑的主要材料，而且这道家圣地的桃林结的桃子也不普通，是三年开花三年结果的"仙桃"，吃了它不仅功力倍增，而且练起功来更是事半功倍，因此这山下的桃林对于道士们来说十分的重要。
而另一方面众多孤魂野鬼也盯上了这片桃林，由于它是道士们制造桃木剑材料的主要来源，如果能占据它，那道士们就没有办法对付他们了，于是大批的妖魔鬼怪一同聚集到了这片桃林，道士们知道这样下去的结果是不堪设想的，妖魔鬼怪会给人间带来极大的灾难，于是他们进行了多次尝试想驱散妖怪们，但由于寡不敌众均败下阵来，就在这紧要关头他们向各大庄主发去了求援信，希望能借助强大庄主的力量来平定这场灾难，当然作为回报他们将赠与你15个经验桃子以示感谢。
</t>
        </is>
      </c>
      <c r="U20" s="2" t="n">
        <v>3</v>
      </c>
      <c r="V20" s="2" t="n">
        <v>40</v>
      </c>
      <c r="W20" s="4" t="n">
        <v>0.06</v>
      </c>
      <c r="X20" s="2" t="inlineStr">
        <is>
          <t>分桃宝箱×1</t>
        </is>
      </c>
      <c r="Y20" s="2" t="inlineStr">
        <is>
          <t>开箱奖励及概率见宝箱奖励明细</t>
        </is>
      </c>
      <c r="Z20" s="2" t="n">
        <v>8</v>
      </c>
      <c r="AA20" s="2" t="inlineStr">
        <is>
          <t>按配置导入</t>
        </is>
      </c>
      <c r="AB20" s="2" t="n"/>
      <c r="AC20" s="2" t="inlineStr">
        <is>
          <t>data/mission_templates.yaml:taozi_fenban</t>
        </is>
      </c>
      <c r="AD20" s="2" t="inlineStr">
        <is>
          <t>{}</t>
        </is>
      </c>
      <c r="AE20" s="2" t="inlineStr">
        <is>
          <t>{"level":3,"guest_level":40,"guest_bonus":0.06}</t>
        </is>
      </c>
      <c r="AF20" s="2" t="inlineStr">
        <is>
          <t>{"key":"taozi_fenban","name":"我的桃子分你一半","difficulty":"junior","display_order":8,"description":"终南山为道教发祥地之一。据传，周康王时，函谷关关令尹喜，在山中结草为楼，每日登草楼观星望气。一日圣人老子经过此关，尹喜忙把老子请到楼观，执弟子礼，请其讲经著书。老子为尹喜讲授《道德经》五千言后飘然而去。传说今日楼观台的说经台就是当年老子讲经之处。道教产生后，尊老子为道祖，尹喜为文始真人，奉《道德经》为根本经典。于是终南山上的楼观成了\"天下道林张本之地\"。\n\n日后在山上修行的道士们在山下种了一片桃林，一方面种桃树可以修身养性、锻炼身体，这桃树还是道士们除妖降魔的利器桃木剑的主要材料，而且这道家圣地的桃林结的桃子也不普通，是三年开花三年结果的\"仙桃\"，吃了它不仅功力倍增，而且练起功来更是事半功倍，因此这山下的桃林对于道士们来说十分的重要。\n\n而另一方面众多孤魂野鬼也盯上了这片桃林，由于它是道士们制造桃木剑材料的主要来源，如果能占据它，那道士们就没有办法对付他们了，于是大批的妖魔鬼怪一同聚集到了这片桃林，道士们知道这样下去的结果是不堪设想的，妖魔鬼怪会给人间带来极大的灾难，于是他们进行了多次尝试想驱散妖怪们，但由于寡不敌众均败下阵来，就在这紧要关头他们向各大庄主发去了求援信，希望能借助强大庄主的力量来平定这场灾难，当然作为回报他们将赠与你15个经验桃子以示感谢。\n","battle_type":"task1","enemy_guests":[{"key":"task_orchard_wraith","label":"孤魂野鬼"},{"key":"task_orchard_wraith","label":"孤魂野鬼"},{"key":"task_orchard_wraith","label":"孤魂野鬼"},{"key":"task_orchard_wraith","label":"孤魂野鬼"},{"key":"task_orchard_wraith","label":"孤魂野鬼"},{"key":"task_orchard_wraith","label":"孤魂野鬼"},{"key":"task_orchard_wraith","label":"孤魂野鬼"},{"key":"task_orchard_wraith","label":"孤魂野鬼"}],"enemy_technology":{"level":3,"guest_level":40,"guest_bonus":0.06},"drop_table":{"mission_chest_taozi_fenban":1},"daily_limit":1,"mission_card_daily_limit":0}</t>
        </is>
      </c>
      <c r="AG20" s="2" t="n">
        <v>10</v>
      </c>
      <c r="AH20" s="2" t="inlineStr">
        <is>
          <t>挑战者庄园</t>
        </is>
      </c>
    </row>
    <row r="21">
      <c r="A21" s="2" t="n">
        <v>20</v>
      </c>
      <c r="B21" s="2" t="inlineStr">
        <is>
          <t>simian_chuge</t>
        </is>
      </c>
      <c r="C21" s="2" t="inlineStr">
        <is>
          <t>四面楚歌</t>
        </is>
      </c>
      <c r="D21" s="2" t="inlineStr">
        <is>
          <t>高级</t>
        </is>
      </c>
      <c r="E21" s="2" t="inlineStr">
        <is>
          <t>task1</t>
        </is>
      </c>
      <c r="F21" s="2" t="inlineStr">
        <is>
          <t>否</t>
        </is>
      </c>
      <c r="G21" s="2" t="inlineStr">
        <is>
          <t>否</t>
        </is>
      </c>
      <c r="H21" s="2" t="n">
        <v>3</v>
      </c>
      <c r="I21" s="2" t="n">
        <v>1800</v>
      </c>
      <c r="J21" s="2" t="inlineStr">
        <is>
          <t>每日开放</t>
        </is>
      </c>
      <c r="K21" s="2" t="inlineStr">
        <is>
          <t>无</t>
        </is>
      </c>
      <c r="L21" s="3">
        <f>SUMIFS(敌方阵容!$F$2:$F$258,敌方阵容!$A$2:$A$258,B21,敌方阵容!$D$2:$D$258,"门客")</f>
        <v>3</v>
      </c>
      <c r="M21" s="3">
        <f>SUMIFS(敌方阵容!$F$2:$F$258,敌方阵容!$A$2:$A$258,B21,敌方阵容!$D$2:$D$258,"护院")</f>
        <v>1000</v>
      </c>
      <c r="N21" s="3">
        <f>COUNTIF(任务掉落明细!$B$2:$B$66,B21)</f>
        <v>2</v>
      </c>
      <c r="O21" s="3">
        <f>COUNTIFS(任务掉落明细!$B$2:$B$66,B21,任务掉落明细!$X$2:$X$66,1)</f>
        <v>2</v>
      </c>
      <c r="P21" s="3">
        <f>COUNTIFS(任务掉落明细!$B$2:$B$66,B21,任务掉落明细!$X$2:$X$66,"&lt;1")</f>
        <v>0</v>
      </c>
      <c r="Q21" s="2" t="inlineStr">
        <is>
          <t>个人任务</t>
        </is>
      </c>
      <c r="R21" s="2" t="n"/>
      <c r="S21" s="2" t="n">
        <v>5</v>
      </c>
      <c r="T21" s="2" t="inlineStr">
        <is>
          <t xml:space="preserve">楚汉相争时期，项羽、刘邦于荥阳、成皋相持两年多。项羽因腹背受敌，少食无助，被迫与刘邦订立和，以鸿沟为界，东归楚、西属汉。次年，刘邦、韩信、刘贾、彭越、英布等各路汉军约计40万人与10万楚军于垓下展开决战。汉军以韩信率军居中，将军孔熙为左翼、陈贺为右翼，刘邦率部跟进，将军周勃断后。韩信挥军进攻失利，引兵后退，命左、右翼军继续攻击。楚军迎战不利，韩信再挥军反击。楚军大败，退入壁垒坚守，被汉军重重包围。楚军屡战不胜，兵疲食尽。
张良又命围困项羽的各营兵士吹奏楚乐，楚兵闻之，顿时涌起思乡之情，军心涣散，项羽也疑心汉军已进楚地，遂与美人虞姬对饮帐中，奋然起舞，悲歌慷慨，歌数阙，美人和之，慷慨悲凉，脍炙人口。项王涕泪行行，左右皆泣，莫能仰视。未几，虞姬自杀。项羽跨上乌骓协着姬首，率兵800突围而去，至乌江仅剩下26人，形势危急，您是否发兵相助，以求逆天？
</t>
        </is>
      </c>
      <c r="U21" s="2" t="n">
        <v>10</v>
      </c>
      <c r="V21" s="2" t="n">
        <v>100</v>
      </c>
      <c r="W21" s="4" t="n">
        <v>0.28</v>
      </c>
      <c r="X21" s="2" t="inlineStr">
        <is>
          <t>银两×50000；四面楚歌宝箱×1</t>
        </is>
      </c>
      <c r="Y21" s="2" t="inlineStr">
        <is>
          <t>开箱奖励及概率见宝箱奖励明细</t>
        </is>
      </c>
      <c r="Z21" s="2" t="n">
        <v>1000</v>
      </c>
      <c r="AA21" s="2" t="inlineStr">
        <is>
          <t>按配置导入</t>
        </is>
      </c>
      <c r="AB21" s="2" t="n"/>
      <c r="AC21" s="2" t="inlineStr">
        <is>
          <t>data/mission_templates.yaml:simian_chuge</t>
        </is>
      </c>
      <c r="AD21" s="2" t="inlineStr">
        <is>
          <t>{}</t>
        </is>
      </c>
      <c r="AE21" s="2" t="inlineStr">
        <is>
          <t>{"level":10,"guest_level":100,"guest_bonus":0.28}</t>
        </is>
      </c>
      <c r="AF21" s="2" t="inlineStr">
        <is>
          <t>{"key":"simian_chuge","name":"四面楚歌","difficulty":"advanced","description":"楚汉相争时期，项羽、刘邦于荥阳、成皋相持两年多。项羽因腹背受敌，少食无助，被迫与刘邦订立和，以鸿沟为界，东归楚、西属汉。次年，刘邦、韩信、刘贾、彭越、英布等各路汉军约计40万人与10万楚军于垓下展开决战。汉军以韩信率军居中，将军孔熙为左翼、陈贺为右翼，刘邦率部跟进，将军周勃断后。韩信挥军进攻失利，引兵后退，命左、右翼军继续攻击。楚军迎战不利，韩信再挥军反击。楚军大败，退入壁垒坚守，被汉军重重包围。楚军屡战不胜，兵疲食尽。\n\n张良又命围困项羽的各营兵士吹奏楚乐，楚兵闻之，顿时涌起思乡之情，军心涣散，项羽也疑心汉军已进楚地，遂与美人虞姬对饮帐中，奋然起舞，悲歌慷慨，歌数阙，美人和之，慷慨悲凉，脍炙人口。项王涕泪行行，左右皆泣，莫能仰视。未几，虞姬自杀。项羽跨上乌骓协着姬首，率兵800突围而去，至乌江仅剩下26人，形势危急，您是否发兵相助，以求逆天？\n","battle_type":"task1","enemy_guests":[{"key":"task_simian_chuge_hanxin_boss","label":"韩信","skills":["stratagem_burst"]},{"key":"task_simian_chuge_pengyue_boss","skills":["city_felling_strike"]},{"key":"task_simian_chuge_yingbu_boss","skills":["city_felling_strike"]}],"enemy_troops":{"dao_sheng":500,"qiang_wang":500},"enemy_technology":{"level":10,"guest_level":100,"guest_bonus":0.28},"drop_table":{"silver":50000,"mission_chest_simian_chuge":1},"daily_limit":3}</t>
        </is>
      </c>
      <c r="AG21" s="2" t="n">
        <v>10</v>
      </c>
      <c r="AH21" s="2" t="inlineStr">
        <is>
          <t>挑战者庄园</t>
        </is>
      </c>
    </row>
    <row r="22">
      <c r="A22" s="2" t="n">
        <v>21</v>
      </c>
      <c r="B22" s="2" t="inlineStr">
        <is>
          <t>manzu_ruqin</t>
        </is>
      </c>
      <c r="C22" s="2" t="inlineStr">
        <is>
          <t>蛮族入侵</t>
        </is>
      </c>
      <c r="D22" s="2" t="inlineStr">
        <is>
          <t>高级</t>
        </is>
      </c>
      <c r="E22" s="2" t="inlineStr">
        <is>
          <t>task1</t>
        </is>
      </c>
      <c r="F22" s="2" t="inlineStr">
        <is>
          <t>是</t>
        </is>
      </c>
      <c r="G22" s="2" t="inlineStr">
        <is>
          <t>否</t>
        </is>
      </c>
      <c r="H22" s="2" t="n">
        <v>3</v>
      </c>
      <c r="I22" s="2" t="n">
        <v>1800</v>
      </c>
      <c r="J22" s="2" t="inlineStr">
        <is>
          <t>每日开放</t>
        </is>
      </c>
      <c r="K22" s="2" t="inlineStr">
        <is>
          <t>无</t>
        </is>
      </c>
      <c r="L22" s="3">
        <f>SUMIFS(敌方阵容!$F$2:$F$258,敌方阵容!$A$2:$A$258,B22,敌方阵容!$D$2:$D$258,"门客")</f>
        <v>1</v>
      </c>
      <c r="M22" s="3">
        <f>SUMIFS(敌方阵容!$F$2:$F$258,敌方阵容!$A$2:$A$258,B22,敌方阵容!$D$2:$D$258,"护院")</f>
        <v>1500</v>
      </c>
      <c r="N22" s="3">
        <f>COUNTIF(任务掉落明细!$B$2:$B$66,B22)</f>
        <v>2</v>
      </c>
      <c r="O22" s="3">
        <f>COUNTIFS(任务掉落明细!$B$2:$B$66,B22,任务掉落明细!$X$2:$X$66,1)</f>
        <v>2</v>
      </c>
      <c r="P22" s="3">
        <f>COUNTIFS(任务掉落明细!$B$2:$B$66,B22,任务掉落明细!$X$2:$X$66,"&lt;1")</f>
        <v>0</v>
      </c>
      <c r="Q22" s="2" t="inlineStr">
        <is>
          <t>个人任务</t>
        </is>
      </c>
      <c r="R22" s="2" t="n"/>
      <c r="S22" s="2" t="n">
        <v>5</v>
      </c>
      <c r="T22" s="2" t="inlineStr">
        <is>
          <t xml:space="preserve">北方的蛮族首领大胡子单于对中原广阔的土地已经虎视眈眈了许久，终于时机成熟他带领着他那强大的军队踏上了侵略中原的征程，眼看一场腥风血雨的浩劫即将席卷而来，可中原的各大庄主还浑然不知，这时蛮族军队中的一个打杂的坐不住了，他名叫蒲巴乙，这位小伙子长得十分帅气，因为父亲是胡人母亲是汉人的关系，所以他没有蛮族人粗陋的习俗，但他也并非自愿投军的。
话说那日他为了参加"村有好男儿"的比赛正在山坡上练歌，刚唱了一句就被人一棍子打晕了，醒来后他发现他和村里的许多壮丁已经被抓到军营里了，他们被强征入伍，随军出征在军队中干杂活。当他想到中原即将生灵涂炭，就再也坐不住了，他想去通知中原的庄主们让他们对即将到来的战争做好准备，于是他偷了匹马乘着夜色逃出了军营，向着中原狂奔而去。
</t>
        </is>
      </c>
      <c r="U22" s="2" t="n">
        <v>10</v>
      </c>
      <c r="V22" s="2" t="n">
        <v>100</v>
      </c>
      <c r="W22" s="4" t="n">
        <v>0.5</v>
      </c>
      <c r="X22" s="2" t="inlineStr">
        <is>
          <t>银两×50000；蛮族入侵宝箱×1</t>
        </is>
      </c>
      <c r="Y22" s="2" t="inlineStr">
        <is>
          <t>开箱奖励及概率见宝箱奖励明细</t>
        </is>
      </c>
      <c r="Z22" s="2" t="n">
        <v>1000</v>
      </c>
      <c r="AA22" s="2" t="inlineStr">
        <is>
          <t>按配置导入</t>
        </is>
      </c>
      <c r="AB22" s="2" t="n"/>
      <c r="AC22" s="2" t="inlineStr">
        <is>
          <t>data/mission_templates.yaml:manzu_ruqin</t>
        </is>
      </c>
      <c r="AD22" s="2" t="inlineStr">
        <is>
          <t>{}</t>
        </is>
      </c>
      <c r="AE22" s="2" t="inlineStr">
        <is>
          <t>{"level":10,"guest_level":100,"guest_bonus":0.5}</t>
        </is>
      </c>
      <c r="AF22" s="2" t="inlineStr">
        <is>
          <t>{"key":"manzu_ruqin","name":"蛮族入侵","difficulty":"advanced","description":"北方的蛮族首领大胡子单于对中原广阔的土地已经虎视眈眈了许久，终于时机成熟他带领着他那强大的军队踏上了侵略中原的征程，眼看一场腥风血雨的浩劫即将席卷而来，可中原的各大庄主还浑然不知，这时蛮族军队中的一个打杂的坐不住了，他名叫蒲巴乙，这位小伙子长得十分帅气，因为父亲是胡人母亲是汉人的关系，所以他没有蛮族人粗陋的习俗，但他也并非自愿投军的。\n\n话说那日他为了参加\"村有好男儿\"的比赛正在山坡上练歌，刚唱了一句就被人一棍子打晕了，醒来后他发现他和村里的许多壮丁已经被抓到军营里了，他们被强征入伍，随军出征在军队中干杂活。当他想到中原即将生灵涂炭，就再也坐不住了，他想去通知中原的庄主们让他们对即将到来的战争做好准备，于是他偷了匹马乘着夜色逃出了军营，向着中原狂奔而去。\n","battle_type":"task1","is_defense":true,"enemy_guests":[{"key":"task_barbarian_chanyu","label":"单于"}],"enemy_technology":{"level":10,"guest_level":100,"guest_bonus":0.5},"enemy_troops":{"qiang_wang":1500},"drop_table":{"silver":50000,"mission_chest_manzu_ruqin":1},"daily_limit":3}</t>
        </is>
      </c>
      <c r="AG22" s="2" t="n">
        <v>10</v>
      </c>
      <c r="AH22" s="2" t="inlineStr">
        <is>
          <t>挑战者庄园</t>
        </is>
      </c>
    </row>
    <row r="23">
      <c r="A23" s="2" t="n">
        <v>22</v>
      </c>
      <c r="B23" s="2" t="inlineStr">
        <is>
          <t>zhuiji_manzu</t>
        </is>
      </c>
      <c r="C23" s="2" t="inlineStr">
        <is>
          <t>追击蛮族</t>
        </is>
      </c>
      <c r="D23" s="2" t="inlineStr">
        <is>
          <t>高级</t>
        </is>
      </c>
      <c r="E23" s="2" t="inlineStr">
        <is>
          <t>task1</t>
        </is>
      </c>
      <c r="F23" s="2" t="inlineStr">
        <is>
          <t>否</t>
        </is>
      </c>
      <c r="G23" s="2" t="inlineStr">
        <is>
          <t>否</t>
        </is>
      </c>
      <c r="H23" s="2" t="n">
        <v>3</v>
      </c>
      <c r="I23" s="2" t="n">
        <v>1800</v>
      </c>
      <c r="J23" s="2" t="inlineStr">
        <is>
          <t>每日开放</t>
        </is>
      </c>
      <c r="K23" s="2" t="inlineStr">
        <is>
          <t>无</t>
        </is>
      </c>
      <c r="L23" s="3">
        <f>SUMIFS(敌方阵容!$F$2:$F$258,敌方阵容!$A$2:$A$258,B23,敌方阵容!$D$2:$D$258,"门客")</f>
        <v>1</v>
      </c>
      <c r="M23" s="3">
        <f>SUMIFS(敌方阵容!$F$2:$F$258,敌方阵容!$A$2:$A$258,B23,敌方阵容!$D$2:$D$258,"护院")</f>
        <v>1000</v>
      </c>
      <c r="N23" s="3">
        <f>COUNTIF(任务掉落明细!$B$2:$B$66,B23)</f>
        <v>2</v>
      </c>
      <c r="O23" s="3">
        <f>COUNTIFS(任务掉落明细!$B$2:$B$66,B23,任务掉落明细!$X$2:$X$66,1)</f>
        <v>2</v>
      </c>
      <c r="P23" s="3">
        <f>COUNTIFS(任务掉落明细!$B$2:$B$66,B23,任务掉落明细!$X$2:$X$66,"&lt;1")</f>
        <v>0</v>
      </c>
      <c r="Q23" s="2" t="inlineStr">
        <is>
          <t>个人任务</t>
        </is>
      </c>
      <c r="R23" s="2" t="n"/>
      <c r="S23" s="2" t="n">
        <v>5</v>
      </c>
      <c r="T23" s="2" t="inlineStr">
        <is>
          <t xml:space="preserve">在蛮族入侵时，小伙子蒲巴乙为拯救中原的人们，使他们避免成为蛮族铁蹄下的冤魂，他偷偷溜出军营骑着马向着中原狂奔而去，经过七天七夜的日夜兼程，最后连马都累死在了半路上，终于他赶在蛮族军队到来之前向庄主们发出了蛮族准备入侵的讯息，各地的庄主得到了讯息之后，立即停止了互相征战，准备联手抗击蛮族，他们准备了周密的计划准备给大胡子单于来个"瓮中捉鳖"。
很快蛮族的军队开始了攻城略地，一路上都十分顺利，其间只遭到了庄主们象征性的抵抗，这种轻而易举就取得胜利的状况开始让蛮族的军队放松了戒心，大胡子单于也开始幻想着在关内放牧的情景，然而他们不知道他们正一步步走进庄主们给他们布下的天罗地网。
终于一天夜里领主们趁着夜色对蛮族军营发动了偷袭，毫无提防的蛮族士兵还没反应过来就已经被打得溃不成军，纷纷丢盔弃甲，落荒而逃。大胡子单于更是丢盔弃甲，落荒而逃，现在是抉择的时候了，到底是穷寇莫追，还是追击蛮族让他们再也不敢踏入中原半步呢？一切都由你决定！
</t>
        </is>
      </c>
      <c r="U23" s="2" t="n">
        <v>10</v>
      </c>
      <c r="V23" s="2" t="n">
        <v>100</v>
      </c>
      <c r="W23" s="4" t="n">
        <v>0.26</v>
      </c>
      <c r="X23" s="2" t="inlineStr">
        <is>
          <t>银两×40000；追击蛮族宝箱×1</t>
        </is>
      </c>
      <c r="Y23" s="2" t="inlineStr">
        <is>
          <t>开箱奖励及概率见宝箱奖励明细</t>
        </is>
      </c>
      <c r="Z23" s="2" t="n">
        <v>1000</v>
      </c>
      <c r="AA23" s="2" t="inlineStr">
        <is>
          <t>按配置导入</t>
        </is>
      </c>
      <c r="AB23" s="2" t="n"/>
      <c r="AC23" s="2" t="inlineStr">
        <is>
          <t>data/mission_templates.yaml:zhuiji_manzu</t>
        </is>
      </c>
      <c r="AD23" s="2" t="inlineStr">
        <is>
          <t>{}</t>
        </is>
      </c>
      <c r="AE23" s="2" t="inlineStr">
        <is>
          <t>{"level":10,"guest_level":100,"guest_bonus":0.26}</t>
        </is>
      </c>
      <c r="AF23" s="2" t="inlineStr">
        <is>
          <t>{"key":"zhuiji_manzu","name":"追击蛮族","difficulty":"advanced","description":"在蛮族入侵时，小伙子蒲巴乙为拯救中原的人们，使他们避免成为蛮族铁蹄下的冤魂，他偷偷溜出军营骑着马向着中原狂奔而去，经过七天七夜的日夜兼程，最后连马都累死在了半路上，终于他赶在蛮族军队到来之前向庄主们发出了蛮族准备入侵的讯息，各地的庄主得到了讯息之后，立即停止了互相征战，准备联手抗击蛮族，他们准备了周密的计划准备给大胡子单于来个\"瓮中捉鳖\"。\n\n很快蛮族的军队开始了攻城略地，一路上都十分顺利，其间只遭到了庄主们象征性的抵抗，这种轻而易举就取得胜利的状况开始让蛮族的军队放松了戒心，大胡子单于也开始幻想着在关内放牧的情景，然而他们不知道他们正一步步走进庄主们给他们布下的天罗地网。\n\n终于一天夜里领主们趁着夜色对蛮族军营发动了偷袭，毫无提防的蛮族士兵还没反应过来就已经被打得溃不成军，纷纷丢盔弃甲，落荒而逃。大胡子单于更是丢盔弃甲，落荒而逃，现在是抉择的时候了，到底是穷寇莫追，还是追击蛮族让他们再也不敢踏入中原半步呢？一切都由你决定！\n","battle_type":"task1","enemy_guests":[{"key":"task_barbarian_chanyu","label":"单于"}],"enemy_troops":{"qiang_wang":1000},"enemy_technology":{"level":10,"guest_level":100,"guest_bonus":0.26},"drop_table":{"silver":40000,"mission_chest_zhuiji_manzu":1},"daily_limit":3}</t>
        </is>
      </c>
      <c r="AG23" s="2" t="n">
        <v>10</v>
      </c>
      <c r="AH23" s="2" t="inlineStr">
        <is>
          <t>挑战者庄园</t>
        </is>
      </c>
    </row>
    <row r="24">
      <c r="A24" s="2" t="n">
        <v>23</v>
      </c>
      <c r="B24" s="2" t="inlineStr">
        <is>
          <t>liangshanbo_zhuyingtai</t>
        </is>
      </c>
      <c r="C24" s="2" t="inlineStr">
        <is>
          <t>梁山伯与祝英台</t>
        </is>
      </c>
      <c r="D24" s="2" t="inlineStr">
        <is>
          <t>中级</t>
        </is>
      </c>
      <c r="E24" s="2" t="inlineStr">
        <is>
          <t>task1</t>
        </is>
      </c>
      <c r="F24" s="2" t="inlineStr">
        <is>
          <t>否</t>
        </is>
      </c>
      <c r="G24" s="2" t="inlineStr">
        <is>
          <t>否</t>
        </is>
      </c>
      <c r="H24" s="2" t="n">
        <v>3</v>
      </c>
      <c r="I24" s="2" t="n">
        <v>1800</v>
      </c>
      <c r="J24" s="2" t="inlineStr">
        <is>
          <t>周一、周三、周五、周六、周日</t>
        </is>
      </c>
      <c r="K24" s="2" t="inlineStr">
        <is>
          <t>无</t>
        </is>
      </c>
      <c r="L24" s="3">
        <f>SUMIFS(敌方阵容!$F$2:$F$258,敌方阵容!$A$2:$A$258,B24,敌方阵容!$D$2:$D$258,"门客")</f>
        <v>1</v>
      </c>
      <c r="M24" s="3">
        <f>SUMIFS(敌方阵容!$F$2:$F$258,敌方阵容!$A$2:$A$258,B24,敌方阵容!$D$2:$D$258,"护院")</f>
        <v>600</v>
      </c>
      <c r="N24" s="3">
        <f>COUNTIF(任务掉落明细!$B$2:$B$66,B24)</f>
        <v>2</v>
      </c>
      <c r="O24" s="3">
        <f>COUNTIFS(任务掉落明细!$B$2:$B$66,B24,任务掉落明细!$X$2:$X$66,1)</f>
        <v>2</v>
      </c>
      <c r="P24" s="3">
        <f>COUNTIFS(任务掉落明细!$B$2:$B$66,B24,任务掉落明细!$X$2:$X$66,"&lt;1")</f>
        <v>0</v>
      </c>
      <c r="Q24" s="2" t="inlineStr">
        <is>
          <t>个人任务</t>
        </is>
      </c>
      <c r="R24" s="2" t="n"/>
      <c r="S24" s="2" t="n">
        <v>5</v>
      </c>
      <c r="T24" s="2" t="inlineStr">
        <is>
          <t xml:space="preserve">红罗山书院里，三好学生梁山伯与女扮男装求学的祝英台在上学途中偶然相遇，二人一见如故，当下投名结义。三载同窗，情意在书声与山色间日渐深厚；待到英台学成归家，山伯一路相送十八里，英台屡借草木禽鸟暗寄芳心，山伯却迟迟未解。直到祝家厅前，英台换回红妆、手奉香茗，山伯方知“九弟即九妹”，二人遂私订终身。
奈何祝家已受北马庄恶霸马文才蛊惑，应下婚约。待山伯依约前来议婚，只换得英台一腔泪语，道是姻缘已晚。山伯素来为人端方，交游甚广，诸多义士闻讯赶来，誓要助这对有情人冲破门第与礼法。他们细细勘定迎亲路线，在沿途埋下伏兵，又备足暗器，只待花轿启行时奋力抢亲。一场满载义气与正心的夺亲之战，即将打响。
</t>
        </is>
      </c>
      <c r="U24" s="2" t="n">
        <v>5</v>
      </c>
      <c r="V24" s="2" t="n">
        <v>60</v>
      </c>
      <c r="W24" s="4" t="n">
        <v>0.16</v>
      </c>
      <c r="X24" s="2" t="inlineStr">
        <is>
          <t>银两×10000；梁山伯与祝英台宝箱×1</t>
        </is>
      </c>
      <c r="Y24" s="2" t="inlineStr">
        <is>
          <t>开箱奖励及概率见宝箱奖励明细</t>
        </is>
      </c>
      <c r="Z24" s="2" t="n">
        <v>1000</v>
      </c>
      <c r="AA24" s="2" t="inlineStr">
        <is>
          <t>按配置导入</t>
        </is>
      </c>
      <c r="AB24" s="2" t="n"/>
      <c r="AC24" s="2" t="inlineStr">
        <is>
          <t>data/mission_templates.yaml:liangshanbo_zhuyingtai</t>
        </is>
      </c>
      <c r="AD24" s="2" t="inlineStr">
        <is>
          <t>{}</t>
        </is>
      </c>
      <c r="AE24" s="2" t="inlineStr">
        <is>
          <t>{"level":5,"guest_level":60,"guest_bonus":0.16}</t>
        </is>
      </c>
      <c r="AF24" s="2" t="inlineStr">
        <is>
          <t>{"key":"liangshanbo_zhuyingtai","name":"梁山伯与祝英台","difficulty":"intermediate","available_weekdays":[1,3,5,6,7],"description":"红罗山书院里，三好学生梁山伯与女扮男装求学的祝英台在上学途中偶然相遇，二人一见如故，当下投名结义。三载同窗，情意在书声与山色间日渐深厚；待到英台学成归家，山伯一路相送十八里，英台屡借草木禽鸟暗寄芳心，山伯却迟迟未解。直到祝家厅前，英台换回红妆、手奉香茗，山伯方知“九弟即九妹”，二人遂私订终身。\n\n奈何祝家已受北马庄恶霸马文才蛊惑，应下婚约。待山伯依约前来议婚，只换得英台一腔泪语，道是姻缘已晚。山伯素来为人端方，交游甚广，诸多义士闻讯赶来，誓要助这对有情人冲破门第与礼法。他们细细勘定迎亲路线，在沿途埋下伏兵，又备足暗器，只待花轿启行时奋力抢亲。一场满载义气与正心的夺亲之战，即将打响。\n","battle_type":"task1","enemy_guests":[{"key":"orig_ma_wencai","label":"马文才","skills":["stratagem_burst"]}],"enemy_troops":{"qiang_wang":200,"arrow_god":200,"dao_sheng":200},"enemy_technology":{"level":5,"guest_level":60,"guest_bonus":0.16},"drop_table":{"silver":10000,"mission_chest_liangshanbo_zhuyingtai":1},"base_travel_time":1800,"daily_limit":3}</t>
        </is>
      </c>
      <c r="AG24" s="2" t="n">
        <v>10</v>
      </c>
      <c r="AH24" s="2" t="inlineStr">
        <is>
          <t>挑战者庄园</t>
        </is>
      </c>
    </row>
    <row r="25">
      <c r="A25" s="2" t="n">
        <v>24</v>
      </c>
      <c r="B25" s="2" t="inlineStr">
        <is>
          <t>biyou_candeng</t>
        </is>
      </c>
      <c r="C25" s="2" t="inlineStr">
        <is>
          <t>封神之战：碧游残灯</t>
        </is>
      </c>
      <c r="D25" s="2" t="inlineStr">
        <is>
          <t>高级</t>
        </is>
      </c>
      <c r="E25" s="2" t="inlineStr">
        <is>
          <t>task1</t>
        </is>
      </c>
      <c r="F25" s="2" t="inlineStr">
        <is>
          <t>否</t>
        </is>
      </c>
      <c r="G25" s="2" t="inlineStr">
        <is>
          <t>否</t>
        </is>
      </c>
      <c r="H25" s="2" t="n">
        <v>3</v>
      </c>
      <c r="I25" s="2" t="n">
        <v>1800</v>
      </c>
      <c r="J25" s="2" t="inlineStr">
        <is>
          <t>每日开放</t>
        </is>
      </c>
      <c r="K25" s="2" t="inlineStr">
        <is>
          <t>无</t>
        </is>
      </c>
      <c r="L25" s="3">
        <f>SUMIFS(敌方阵容!$F$2:$F$258,敌方阵容!$A$2:$A$258,B25,敌方阵容!$D$2:$D$258,"门客")</f>
        <v>6</v>
      </c>
      <c r="M25" s="3">
        <f>SUMIFS(敌方阵容!$F$2:$F$258,敌方阵容!$A$2:$A$258,B25,敌方阵容!$D$2:$D$258,"护院")</f>
        <v>1850</v>
      </c>
      <c r="N25" s="3">
        <f>COUNTIF(任务掉落明细!$B$2:$B$66,B25)</f>
        <v>2</v>
      </c>
      <c r="O25" s="3">
        <f>COUNTIFS(任务掉落明细!$B$2:$B$66,B25,任务掉落明细!$X$2:$X$66,1)</f>
        <v>2</v>
      </c>
      <c r="P25" s="3">
        <f>COUNTIFS(任务掉落明细!$B$2:$B$66,B25,任务掉落明细!$X$2:$X$66,"&lt;1")</f>
        <v>0</v>
      </c>
      <c r="Q25" s="2" t="inlineStr">
        <is>
          <t>个人任务</t>
        </is>
      </c>
      <c r="R25" s="2" t="n"/>
      <c r="S25" s="2" t="n">
        <v>5</v>
      </c>
      <c r="T25" s="2" t="inlineStr">
        <is>
          <t xml:space="preserve">万仙阵外，截教败局已现。碧游宫阵旗折断，残灯将熄，周营与玉虚门人已封住阵门，准备将阵中余众一并清算。此时，一盏未灭的碧游残灯越过仙门禁制，落入庄园。灯火中传来截教残魂的求援：不是求逆转天命，也不是求替截教洗去旧罪，而是求庄园主入阵夺回第一面万仙阵旗，让尚未入榜、尚未作恶的门人有机会活着离开。
庄园门客踏入阵门，从周营清剿军、玉虚巡阵者与失控剑痕之间杀出一条路。阵门之上，清算符诏仍在一笔一笔抹去榜外残名；阵门之下，碧游残灯只剩最后一线火光。若此战得胜，截教反攻便从这一点残火开始。
</t>
        </is>
      </c>
      <c r="U25" s="2" t="n">
        <v>10</v>
      </c>
      <c r="V25" s="2" t="n">
        <v>88</v>
      </c>
      <c r="W25" s="4" t="n">
        <v>0.34</v>
      </c>
      <c r="X25" s="2" t="inlineStr">
        <is>
          <t>银两×60000；碧游残灯宝箱×1</t>
        </is>
      </c>
      <c r="Y25" s="2" t="inlineStr">
        <is>
          <t>开箱奖励及概率见宝箱奖励明细</t>
        </is>
      </c>
      <c r="Z25" s="2" t="n">
        <v>1000</v>
      </c>
      <c r="AA25" s="2" t="inlineStr">
        <is>
          <t>按配置导入</t>
        </is>
      </c>
      <c r="AB25" s="2" t="n"/>
      <c r="AC25" s="2" t="inlineStr">
        <is>
          <t>data/mission_templates.yaml:biyou_candeng</t>
        </is>
      </c>
      <c r="AD25" s="2" t="inlineStr">
        <is>
          <t>{}</t>
        </is>
      </c>
      <c r="AE25" s="2" t="inlineStr">
        <is>
          <t>{"level":10,"guest_level":88,"guest_bonus":0.34}</t>
        </is>
      </c>
      <c r="AF25" s="2" t="inlineStr">
        <is>
          <t>{"key":"biyou_candeng","name":"封神之战：碧游残灯","difficulty":"advanced","description":"万仙阵外，截教败局已现。碧游宫阵旗折断，残灯将熄，周营与玉虚门人已封住阵门，准备将阵中余众一并清算。此时，一盏未灭的碧游残灯越过仙门禁制，落入庄园。灯火中传来截教残魂的求援：不是求逆转天命，也不是求替截教洗去旧罪，而是求庄园主入阵夺回第一面万仙阵旗，让尚未入榜、尚未作恶的门人有机会活着离开。\n\n庄园门客踏入阵门，从周营清剿军、玉虚巡阵者与失控剑痕之间杀出一条路。阵门之上，清算符诏仍在一笔一笔抹去榜外残名；阵门之下，碧游残灯只剩最后一线火光。若此战得胜，截教反攻便从这一点残火开始。\n","battle_type":"task1","enemy_guests":["task_wanxian_nangong_lie","task_wanxian_lu_xuanqing","task_wanxian_baihe_fushi","task_wanxian_zhuxian_canfeng","task_wanxian_yuzhu","task_wanxian_qingsuan_fuzhao"],"enemy_troops":{"dao_sheng":700,"qiang_wang":650,"arrow_god":500},"enemy_technology":{"level":10,"guest_level":88,"guest_bonus":0.34},"drop_table":{"silver":60000,"mission_chest_biyou_candeng":1},"base_travel_time":1800,"daily_limit":3}</t>
        </is>
      </c>
      <c r="AG25" s="2" t="n">
        <v>10</v>
      </c>
      <c r="AH25" s="2" t="inlineStr">
        <is>
          <t>挑战者庄园</t>
        </is>
      </c>
    </row>
    <row r="26">
      <c r="A26" s="2" t="n">
        <v>25</v>
      </c>
      <c r="B26" s="2" t="inlineStr">
        <is>
          <t>shier_xianyin</t>
        </is>
      </c>
      <c r="C26" s="2" t="inlineStr">
        <is>
          <t>封神之战：十二仙印</t>
        </is>
      </c>
      <c r="D26" s="2" t="inlineStr">
        <is>
          <t>高级</t>
        </is>
      </c>
      <c r="E26" s="2" t="inlineStr">
        <is>
          <t>task1</t>
        </is>
      </c>
      <c r="F26" s="2" t="inlineStr">
        <is>
          <t>否</t>
        </is>
      </c>
      <c r="G26" s="2" t="inlineStr">
        <is>
          <t>否</t>
        </is>
      </c>
      <c r="H26" s="2" t="n">
        <v>2</v>
      </c>
      <c r="I26" s="2" t="n">
        <v>1800</v>
      </c>
      <c r="J26" s="2" t="inlineStr">
        <is>
          <t>每日开放</t>
        </is>
      </c>
      <c r="K26" s="2" t="inlineStr">
        <is>
          <t>万仙阵旗残片×1</t>
        </is>
      </c>
      <c r="L26" s="3">
        <f>SUMIFS(敌方阵容!$F$2:$F$258,敌方阵容!$A$2:$A$258,B26,敌方阵容!$D$2:$D$258,"门客")</f>
        <v>8</v>
      </c>
      <c r="M26" s="3">
        <f>SUMIFS(敌方阵容!$F$2:$F$258,敌方阵容!$A$2:$A$258,B26,敌方阵容!$D$2:$D$258,"护院")</f>
        <v>2900</v>
      </c>
      <c r="N26" s="3">
        <f>COUNTIF(任务掉落明细!$B$2:$B$66,B26)</f>
        <v>2</v>
      </c>
      <c r="O26" s="3">
        <f>COUNTIFS(任务掉落明细!$B$2:$B$66,B26,任务掉落明细!$X$2:$X$66,1)</f>
        <v>2</v>
      </c>
      <c r="P26" s="3">
        <f>COUNTIFS(任务掉落明细!$B$2:$B$66,B26,任务掉落明细!$X$2:$X$66,"&lt;1")</f>
        <v>0</v>
      </c>
      <c r="Q26" s="2" t="inlineStr">
        <is>
          <t>个人任务</t>
        </is>
      </c>
      <c r="R26" s="2" t="n"/>
      <c r="S26" s="2" t="n">
        <v>5</v>
      </c>
      <c r="T26" s="2" t="inlineStr">
        <is>
          <t xml:space="preserve">阵旗重燃后，万仙阵中层忽然降下十二道玉虚仙印。它们不是仙人本尊，却承载着阐教诸仙的法宝、道统与杀伐意志。哪吒杀星开路，杨戬玄功镇身，太乙神火焚阵，广成番天印压断截教气运。凡庄园主之令入阵相助截教者，皆被天命识作乱榜异数。
若十二印合拢，截教残部将被重新压回死局；若仙印破碎，万仙阵中层便会重开，截教败兵也将第一次从逃亡转为反攻。此战不问天命宽恕，只问仙印能否挡住人间兵锋。
</t>
        </is>
      </c>
      <c r="U26" s="2" t="n">
        <v>10</v>
      </c>
      <c r="V26" s="2" t="n">
        <v>94</v>
      </c>
      <c r="W26" s="4" t="n">
        <v>0.46</v>
      </c>
      <c r="X26" s="2" t="inlineStr">
        <is>
          <t>银两×80000；十二仙印宝箱×1</t>
        </is>
      </c>
      <c r="Y26" s="2" t="inlineStr">
        <is>
          <t>开箱奖励及概率见宝箱奖励明细</t>
        </is>
      </c>
      <c r="Z26" s="2" t="n">
        <v>1000</v>
      </c>
      <c r="AA26" s="2" t="inlineStr">
        <is>
          <t>按配置导入</t>
        </is>
      </c>
      <c r="AB26" s="2" t="n"/>
      <c r="AC26" s="2" t="inlineStr">
        <is>
          <t>data/mission_templates.yaml:shier_xianyin</t>
        </is>
      </c>
      <c r="AD26" s="2" t="inlineStr">
        <is>
          <t>{"wanyin_flag_fragment":1}</t>
        </is>
      </c>
      <c r="AE26" s="2" t="inlineStr">
        <is>
          <t>{"level":10,"guest_level":94,"guest_bonus":0.46}</t>
        </is>
      </c>
      <c r="AF26" s="2" t="inlineStr">
        <is>
          <t>{"key":"shier_xianyin","name":"封神之战：十二仙印","difficulty":"advanced","description":"阵旗重燃后，万仙阵中层忽然降下十二道玉虚仙印。它们不是仙人本尊，却承载着阐教诸仙的法宝、道统与杀伐意志。哪吒杀星开路，杨戬玄功镇身，太乙神火焚阵，广成番天印压断截教气运。凡庄园主之令入阵相助截教者，皆被天命识作乱榜异数。\n\n若十二印合拢，截教残部将被重新压回死局；若仙印破碎，万仙阵中层便会重开，截教败兵也将第一次从逃亡转为反攻。此战不问天命宽恕，只问仙印能否挡住人间兵锋。\n","battle_type":"task1","entry_cost":{"wanyin_flag_fragment":1},"enemy_guests":["task_wanxian_nezha","task_wanxian_yangjian","task_wanxian_taiyi","task_wanxian_guangchengzi","task_wanxian_chijingzi","task_wanxian_cihang","task_wanxian_juliusun","task_wanxian_shier_xianyin"],"enemy_troops":{"jian_sheng":850,"arrow_god":800,"qiang_wang":750,"quan_sheng":500},"enemy_technology":{"level":10,"guest_level":94,"guest_bonus":0.46},"drop_table":{"silver":80000,"mission_chest_shier_xianyin":1},"base_travel_time":1800,"daily_limit":2}</t>
        </is>
      </c>
      <c r="AG26" s="2" t="n">
        <v>10</v>
      </c>
      <c r="AH26" s="2" t="inlineStr">
        <is>
          <t>挑战者庄园</t>
        </is>
      </c>
    </row>
    <row r="27">
      <c r="A27" s="2" t="n">
        <v>26</v>
      </c>
      <c r="B27" s="2" t="inlineStr">
        <is>
          <t>fengbang_tianmen</t>
        </is>
      </c>
      <c r="C27" s="2" t="inlineStr">
        <is>
          <t>封神之战：封榜天门</t>
        </is>
      </c>
      <c r="D27" s="2" t="inlineStr">
        <is>
          <t>高级</t>
        </is>
      </c>
      <c r="E27" s="2" t="inlineStr">
        <is>
          <t>task1</t>
        </is>
      </c>
      <c r="F27" s="2" t="inlineStr">
        <is>
          <t>否</t>
        </is>
      </c>
      <c r="G27" s="2" t="inlineStr">
        <is>
          <t>否</t>
        </is>
      </c>
      <c r="H27" s="2" t="n">
        <v>1</v>
      </c>
      <c r="I27" s="2" t="n">
        <v>1800</v>
      </c>
      <c r="J27" s="2" t="inlineStr">
        <is>
          <t>每日开放</t>
        </is>
      </c>
      <c r="K27" s="2" t="inlineStr">
        <is>
          <t>玉虚碎印×1</t>
        </is>
      </c>
      <c r="L27" s="3">
        <f>SUMIFS(敌方阵容!$F$2:$F$258,敌方阵容!$A$2:$A$258,B27,敌方阵容!$D$2:$D$258,"门客")</f>
        <v>6</v>
      </c>
      <c r="M27" s="3">
        <f>SUMIFS(敌方阵容!$F$2:$F$258,敌方阵容!$A$2:$A$258,B27,敌方阵容!$D$2:$D$258,"护院")</f>
        <v>4500</v>
      </c>
      <c r="N27" s="3">
        <f>COUNTIF(任务掉落明细!$B$2:$B$66,B27)</f>
        <v>2</v>
      </c>
      <c r="O27" s="3">
        <f>COUNTIFS(任务掉落明细!$B$2:$B$66,B27,任务掉落明细!$X$2:$X$66,1)</f>
        <v>2</v>
      </c>
      <c r="P27" s="3">
        <f>COUNTIFS(任务掉落明细!$B$2:$B$66,B27,任务掉落明细!$X$2:$X$66,"&lt;1")</f>
        <v>0</v>
      </c>
      <c r="Q27" s="2" t="inlineStr">
        <is>
          <t>个人任务</t>
        </is>
      </c>
      <c r="R27" s="2" t="n"/>
      <c r="S27" s="2" t="n">
        <v>5</v>
      </c>
      <c r="T27" s="2" t="inlineStr">
        <is>
          <t xml:space="preserve">十二仙印破碎后，封神榜裂开一页，天门显现。姜子牙持榜而立，燃灯道人点起过去佛灯，打神鞭化为天罚，榜上神名也从金光中逐一醒来。此战已不是救援，而是夺榜改命。封榜天门前，清算将落，截教最后一页榜外残命悬于一线。
庄园主率门客直面封神榜、打神鞭与玉虚天罚，要证明一件事：天命可以定胜负，却不能把所有失败者都抹成灰烬。若此战得胜，封神大势仍会落下，但碧游残火将不再被天命彻底抹去。
</t>
        </is>
      </c>
      <c r="U27" s="2" t="n">
        <v>10</v>
      </c>
      <c r="V27" s="2" t="n">
        <v>100</v>
      </c>
      <c r="W27" s="4" t="n">
        <v>0.62</v>
      </c>
      <c r="X27" s="2" t="inlineStr">
        <is>
          <t>银两×100000；封榜天门宝箱×1</t>
        </is>
      </c>
      <c r="Y27" s="2" t="inlineStr">
        <is>
          <t>开箱奖励及概率见宝箱奖励明细</t>
        </is>
      </c>
      <c r="Z27" s="2" t="n">
        <v>1000</v>
      </c>
      <c r="AA27" s="2" t="inlineStr">
        <is>
          <t>按配置导入</t>
        </is>
      </c>
      <c r="AB27" s="2" t="n"/>
      <c r="AC27" s="2" t="inlineStr">
        <is>
          <t>data/mission_templates.yaml:fengbang_tianmen</t>
        </is>
      </c>
      <c r="AD27" s="2" t="inlineStr">
        <is>
          <t>{"yuxu_broken_seal":1}</t>
        </is>
      </c>
      <c r="AE27" s="2" t="inlineStr">
        <is>
          <t>{"level":10,"guest_level":100,"guest_bonus":0.62}</t>
        </is>
      </c>
      <c r="AF27" s="2" t="inlineStr">
        <is>
          <t>{"key":"fengbang_tianmen","name":"封神之战：封榜天门","difficulty":"advanced","description":"十二仙印破碎后，封神榜裂开一页，天门显现。姜子牙持榜而立，燃灯道人点起过去佛灯，打神鞭化为天罚，榜上神名也从金光中逐一醒来。此战已不是救援，而是夺榜改命。封榜天门前，清算将落，截教最后一页榜外残命悬于一线。\n\n庄园主率门客直面封神榜、打神鞭与玉虚天罚，要证明一件事：天命可以定胜负，却不能把所有失败者都抹成灰烬。若此战得胜，封神大势仍会落下，但碧游残火将不再被天命彻底抹去。\n","battle_type":"task1","entry_cost":{"yuxu_broken_seal":1},"enemy_guests":["task_wanxian_randeng","task_wanxian_nanji_xianweng","task_wanxian_jiang_ziya","task_wanxian_dashenbian","task_wanxian_bangshangming","task_wanxian_yuxu_tianfa"],"enemy_troops":{"dao_sheng":1000,"jian_sheng":1000,"arrow_god":900,"qiang_wang":900,"quan_sheng":700},"enemy_technology":{"level":10,"guest_level":100,"guest_bonus":0.62},"drop_table":{"silver":100000,"mission_chest_fengbang_tianmen":1},"base_travel_time":1800,"daily_limit":1}</t>
        </is>
      </c>
      <c r="AG27" s="2" t="n">
        <v>10</v>
      </c>
      <c r="AH27" s="2" t="inlineStr">
        <is>
          <t>挑战者庄园</t>
        </is>
      </c>
    </row>
    <row r="28">
      <c r="A28" s="2" t="n">
        <v>27</v>
      </c>
      <c r="B28" s="2" t="inlineStr">
        <is>
          <t>zhuolu_zhongyuan</t>
        </is>
      </c>
      <c r="C28" s="2" t="inlineStr">
        <is>
          <t>逐鹿中原</t>
        </is>
      </c>
      <c r="D28" s="2" t="inlineStr">
        <is>
          <t>高级</t>
        </is>
      </c>
      <c r="E28" s="2" t="inlineStr">
        <is>
          <t>task1</t>
        </is>
      </c>
      <c r="F28" s="2" t="inlineStr">
        <is>
          <t>否</t>
        </is>
      </c>
      <c r="G28" s="2" t="inlineStr">
        <is>
          <t>否</t>
        </is>
      </c>
      <c r="H28" s="2" t="n">
        <v>1</v>
      </c>
      <c r="I28" s="2" t="n">
        <v>1800</v>
      </c>
      <c r="J28" s="2" t="inlineStr">
        <is>
          <t>每日开放</t>
        </is>
      </c>
      <c r="K28" s="2" t="inlineStr">
        <is>
          <t>无</t>
        </is>
      </c>
      <c r="L28" s="3">
        <f>SUMIFS(敌方阵容!$F$2:$F$258,敌方阵容!$A$2:$A$258,B28,敌方阵容!$D$2:$D$258,"门客")</f>
        <v>6</v>
      </c>
      <c r="M28" s="3">
        <f>SUMIFS(敌方阵容!$F$2:$F$258,敌方阵容!$A$2:$A$258,B28,敌方阵容!$D$2:$D$258,"护院")</f>
        <v>4800</v>
      </c>
      <c r="N28" s="3">
        <f>COUNTIF(任务掉落明细!$B$2:$B$66,B28)</f>
        <v>2</v>
      </c>
      <c r="O28" s="3">
        <f>COUNTIFS(任务掉落明细!$B$2:$B$66,B28,任务掉落明细!$X$2:$X$66,1)</f>
        <v>2</v>
      </c>
      <c r="P28" s="3">
        <f>COUNTIFS(任务掉落明细!$B$2:$B$66,B28,任务掉落明细!$X$2:$X$66,"&lt;1")</f>
        <v>0</v>
      </c>
      <c r="Q28" s="2" t="inlineStr">
        <is>
          <t>个人任务</t>
        </is>
      </c>
      <c r="R28" s="2" t="n"/>
      <c r="S28" s="2" t="n">
        <v>5</v>
      </c>
      <c r="T28" s="2" t="inlineStr">
        <is>
          <t xml:space="preserve">封榜天门之后，封神榜归位，天命暂定。但中原龙脉承受封神余威，竟引动上古涿鹿之战的兵主命格。九黎战旗自地脉升起，蚩尤率风伯、雨师重开涿鹿战局，欲以兵锋再问中原归属。
轩辕剑光在梦中示警：此战若败，中原龙脉将被九黎战旗夺走，人间秩序也会重新落入上古兵争。庄园主须率门客入阵，与蚩尤正面逐鹿，镇住中原气运。
</t>
        </is>
      </c>
      <c r="U28" s="2" t="n">
        <v>10</v>
      </c>
      <c r="V28" s="2" t="n">
        <v>100</v>
      </c>
      <c r="W28" s="4" t="n">
        <v>0.62</v>
      </c>
      <c r="X28" s="2" t="inlineStr">
        <is>
          <t>银两×100000；逐鹿中原宝箱×1</t>
        </is>
      </c>
      <c r="Y28" s="2" t="inlineStr">
        <is>
          <t>开箱奖励及概率见宝箱奖励明细</t>
        </is>
      </c>
      <c r="Z28" s="2" t="n">
        <v>1000</v>
      </c>
      <c r="AA28" s="2" t="inlineStr">
        <is>
          <t>按配置导入</t>
        </is>
      </c>
      <c r="AB28" s="2" t="n"/>
      <c r="AC28" s="2" t="inlineStr">
        <is>
          <t>data/mission_templates.yaml:zhuolu_zhongyuan</t>
        </is>
      </c>
      <c r="AD28" s="2" t="inlineStr">
        <is>
          <t>{}</t>
        </is>
      </c>
      <c r="AE28" s="2" t="inlineStr">
        <is>
          <t>{"level":10,"guest_level":100,"guest_bonus":0.62}</t>
        </is>
      </c>
      <c r="AF28" s="2" t="inlineStr">
        <is>
          <t>{"key":"zhuolu_zhongyuan","name":"逐鹿中原","difficulty":"advanced","description":"封榜天门之后，封神榜归位，天命暂定。但中原龙脉承受封神余威，竟引动上古涿鹿之战的兵主命格。九黎战旗自地脉升起，蚩尤率风伯、雨师重开涿鹿战局，欲以兵锋再问中原归属。\n\n轩辕剑光在梦中示警：此战若败，中原龙脉将被九黎战旗夺走，人间秩序也会重新落入上古兵争。庄园主须率门客入阵，与蚩尤正面逐鹿，镇住中原气运。\n","battle_type":"task1","enemy_guests":["task_zhuolu_chiyou","task_zhuolu_fengbo","task_zhuolu_yushi","task_zhuolu_shitieshou","task_zhuolu_shitieshou","task_zhuolu_shitieshou"],"enemy_troops":{"dao_sheng":1000,"qiang_wang":1000,"jian_sheng":1000,"quan_sheng":900,"arrow_god":900},"enemy_technology":{"level":10,"guest_level":100,"guest_bonus":0.62},"drop_table":{"silver":100000,"mission_chest_zhuolu_zhongyuan":1},"base_travel_time":1800,"daily_limit":1}</t>
        </is>
      </c>
      <c r="AG28" s="2" t="n">
        <v>10</v>
      </c>
      <c r="AH28" s="2" t="inlineStr">
        <is>
          <t>挑战者庄园</t>
        </is>
      </c>
    </row>
    <row r="29">
      <c r="A29" s="2" t="n">
        <v>28</v>
      </c>
      <c r="B29" s="2" t="inlineStr">
        <is>
          <t>guandu_zhizhan</t>
        </is>
      </c>
      <c r="C29" s="2" t="inlineStr">
        <is>
          <t>官渡之战</t>
        </is>
      </c>
      <c r="D29" s="2" t="inlineStr">
        <is>
          <t>高级</t>
        </is>
      </c>
      <c r="E29" s="2" t="inlineStr">
        <is>
          <t>task1</t>
        </is>
      </c>
      <c r="F29" s="2" t="inlineStr">
        <is>
          <t>否</t>
        </is>
      </c>
      <c r="G29" s="2" t="inlineStr">
        <is>
          <t>否</t>
        </is>
      </c>
      <c r="H29" s="2" t="n">
        <v>1</v>
      </c>
      <c r="I29" s="2" t="n">
        <v>2400</v>
      </c>
      <c r="J29" s="2" t="inlineStr">
        <is>
          <t>每日开放</t>
        </is>
      </c>
      <c r="K29" s="2" t="inlineStr">
        <is>
          <t>无</t>
        </is>
      </c>
      <c r="L29" s="3">
        <f>SUMIFS(敌方阵容!$F$2:$F$258,敌方阵容!$A$2:$A$258,B29,敌方阵容!$D$2:$D$258,"门客")</f>
        <v>1</v>
      </c>
      <c r="M29" s="3">
        <f>SUMIFS(敌方阵容!$F$2:$F$258,敌方阵容!$A$2:$A$258,B29,敌方阵容!$D$2:$D$258,"护院")</f>
        <v>6200</v>
      </c>
      <c r="N29" s="3">
        <f>COUNTIF(任务掉落明细!$B$2:$B$66,B29)</f>
        <v>2</v>
      </c>
      <c r="O29" s="3">
        <f>COUNTIFS(任务掉落明细!$B$2:$B$66,B29,任务掉落明细!$X$2:$X$66,1)</f>
        <v>2</v>
      </c>
      <c r="P29" s="3">
        <f>COUNTIFS(任务掉落明细!$B$2:$B$66,B29,任务掉落明细!$X$2:$X$66,"&lt;1")</f>
        <v>0</v>
      </c>
      <c r="Q29" s="2" t="inlineStr">
        <is>
          <t>个人任务</t>
        </is>
      </c>
      <c r="R29" s="2" t="n"/>
      <c r="S29" s="2" t="n">
        <v>5</v>
      </c>
      <c r="T29" s="2" t="inlineStr">
        <is>
          <t xml:space="preserve">袁绍拥河北四州之众，粮甲号称百万，正于官渡压境。曹军粮道危急，乌巢成为决定胜负的最后一线生机。
此战不再是群雄混战，庄园主必须率军直面袁绍本人，在河北军势最盛之时击溃这位四世三公之后，夺下官渡最后的胜局。战后可从袁军遗库中寻得多件橙色装备。
</t>
        </is>
      </c>
      <c r="U29" s="2" t="n">
        <v>10</v>
      </c>
      <c r="V29" s="2" t="n">
        <v>100</v>
      </c>
      <c r="W29" s="4" t="n">
        <v>0.68</v>
      </c>
      <c r="X29" s="2" t="inlineStr">
        <is>
          <t>银两×120000；官渡之战宝箱×1</t>
        </is>
      </c>
      <c r="Y29" s="2" t="inlineStr">
        <is>
          <t>开箱奖励及概率见宝箱奖励明细</t>
        </is>
      </c>
      <c r="Z29" s="2" t="n">
        <v>1000</v>
      </c>
      <c r="AA29" s="2" t="inlineStr">
        <is>
          <t>按配置导入</t>
        </is>
      </c>
      <c r="AB29" s="2" t="n"/>
      <c r="AC29" s="2" t="inlineStr">
        <is>
          <t>data/mission_templates.yaml:guandu_zhizhan</t>
        </is>
      </c>
      <c r="AD29" s="2" t="inlineStr">
        <is>
          <t>{}</t>
        </is>
      </c>
      <c r="AE29" s="2" t="inlineStr">
        <is>
          <t>{"level":10,"guest_level":100,"guest_bonus":0.68,"guest_skills":["stratagem_burst"]}</t>
        </is>
      </c>
      <c r="AF29" s="2" t="inlineStr">
        <is>
          <t>{"key":"guandu_zhizhan","name":"官渡之战","difficulty":"advanced","description":"袁绍拥河北四州之众，粮甲号称百万，正于官渡压境。曹军粮道危急，乌巢成为决定胜负的最后一线生机。\n\n此战不再是群雄混战，庄园主必须率军直面袁绍本人，在河北军势最盛之时击溃这位四世三公之后，夺下官渡最后的胜局。战后可从袁军遗库中寻得多件橙色装备。\n","battle_type":"task1","enemy_guests":[{"key":"task_guandu_yuanshao","label":"袁绍"}],"enemy_troops":{"dao_sheng":1400,"qiang_wang":1400,"jian_sheng":1200,"quan_sheng":1000,"arrow_god":1200},"enemy_technology":{"level":10,"guest_level":100,"guest_bonus":0.68,"guest_skills":["stratagem_burst"]},"drop_table":{"silver":120000,"mission_chest_guandu_zhizhan":1},"base_travel_time":2400,"daily_limit":1}</t>
        </is>
      </c>
      <c r="AG29" s="2" t="n">
        <v>10</v>
      </c>
      <c r="AH29" s="2" t="inlineStr">
        <is>
          <t>挑战者庄园</t>
        </is>
      </c>
    </row>
    <row r="30">
      <c r="A30" s="2" t="n">
        <v>29</v>
      </c>
      <c r="B30" s="2" t="inlineStr">
        <is>
          <t>huashan_lunjian_advanced</t>
        </is>
      </c>
      <c r="C30" s="2" t="inlineStr">
        <is>
          <t>华山论剑</t>
        </is>
      </c>
      <c r="D30" s="2" t="inlineStr">
        <is>
          <t>高级</t>
        </is>
      </c>
      <c r="E30" s="2" t="inlineStr">
        <is>
          <t>task1</t>
        </is>
      </c>
      <c r="F30" s="2" t="inlineStr">
        <is>
          <t>否</t>
        </is>
      </c>
      <c r="G30" s="2" t="inlineStr">
        <is>
          <t>是</t>
        </is>
      </c>
      <c r="H30" s="2" t="n">
        <v>1</v>
      </c>
      <c r="I30" s="2" t="n">
        <v>2400</v>
      </c>
      <c r="J30" s="2" t="inlineStr">
        <is>
          <t>每日开放</t>
        </is>
      </c>
      <c r="K30" s="2" t="inlineStr">
        <is>
          <t>无</t>
        </is>
      </c>
      <c r="L30" s="3">
        <f>SUMIFS(敌方阵容!$F$2:$F$258,敌方阵容!$A$2:$A$258,B30,敌方阵容!$D$2:$D$258,"门客")</f>
        <v>9</v>
      </c>
      <c r="M30" s="3">
        <f>SUMIFS(敌方阵容!$F$2:$F$258,敌方阵容!$A$2:$A$258,B30,敌方阵容!$D$2:$D$258,"护院")</f>
        <v>0</v>
      </c>
      <c r="N30" s="3">
        <f>COUNTIF(任务掉落明细!$B$2:$B$66,B30)</f>
        <v>2</v>
      </c>
      <c r="O30" s="3">
        <f>COUNTIFS(任务掉落明细!$B$2:$B$66,B30,任务掉落明细!$X$2:$X$66,1)</f>
        <v>2</v>
      </c>
      <c r="P30" s="3">
        <f>COUNTIFS(任务掉落明细!$B$2:$B$66,B30,任务掉落明细!$X$2:$X$66,"&lt;1")</f>
        <v>0</v>
      </c>
      <c r="Q30" s="2" t="inlineStr">
        <is>
          <t>个人任务</t>
        </is>
      </c>
      <c r="R30" s="2" t="n"/>
      <c r="S30" s="2" t="n">
        <v>5</v>
      </c>
      <c r="T30" s="2" t="inlineStr">
        <is>
          <t xml:space="preserve">天下风云出我辈，一入江湖岁月催。皇图霸业谈笑中，不胜人生一场醉。
一张没有落款的论剑帖，自华山传入江湖。有人说，发帖之人要在绝顶重排天下高手座次；有人说，山巅藏着一坛开封即能忘忧的陈年好酒；还有人信誓旦旦地表示，自己只是路过，绝不是专程来抢宝箱的。消息传开后，闭关的出关了，隐姓埋名的改回本名了，连多年不肯下山的老前辈也开始认真挑选登山鞋。
华山九重关，每一重都由一位绝顶高手镇守。扫地僧守心，张三丰守意，独孤求败守剑，东方不败守影；石破天、黄裳、阿青、逍遥子与王重阳也已在峰顶等候。这里没有客套寒暄，也没有凭年龄论资排辈，想在江湖留下名字，便把手中兵刃亮出来说话。
此战只许门客登场。庄园主若能连破九关，便可登上华山绝顶，取走封存已久的武林宝箱。至于箱中是震动江湖的神兵奇珍，还是某位醉仙留下的压箱底玩意儿，只有最后站着的人，才有资格亲手打开。
</t>
        </is>
      </c>
      <c r="U30" s="2" t="n">
        <v>10</v>
      </c>
      <c r="V30" s="2" t="n">
        <v>100</v>
      </c>
      <c r="W30" s="4" t="n">
        <v>0.68</v>
      </c>
      <c r="X30" s="2" t="inlineStr">
        <is>
          <t>银两×120000；华山论剑宝箱×1</t>
        </is>
      </c>
      <c r="Y30" s="2" t="inlineStr">
        <is>
          <t>开箱奖励及概率见宝箱奖励明细</t>
        </is>
      </c>
      <c r="Z30" s="2" t="n">
        <v>1100</v>
      </c>
      <c r="AA30" s="2" t="inlineStr">
        <is>
          <t>按配置导入</t>
        </is>
      </c>
      <c r="AB30" s="2" t="n"/>
      <c r="AC30" s="2" t="inlineStr">
        <is>
          <t>data/mission_templates.yaml:huashan_lunjian_advanced</t>
        </is>
      </c>
      <c r="AD30" s="2" t="inlineStr">
        <is>
          <t>{}</t>
        </is>
      </c>
      <c r="AE30" s="2" t="inlineStr">
        <is>
          <t>{"level":10,"guest_level":100,"guest_bonus":0.68}</t>
        </is>
      </c>
      <c r="AF30" s="2" t="inlineStr">
        <is>
          <t>{"key":"huashan_lunjian_advanced","name":"华山论剑","display_order":1100,"difficulty":"advanced","description":"天下风云出我辈，一入江湖岁月催。皇图霸业谈笑中，不胜人生一场醉。\n\n一张没有落款的论剑帖，自华山传入江湖。有人说，发帖之人要在绝顶重排天下高手座次；有人说，山巅藏着一坛开封即能忘忧的陈年好酒；还有人信誓旦旦地表示，自己只是路过，绝不是专程来抢宝箱的。消息传开后，闭关的出关了，隐姓埋名的改回本名了，连多年不肯下山的老前辈也开始认真挑选登山鞋。\n\n华山九重关，每一重都由一位绝顶高手镇守。扫地僧守心，张三丰守意，独孤求败守剑，东方不败守影；石破天、黄裳、阿青、逍遥子与王重阳也已在峰顶等候。这里没有客套寒暄，也没有凭年龄论资排辈，想在江湖留下名字，便把手中兵刃亮出来说话。\n\n此战只许门客登场。庄园主若能连破九关，便可登上华山绝顶，取走封存已久的武林宝箱。至于箱中是震动江湖的神兵奇珍，还是某位醉仙留下的压箱底玩意儿，只有最后站着的人，才有资格亲手打开。\n","battle_type":"task1","guest_only":true,"enemy_guests":[{"key":"hero_sao_di_seng","label":"扫地僧","skills":["iron_wall_heart","last_chance_revival"]},{"key":"hero_zhang_sanfeng","label":"张三丰","skills":["taiyi_wind","draw_enemy_blades"]},{"key":"hero_dugu_qiubai","label":"独孤求败","skills":["fatal_chain_sword","prison_break_blade"]},{"key":"hero_dongfang_bubai","label":"东方不败","skills":["flower_rain","meteor_pierce_moon"]},{"key":"hero_shi_zhongjian","label":"石破天","skills":["dragon_roar","desperate_beast"]},{"key":"task_huashan_huang_shang","label":"黄裳"},{"key":"hero_a_qing","label":"阿青","skills":["city_felling_strike","meteor_pierce_moon"]},{"key":"hero_xiaoyao_zi","label":"逍遥子","skills":["taiyi_wind","soul_erode"]},{"key":"hero_wang_chongyang","label":"王重阳","skills":["thunder_nine_heavens","comrade_command"]}],"enemy_technology":{"level":10,"guest_level":100,"guest_bonus":0.68},"drop_table":{"silver":120000,"mission_chest_huashan_lunjian_advanced":1},"base_travel_time":2400,"daily_limit":1}</t>
        </is>
      </c>
      <c r="AG30" s="2" t="n">
        <v>10</v>
      </c>
      <c r="AH30" s="2" t="inlineStr">
        <is>
          <t>挑战者庄园</t>
        </is>
      </c>
    </row>
    <row r="31">
      <c r="A31" s="2" t="n">
        <v>30</v>
      </c>
      <c r="B31" s="2" t="inlineStr">
        <is>
          <t>sishui_huaxiong_chengwei</t>
        </is>
      </c>
      <c r="C31" s="2" t="inlineStr">
        <is>
          <t>飞将浮沉录：汜水关华雄逞威</t>
        </is>
      </c>
      <c r="D31" s="2" t="inlineStr">
        <is>
          <t>高级</t>
        </is>
      </c>
      <c r="E31" s="2" t="inlineStr">
        <is>
          <t>task1</t>
        </is>
      </c>
      <c r="F31" s="2" t="inlineStr">
        <is>
          <t>否</t>
        </is>
      </c>
      <c r="G31" s="2" t="inlineStr">
        <is>
          <t>否</t>
        </is>
      </c>
      <c r="H31" s="2" t="n">
        <v>1</v>
      </c>
      <c r="I31" s="2" t="n">
        <v>2400</v>
      </c>
      <c r="J31" s="2" t="inlineStr">
        <is>
          <t>每日开放</t>
        </is>
      </c>
      <c r="K31" s="2" t="inlineStr">
        <is>
          <t>无</t>
        </is>
      </c>
      <c r="L31" s="3">
        <f>SUMIFS(敌方阵容!$F$2:$F$258,敌方阵容!$A$2:$A$258,B31,敌方阵容!$D$2:$D$258,"门客")</f>
        <v>1</v>
      </c>
      <c r="M31" s="3">
        <f>SUMIFS(敌方阵容!$F$2:$F$258,敌方阵容!$A$2:$A$258,B31,敌方阵容!$D$2:$D$258,"护院")</f>
        <v>3200</v>
      </c>
      <c r="N31" s="3">
        <f>COUNTIF(任务掉落明细!$B$2:$B$66,B31)</f>
        <v>2</v>
      </c>
      <c r="O31" s="3">
        <f>COUNTIFS(任务掉落明细!$B$2:$B$66,B31,任务掉落明细!$X$2:$X$66,1)</f>
        <v>2</v>
      </c>
      <c r="P31" s="3">
        <f>COUNTIFS(任务掉落明细!$B$2:$B$66,B31,任务掉落明细!$X$2:$X$66,"&lt;1")</f>
        <v>0</v>
      </c>
      <c r="Q31" s="2" t="inlineStr">
        <is>
          <t>个人任务</t>
        </is>
      </c>
      <c r="R31" s="2" t="n"/>
      <c r="S31" s="2" t="n">
        <v>5</v>
      </c>
      <c r="T31" s="2" t="inlineStr">
        <is>
          <t xml:space="preserve">汜水关的酒还温着，华雄已经把联军先锋的名册划掉了一大半。他站在关楼上敲着大斧，逢人便问“还有谁”，问得守军都开始替对面捏汗——毕竟再这样下去，联军可能要先输掉士气，再输掉晚饭。
庄园主必须带门客杀穿西凉军，给这位“汜水关话事人”一个正式答复。击败华雄后，夺走军帐中的汜水关战报；那张薄薄的纸，记录着虎牢关布防，也记录着华雄从“逞威”到“闭嘴”的全过程。
</t>
        </is>
      </c>
      <c r="U31" s="2" t="n">
        <v>10</v>
      </c>
      <c r="V31" s="2" t="n">
        <v>92</v>
      </c>
      <c r="W31" s="4" t="n">
        <v>0.58</v>
      </c>
      <c r="X31" s="2" t="inlineStr">
        <is>
          <t>银两×90000；汜水关宝箱×1</t>
        </is>
      </c>
      <c r="Y31" s="2" t="inlineStr">
        <is>
          <t>开箱奖励及概率见宝箱奖励明细</t>
        </is>
      </c>
      <c r="Z31" s="2" t="n">
        <v>1001</v>
      </c>
      <c r="AA31" s="2" t="inlineStr">
        <is>
          <t>按配置导入</t>
        </is>
      </c>
      <c r="AB31" s="2" t="n"/>
      <c r="AC31" s="2" t="inlineStr">
        <is>
          <t>data/mission_templates.yaml:sishui_huaxiong_chengwei</t>
        </is>
      </c>
      <c r="AD31" s="2" t="inlineStr">
        <is>
          <t>{}</t>
        </is>
      </c>
      <c r="AE31" s="2" t="inlineStr">
        <is>
          <t>{"level":10,"guest_level":92,"guest_bonus":0.58}</t>
        </is>
      </c>
      <c r="AF31" s="2" t="inlineStr">
        <is>
          <t>{"key":"sishui_huaxiong_chengwei","name":"飞将浮沉录：汜水关华雄逞威","display_order":1001,"difficulty":"advanced","description":"汜水关的酒还温着，华雄已经把联军先锋的名册划掉了一大半。他站在关楼上敲着大斧，逢人便问“还有谁”，问得守军都开始替对面捏汗——毕竟再这样下去，联军可能要先输掉士气，再输掉晚饭。\n\n庄园主必须带门客杀穿西凉军，给这位“汜水关话事人”一个正式答复。击败华雄后，夺走军帐中的汜水关战报；那张薄薄的纸，记录着虎牢关布防，也记录着华雄从“逞威”到“闭嘴”的全过程。\n","battle_type":"task1","enemy_guests":[{"key":"task_sishui_huaxiong","label":"华雄"}],"enemy_troops":{"dao_sheng":1200,"qiang_wang":1100,"arrow_god":900},"enemy_technology":{"level":10,"guest_level":92,"guest_bonus":0.58},"drop_table":{"silver":90000,"mission_chest_sishui_huaxiong_chengwei":1},"base_travel_time":2400,"daily_limit":1}</t>
        </is>
      </c>
      <c r="AG31" s="2" t="n">
        <v>10</v>
      </c>
      <c r="AH31" s="2" t="inlineStr">
        <is>
          <t>挑战者庄园</t>
        </is>
      </c>
    </row>
    <row r="32">
      <c r="A32" s="2" t="n">
        <v>31</v>
      </c>
      <c r="B32" s="2" t="inlineStr">
        <is>
          <t>hulao_qunying_zhan_lvbu</t>
        </is>
      </c>
      <c r="C32" s="2" t="inlineStr">
        <is>
          <t>飞将浮沉录：虎牢关群英战吕布</t>
        </is>
      </c>
      <c r="D32" s="2" t="inlineStr">
        <is>
          <t>高级</t>
        </is>
      </c>
      <c r="E32" s="2" t="inlineStr">
        <is>
          <t>task1</t>
        </is>
      </c>
      <c r="F32" s="2" t="inlineStr">
        <is>
          <t>否</t>
        </is>
      </c>
      <c r="G32" s="2" t="inlineStr">
        <is>
          <t>否</t>
        </is>
      </c>
      <c r="H32" s="2" t="n">
        <v>1</v>
      </c>
      <c r="I32" s="2" t="n">
        <v>2400</v>
      </c>
      <c r="J32" s="2" t="inlineStr">
        <is>
          <t>每日开放</t>
        </is>
      </c>
      <c r="K32" s="2" t="inlineStr">
        <is>
          <t>汜水关战报×1</t>
        </is>
      </c>
      <c r="L32" s="3">
        <f>SUMIFS(敌方阵容!$F$2:$F$258,敌方阵容!$A$2:$A$258,B32,敌方阵容!$D$2:$D$258,"门客")</f>
        <v>1</v>
      </c>
      <c r="M32" s="3">
        <f>SUMIFS(敌方阵容!$F$2:$F$258,敌方阵容!$A$2:$A$258,B32,敌方阵容!$D$2:$D$258,"护院")</f>
        <v>6600</v>
      </c>
      <c r="N32" s="3">
        <f>COUNTIF(任务掉落明细!$B$2:$B$66,B32)</f>
        <v>2</v>
      </c>
      <c r="O32" s="3">
        <f>COUNTIFS(任务掉落明细!$B$2:$B$66,B32,任务掉落明细!$X$2:$X$66,1)</f>
        <v>2</v>
      </c>
      <c r="P32" s="3">
        <f>COUNTIFS(任务掉落明细!$B$2:$B$66,B32,任务掉落明细!$X$2:$X$66,"&lt;1")</f>
        <v>0</v>
      </c>
      <c r="Q32" s="2" t="inlineStr">
        <is>
          <t>个人任务</t>
        </is>
      </c>
      <c r="R32" s="2" t="n"/>
      <c r="S32" s="2" t="n">
        <v>5</v>
      </c>
      <c r="T32" s="2" t="inlineStr">
        <is>
          <t xml:space="preserve">汜水关的战报还没捂热，虎牢关的战鼓已经震得杯中茶水自己站了起来。吕布骑赤兔、执方天画戟，单骑出阵便把诸侯联军的气势砍成了好几段；有人提议讲道理，有人提议先撤退，最后大家一致决定——还是派最能打的上去试试。
进入此关需要消耗一份「汜水关战报」。庄园主须在群英合围中正面击破吕布，并从战场遗物里搜寻方天画戟、龙鳞战甲与赤兔马的踪迹。若能活着离开，还要记得把虎牢关战旗带走——它将是下一场麻烦的入场券。
</t>
        </is>
      </c>
      <c r="U32" s="2" t="n">
        <v>10</v>
      </c>
      <c r="V32" s="2" t="n">
        <v>100</v>
      </c>
      <c r="W32" s="4" t="n">
        <v>0.72</v>
      </c>
      <c r="X32" s="2" t="inlineStr">
        <is>
          <t>银两×110000；虎牢关宝箱×1</t>
        </is>
      </c>
      <c r="Y32" s="2" t="inlineStr">
        <is>
          <t>开箱奖励及概率见宝箱奖励明细</t>
        </is>
      </c>
      <c r="Z32" s="2" t="n">
        <v>1002</v>
      </c>
      <c r="AA32" s="2" t="inlineStr">
        <is>
          <t>按配置导入</t>
        </is>
      </c>
      <c r="AB32" s="2" t="n"/>
      <c r="AC32" s="2" t="inlineStr">
        <is>
          <t>data/mission_templates.yaml:hulao_qunying_zhan_lvbu</t>
        </is>
      </c>
      <c r="AD32" s="2" t="inlineStr">
        <is>
          <t>{"sishui_battle_report":1}</t>
        </is>
      </c>
      <c r="AE32" s="2" t="inlineStr">
        <is>
          <t>{"level":10,"guest_level":100,"guest_bonus":0.72,"guest_skills":["dragon_roar"]}</t>
        </is>
      </c>
      <c r="AF32" s="2" t="inlineStr">
        <is>
          <t>{"key":"hulao_qunying_zhan_lvbu","name":"飞将浮沉录：虎牢关群英战吕布","display_order":1002,"difficulty":"advanced","description":"汜水关的战报还没捂热，虎牢关的战鼓已经震得杯中茶水自己站了起来。吕布骑赤兔、执方天画戟，单骑出阵便把诸侯联军的气势砍成了好几段；有人提议讲道理，有人提议先撤退，最后大家一致决定——还是派最能打的上去试试。\n\n进入此关需要消耗一份「汜水关战报」。庄园主须在群英合围中正面击破吕布，并从战场遗物里搜寻方天画戟、龙鳞战甲与赤兔马的踪迹。若能活着离开，还要记得把虎牢关战旗带走——它将是下一场麻烦的入场券。\n","battle_type":"task1","entry_cost":{"sishui_battle_report":1},"enemy_guests":[{"key":"task_hulao_lvbu","label":"吕布"}],"enemy_troops":{"dao_sheng":1500,"qiang_wang":1500,"jian_sheng":1300,"quan_sheng":1000,"arrow_god":1300},"enemy_technology":{"level":10,"guest_level":100,"guest_bonus":0.72,"guest_skills":["dragon_roar"]},"drop_table":{"silver":110000,"mission_chest_hulao_qunying_zhan_lvbu":1},"base_travel_time":2400,"daily_limit":1}</t>
        </is>
      </c>
      <c r="AG32" s="2" t="n">
        <v>10</v>
      </c>
      <c r="AH32" s="2" t="inlineStr">
        <is>
          <t>挑战者庄园</t>
        </is>
      </c>
    </row>
    <row r="33">
      <c r="A33" s="2" t="n">
        <v>32</v>
      </c>
      <c r="B33" s="2" t="inlineStr">
        <is>
          <t>baimenlou_mingyun_jueze</t>
        </is>
      </c>
      <c r="C33" s="2" t="inlineStr">
        <is>
          <t>飞将浮沉录：白门楼命运抉择</t>
        </is>
      </c>
      <c r="D33" s="2" t="inlineStr">
        <is>
          <t>高级</t>
        </is>
      </c>
      <c r="E33" s="2" t="inlineStr">
        <is>
          <t>task1</t>
        </is>
      </c>
      <c r="F33" s="2" t="inlineStr">
        <is>
          <t>否</t>
        </is>
      </c>
      <c r="G33" s="2" t="inlineStr">
        <is>
          <t>否</t>
        </is>
      </c>
      <c r="H33" s="2" t="n">
        <v>1</v>
      </c>
      <c r="I33" s="2" t="n">
        <v>2700</v>
      </c>
      <c r="J33" s="2" t="inlineStr">
        <is>
          <t>每日开放</t>
        </is>
      </c>
      <c r="K33" s="2" t="inlineStr">
        <is>
          <t>虎牢关战旗×1</t>
        </is>
      </c>
      <c r="L33" s="3">
        <f>SUMIFS(敌方阵容!$F$2:$F$258,敌方阵容!$A$2:$A$258,B33,敌方阵容!$D$2:$D$258,"门客")</f>
        <v>5</v>
      </c>
      <c r="M33" s="3">
        <f>SUMIFS(敌方阵容!$F$2:$F$258,敌方阵容!$A$2:$A$258,B33,敌方阵容!$D$2:$D$258,"护院")</f>
        <v>7800</v>
      </c>
      <c r="N33" s="3">
        <f>COUNTIF(任务掉落明细!$B$2:$B$66,B33)</f>
        <v>2</v>
      </c>
      <c r="O33" s="3">
        <f>COUNTIFS(任务掉落明细!$B$2:$B$66,B33,任务掉落明细!$X$2:$X$66,1)</f>
        <v>2</v>
      </c>
      <c r="P33" s="3">
        <f>COUNTIFS(任务掉落明细!$B$2:$B$66,B33,任务掉落明细!$X$2:$X$66,"&lt;1")</f>
        <v>0</v>
      </c>
      <c r="Q33" s="2" t="inlineStr">
        <is>
          <t>个人任务</t>
        </is>
      </c>
      <c r="R33" s="2" t="n"/>
      <c r="S33" s="2" t="n">
        <v>5</v>
      </c>
      <c r="T33" s="2" t="inlineStr">
        <is>
          <t xml:space="preserve">虎牢关战旗染血之后，曹军围住下邳，白门楼成了吕布最后的落脚处。高顺在整军，张辽在寻找退路，陈宫在推演一条不必投降的路，臧霸守着最后的旧部；而吕布仍相信，只要再给他一次冲阵的机会，天下就还没有真正决定谁会输。
然而江湖传闻，白门楼风声最紧时，总有一张没有落款的招贤帖在暗中流转。若它最终落到有缘人手中，史书上那句“吕布死于白门楼”未必还能照抄，城楼之下或许会多出一位改旗易帜的绝世猛将；只是新东家能不能压住他的脾气，就要看庄园主自己的本事了。
进入此关需要消耗一面「虎牢关战旗」。庄园主须击破吕布、高顺、张辽、陈宫与臧霸的合围，替这段乱世故事写下最后一笔。
</t>
        </is>
      </c>
      <c r="U33" s="2" t="n">
        <v>10</v>
      </c>
      <c r="V33" s="2" t="n">
        <v>100</v>
      </c>
      <c r="W33" s="4" t="n">
        <v>0.8</v>
      </c>
      <c r="X33" s="2" t="inlineStr">
        <is>
          <t>银两×180000；白门楼宝箱×1</t>
        </is>
      </c>
      <c r="Y33" s="2" t="inlineStr">
        <is>
          <t>开箱奖励及概率见宝箱奖励明细</t>
        </is>
      </c>
      <c r="Z33" s="2" t="n">
        <v>1003</v>
      </c>
      <c r="AA33" s="2" t="inlineStr">
        <is>
          <t>按配置导入</t>
        </is>
      </c>
      <c r="AB33" s="2" t="n"/>
      <c r="AC33" s="2" t="inlineStr">
        <is>
          <t>data/mission_templates.yaml:baimenlou_mingyun_jueze</t>
        </is>
      </c>
      <c r="AD33" s="2" t="inlineStr">
        <is>
          <t>{"hulao_war_banner":1}</t>
        </is>
      </c>
      <c r="AE33" s="2" t="inlineStr">
        <is>
          <t>{"level":10,"guest_level":100,"guest_bonus":0.8}</t>
        </is>
      </c>
      <c r="AF33" s="2" t="inlineStr">
        <is>
          <t>{"key":"baimenlou_mingyun_jueze","name":"飞将浮沉录：白门楼命运抉择","display_order":1003,"difficulty":"advanced","description":"虎牢关战旗染血之后，曹军围住下邳，白门楼成了吕布最后的落脚处。高顺在整军，张辽在寻找退路，陈宫在推演一条不必投降的路，臧霸守着最后的旧部；而吕布仍相信，只要再给他一次冲阵的机会，天下就还没有真正决定谁会输。\n\n然而江湖传闻，白门楼风声最紧时，总有一张没有落款的招贤帖在暗中流转。若它最终落到有缘人手中，史书上那句“吕布死于白门楼”未必还能照抄，城楼之下或许会多出一位改旗易帜的绝世猛将；只是新东家能不能压住他的脾气，就要看庄园主自己的本事了。\n\n进入此关需要消耗一面「虎牢关战旗」。庄园主须击破吕布、高顺、张辽、陈宫与臧霸的合围，替这段乱世故事写下最后一笔。\n","battle_type":"task1","entry_cost":{"hulao_war_banner":1},"enemy_guests":[{"key":"task_baimenlou_lvbu","label":"吕布"},{"key":"task_baimenlou_gaoshun","label":"高顺"},{"key":"task_baimenlou_zhangliao","label":"张辽"},{"key":"task_baimenlou_chengong","label":"陈宫"},{"key":"task_baimenlou_zangba","label":"臧霸"}],"enemy_troops":{"dao_sheng":1800,"qiang_wang":1700,"jian_sheng":1600,"quan_sheng":1200,"arrow_god":1500},"enemy_technology":{"level":10,"guest_level":100,"guest_bonus":0.8},"drop_table":{"silver":180000,"mission_chest_baimenlou_mingyun_jueze":1},"base_travel_time":2700,"daily_limit":1}</t>
        </is>
      </c>
      <c r="AG33" s="2" t="n">
        <v>10</v>
      </c>
      <c r="AH33" s="2" t="inlineStr">
        <is>
          <t>挑战者庄园</t>
        </is>
      </c>
    </row>
    <row r="34">
      <c r="A34" s="2" t="n">
        <v>33</v>
      </c>
      <c r="B34" s="2" t="inlineStr">
        <is>
          <t>guild_patrol_alpha</t>
        </is>
      </c>
      <c r="C34" s="2" t="inlineStr">
        <is>
          <t>夜袭乌鳞寨</t>
        </is>
      </c>
      <c r="D34" s="2" t="inlineStr">
        <is>
          <t>初级</t>
        </is>
      </c>
      <c r="E34" s="2" t="inlineStr">
        <is>
          <t>troop</t>
        </is>
      </c>
      <c r="F34" s="2" t="inlineStr">
        <is>
          <t>否</t>
        </is>
      </c>
      <c r="G34" s="2" t="inlineStr">
        <is>
          <t>否</t>
        </is>
      </c>
      <c r="H34" s="2" t="n"/>
      <c r="I34" s="2" t="n">
        <v>1500</v>
      </c>
      <c r="J34" s="2" t="inlineStr">
        <is>
          <t>每日开放</t>
        </is>
      </c>
      <c r="K34" s="2" t="inlineStr">
        <is>
          <t>无</t>
        </is>
      </c>
      <c r="L34" s="3">
        <f>SUMIFS(敌方阵容!$F$2:$F$258,敌方阵容!$A$2:$A$258,B34,敌方阵容!$D$2:$D$258,"门客")</f>
        <v>12</v>
      </c>
      <c r="M34" s="3">
        <f>SUMIFS(敌方阵容!$F$2:$F$258,敌方阵容!$A$2:$A$258,B34,敌方阵容!$D$2:$D$258,"护院")</f>
        <v>2610</v>
      </c>
      <c r="N34" s="3">
        <f>COUNTIF(任务掉落明细!$B$2:$B$66,B34)</f>
        <v>1</v>
      </c>
      <c r="O34" s="3">
        <f>COUNTIFS(任务掉落明细!$B$2:$B$66,B34,任务掉落明细!$X$2:$X$66,1)</f>
        <v>1</v>
      </c>
      <c r="P34" s="3">
        <f>COUNTIFS(任务掉落明细!$B$2:$B$66,B34,任务掉落明细!$X$2:$X$66,"&lt;1")</f>
        <v>0</v>
      </c>
      <c r="Q34" s="2" t="inlineStr">
        <is>
          <t>帮会任务</t>
        </is>
      </c>
      <c r="R34" s="2" t="n">
        <v>3</v>
      </c>
      <c r="S34" s="2" t="n"/>
      <c r="T34" s="2" t="inlineStr">
        <is>
          <t xml:space="preserve">近来北郊商道一入子夜便灯火尽灭，往返车队不是失了骡马，便是天明后只剩翻倒车辙。帮中弟子顺着断箭、碎缰和半截焦木一路摸到山坳，才看见乌鳞寨早把谷口修成了连环哨卡，拒马、暗哨与巡夜火把一层压着一层。
寨中人白日敛迹，夜里却轮番下山掠货，惯会先放小股人手引人追击，再借山路弯口突然合围。若想把这条商线重新打通，不能只顾着往前压，还得有人盯住两翼伏兵，免得主力刚进谷口，退路便先被人摸黑截断。
</t>
        </is>
      </c>
      <c r="U34" s="2" t="n">
        <v>7</v>
      </c>
      <c r="V34" s="2" t="n">
        <v>88</v>
      </c>
      <c r="W34" s="4" t="n">
        <v>0.36</v>
      </c>
      <c r="X34" s="2" t="inlineStr">
        <is>
          <t>红宝石×96（帮会仓库）</t>
        </is>
      </c>
      <c r="Y34" s="2" t="inlineStr">
        <is>
          <t>无</t>
        </is>
      </c>
      <c r="Z34" s="2" t="n">
        <v>10</v>
      </c>
      <c r="AA34" s="2" t="inlineStr">
        <is>
          <t>是</t>
        </is>
      </c>
      <c r="AB34" s="2" t="n">
        <v>10</v>
      </c>
      <c r="AC34" s="2" t="inlineStr">
        <is>
          <t>data/guild_mission_templates.yaml:L9</t>
        </is>
      </c>
      <c r="AD34" s="2" t="inlineStr">
        <is>
          <t>{}</t>
        </is>
      </c>
      <c r="AE34" s="2" t="inlineStr">
        <is>
          <t>{"level":7,"guest_level":88,"guest_bonus":0.36}</t>
        </is>
      </c>
      <c r="AF34" s="2" t="inlineStr">
        <is>
          <t>{"key":"guild_patrol_alpha","name":"夜袭乌鳞寨","description":"近来北郊商道一入子夜便灯火尽灭，往返车队不是失了骡马，便是天明后只剩翻倒车辙。帮中弟子顺着断箭、碎缰和半截焦木一路摸到山坳，才看见乌鳞寨早把谷口修成了连环哨卡，拒马、暗哨与巡夜火把一层压着一层。\n\n寨中人白日敛迹，夜里却轮番下山掠货，惯会先放小股人手引人追击，再借山路弯口突然合围。若想把这条商线重新打通，不能只顾着往前压，还得有人盯住两翼伏兵，免得主力刚进谷口，退路便先被人摸黑截断。\n","difficulty":"junior","task_type":"troop","base_duration_seconds":1500,"ruby_reward":96,"weekly_limit":3,"recommended_guest_count":10,"allow_troops":true,"enemy_guests":[{"template_key":"guild_wulinzhai_zhai_zhu"},{"template_key":"guild_wulinzhai_junshi"},{"template_key":"guild_wulinzhai_night_watch"},{"template_key":"guild_wulinzhai_blade_ambusher"},{"template_key":"guild_wulinzhai_blade_ambusher"},{"template_key":"guild_wulinzhai_blade_ambusher"},{"template_key":"guild_wulinzhai_torch_archer"},{"template_key":"guild_wulinzhai_torch_archer"},{"template_key":"guild_wulinzhai_torch_archer"},{"template_key":"guild_wulinzhai_path_scout"},{"template_key":"guild_wulinzhai_minion"},{"template_key":"guild_wulinzhai_minion"}],"enemy_troops":{"qiang_hao":760,"jian_hao":700,"fast_archer":650,"dao_jie":500},"enemy_technology":{"level":7,"guest_level":88,"guest_bonus":0.36},"is_active":true,"sort_weight":10}</t>
        </is>
      </c>
      <c r="AG34" s="2" t="n"/>
      <c r="AH34" s="2" t="inlineStr">
        <is>
          <t>帮会仓库</t>
        </is>
      </c>
    </row>
    <row r="35">
      <c r="A35" s="2" t="n">
        <v>34</v>
      </c>
      <c r="B35" s="2" t="inlineStr">
        <is>
          <t>guild_supply_escort</t>
        </is>
      </c>
      <c r="C35" s="2" t="inlineStr">
        <is>
          <t>血旗镖局风云</t>
        </is>
      </c>
      <c r="D35" s="2" t="inlineStr">
        <is>
          <t>中级</t>
        </is>
      </c>
      <c r="E35" s="2" t="inlineStr">
        <is>
          <t>troop</t>
        </is>
      </c>
      <c r="F35" s="2" t="inlineStr">
        <is>
          <t>否</t>
        </is>
      </c>
      <c r="G35" s="2" t="inlineStr">
        <is>
          <t>否</t>
        </is>
      </c>
      <c r="H35" s="2" t="n"/>
      <c r="I35" s="2" t="n">
        <v>2100</v>
      </c>
      <c r="J35" s="2" t="inlineStr">
        <is>
          <t>每日开放</t>
        </is>
      </c>
      <c r="K35" s="2" t="inlineStr">
        <is>
          <t>无</t>
        </is>
      </c>
      <c r="L35" s="3">
        <f>SUMIFS(敌方阵容!$F$2:$F$258,敌方阵容!$A$2:$A$258,B35,敌方阵容!$D$2:$D$258,"门客")</f>
        <v>16</v>
      </c>
      <c r="M35" s="3">
        <f>SUMIFS(敌方阵容!$F$2:$F$258,敌方阵容!$A$2:$A$258,B35,敌方阵容!$D$2:$D$258,"护院")</f>
        <v>4100</v>
      </c>
      <c r="N35" s="3">
        <f>COUNTIF(任务掉落明细!$B$2:$B$66,B35)</f>
        <v>1</v>
      </c>
      <c r="O35" s="3">
        <f>COUNTIFS(任务掉落明细!$B$2:$B$66,B35,任务掉落明细!$X$2:$X$66,1)</f>
        <v>1</v>
      </c>
      <c r="P35" s="3">
        <f>COUNTIFS(任务掉落明细!$B$2:$B$66,B35,任务掉落明细!$X$2:$X$66,"&lt;1")</f>
        <v>0</v>
      </c>
      <c r="Q35" s="2" t="inlineStr">
        <is>
          <t>帮会任务</t>
        </is>
      </c>
      <c r="R35" s="2" t="n">
        <v>3</v>
      </c>
      <c r="S35" s="2" t="n"/>
      <c r="T35" s="2" t="inlineStr">
        <is>
          <t xml:space="preserve">血旗镖局表面替各路商号押送金银药材，暗地里却替人收账、截货、买命，沿河几个渡口最近都挂上了他们的旗。凡是不肯交路银的商队，不是半夜改道，就是第二天只剩散落河滩的箱板和染血车帘，连船家都开始装聋作哑，不敢多问一句。
探子送回的消息说，这支人马不像寻常匪帮，各车之间号令极严，前阵短弓压路，中段刀枪护箱，尾队还留着专门断后的老手。真打起来，他们未必急着和你硬换，只会边退边拖，把人一步步拽进最窄最乱的那段河道。
</t>
        </is>
      </c>
      <c r="U35" s="2" t="n">
        <v>10</v>
      </c>
      <c r="V35" s="2" t="n">
        <v>102</v>
      </c>
      <c r="W35" s="4" t="n">
        <v>0.62</v>
      </c>
      <c r="X35" s="2" t="inlineStr">
        <is>
          <t>红宝石×168（帮会仓库）</t>
        </is>
      </c>
      <c r="Y35" s="2" t="inlineStr">
        <is>
          <t>无</t>
        </is>
      </c>
      <c r="Z35" s="2" t="n">
        <v>20</v>
      </c>
      <c r="AA35" s="2" t="inlineStr">
        <is>
          <t>是</t>
        </is>
      </c>
      <c r="AB35" s="2" t="n">
        <v>14</v>
      </c>
      <c r="AC35" s="2" t="inlineStr">
        <is>
          <t>data/guild_mission_templates.yaml:L47</t>
        </is>
      </c>
      <c r="AD35" s="2" t="inlineStr">
        <is>
          <t>{}</t>
        </is>
      </c>
      <c r="AE35" s="2" t="inlineStr">
        <is>
          <t>{"level":10,"guest_level":102,"guest_bonus":0.62}</t>
        </is>
      </c>
      <c r="AF35" s="2" t="inlineStr">
        <is>
          <t>{"key":"guild_supply_escort","name":"血旗镖局风云","description":"血旗镖局表面替各路商号押送金银药材，暗地里却替人收账、截货、买命，沿河几个渡口最近都挂上了他们的旗。凡是不肯交路银的商队，不是半夜改道，就是第二天只剩散落河滩的箱板和染血车帘，连船家都开始装聋作哑，不敢多问一句。\n\n探子送回的消息说，这支人马不像寻常匪帮，各车之间号令极严，前阵短弓压路，中段刀枪护箱，尾队还留着专门断后的老手。真打起来，他们未必急着和你硬换，只会边退边拖，把人一步步拽进最窄最乱的那段河道。\n","difficulty":"intermediate","task_type":"troop","base_duration_seconds":2100,"ruby_reward":168,"weekly_limit":3,"recommended_guest_count":14,"allow_troops":true,"enemy_guests":[{"template_key":"guild_bloodflag_head_escort"},{"template_key":"guild_bloodflag_deputy_escort"},{"template_key":"guild_bloodflag_rearguard_veteran"},{"template_key":"guild_bloodflag_blade_guard"},{"template_key":"guild_bloodflag_blade_guard"},{"template_key":"guild_bloodflag_blade_guard"},{"template_key":"guild_bloodflag_blade_guard"},{"template_key":"guild_bloodflag_bow_guard"},{"template_key":"guild_bloodflag_bow_guard"},{"template_key":"guild_bloodflag_bow_guard"},{"template_key":"guild_bloodflag_bow_guard"},{"template_key":"guild_bloodflag_pathfinder"},{"template_key":"guild_bloodflag_pathfinder"},{"template_key":"guild_bloodflag_escort_master"},{"template_key":"guild_bloodflag_escort_master"},{"template_key":"guild_bloodflag_escort_master"}],"enemy_troops":{"qiang_ba":1180,"jian_hao":980,"divine_archer":1080,"quan_wang":860},"enemy_technology":{"level":10,"guest_level":102,"guest_bonus":0.62},"is_active":true,"sort_weight":20}</t>
        </is>
      </c>
      <c r="AG35" s="2" t="n"/>
      <c r="AH35" s="2" t="inlineStr">
        <is>
          <t>帮会仓库</t>
        </is>
      </c>
    </row>
    <row r="36">
      <c r="A36" s="2" t="n">
        <v>35</v>
      </c>
      <c r="B36" s="2" t="inlineStr">
        <is>
          <t>guild_blackwind_assault</t>
        </is>
      </c>
      <c r="C36" s="2" t="inlineStr">
        <is>
          <t>黑风关总攻</t>
        </is>
      </c>
      <c r="D36" s="2" t="inlineStr">
        <is>
          <t>高级</t>
        </is>
      </c>
      <c r="E36" s="2" t="inlineStr">
        <is>
          <t>troop</t>
        </is>
      </c>
      <c r="F36" s="2" t="inlineStr">
        <is>
          <t>否</t>
        </is>
      </c>
      <c r="G36" s="2" t="inlineStr">
        <is>
          <t>否</t>
        </is>
      </c>
      <c r="H36" s="2" t="n"/>
      <c r="I36" s="2" t="n">
        <v>3000</v>
      </c>
      <c r="J36" s="2" t="inlineStr">
        <is>
          <t>每日开放</t>
        </is>
      </c>
      <c r="K36" s="2" t="inlineStr">
        <is>
          <t>无</t>
        </is>
      </c>
      <c r="L36" s="3">
        <f>SUMIFS(敌方阵容!$F$2:$F$258,敌方阵容!$A$2:$A$258,B36,敌方阵容!$D$2:$D$258,"门客")</f>
        <v>22</v>
      </c>
      <c r="M36" s="3">
        <f>SUMIFS(敌方阵容!$F$2:$F$258,敌方阵容!$A$2:$A$258,B36,敌方阵容!$D$2:$D$258,"护院")</f>
        <v>6680</v>
      </c>
      <c r="N36" s="3">
        <f>COUNTIF(任务掉落明细!$B$2:$B$66,B36)</f>
        <v>1</v>
      </c>
      <c r="O36" s="3">
        <f>COUNTIFS(任务掉落明细!$B$2:$B$66,B36,任务掉落明细!$X$2:$X$66,1)</f>
        <v>1</v>
      </c>
      <c r="P36" s="3">
        <f>COUNTIFS(任务掉落明细!$B$2:$B$66,B36,任务掉落明细!$X$2:$X$66,"&lt;1")</f>
        <v>0</v>
      </c>
      <c r="Q36" s="2" t="inlineStr">
        <is>
          <t>帮会任务</t>
        </is>
      </c>
      <c r="R36" s="2" t="n">
        <v>3</v>
      </c>
      <c r="S36" s="2" t="n"/>
      <c r="T36" s="2" t="inlineStr">
        <is>
          <t xml:space="preserve">黑风关原是旧时军镇咽喉，多年废弃后反被各路亡命和旧军头子修成了铁桶。关前壕沟是新翻的，拒马、滚木和石垒顺着山口一层层铺开，城头昼夜轮火不熄；前几次探路的人才看见墙影里箭光一闪，山道上就已经响起调兵铜哨。
更麻烦的是，关内粮械齐备，轮守之人熟悉军阵，能把外墙、甬道和内寨连成一口气。若真要把黑风关从地图上抹去，便不是冲开一道门那么简单，而是要顶着连番反扑一路杀到关楼，把还在运转的整座堡寨硬生生拆开。
</t>
        </is>
      </c>
      <c r="U36" s="2" t="n">
        <v>12</v>
      </c>
      <c r="V36" s="2" t="n">
        <v>108</v>
      </c>
      <c r="W36" s="4" t="n">
        <v>0.96</v>
      </c>
      <c r="X36" s="2" t="inlineStr">
        <is>
          <t>红宝石×288（帮会仓库）</t>
        </is>
      </c>
      <c r="Y36" s="2" t="inlineStr">
        <is>
          <t>无</t>
        </is>
      </c>
      <c r="Z36" s="2" t="n">
        <v>30</v>
      </c>
      <c r="AA36" s="2" t="inlineStr">
        <is>
          <t>是</t>
        </is>
      </c>
      <c r="AB36" s="2" t="n">
        <v>18</v>
      </c>
      <c r="AC36" s="2" t="inlineStr">
        <is>
          <t>data/guild_mission_templates.yaml:L89</t>
        </is>
      </c>
      <c r="AD36" s="2" t="inlineStr">
        <is>
          <t>{}</t>
        </is>
      </c>
      <c r="AE36" s="2" t="inlineStr">
        <is>
          <t>{"level":12,"guest_level":108,"guest_bonus":0.96}</t>
        </is>
      </c>
      <c r="AF36" s="2" t="inlineStr">
        <is>
          <t>{"key":"guild_blackwind_assault","name":"黑风关总攻","description":"黑风关原是旧时军镇咽喉，多年废弃后反被各路亡命和旧军头子修成了铁桶。关前壕沟是新翻的，拒马、滚木和石垒顺着山口一层层铺开，城头昼夜轮火不熄；前几次探路的人才看见墙影里箭光一闪，山道上就已经响起调兵铜哨。\n\n更麻烦的是，关内粮械齐备，轮守之人熟悉军阵，能把外墙、甬道和内寨连成一口气。若真要把黑风关从地图上抹去，便不是冲开一道门那么简单，而是要顶着连番反扑一路杀到关楼，把还在运转的整座堡寨硬生生拆开。\n","difficulty":"advanced","task_type":"troop","base_duration_seconds":3000,"ruby_reward":288,"weekly_limit":3,"recommended_guest_count":18,"allow_troops":true,"enemy_guests":[{"template_key":"guild_blackwind_gate_general"},{"template_key":"guild_blackwind_gate_overseer"},{"template_key":"guild_blackwind_iron_guard"},{"template_key":"guild_blackwind_iron_guard"},{"template_key":"guild_blackwind_iron_guard"},{"template_key":"guild_blackwind_bow_captain"},{"template_key":"guild_blackwind_bow_captain"},{"template_key":"guild_blackwind_bow_captain"},{"template_key":"guild_blackwind_assault_blade"},{"template_key":"guild_blackwind_assault_blade"},{"template_key":"guild_blackwind_assault_blade"},{"template_key":"guild_blackwind_assault_blade"},{"template_key":"guild_blackwind_assault_blade"},{"template_key":"guild_blackwind_patrol_captain"},{"template_key":"guild_blackwind_patrol_captain"},{"template_key":"guild_blackwind_guard_soldier"},{"template_key":"guild_blackwind_guard_soldier"},{"template_key":"guild_blackwind_guard_soldier"},{"template_key":"guild_blackwind_spear_soldier"},{"template_key":"guild_blackwind_spear_soldier"},{"template_key":"guild_blackwind_spear_soldier"},{"template_key":"guild_blackwind_spear_soldier"}],"enemy_troops":{"qiang_wang":1700,"jian_sheng":1450,"arrow_god":1620,"quan_sheng":980,"dao_sheng":930},"enemy_technology":{"level":12,"guest_level":108,"guest_bonus":0.96},"is_active":true,"sort_weight":30}</t>
        </is>
      </c>
      <c r="AG36" s="2" t="n"/>
      <c r="AH36" s="2" t="inlineStr">
        <is>
          <t>帮会仓库</t>
        </is>
      </c>
    </row>
  </sheetData>
  <autoFilter ref="A1:AH36"/>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D6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6" customWidth="1" min="2" max="2"/>
    <col width="34" customWidth="1" min="3" max="3"/>
    <col width="10" customWidth="1" min="4" max="4"/>
    <col width="14" customWidth="1" min="5" max="5"/>
    <col width="12" customWidth="1" min="6" max="6"/>
    <col width="12" customWidth="1" min="7" max="7"/>
    <col width="12" customWidth="1" min="8" max="8"/>
    <col width="17" customWidth="1" min="9" max="9"/>
    <col width="28" customWidth="1" min="10" max="10"/>
    <col width="35" customWidth="1" min="11" max="11"/>
    <col width="20" customWidth="1" min="12" max="12"/>
    <col width="38" customWidth="1" min="13" max="13"/>
    <col width="38" customWidth="1" min="14" max="14"/>
    <col width="30" customWidth="1" min="15" max="15"/>
    <col width="18" customWidth="1" min="16" max="16"/>
    <col width="18" customWidth="1" min="17" max="17"/>
    <col width="24" customWidth="1" min="18" max="18"/>
    <col width="12" customWidth="1" min="19" max="19"/>
    <col width="14" customWidth="1" min="20" max="20"/>
    <col width="16" customWidth="1" min="21" max="21"/>
    <col width="90" customWidth="1" min="22" max="22"/>
    <col width="18" customWidth="1" min="23" max="23"/>
    <col width="24" customWidth="1" min="24" max="24"/>
    <col width="24" customWidth="1" min="25" max="25"/>
    <col width="16" customWidth="1" min="26" max="26"/>
    <col width="22" customWidth="1" min="27" max="27"/>
    <col width="20" customWidth="1" min="28" max="28"/>
    <col width="65" customWidth="1" min="29" max="29"/>
    <col width="80" customWidth="1" min="30" max="30"/>
  </cols>
  <sheetData>
    <row r="1" ht="32" customHeight="1">
      <c r="A1" s="1" t="inlineStr">
        <is>
          <t>序号</t>
        </is>
      </c>
      <c r="B1" s="1" t="inlineStr">
        <is>
          <t>任务key</t>
        </is>
      </c>
      <c r="C1" s="1" t="inlineStr">
        <is>
          <t>任务名称</t>
        </is>
      </c>
      <c r="D1" s="1" t="inlineStr">
        <is>
          <t>难度</t>
        </is>
      </c>
      <c r="E1" s="1" t="inlineStr">
        <is>
          <t>战斗类型</t>
        </is>
      </c>
      <c r="F1" s="1" t="inlineStr">
        <is>
          <t>防守任务</t>
        </is>
      </c>
      <c r="G1" s="1" t="inlineStr">
        <is>
          <t>仅门客</t>
        </is>
      </c>
      <c r="H1" s="1" t="inlineStr">
        <is>
          <t>每日次数</t>
        </is>
      </c>
      <c r="I1" s="1" t="inlineStr">
        <is>
          <t>配置基础耗时秒</t>
        </is>
      </c>
      <c r="J1" s="1" t="inlineStr">
        <is>
          <t>开放星期</t>
        </is>
      </c>
      <c r="K1" s="1" t="inlineStr">
        <is>
          <t>进入消耗</t>
        </is>
      </c>
      <c r="L1" s="1" t="inlineStr">
        <is>
          <t>掉落类型</t>
        </is>
      </c>
      <c r="M1" s="1" t="inlineStr">
        <is>
          <t>掉落配置key</t>
        </is>
      </c>
      <c r="N1" s="1" t="inlineStr">
        <is>
          <t>实际掉落key</t>
        </is>
      </c>
      <c r="O1" s="1" t="inlineStr">
        <is>
          <t>实际掉落名称</t>
        </is>
      </c>
      <c r="P1" s="1" t="inlineStr">
        <is>
          <t>物品类型</t>
        </is>
      </c>
      <c r="Q1" s="1" t="inlineStr">
        <is>
          <t>稀有度</t>
        </is>
      </c>
      <c r="R1" s="1" t="inlineStr">
        <is>
          <t>掉落/随机池触发概率</t>
        </is>
      </c>
      <c r="S1" s="1" t="inlineStr">
        <is>
          <t>数量</t>
        </is>
      </c>
      <c r="T1" s="1" t="inlineStr">
        <is>
          <t>池内权重</t>
        </is>
      </c>
      <c r="U1" s="1" t="inlineStr">
        <is>
          <t>是否选择池</t>
        </is>
      </c>
      <c r="V1" s="1" t="inlineStr">
        <is>
          <t>原始配置</t>
        </is>
      </c>
      <c r="W1" s="1" t="inlineStr">
        <is>
          <t>池内权重合计</t>
        </is>
      </c>
      <c r="X1" s="1" t="inlineStr">
        <is>
          <t>单项实际掉落概率</t>
        </is>
      </c>
      <c r="Y1" s="1" t="inlineStr">
        <is>
          <t>单次胜利期望数量</t>
        </is>
      </c>
      <c r="Z1" s="1" t="inlineStr">
        <is>
          <t>任务分类</t>
        </is>
      </c>
      <c r="AA1" s="1" t="inlineStr">
        <is>
          <t>每周次数(帮会)</t>
        </is>
      </c>
      <c r="AB1" s="1" t="inlineStr">
        <is>
          <t>奖励接收方</t>
        </is>
      </c>
      <c r="AC1" s="1" t="inlineStr">
        <is>
          <t>发奖条件</t>
        </is>
      </c>
      <c r="AD1" s="1" t="inlineStr">
        <is>
          <t>数据来源</t>
        </is>
      </c>
    </row>
    <row r="2">
      <c r="A2" s="2" t="n">
        <v>1</v>
      </c>
      <c r="B2" s="2" t="inlineStr">
        <is>
          <t>mid_autumn_moon_palace_trial</t>
        </is>
      </c>
      <c r="C2" s="2" t="inlineStr">
        <is>
          <t>广寒宫试炼</t>
        </is>
      </c>
      <c r="D2" s="2" t="inlineStr">
        <is>
          <t>中级</t>
        </is>
      </c>
      <c r="E2" s="2" t="inlineStr">
        <is>
          <t>task1</t>
        </is>
      </c>
      <c r="F2" s="2" t="inlineStr">
        <is>
          <t>否</t>
        </is>
      </c>
      <c r="G2" s="2" t="inlineStr">
        <is>
          <t>否</t>
        </is>
      </c>
      <c r="H2" s="2" t="n">
        <v>3</v>
      </c>
      <c r="I2" s="2" t="n">
        <v>1800</v>
      </c>
      <c r="J2" s="2" t="inlineStr">
        <is>
          <t>周二、周四、周六、周日</t>
        </is>
      </c>
      <c r="K2" s="2" t="inlineStr">
        <is>
          <t>无</t>
        </is>
      </c>
      <c r="L2" s="2" t="inlineStr">
        <is>
          <t>固定掉落</t>
        </is>
      </c>
      <c r="M2" s="2" t="inlineStr">
        <is>
          <t>silver</t>
        </is>
      </c>
      <c r="N2" s="2" t="inlineStr">
        <is>
          <t>silver</t>
        </is>
      </c>
      <c r="O2" s="2" t="inlineStr">
        <is>
          <t>银两</t>
        </is>
      </c>
      <c r="P2" s="2" t="inlineStr">
        <is>
          <t>资源</t>
        </is>
      </c>
      <c r="Q2" s="2" t="inlineStr">
        <is>
          <t>资源</t>
        </is>
      </c>
      <c r="R2" s="5" t="n">
        <v>1</v>
      </c>
      <c r="S2" s="2" t="n">
        <v>40000</v>
      </c>
      <c r="T2" s="2" t="n"/>
      <c r="U2" s="2" t="inlineStr">
        <is>
          <t>否</t>
        </is>
      </c>
      <c r="V2" s="2" t="inlineStr">
        <is>
          <t>40000</t>
        </is>
      </c>
      <c r="W2" s="2" t="n"/>
      <c r="X2" s="5">
        <f>R2</f>
        <v>1</v>
      </c>
      <c r="Y2" s="6">
        <f>X2*S2</f>
        <v>40000</v>
      </c>
      <c r="Z2" s="2" t="inlineStr">
        <is>
          <t>个人任务</t>
        </is>
      </c>
      <c r="AA2" s="2" t="n"/>
      <c r="AB2" s="2" t="inlineStr">
        <is>
          <t>挑战者庄园</t>
        </is>
      </c>
      <c r="AC2" s="2" t="inlineStr">
        <is>
          <t>玩家胜利、非撤退，任务返程/防守结算；宝箱内容另见宝箱奖励明细</t>
        </is>
      </c>
      <c r="AD2" s="2" t="inlineStr">
        <is>
          <t>data/mission_templates.yaml:mid_autumn_moon_palace_trial.drop_table.silver</t>
        </is>
      </c>
    </row>
    <row r="3">
      <c r="A3" s="2" t="n">
        <v>2</v>
      </c>
      <c r="B3" s="2" t="inlineStr">
        <is>
          <t>mid_autumn_moon_palace_trial</t>
        </is>
      </c>
      <c r="C3" s="2" t="inlineStr">
        <is>
          <t>广寒宫试炼</t>
        </is>
      </c>
      <c r="D3" s="2" t="inlineStr">
        <is>
          <t>中级</t>
        </is>
      </c>
      <c r="E3" s="2" t="inlineStr">
        <is>
          <t>task1</t>
        </is>
      </c>
      <c r="F3" s="2" t="inlineStr">
        <is>
          <t>否</t>
        </is>
      </c>
      <c r="G3" s="2" t="inlineStr">
        <is>
          <t>否</t>
        </is>
      </c>
      <c r="H3" s="2" t="n">
        <v>3</v>
      </c>
      <c r="I3" s="2" t="n">
        <v>1800</v>
      </c>
      <c r="J3" s="2" t="inlineStr">
        <is>
          <t>周二、周四、周六、周日</t>
        </is>
      </c>
      <c r="K3" s="2" t="inlineStr">
        <is>
          <t>无</t>
        </is>
      </c>
      <c r="L3" s="2" t="inlineStr">
        <is>
          <t>固定掉落</t>
        </is>
      </c>
      <c r="M3" s="2" t="inlineStr">
        <is>
          <t>mission_chest_mid_autumn_moon_palace_trial</t>
        </is>
      </c>
      <c r="N3" s="2" t="inlineStr">
        <is>
          <t>mission_chest_mid_autumn_moon_palace_trial</t>
        </is>
      </c>
      <c r="O3" s="2" t="inlineStr">
        <is>
          <t>广寒宫试炼宝箱</t>
        </is>
      </c>
      <c r="P3" s="2" t="inlineStr">
        <is>
          <t>loot_box</t>
        </is>
      </c>
      <c r="Q3" s="2" t="inlineStr">
        <is>
          <t>blue</t>
        </is>
      </c>
      <c r="R3" s="5" t="n">
        <v>1</v>
      </c>
      <c r="S3" s="2" t="n">
        <v>1</v>
      </c>
      <c r="T3" s="2" t="n"/>
      <c r="U3" s="2" t="inlineStr">
        <is>
          <t>否</t>
        </is>
      </c>
      <c r="V3" s="2" t="inlineStr">
        <is>
          <t>1</t>
        </is>
      </c>
      <c r="W3" s="2" t="n"/>
      <c r="X3" s="5">
        <f>R3</f>
        <v>1</v>
      </c>
      <c r="Y3" s="6">
        <f>X3*S3</f>
        <v>1</v>
      </c>
      <c r="Z3" s="2" t="inlineStr">
        <is>
          <t>个人任务</t>
        </is>
      </c>
      <c r="AA3" s="2" t="n"/>
      <c r="AB3" s="2" t="inlineStr">
        <is>
          <t>挑战者庄园</t>
        </is>
      </c>
      <c r="AC3" s="2" t="inlineStr">
        <is>
          <t>玩家胜利、非撤退，任务返程/防守结算；宝箱内容另见宝箱奖励明细</t>
        </is>
      </c>
      <c r="AD3" s="2" t="inlineStr">
        <is>
          <t>data/mission_templates.yaml:mid_autumn_moon_palace_trial.drop_table.mission_chest_mid_autumn_moon_palace_trial</t>
        </is>
      </c>
    </row>
    <row r="4">
      <c r="A4" s="2" t="n">
        <v>3</v>
      </c>
      <c r="B4" s="2" t="inlineStr">
        <is>
          <t>kasukabe_daisakusen</t>
        </is>
      </c>
      <c r="C4" s="2" t="inlineStr">
        <is>
          <t>春日部大作战</t>
        </is>
      </c>
      <c r="D4" s="2" t="inlineStr">
        <is>
          <t>中级</t>
        </is>
      </c>
      <c r="E4" s="2" t="inlineStr">
        <is>
          <t>task1</t>
        </is>
      </c>
      <c r="F4" s="2" t="inlineStr">
        <is>
          <t>否</t>
        </is>
      </c>
      <c r="G4" s="2" t="inlineStr">
        <is>
          <t>否</t>
        </is>
      </c>
      <c r="H4" s="2" t="n">
        <v>3</v>
      </c>
      <c r="I4" s="2" t="n">
        <v>1800</v>
      </c>
      <c r="J4" s="2" t="inlineStr">
        <is>
          <t>周二、周四、周六、周日</t>
        </is>
      </c>
      <c r="K4" s="2" t="inlineStr">
        <is>
          <t>无</t>
        </is>
      </c>
      <c r="L4" s="2" t="inlineStr">
        <is>
          <t>固定掉落</t>
        </is>
      </c>
      <c r="M4" s="2" t="inlineStr">
        <is>
          <t>silver</t>
        </is>
      </c>
      <c r="N4" s="2" t="inlineStr">
        <is>
          <t>silver</t>
        </is>
      </c>
      <c r="O4" s="2" t="inlineStr">
        <is>
          <t>银两</t>
        </is>
      </c>
      <c r="P4" s="2" t="inlineStr">
        <is>
          <t>资源</t>
        </is>
      </c>
      <c r="Q4" s="2" t="inlineStr">
        <is>
          <t>资源</t>
        </is>
      </c>
      <c r="R4" s="5" t="n">
        <v>1</v>
      </c>
      <c r="S4" s="2" t="n">
        <v>40000</v>
      </c>
      <c r="T4" s="2" t="n"/>
      <c r="U4" s="2" t="inlineStr">
        <is>
          <t>否</t>
        </is>
      </c>
      <c r="V4" s="2" t="inlineStr">
        <is>
          <t>40000</t>
        </is>
      </c>
      <c r="W4" s="2" t="n"/>
      <c r="X4" s="5">
        <f>R4</f>
        <v>1</v>
      </c>
      <c r="Y4" s="6">
        <f>X4*S4</f>
        <v>40000</v>
      </c>
      <c r="Z4" s="2" t="inlineStr">
        <is>
          <t>个人任务</t>
        </is>
      </c>
      <c r="AA4" s="2" t="n"/>
      <c r="AB4" s="2" t="inlineStr">
        <is>
          <t>挑战者庄园</t>
        </is>
      </c>
      <c r="AC4" s="2" t="inlineStr">
        <is>
          <t>玩家胜利、非撤退，任务返程/防守结算；宝箱内容另见宝箱奖励明细</t>
        </is>
      </c>
      <c r="AD4" s="2" t="inlineStr">
        <is>
          <t>data/mission_templates.yaml:kasukabe_daisakusen.drop_table.silver</t>
        </is>
      </c>
    </row>
    <row r="5">
      <c r="A5" s="2" t="n">
        <v>4</v>
      </c>
      <c r="B5" s="2" t="inlineStr">
        <is>
          <t>kasukabe_daisakusen</t>
        </is>
      </c>
      <c r="C5" s="2" t="inlineStr">
        <is>
          <t>春日部大作战</t>
        </is>
      </c>
      <c r="D5" s="2" t="inlineStr">
        <is>
          <t>中级</t>
        </is>
      </c>
      <c r="E5" s="2" t="inlineStr">
        <is>
          <t>task1</t>
        </is>
      </c>
      <c r="F5" s="2" t="inlineStr">
        <is>
          <t>否</t>
        </is>
      </c>
      <c r="G5" s="2" t="inlineStr">
        <is>
          <t>否</t>
        </is>
      </c>
      <c r="H5" s="2" t="n">
        <v>3</v>
      </c>
      <c r="I5" s="2" t="n">
        <v>1800</v>
      </c>
      <c r="J5" s="2" t="inlineStr">
        <is>
          <t>周二、周四、周六、周日</t>
        </is>
      </c>
      <c r="K5" s="2" t="inlineStr">
        <is>
          <t>无</t>
        </is>
      </c>
      <c r="L5" s="2" t="inlineStr">
        <is>
          <t>固定掉落</t>
        </is>
      </c>
      <c r="M5" s="2" t="inlineStr">
        <is>
          <t>mission_chest_kasukabe_daisakusen</t>
        </is>
      </c>
      <c r="N5" s="2" t="inlineStr">
        <is>
          <t>mission_chest_kasukabe_daisakusen</t>
        </is>
      </c>
      <c r="O5" s="2" t="inlineStr">
        <is>
          <t>春日部大作战宝箱</t>
        </is>
      </c>
      <c r="P5" s="2" t="inlineStr">
        <is>
          <t>loot_box</t>
        </is>
      </c>
      <c r="Q5" s="2" t="inlineStr">
        <is>
          <t>blue</t>
        </is>
      </c>
      <c r="R5" s="5" t="n">
        <v>1</v>
      </c>
      <c r="S5" s="2" t="n">
        <v>1</v>
      </c>
      <c r="T5" s="2" t="n"/>
      <c r="U5" s="2" t="inlineStr">
        <is>
          <t>否</t>
        </is>
      </c>
      <c r="V5" s="2" t="inlineStr">
        <is>
          <t>1</t>
        </is>
      </c>
      <c r="W5" s="2" t="n"/>
      <c r="X5" s="5">
        <f>R5</f>
        <v>1</v>
      </c>
      <c r="Y5" s="6">
        <f>X5*S5</f>
        <v>1</v>
      </c>
      <c r="Z5" s="2" t="inlineStr">
        <is>
          <t>个人任务</t>
        </is>
      </c>
      <c r="AA5" s="2" t="n"/>
      <c r="AB5" s="2" t="inlineStr">
        <is>
          <t>挑战者庄园</t>
        </is>
      </c>
      <c r="AC5" s="2" t="inlineStr">
        <is>
          <t>玩家胜利、非撤退，任务返程/防守结算；宝箱内容另见宝箱奖励明细</t>
        </is>
      </c>
      <c r="AD5" s="2" t="inlineStr">
        <is>
          <t>data/mission_templates.yaml:kasukabe_daisakusen.drop_table.mission_chest_kasukabe_daisakusen</t>
        </is>
      </c>
    </row>
    <row r="6">
      <c r="A6" s="2" t="n">
        <v>5</v>
      </c>
      <c r="B6" s="2" t="inlineStr">
        <is>
          <t>huashan_lunjian</t>
        </is>
      </c>
      <c r="C6" s="2" t="inlineStr">
        <is>
          <t>华山论贱</t>
        </is>
      </c>
      <c r="D6" s="2" t="inlineStr">
        <is>
          <t>初级</t>
        </is>
      </c>
      <c r="E6" s="2" t="inlineStr">
        <is>
          <t>task1</t>
        </is>
      </c>
      <c r="F6" s="2" t="inlineStr">
        <is>
          <t>否</t>
        </is>
      </c>
      <c r="G6" s="2" t="inlineStr">
        <is>
          <t>是</t>
        </is>
      </c>
      <c r="H6" s="2" t="n">
        <v>3</v>
      </c>
      <c r="I6" s="2" t="n">
        <v>1800</v>
      </c>
      <c r="J6" s="2" t="inlineStr">
        <is>
          <t>每日开放</t>
        </is>
      </c>
      <c r="K6" s="2" t="inlineStr">
        <is>
          <t>无</t>
        </is>
      </c>
      <c r="L6" s="2" t="inlineStr">
        <is>
          <t>固定掉落</t>
        </is>
      </c>
      <c r="M6" s="2" t="inlineStr">
        <is>
          <t>silver</t>
        </is>
      </c>
      <c r="N6" s="2" t="inlineStr">
        <is>
          <t>silver</t>
        </is>
      </c>
      <c r="O6" s="2" t="inlineStr">
        <is>
          <t>银两</t>
        </is>
      </c>
      <c r="P6" s="2" t="inlineStr">
        <is>
          <t>资源</t>
        </is>
      </c>
      <c r="Q6" s="2" t="inlineStr">
        <is>
          <t>资源</t>
        </is>
      </c>
      <c r="R6" s="5" t="n">
        <v>1</v>
      </c>
      <c r="S6" s="2" t="n">
        <v>8000</v>
      </c>
      <c r="T6" s="2" t="n"/>
      <c r="U6" s="2" t="inlineStr">
        <is>
          <t>否</t>
        </is>
      </c>
      <c r="V6" s="2" t="inlineStr">
        <is>
          <t>8000</t>
        </is>
      </c>
      <c r="W6" s="2" t="n"/>
      <c r="X6" s="5">
        <f>R6</f>
        <v>1</v>
      </c>
      <c r="Y6" s="6">
        <f>X6*S6</f>
        <v>8000</v>
      </c>
      <c r="Z6" s="2" t="inlineStr">
        <is>
          <t>个人任务</t>
        </is>
      </c>
      <c r="AA6" s="2" t="n"/>
      <c r="AB6" s="2" t="inlineStr">
        <is>
          <t>挑战者庄园</t>
        </is>
      </c>
      <c r="AC6" s="2" t="inlineStr">
        <is>
          <t>玩家胜利、非撤退，任务返程/防守结算；宝箱内容另见宝箱奖励明细</t>
        </is>
      </c>
      <c r="AD6" s="2" t="inlineStr">
        <is>
          <t>data/mission_templates.yaml:huashan_lunjian.drop_table.silver</t>
        </is>
      </c>
    </row>
    <row r="7">
      <c r="A7" s="2" t="n">
        <v>6</v>
      </c>
      <c r="B7" s="2" t="inlineStr">
        <is>
          <t>huashan_lunjian</t>
        </is>
      </c>
      <c r="C7" s="2" t="inlineStr">
        <is>
          <t>华山论贱</t>
        </is>
      </c>
      <c r="D7" s="2" t="inlineStr">
        <is>
          <t>初级</t>
        </is>
      </c>
      <c r="E7" s="2" t="inlineStr">
        <is>
          <t>task1</t>
        </is>
      </c>
      <c r="F7" s="2" t="inlineStr">
        <is>
          <t>否</t>
        </is>
      </c>
      <c r="G7" s="2" t="inlineStr">
        <is>
          <t>是</t>
        </is>
      </c>
      <c r="H7" s="2" t="n">
        <v>3</v>
      </c>
      <c r="I7" s="2" t="n">
        <v>1800</v>
      </c>
      <c r="J7" s="2" t="inlineStr">
        <is>
          <t>每日开放</t>
        </is>
      </c>
      <c r="K7" s="2" t="inlineStr">
        <is>
          <t>无</t>
        </is>
      </c>
      <c r="L7" s="2" t="inlineStr">
        <is>
          <t>固定掉落</t>
        </is>
      </c>
      <c r="M7" s="2" t="inlineStr">
        <is>
          <t>mission_chest_huashan_lunjian</t>
        </is>
      </c>
      <c r="N7" s="2" t="inlineStr">
        <is>
          <t>mission_chest_huashan_lunjian</t>
        </is>
      </c>
      <c r="O7" s="2" t="inlineStr">
        <is>
          <t>华山论贱宝箱</t>
        </is>
      </c>
      <c r="P7" s="2" t="inlineStr">
        <is>
          <t>loot_box</t>
        </is>
      </c>
      <c r="Q7" s="2" t="inlineStr">
        <is>
          <t>green</t>
        </is>
      </c>
      <c r="R7" s="5" t="n">
        <v>1</v>
      </c>
      <c r="S7" s="2" t="n">
        <v>1</v>
      </c>
      <c r="T7" s="2" t="n"/>
      <c r="U7" s="2" t="inlineStr">
        <is>
          <t>否</t>
        </is>
      </c>
      <c r="V7" s="2" t="inlineStr">
        <is>
          <t>1</t>
        </is>
      </c>
      <c r="W7" s="2" t="n"/>
      <c r="X7" s="5">
        <f>R7</f>
        <v>1</v>
      </c>
      <c r="Y7" s="6">
        <f>X7*S7</f>
        <v>1</v>
      </c>
      <c r="Z7" s="2" t="inlineStr">
        <is>
          <t>个人任务</t>
        </is>
      </c>
      <c r="AA7" s="2" t="n"/>
      <c r="AB7" s="2" t="inlineStr">
        <is>
          <t>挑战者庄园</t>
        </is>
      </c>
      <c r="AC7" s="2" t="inlineStr">
        <is>
          <t>玩家胜利、非撤退，任务返程/防守结算；宝箱内容另见宝箱奖励明细</t>
        </is>
      </c>
      <c r="AD7" s="2" t="inlineStr">
        <is>
          <t>data/mission_templates.yaml:huashan_lunjian.drop_table.mission_chest_huashan_lunjian</t>
        </is>
      </c>
    </row>
    <row r="8">
      <c r="A8" s="2" t="n">
        <v>7</v>
      </c>
      <c r="B8" s="2" t="inlineStr">
        <is>
          <t>wagangzhai_nixi</t>
        </is>
      </c>
      <c r="C8" s="2" t="inlineStr">
        <is>
          <t>瓦岗寨的逆袭</t>
        </is>
      </c>
      <c r="D8" s="2" t="inlineStr">
        <is>
          <t>中级</t>
        </is>
      </c>
      <c r="E8" s="2" t="inlineStr">
        <is>
          <t>task1</t>
        </is>
      </c>
      <c r="F8" s="2" t="inlineStr">
        <is>
          <t>是</t>
        </is>
      </c>
      <c r="G8" s="2" t="inlineStr">
        <is>
          <t>否</t>
        </is>
      </c>
      <c r="H8" s="2" t="n">
        <v>3</v>
      </c>
      <c r="I8" s="2" t="n">
        <v>1800</v>
      </c>
      <c r="J8" s="2" t="inlineStr">
        <is>
          <t>每日开放</t>
        </is>
      </c>
      <c r="K8" s="2" t="inlineStr">
        <is>
          <t>无</t>
        </is>
      </c>
      <c r="L8" s="2" t="inlineStr">
        <is>
          <t>固定掉落</t>
        </is>
      </c>
      <c r="M8" s="2" t="inlineStr">
        <is>
          <t>silver</t>
        </is>
      </c>
      <c r="N8" s="2" t="inlineStr">
        <is>
          <t>silver</t>
        </is>
      </c>
      <c r="O8" s="2" t="inlineStr">
        <is>
          <t>银两</t>
        </is>
      </c>
      <c r="P8" s="2" t="inlineStr">
        <is>
          <t>资源</t>
        </is>
      </c>
      <c r="Q8" s="2" t="inlineStr">
        <is>
          <t>资源</t>
        </is>
      </c>
      <c r="R8" s="5" t="n">
        <v>1</v>
      </c>
      <c r="S8" s="2" t="n">
        <v>40000</v>
      </c>
      <c r="T8" s="2" t="n"/>
      <c r="U8" s="2" t="inlineStr">
        <is>
          <t>否</t>
        </is>
      </c>
      <c r="V8" s="2" t="inlineStr">
        <is>
          <t>40000</t>
        </is>
      </c>
      <c r="W8" s="2" t="n"/>
      <c r="X8" s="5">
        <f>R8</f>
        <v>1</v>
      </c>
      <c r="Y8" s="6">
        <f>X8*S8</f>
        <v>40000</v>
      </c>
      <c r="Z8" s="2" t="inlineStr">
        <is>
          <t>个人任务</t>
        </is>
      </c>
      <c r="AA8" s="2" t="n"/>
      <c r="AB8" s="2" t="inlineStr">
        <is>
          <t>挑战者庄园</t>
        </is>
      </c>
      <c r="AC8" s="2" t="inlineStr">
        <is>
          <t>玩家胜利、非撤退，任务返程/防守结算；宝箱内容另见宝箱奖励明细</t>
        </is>
      </c>
      <c r="AD8" s="2" t="inlineStr">
        <is>
          <t>data/mission_templates.yaml:wagangzhai_nixi.drop_table.silver</t>
        </is>
      </c>
    </row>
    <row r="9">
      <c r="A9" s="2" t="n">
        <v>8</v>
      </c>
      <c r="B9" s="2" t="inlineStr">
        <is>
          <t>wagangzhai_nixi</t>
        </is>
      </c>
      <c r="C9" s="2" t="inlineStr">
        <is>
          <t>瓦岗寨的逆袭</t>
        </is>
      </c>
      <c r="D9" s="2" t="inlineStr">
        <is>
          <t>中级</t>
        </is>
      </c>
      <c r="E9" s="2" t="inlineStr">
        <is>
          <t>task1</t>
        </is>
      </c>
      <c r="F9" s="2" t="inlineStr">
        <is>
          <t>是</t>
        </is>
      </c>
      <c r="G9" s="2" t="inlineStr">
        <is>
          <t>否</t>
        </is>
      </c>
      <c r="H9" s="2" t="n">
        <v>3</v>
      </c>
      <c r="I9" s="2" t="n">
        <v>1800</v>
      </c>
      <c r="J9" s="2" t="inlineStr">
        <is>
          <t>每日开放</t>
        </is>
      </c>
      <c r="K9" s="2" t="inlineStr">
        <is>
          <t>无</t>
        </is>
      </c>
      <c r="L9" s="2" t="inlineStr">
        <is>
          <t>固定掉落</t>
        </is>
      </c>
      <c r="M9" s="2" t="inlineStr">
        <is>
          <t>mission_chest_wagangzhai_nixi</t>
        </is>
      </c>
      <c r="N9" s="2" t="inlineStr">
        <is>
          <t>mission_chest_wagangzhai_nixi</t>
        </is>
      </c>
      <c r="O9" s="2" t="inlineStr">
        <is>
          <t>瓦岗寨的逆袭宝箱</t>
        </is>
      </c>
      <c r="P9" s="2" t="inlineStr">
        <is>
          <t>loot_box</t>
        </is>
      </c>
      <c r="Q9" s="2" t="inlineStr">
        <is>
          <t>blue</t>
        </is>
      </c>
      <c r="R9" s="5" t="n">
        <v>1</v>
      </c>
      <c r="S9" s="2" t="n">
        <v>1</v>
      </c>
      <c r="T9" s="2" t="n"/>
      <c r="U9" s="2" t="inlineStr">
        <is>
          <t>否</t>
        </is>
      </c>
      <c r="V9" s="2" t="inlineStr">
        <is>
          <t>1</t>
        </is>
      </c>
      <c r="W9" s="2" t="n"/>
      <c r="X9" s="5">
        <f>R9</f>
        <v>1</v>
      </c>
      <c r="Y9" s="6">
        <f>X9*S9</f>
        <v>1</v>
      </c>
      <c r="Z9" s="2" t="inlineStr">
        <is>
          <t>个人任务</t>
        </is>
      </c>
      <c r="AA9" s="2" t="n"/>
      <c r="AB9" s="2" t="inlineStr">
        <is>
          <t>挑战者庄园</t>
        </is>
      </c>
      <c r="AC9" s="2" t="inlineStr">
        <is>
          <t>玩家胜利、非撤退，任务返程/防守结算；宝箱内容另见宝箱奖励明细</t>
        </is>
      </c>
      <c r="AD9" s="2" t="inlineStr">
        <is>
          <t>data/mission_templates.yaml:wagangzhai_nixi.drop_table.mission_chest_wagangzhai_nixi</t>
        </is>
      </c>
    </row>
    <row r="10">
      <c r="A10" s="2" t="n">
        <v>9</v>
      </c>
      <c r="B10" s="2" t="inlineStr">
        <is>
          <t>jingyanggang</t>
        </is>
      </c>
      <c r="C10" s="2" t="inlineStr">
        <is>
          <t>景阳冈</t>
        </is>
      </c>
      <c r="D10" s="2" t="inlineStr">
        <is>
          <t>初级</t>
        </is>
      </c>
      <c r="E10" s="2" t="inlineStr">
        <is>
          <t>task1</t>
        </is>
      </c>
      <c r="F10" s="2" t="inlineStr">
        <is>
          <t>否</t>
        </is>
      </c>
      <c r="G10" s="2" t="inlineStr">
        <is>
          <t>是</t>
        </is>
      </c>
      <c r="H10" s="2" t="n">
        <v>3</v>
      </c>
      <c r="I10" s="2" t="n">
        <v>1800</v>
      </c>
      <c r="J10" s="2" t="inlineStr">
        <is>
          <t>每日开放</t>
        </is>
      </c>
      <c r="K10" s="2" t="inlineStr">
        <is>
          <t>无</t>
        </is>
      </c>
      <c r="L10" s="2" t="inlineStr">
        <is>
          <t>固定掉落</t>
        </is>
      </c>
      <c r="M10" s="2" t="inlineStr">
        <is>
          <t>silver</t>
        </is>
      </c>
      <c r="N10" s="2" t="inlineStr">
        <is>
          <t>silver</t>
        </is>
      </c>
      <c r="O10" s="2" t="inlineStr">
        <is>
          <t>银两</t>
        </is>
      </c>
      <c r="P10" s="2" t="inlineStr">
        <is>
          <t>资源</t>
        </is>
      </c>
      <c r="Q10" s="2" t="inlineStr">
        <is>
          <t>资源</t>
        </is>
      </c>
      <c r="R10" s="5" t="n">
        <v>1</v>
      </c>
      <c r="S10" s="2" t="n">
        <v>7000</v>
      </c>
      <c r="T10" s="2" t="n"/>
      <c r="U10" s="2" t="inlineStr">
        <is>
          <t>否</t>
        </is>
      </c>
      <c r="V10" s="2" t="inlineStr">
        <is>
          <t>7000</t>
        </is>
      </c>
      <c r="W10" s="2" t="n"/>
      <c r="X10" s="5">
        <f>R10</f>
        <v>1</v>
      </c>
      <c r="Y10" s="6">
        <f>X10*S10</f>
        <v>7000</v>
      </c>
      <c r="Z10" s="2" t="inlineStr">
        <is>
          <t>个人任务</t>
        </is>
      </c>
      <c r="AA10" s="2" t="n"/>
      <c r="AB10" s="2" t="inlineStr">
        <is>
          <t>挑战者庄园</t>
        </is>
      </c>
      <c r="AC10" s="2" t="inlineStr">
        <is>
          <t>玩家胜利、非撤退，任务返程/防守结算；宝箱内容另见宝箱奖励明细</t>
        </is>
      </c>
      <c r="AD10" s="2" t="inlineStr">
        <is>
          <t>data/mission_templates.yaml:jingyanggang.drop_table.silver</t>
        </is>
      </c>
    </row>
    <row r="11">
      <c r="A11" s="2" t="n">
        <v>10</v>
      </c>
      <c r="B11" s="2" t="inlineStr">
        <is>
          <t>jingyanggang</t>
        </is>
      </c>
      <c r="C11" s="2" t="inlineStr">
        <is>
          <t>景阳冈</t>
        </is>
      </c>
      <c r="D11" s="2" t="inlineStr">
        <is>
          <t>初级</t>
        </is>
      </c>
      <c r="E11" s="2" t="inlineStr">
        <is>
          <t>task1</t>
        </is>
      </c>
      <c r="F11" s="2" t="inlineStr">
        <is>
          <t>否</t>
        </is>
      </c>
      <c r="G11" s="2" t="inlineStr">
        <is>
          <t>是</t>
        </is>
      </c>
      <c r="H11" s="2" t="n">
        <v>3</v>
      </c>
      <c r="I11" s="2" t="n">
        <v>1800</v>
      </c>
      <c r="J11" s="2" t="inlineStr">
        <is>
          <t>每日开放</t>
        </is>
      </c>
      <c r="K11" s="2" t="inlineStr">
        <is>
          <t>无</t>
        </is>
      </c>
      <c r="L11" s="2" t="inlineStr">
        <is>
          <t>固定掉落</t>
        </is>
      </c>
      <c r="M11" s="2" t="inlineStr">
        <is>
          <t>mission_chest_jingyanggang</t>
        </is>
      </c>
      <c r="N11" s="2" t="inlineStr">
        <is>
          <t>mission_chest_jingyanggang</t>
        </is>
      </c>
      <c r="O11" s="2" t="inlineStr">
        <is>
          <t>景阳冈宝箱</t>
        </is>
      </c>
      <c r="P11" s="2" t="inlineStr">
        <is>
          <t>loot_box</t>
        </is>
      </c>
      <c r="Q11" s="2" t="inlineStr">
        <is>
          <t>green</t>
        </is>
      </c>
      <c r="R11" s="5" t="n">
        <v>1</v>
      </c>
      <c r="S11" s="2" t="n">
        <v>1</v>
      </c>
      <c r="T11" s="2" t="n"/>
      <c r="U11" s="2" t="inlineStr">
        <is>
          <t>否</t>
        </is>
      </c>
      <c r="V11" s="2" t="inlineStr">
        <is>
          <t>1</t>
        </is>
      </c>
      <c r="W11" s="2" t="n"/>
      <c r="X11" s="5">
        <f>R11</f>
        <v>1</v>
      </c>
      <c r="Y11" s="6">
        <f>X11*S11</f>
        <v>1</v>
      </c>
      <c r="Z11" s="2" t="inlineStr">
        <is>
          <t>个人任务</t>
        </is>
      </c>
      <c r="AA11" s="2" t="n"/>
      <c r="AB11" s="2" t="inlineStr">
        <is>
          <t>挑战者庄园</t>
        </is>
      </c>
      <c r="AC11" s="2" t="inlineStr">
        <is>
          <t>玩家胜利、非撤退，任务返程/防守结算；宝箱内容另见宝箱奖励明细</t>
        </is>
      </c>
      <c r="AD11" s="2" t="inlineStr">
        <is>
          <t>data/mission_templates.yaml:jingyanggang.drop_table.mission_chest_jingyanggang</t>
        </is>
      </c>
    </row>
    <row r="12">
      <c r="A12" s="2" t="n">
        <v>11</v>
      </c>
      <c r="B12" s="2" t="inlineStr">
        <is>
          <t>wulongshan</t>
        </is>
      </c>
      <c r="C12" s="2" t="inlineStr">
        <is>
          <t>乌龙山</t>
        </is>
      </c>
      <c r="D12" s="2" t="inlineStr">
        <is>
          <t>初级</t>
        </is>
      </c>
      <c r="E12" s="2" t="inlineStr">
        <is>
          <t>task1</t>
        </is>
      </c>
      <c r="F12" s="2" t="inlineStr">
        <is>
          <t>否</t>
        </is>
      </c>
      <c r="G12" s="2" t="inlineStr">
        <is>
          <t>否</t>
        </is>
      </c>
      <c r="H12" s="2" t="n">
        <v>3</v>
      </c>
      <c r="I12" s="2" t="n">
        <v>1800</v>
      </c>
      <c r="J12" s="2" t="inlineStr">
        <is>
          <t>每日开放</t>
        </is>
      </c>
      <c r="K12" s="2" t="inlineStr">
        <is>
          <t>无</t>
        </is>
      </c>
      <c r="L12" s="2" t="inlineStr">
        <is>
          <t>固定掉落</t>
        </is>
      </c>
      <c r="M12" s="2" t="inlineStr">
        <is>
          <t>silver</t>
        </is>
      </c>
      <c r="N12" s="2" t="inlineStr">
        <is>
          <t>silver</t>
        </is>
      </c>
      <c r="O12" s="2" t="inlineStr">
        <is>
          <t>银两</t>
        </is>
      </c>
      <c r="P12" s="2" t="inlineStr">
        <is>
          <t>资源</t>
        </is>
      </c>
      <c r="Q12" s="2" t="inlineStr">
        <is>
          <t>资源</t>
        </is>
      </c>
      <c r="R12" s="5" t="n">
        <v>1</v>
      </c>
      <c r="S12" s="2" t="n">
        <v>15000</v>
      </c>
      <c r="T12" s="2" t="n"/>
      <c r="U12" s="2" t="inlineStr">
        <is>
          <t>否</t>
        </is>
      </c>
      <c r="V12" s="2" t="inlineStr">
        <is>
          <t>15000</t>
        </is>
      </c>
      <c r="W12" s="2" t="n"/>
      <c r="X12" s="5">
        <f>R12</f>
        <v>1</v>
      </c>
      <c r="Y12" s="6">
        <f>X12*S12</f>
        <v>15000</v>
      </c>
      <c r="Z12" s="2" t="inlineStr">
        <is>
          <t>个人任务</t>
        </is>
      </c>
      <c r="AA12" s="2" t="n"/>
      <c r="AB12" s="2" t="inlineStr">
        <is>
          <t>挑战者庄园</t>
        </is>
      </c>
      <c r="AC12" s="2" t="inlineStr">
        <is>
          <t>玩家胜利、非撤退，任务返程/防守结算；宝箱内容另见宝箱奖励明细</t>
        </is>
      </c>
      <c r="AD12" s="2" t="inlineStr">
        <is>
          <t>data/mission_templates.yaml:wulongshan.drop_table.silver</t>
        </is>
      </c>
    </row>
    <row r="13">
      <c r="A13" s="2" t="n">
        <v>12</v>
      </c>
      <c r="B13" s="2" t="inlineStr">
        <is>
          <t>wulongshan</t>
        </is>
      </c>
      <c r="C13" s="2" t="inlineStr">
        <is>
          <t>乌龙山</t>
        </is>
      </c>
      <c r="D13" s="2" t="inlineStr">
        <is>
          <t>初级</t>
        </is>
      </c>
      <c r="E13" s="2" t="inlineStr">
        <is>
          <t>task1</t>
        </is>
      </c>
      <c r="F13" s="2" t="inlineStr">
        <is>
          <t>否</t>
        </is>
      </c>
      <c r="G13" s="2" t="inlineStr">
        <is>
          <t>否</t>
        </is>
      </c>
      <c r="H13" s="2" t="n">
        <v>3</v>
      </c>
      <c r="I13" s="2" t="n">
        <v>1800</v>
      </c>
      <c r="J13" s="2" t="inlineStr">
        <is>
          <t>每日开放</t>
        </is>
      </c>
      <c r="K13" s="2" t="inlineStr">
        <is>
          <t>无</t>
        </is>
      </c>
      <c r="L13" s="2" t="inlineStr">
        <is>
          <t>固定掉落</t>
        </is>
      </c>
      <c r="M13" s="2" t="inlineStr">
        <is>
          <t>mission_chest_wulongshan</t>
        </is>
      </c>
      <c r="N13" s="2" t="inlineStr">
        <is>
          <t>mission_chest_wulongshan</t>
        </is>
      </c>
      <c r="O13" s="2" t="inlineStr">
        <is>
          <t>乌龙山宝箱</t>
        </is>
      </c>
      <c r="P13" s="2" t="inlineStr">
        <is>
          <t>loot_box</t>
        </is>
      </c>
      <c r="Q13" s="2" t="inlineStr">
        <is>
          <t>green</t>
        </is>
      </c>
      <c r="R13" s="5" t="n">
        <v>1</v>
      </c>
      <c r="S13" s="2" t="n">
        <v>1</v>
      </c>
      <c r="T13" s="2" t="n"/>
      <c r="U13" s="2" t="inlineStr">
        <is>
          <t>否</t>
        </is>
      </c>
      <c r="V13" s="2" t="inlineStr">
        <is>
          <t>1</t>
        </is>
      </c>
      <c r="W13" s="2" t="n"/>
      <c r="X13" s="5">
        <f>R13</f>
        <v>1</v>
      </c>
      <c r="Y13" s="6">
        <f>X13*S13</f>
        <v>1</v>
      </c>
      <c r="Z13" s="2" t="inlineStr">
        <is>
          <t>个人任务</t>
        </is>
      </c>
      <c r="AA13" s="2" t="n"/>
      <c r="AB13" s="2" t="inlineStr">
        <is>
          <t>挑战者庄园</t>
        </is>
      </c>
      <c r="AC13" s="2" t="inlineStr">
        <is>
          <t>玩家胜利、非撤退，任务返程/防守结算；宝箱内容另见宝箱奖励明细</t>
        </is>
      </c>
      <c r="AD13" s="2" t="inlineStr">
        <is>
          <t>data/mission_templates.yaml:wulongshan.drop_table.mission_chest_wulongshan</t>
        </is>
      </c>
    </row>
    <row r="14">
      <c r="A14" s="2" t="n">
        <v>13</v>
      </c>
      <c r="B14" s="2" t="inlineStr">
        <is>
          <t>wagangzhai</t>
        </is>
      </c>
      <c r="C14" s="2" t="inlineStr">
        <is>
          <t>瓦岗寨</t>
        </is>
      </c>
      <c r="D14" s="2" t="inlineStr">
        <is>
          <t>初级</t>
        </is>
      </c>
      <c r="E14" s="2" t="inlineStr">
        <is>
          <t>task1</t>
        </is>
      </c>
      <c r="F14" s="2" t="inlineStr">
        <is>
          <t>否</t>
        </is>
      </c>
      <c r="G14" s="2" t="inlineStr">
        <is>
          <t>否</t>
        </is>
      </c>
      <c r="H14" s="2" t="n">
        <v>3</v>
      </c>
      <c r="I14" s="2" t="n">
        <v>1800</v>
      </c>
      <c r="J14" s="2" t="inlineStr">
        <is>
          <t>每日开放</t>
        </is>
      </c>
      <c r="K14" s="2" t="inlineStr">
        <is>
          <t>无</t>
        </is>
      </c>
      <c r="L14" s="2" t="inlineStr">
        <is>
          <t>固定掉落</t>
        </is>
      </c>
      <c r="M14" s="2" t="inlineStr">
        <is>
          <t>silver</t>
        </is>
      </c>
      <c r="N14" s="2" t="inlineStr">
        <is>
          <t>silver</t>
        </is>
      </c>
      <c r="O14" s="2" t="inlineStr">
        <is>
          <t>银两</t>
        </is>
      </c>
      <c r="P14" s="2" t="inlineStr">
        <is>
          <t>资源</t>
        </is>
      </c>
      <c r="Q14" s="2" t="inlineStr">
        <is>
          <t>资源</t>
        </is>
      </c>
      <c r="R14" s="5" t="n">
        <v>1</v>
      </c>
      <c r="S14" s="2" t="n">
        <v>20000</v>
      </c>
      <c r="T14" s="2" t="n"/>
      <c r="U14" s="2" t="inlineStr">
        <is>
          <t>否</t>
        </is>
      </c>
      <c r="V14" s="2" t="inlineStr">
        <is>
          <t>20000</t>
        </is>
      </c>
      <c r="W14" s="2" t="n"/>
      <c r="X14" s="5">
        <f>R14</f>
        <v>1</v>
      </c>
      <c r="Y14" s="6">
        <f>X14*S14</f>
        <v>20000</v>
      </c>
      <c r="Z14" s="2" t="inlineStr">
        <is>
          <t>个人任务</t>
        </is>
      </c>
      <c r="AA14" s="2" t="n"/>
      <c r="AB14" s="2" t="inlineStr">
        <is>
          <t>挑战者庄园</t>
        </is>
      </c>
      <c r="AC14" s="2" t="inlineStr">
        <is>
          <t>玩家胜利、非撤退，任务返程/防守结算；宝箱内容另见宝箱奖励明细</t>
        </is>
      </c>
      <c r="AD14" s="2" t="inlineStr">
        <is>
          <t>data/mission_templates.yaml:wagangzhai.drop_table.silver</t>
        </is>
      </c>
    </row>
    <row r="15">
      <c r="A15" s="2" t="n">
        <v>14</v>
      </c>
      <c r="B15" s="2" t="inlineStr">
        <is>
          <t>wagangzhai</t>
        </is>
      </c>
      <c r="C15" s="2" t="inlineStr">
        <is>
          <t>瓦岗寨</t>
        </is>
      </c>
      <c r="D15" s="2" t="inlineStr">
        <is>
          <t>初级</t>
        </is>
      </c>
      <c r="E15" s="2" t="inlineStr">
        <is>
          <t>task1</t>
        </is>
      </c>
      <c r="F15" s="2" t="inlineStr">
        <is>
          <t>否</t>
        </is>
      </c>
      <c r="G15" s="2" t="inlineStr">
        <is>
          <t>否</t>
        </is>
      </c>
      <c r="H15" s="2" t="n">
        <v>3</v>
      </c>
      <c r="I15" s="2" t="n">
        <v>1800</v>
      </c>
      <c r="J15" s="2" t="inlineStr">
        <is>
          <t>每日开放</t>
        </is>
      </c>
      <c r="K15" s="2" t="inlineStr">
        <is>
          <t>无</t>
        </is>
      </c>
      <c r="L15" s="2" t="inlineStr">
        <is>
          <t>固定掉落</t>
        </is>
      </c>
      <c r="M15" s="2" t="inlineStr">
        <is>
          <t>mission_chest_wagangzhai</t>
        </is>
      </c>
      <c r="N15" s="2" t="inlineStr">
        <is>
          <t>mission_chest_wagangzhai</t>
        </is>
      </c>
      <c r="O15" s="2" t="inlineStr">
        <is>
          <t>瓦岗寨宝箱</t>
        </is>
      </c>
      <c r="P15" s="2" t="inlineStr">
        <is>
          <t>loot_box</t>
        </is>
      </c>
      <c r="Q15" s="2" t="inlineStr">
        <is>
          <t>green</t>
        </is>
      </c>
      <c r="R15" s="5" t="n">
        <v>1</v>
      </c>
      <c r="S15" s="2" t="n">
        <v>1</v>
      </c>
      <c r="T15" s="2" t="n"/>
      <c r="U15" s="2" t="inlineStr">
        <is>
          <t>否</t>
        </is>
      </c>
      <c r="V15" s="2" t="inlineStr">
        <is>
          <t>1</t>
        </is>
      </c>
      <c r="W15" s="2" t="n"/>
      <c r="X15" s="5">
        <f>R15</f>
        <v>1</v>
      </c>
      <c r="Y15" s="6">
        <f>X15*S15</f>
        <v>1</v>
      </c>
      <c r="Z15" s="2" t="inlineStr">
        <is>
          <t>个人任务</t>
        </is>
      </c>
      <c r="AA15" s="2" t="n"/>
      <c r="AB15" s="2" t="inlineStr">
        <is>
          <t>挑战者庄园</t>
        </is>
      </c>
      <c r="AC15" s="2" t="inlineStr">
        <is>
          <t>玩家胜利、非撤退，任务返程/防守结算；宝箱内容另见宝箱奖励明细</t>
        </is>
      </c>
      <c r="AD15" s="2" t="inlineStr">
        <is>
          <t>data/mission_templates.yaml:wagangzhai.drop_table.mission_chest_wagangzhai</t>
        </is>
      </c>
    </row>
    <row r="16">
      <c r="A16" s="2" t="n">
        <v>15</v>
      </c>
      <c r="B16" s="2" t="inlineStr">
        <is>
          <t>fugui_shanzhuang</t>
        </is>
      </c>
      <c r="C16" s="2" t="inlineStr">
        <is>
          <t>富贵山庄</t>
        </is>
      </c>
      <c r="D16" s="2" t="inlineStr">
        <is>
          <t>初级</t>
        </is>
      </c>
      <c r="E16" s="2" t="inlineStr">
        <is>
          <t>task1</t>
        </is>
      </c>
      <c r="F16" s="2" t="inlineStr">
        <is>
          <t>否</t>
        </is>
      </c>
      <c r="G16" s="2" t="inlineStr">
        <is>
          <t>是</t>
        </is>
      </c>
      <c r="H16" s="2" t="n">
        <v>3</v>
      </c>
      <c r="I16" s="2" t="n">
        <v>1800</v>
      </c>
      <c r="J16" s="2" t="inlineStr">
        <is>
          <t>每日开放</t>
        </is>
      </c>
      <c r="K16" s="2" t="inlineStr">
        <is>
          <t>无</t>
        </is>
      </c>
      <c r="L16" s="2" t="inlineStr">
        <is>
          <t>固定掉落</t>
        </is>
      </c>
      <c r="M16" s="2" t="inlineStr">
        <is>
          <t>silver</t>
        </is>
      </c>
      <c r="N16" s="2" t="inlineStr">
        <is>
          <t>silver</t>
        </is>
      </c>
      <c r="O16" s="2" t="inlineStr">
        <is>
          <t>银两</t>
        </is>
      </c>
      <c r="P16" s="2" t="inlineStr">
        <is>
          <t>资源</t>
        </is>
      </c>
      <c r="Q16" s="2" t="inlineStr">
        <is>
          <t>资源</t>
        </is>
      </c>
      <c r="R16" s="5" t="n">
        <v>1</v>
      </c>
      <c r="S16" s="2" t="n">
        <v>14000</v>
      </c>
      <c r="T16" s="2" t="n"/>
      <c r="U16" s="2" t="inlineStr">
        <is>
          <t>否</t>
        </is>
      </c>
      <c r="V16" s="2" t="inlineStr">
        <is>
          <t>14000</t>
        </is>
      </c>
      <c r="W16" s="2" t="n"/>
      <c r="X16" s="5">
        <f>R16</f>
        <v>1</v>
      </c>
      <c r="Y16" s="6">
        <f>X16*S16</f>
        <v>14000</v>
      </c>
      <c r="Z16" s="2" t="inlineStr">
        <is>
          <t>个人任务</t>
        </is>
      </c>
      <c r="AA16" s="2" t="n"/>
      <c r="AB16" s="2" t="inlineStr">
        <is>
          <t>挑战者庄园</t>
        </is>
      </c>
      <c r="AC16" s="2" t="inlineStr">
        <is>
          <t>玩家胜利、非撤退，任务返程/防守结算；宝箱内容另见宝箱奖励明细</t>
        </is>
      </c>
      <c r="AD16" s="2" t="inlineStr">
        <is>
          <t>data/mission_templates.yaml:fugui_shanzhuang.drop_table.silver</t>
        </is>
      </c>
    </row>
    <row r="17">
      <c r="A17" s="2" t="n">
        <v>16</v>
      </c>
      <c r="B17" s="2" t="inlineStr">
        <is>
          <t>fugui_shanzhuang</t>
        </is>
      </c>
      <c r="C17" s="2" t="inlineStr">
        <is>
          <t>富贵山庄</t>
        </is>
      </c>
      <c r="D17" s="2" t="inlineStr">
        <is>
          <t>初级</t>
        </is>
      </c>
      <c r="E17" s="2" t="inlineStr">
        <is>
          <t>task1</t>
        </is>
      </c>
      <c r="F17" s="2" t="inlineStr">
        <is>
          <t>否</t>
        </is>
      </c>
      <c r="G17" s="2" t="inlineStr">
        <is>
          <t>是</t>
        </is>
      </c>
      <c r="H17" s="2" t="n">
        <v>3</v>
      </c>
      <c r="I17" s="2" t="n">
        <v>1800</v>
      </c>
      <c r="J17" s="2" t="inlineStr">
        <is>
          <t>每日开放</t>
        </is>
      </c>
      <c r="K17" s="2" t="inlineStr">
        <is>
          <t>无</t>
        </is>
      </c>
      <c r="L17" s="2" t="inlineStr">
        <is>
          <t>固定掉落</t>
        </is>
      </c>
      <c r="M17" s="2" t="inlineStr">
        <is>
          <t>mission_chest_fugui_shanzhuang</t>
        </is>
      </c>
      <c r="N17" s="2" t="inlineStr">
        <is>
          <t>mission_chest_fugui_shanzhuang</t>
        </is>
      </c>
      <c r="O17" s="2" t="inlineStr">
        <is>
          <t>富贵山庄宝箱</t>
        </is>
      </c>
      <c r="P17" s="2" t="inlineStr">
        <is>
          <t>loot_box</t>
        </is>
      </c>
      <c r="Q17" s="2" t="inlineStr">
        <is>
          <t>green</t>
        </is>
      </c>
      <c r="R17" s="5" t="n">
        <v>1</v>
      </c>
      <c r="S17" s="2" t="n">
        <v>1</v>
      </c>
      <c r="T17" s="2" t="n"/>
      <c r="U17" s="2" t="inlineStr">
        <is>
          <t>否</t>
        </is>
      </c>
      <c r="V17" s="2" t="inlineStr">
        <is>
          <t>1</t>
        </is>
      </c>
      <c r="W17" s="2" t="n"/>
      <c r="X17" s="5">
        <f>R17</f>
        <v>1</v>
      </c>
      <c r="Y17" s="6">
        <f>X17*S17</f>
        <v>1</v>
      </c>
      <c r="Z17" s="2" t="inlineStr">
        <is>
          <t>个人任务</t>
        </is>
      </c>
      <c r="AA17" s="2" t="n"/>
      <c r="AB17" s="2" t="inlineStr">
        <is>
          <t>挑战者庄园</t>
        </is>
      </c>
      <c r="AC17" s="2" t="inlineStr">
        <is>
          <t>玩家胜利、非撤退，任务返程/防守结算；宝箱内容另见宝箱奖励明细</t>
        </is>
      </c>
      <c r="AD17" s="2" t="inlineStr">
        <is>
          <t>data/mission_templates.yaml:fugui_shanzhuang.drop_table.mission_chest_fugui_shanzhuang</t>
        </is>
      </c>
    </row>
    <row r="18">
      <c r="A18" s="2" t="n">
        <v>17</v>
      </c>
      <c r="B18" s="2" t="inlineStr">
        <is>
          <t>shizipo_heidian</t>
        </is>
      </c>
      <c r="C18" s="2" t="inlineStr">
        <is>
          <t>十字坡黑店</t>
        </is>
      </c>
      <c r="D18" s="2" t="inlineStr">
        <is>
          <t>中级</t>
        </is>
      </c>
      <c r="E18" s="2" t="inlineStr">
        <is>
          <t>task1</t>
        </is>
      </c>
      <c r="F18" s="2" t="inlineStr">
        <is>
          <t>否</t>
        </is>
      </c>
      <c r="G18" s="2" t="inlineStr">
        <is>
          <t>否</t>
        </is>
      </c>
      <c r="H18" s="2" t="n">
        <v>3</v>
      </c>
      <c r="I18" s="2" t="n">
        <v>1800</v>
      </c>
      <c r="J18" s="2" t="inlineStr">
        <is>
          <t>每日开放</t>
        </is>
      </c>
      <c r="K18" s="2" t="inlineStr">
        <is>
          <t>无</t>
        </is>
      </c>
      <c r="L18" s="2" t="inlineStr">
        <is>
          <t>固定掉落</t>
        </is>
      </c>
      <c r="M18" s="2" t="inlineStr">
        <is>
          <t>silver</t>
        </is>
      </c>
      <c r="N18" s="2" t="inlineStr">
        <is>
          <t>silver</t>
        </is>
      </c>
      <c r="O18" s="2" t="inlineStr">
        <is>
          <t>银两</t>
        </is>
      </c>
      <c r="P18" s="2" t="inlineStr">
        <is>
          <t>资源</t>
        </is>
      </c>
      <c r="Q18" s="2" t="inlineStr">
        <is>
          <t>资源</t>
        </is>
      </c>
      <c r="R18" s="5" t="n">
        <v>1</v>
      </c>
      <c r="S18" s="2" t="n">
        <v>30000</v>
      </c>
      <c r="T18" s="2" t="n"/>
      <c r="U18" s="2" t="inlineStr">
        <is>
          <t>否</t>
        </is>
      </c>
      <c r="V18" s="2" t="inlineStr">
        <is>
          <t>30000</t>
        </is>
      </c>
      <c r="W18" s="2" t="n"/>
      <c r="X18" s="5">
        <f>R18</f>
        <v>1</v>
      </c>
      <c r="Y18" s="6">
        <f>X18*S18</f>
        <v>30000</v>
      </c>
      <c r="Z18" s="2" t="inlineStr">
        <is>
          <t>个人任务</t>
        </is>
      </c>
      <c r="AA18" s="2" t="n"/>
      <c r="AB18" s="2" t="inlineStr">
        <is>
          <t>挑战者庄园</t>
        </is>
      </c>
      <c r="AC18" s="2" t="inlineStr">
        <is>
          <t>玩家胜利、非撤退，任务返程/防守结算；宝箱内容另见宝箱奖励明细</t>
        </is>
      </c>
      <c r="AD18" s="2" t="inlineStr">
        <is>
          <t>data/mission_templates.yaml:shizipo_heidian.drop_table.silver</t>
        </is>
      </c>
    </row>
    <row r="19">
      <c r="A19" s="2" t="n">
        <v>18</v>
      </c>
      <c r="B19" s="2" t="inlineStr">
        <is>
          <t>shizipo_heidian</t>
        </is>
      </c>
      <c r="C19" s="2" t="inlineStr">
        <is>
          <t>十字坡黑店</t>
        </is>
      </c>
      <c r="D19" s="2" t="inlineStr">
        <is>
          <t>中级</t>
        </is>
      </c>
      <c r="E19" s="2" t="inlineStr">
        <is>
          <t>task1</t>
        </is>
      </c>
      <c r="F19" s="2" t="inlineStr">
        <is>
          <t>否</t>
        </is>
      </c>
      <c r="G19" s="2" t="inlineStr">
        <is>
          <t>否</t>
        </is>
      </c>
      <c r="H19" s="2" t="n">
        <v>3</v>
      </c>
      <c r="I19" s="2" t="n">
        <v>1800</v>
      </c>
      <c r="J19" s="2" t="inlineStr">
        <is>
          <t>每日开放</t>
        </is>
      </c>
      <c r="K19" s="2" t="inlineStr">
        <is>
          <t>无</t>
        </is>
      </c>
      <c r="L19" s="2" t="inlineStr">
        <is>
          <t>固定掉落</t>
        </is>
      </c>
      <c r="M19" s="2" t="inlineStr">
        <is>
          <t>mission_chest_shizipo_heidian</t>
        </is>
      </c>
      <c r="N19" s="2" t="inlineStr">
        <is>
          <t>mission_chest_shizipo_heidian</t>
        </is>
      </c>
      <c r="O19" s="2" t="inlineStr">
        <is>
          <t>十字坡黑店宝箱</t>
        </is>
      </c>
      <c r="P19" s="2" t="inlineStr">
        <is>
          <t>loot_box</t>
        </is>
      </c>
      <c r="Q19" s="2" t="inlineStr">
        <is>
          <t>blue</t>
        </is>
      </c>
      <c r="R19" s="5" t="n">
        <v>1</v>
      </c>
      <c r="S19" s="2" t="n">
        <v>1</v>
      </c>
      <c r="T19" s="2" t="n"/>
      <c r="U19" s="2" t="inlineStr">
        <is>
          <t>否</t>
        </is>
      </c>
      <c r="V19" s="2" t="inlineStr">
        <is>
          <t>1</t>
        </is>
      </c>
      <c r="W19" s="2" t="n"/>
      <c r="X19" s="5">
        <f>R19</f>
        <v>1</v>
      </c>
      <c r="Y19" s="6">
        <f>X19*S19</f>
        <v>1</v>
      </c>
      <c r="Z19" s="2" t="inlineStr">
        <is>
          <t>个人任务</t>
        </is>
      </c>
      <c r="AA19" s="2" t="n"/>
      <c r="AB19" s="2" t="inlineStr">
        <is>
          <t>挑战者庄园</t>
        </is>
      </c>
      <c r="AC19" s="2" t="inlineStr">
        <is>
          <t>玩家胜利、非撤退，任务返程/防守结算；宝箱内容另见宝箱奖励明细</t>
        </is>
      </c>
      <c r="AD19" s="2" t="inlineStr">
        <is>
          <t>data/mission_templates.yaml:shizipo_heidian.drop_table.mission_chest_shizipo_heidian</t>
        </is>
      </c>
    </row>
    <row r="20">
      <c r="A20" s="2" t="n">
        <v>19</v>
      </c>
      <c r="B20" s="2" t="inlineStr">
        <is>
          <t>shanhaiguan</t>
        </is>
      </c>
      <c r="C20" s="2" t="inlineStr">
        <is>
          <t>山海关</t>
        </is>
      </c>
      <c r="D20" s="2" t="inlineStr">
        <is>
          <t>中级</t>
        </is>
      </c>
      <c r="E20" s="2" t="inlineStr">
        <is>
          <t>task1</t>
        </is>
      </c>
      <c r="F20" s="2" t="inlineStr">
        <is>
          <t>否</t>
        </is>
      </c>
      <c r="G20" s="2" t="inlineStr">
        <is>
          <t>否</t>
        </is>
      </c>
      <c r="H20" s="2" t="n">
        <v>3</v>
      </c>
      <c r="I20" s="2" t="n">
        <v>1800</v>
      </c>
      <c r="J20" s="2" t="inlineStr">
        <is>
          <t>每日开放</t>
        </is>
      </c>
      <c r="K20" s="2" t="inlineStr">
        <is>
          <t>无</t>
        </is>
      </c>
      <c r="L20" s="2" t="inlineStr">
        <is>
          <t>固定掉落</t>
        </is>
      </c>
      <c r="M20" s="2" t="inlineStr">
        <is>
          <t>silver</t>
        </is>
      </c>
      <c r="N20" s="2" t="inlineStr">
        <is>
          <t>silver</t>
        </is>
      </c>
      <c r="O20" s="2" t="inlineStr">
        <is>
          <t>银两</t>
        </is>
      </c>
      <c r="P20" s="2" t="inlineStr">
        <is>
          <t>资源</t>
        </is>
      </c>
      <c r="Q20" s="2" t="inlineStr">
        <is>
          <t>资源</t>
        </is>
      </c>
      <c r="R20" s="5" t="n">
        <v>1</v>
      </c>
      <c r="S20" s="2" t="n">
        <v>40000</v>
      </c>
      <c r="T20" s="2" t="n"/>
      <c r="U20" s="2" t="inlineStr">
        <is>
          <t>否</t>
        </is>
      </c>
      <c r="V20" s="2" t="inlineStr">
        <is>
          <t>40000</t>
        </is>
      </c>
      <c r="W20" s="2" t="n"/>
      <c r="X20" s="5">
        <f>R20</f>
        <v>1</v>
      </c>
      <c r="Y20" s="6">
        <f>X20*S20</f>
        <v>40000</v>
      </c>
      <c r="Z20" s="2" t="inlineStr">
        <is>
          <t>个人任务</t>
        </is>
      </c>
      <c r="AA20" s="2" t="n"/>
      <c r="AB20" s="2" t="inlineStr">
        <is>
          <t>挑战者庄园</t>
        </is>
      </c>
      <c r="AC20" s="2" t="inlineStr">
        <is>
          <t>玩家胜利、非撤退，任务返程/防守结算；宝箱内容另见宝箱奖励明细</t>
        </is>
      </c>
      <c r="AD20" s="2" t="inlineStr">
        <is>
          <t>data/mission_templates.yaml:shanhaiguan.drop_table.silver</t>
        </is>
      </c>
    </row>
    <row r="21">
      <c r="A21" s="2" t="n">
        <v>20</v>
      </c>
      <c r="B21" s="2" t="inlineStr">
        <is>
          <t>shanhaiguan</t>
        </is>
      </c>
      <c r="C21" s="2" t="inlineStr">
        <is>
          <t>山海关</t>
        </is>
      </c>
      <c r="D21" s="2" t="inlineStr">
        <is>
          <t>中级</t>
        </is>
      </c>
      <c r="E21" s="2" t="inlineStr">
        <is>
          <t>task1</t>
        </is>
      </c>
      <c r="F21" s="2" t="inlineStr">
        <is>
          <t>否</t>
        </is>
      </c>
      <c r="G21" s="2" t="inlineStr">
        <is>
          <t>否</t>
        </is>
      </c>
      <c r="H21" s="2" t="n">
        <v>3</v>
      </c>
      <c r="I21" s="2" t="n">
        <v>1800</v>
      </c>
      <c r="J21" s="2" t="inlineStr">
        <is>
          <t>每日开放</t>
        </is>
      </c>
      <c r="K21" s="2" t="inlineStr">
        <is>
          <t>无</t>
        </is>
      </c>
      <c r="L21" s="2" t="inlineStr">
        <is>
          <t>固定掉落</t>
        </is>
      </c>
      <c r="M21" s="2" t="inlineStr">
        <is>
          <t>mission_chest_shanhaiguan</t>
        </is>
      </c>
      <c r="N21" s="2" t="inlineStr">
        <is>
          <t>mission_chest_shanhaiguan</t>
        </is>
      </c>
      <c r="O21" s="2" t="inlineStr">
        <is>
          <t>山海关宝箱</t>
        </is>
      </c>
      <c r="P21" s="2" t="inlineStr">
        <is>
          <t>loot_box</t>
        </is>
      </c>
      <c r="Q21" s="2" t="inlineStr">
        <is>
          <t>blue</t>
        </is>
      </c>
      <c r="R21" s="5" t="n">
        <v>1</v>
      </c>
      <c r="S21" s="2" t="n">
        <v>1</v>
      </c>
      <c r="T21" s="2" t="n"/>
      <c r="U21" s="2" t="inlineStr">
        <is>
          <t>否</t>
        </is>
      </c>
      <c r="V21" s="2" t="inlineStr">
        <is>
          <t>1</t>
        </is>
      </c>
      <c r="W21" s="2" t="n"/>
      <c r="X21" s="5">
        <f>R21</f>
        <v>1</v>
      </c>
      <c r="Y21" s="6">
        <f>X21*S21</f>
        <v>1</v>
      </c>
      <c r="Z21" s="2" t="inlineStr">
        <is>
          <t>个人任务</t>
        </is>
      </c>
      <c r="AA21" s="2" t="n"/>
      <c r="AB21" s="2" t="inlineStr">
        <is>
          <t>挑战者庄园</t>
        </is>
      </c>
      <c r="AC21" s="2" t="inlineStr">
        <is>
          <t>玩家胜利、非撤退，任务返程/防守结算；宝箱内容另见宝箱奖励明细</t>
        </is>
      </c>
      <c r="AD21" s="2" t="inlineStr">
        <is>
          <t>data/mission_templates.yaml:shanhaiguan.drop_table.mission_chest_shanhaiguan</t>
        </is>
      </c>
    </row>
    <row r="22">
      <c r="A22" s="2" t="n">
        <v>21</v>
      </c>
      <c r="B22" s="2" t="inlineStr">
        <is>
          <t>shiren_daochang</t>
        </is>
      </c>
      <c r="C22" s="2" t="inlineStr">
        <is>
          <t>十人道场</t>
        </is>
      </c>
      <c r="D22" s="2" t="inlineStr">
        <is>
          <t>中级</t>
        </is>
      </c>
      <c r="E22" s="2" t="inlineStr">
        <is>
          <t>task1</t>
        </is>
      </c>
      <c r="F22" s="2" t="inlineStr">
        <is>
          <t>否</t>
        </is>
      </c>
      <c r="G22" s="2" t="inlineStr">
        <is>
          <t>否</t>
        </is>
      </c>
      <c r="H22" s="2" t="n">
        <v>3</v>
      </c>
      <c r="I22" s="2" t="n">
        <v>1800</v>
      </c>
      <c r="J22" s="2" t="inlineStr">
        <is>
          <t>每日开放</t>
        </is>
      </c>
      <c r="K22" s="2" t="inlineStr">
        <is>
          <t>无</t>
        </is>
      </c>
      <c r="L22" s="2" t="inlineStr">
        <is>
          <t>固定掉落</t>
        </is>
      </c>
      <c r="M22" s="2" t="inlineStr">
        <is>
          <t>silver</t>
        </is>
      </c>
      <c r="N22" s="2" t="inlineStr">
        <is>
          <t>silver</t>
        </is>
      </c>
      <c r="O22" s="2" t="inlineStr">
        <is>
          <t>银两</t>
        </is>
      </c>
      <c r="P22" s="2" t="inlineStr">
        <is>
          <t>资源</t>
        </is>
      </c>
      <c r="Q22" s="2" t="inlineStr">
        <is>
          <t>资源</t>
        </is>
      </c>
      <c r="R22" s="5" t="n">
        <v>1</v>
      </c>
      <c r="S22" s="2" t="n">
        <v>20000</v>
      </c>
      <c r="T22" s="2" t="n"/>
      <c r="U22" s="2" t="inlineStr">
        <is>
          <t>否</t>
        </is>
      </c>
      <c r="V22" s="2" t="inlineStr">
        <is>
          <t>20000</t>
        </is>
      </c>
      <c r="W22" s="2" t="n"/>
      <c r="X22" s="5">
        <f>R22</f>
        <v>1</v>
      </c>
      <c r="Y22" s="6">
        <f>X22*S22</f>
        <v>20000</v>
      </c>
      <c r="Z22" s="2" t="inlineStr">
        <is>
          <t>个人任务</t>
        </is>
      </c>
      <c r="AA22" s="2" t="n"/>
      <c r="AB22" s="2" t="inlineStr">
        <is>
          <t>挑战者庄园</t>
        </is>
      </c>
      <c r="AC22" s="2" t="inlineStr">
        <is>
          <t>玩家胜利、非撤退，任务返程/防守结算；宝箱内容另见宝箱奖励明细</t>
        </is>
      </c>
      <c r="AD22" s="2" t="inlineStr">
        <is>
          <t>data/mission_templates.yaml:shiren_daochang.drop_table.silver</t>
        </is>
      </c>
    </row>
    <row r="23">
      <c r="A23" s="2" t="n">
        <v>22</v>
      </c>
      <c r="B23" s="2" t="inlineStr">
        <is>
          <t>shiren_daochang</t>
        </is>
      </c>
      <c r="C23" s="2" t="inlineStr">
        <is>
          <t>十人道场</t>
        </is>
      </c>
      <c r="D23" s="2" t="inlineStr">
        <is>
          <t>中级</t>
        </is>
      </c>
      <c r="E23" s="2" t="inlineStr">
        <is>
          <t>task1</t>
        </is>
      </c>
      <c r="F23" s="2" t="inlineStr">
        <is>
          <t>否</t>
        </is>
      </c>
      <c r="G23" s="2" t="inlineStr">
        <is>
          <t>否</t>
        </is>
      </c>
      <c r="H23" s="2" t="n">
        <v>3</v>
      </c>
      <c r="I23" s="2" t="n">
        <v>1800</v>
      </c>
      <c r="J23" s="2" t="inlineStr">
        <is>
          <t>每日开放</t>
        </is>
      </c>
      <c r="K23" s="2" t="inlineStr">
        <is>
          <t>无</t>
        </is>
      </c>
      <c r="L23" s="2" t="inlineStr">
        <is>
          <t>固定掉落</t>
        </is>
      </c>
      <c r="M23" s="2" t="inlineStr">
        <is>
          <t>mission_chest_shiren_daochang</t>
        </is>
      </c>
      <c r="N23" s="2" t="inlineStr">
        <is>
          <t>mission_chest_shiren_daochang</t>
        </is>
      </c>
      <c r="O23" s="2" t="inlineStr">
        <is>
          <t>十人道场宝箱</t>
        </is>
      </c>
      <c r="P23" s="2" t="inlineStr">
        <is>
          <t>loot_box</t>
        </is>
      </c>
      <c r="Q23" s="2" t="inlineStr">
        <is>
          <t>blue</t>
        </is>
      </c>
      <c r="R23" s="5" t="n">
        <v>1</v>
      </c>
      <c r="S23" s="2" t="n">
        <v>1</v>
      </c>
      <c r="T23" s="2" t="n"/>
      <c r="U23" s="2" t="inlineStr">
        <is>
          <t>否</t>
        </is>
      </c>
      <c r="V23" s="2" t="inlineStr">
        <is>
          <t>1</t>
        </is>
      </c>
      <c r="W23" s="2" t="n"/>
      <c r="X23" s="5">
        <f>R23</f>
        <v>1</v>
      </c>
      <c r="Y23" s="6">
        <f>X23*S23</f>
        <v>1</v>
      </c>
      <c r="Z23" s="2" t="inlineStr">
        <is>
          <t>个人任务</t>
        </is>
      </c>
      <c r="AA23" s="2" t="n"/>
      <c r="AB23" s="2" t="inlineStr">
        <is>
          <t>挑战者庄园</t>
        </is>
      </c>
      <c r="AC23" s="2" t="inlineStr">
        <is>
          <t>玩家胜利、非撤退，任务返程/防守结算；宝箱内容另见宝箱奖励明细</t>
        </is>
      </c>
      <c r="AD23" s="2" t="inlineStr">
        <is>
          <t>data/mission_templates.yaml:shiren_daochang.drop_table.mission_chest_shiren_daochang</t>
        </is>
      </c>
    </row>
    <row r="24">
      <c r="A24" s="2" t="n">
        <v>23</v>
      </c>
      <c r="B24" s="2" t="inlineStr">
        <is>
          <t>jiguanshou_chuxian</t>
        </is>
      </c>
      <c r="C24" s="2" t="inlineStr">
        <is>
          <t>机关兽初现</t>
        </is>
      </c>
      <c r="D24" s="2" t="inlineStr">
        <is>
          <t>初级</t>
        </is>
      </c>
      <c r="E24" s="2" t="inlineStr">
        <is>
          <t>task1</t>
        </is>
      </c>
      <c r="F24" s="2" t="inlineStr">
        <is>
          <t>否</t>
        </is>
      </c>
      <c r="G24" s="2" t="inlineStr">
        <is>
          <t>否</t>
        </is>
      </c>
      <c r="H24" s="2" t="n">
        <v>2</v>
      </c>
      <c r="I24" s="2" t="n">
        <v>1800</v>
      </c>
      <c r="J24" s="2" t="inlineStr">
        <is>
          <t>每日开放</t>
        </is>
      </c>
      <c r="K24" s="2" t="inlineStr">
        <is>
          <t>无</t>
        </is>
      </c>
      <c r="L24" s="2" t="inlineStr">
        <is>
          <t>固定掉落</t>
        </is>
      </c>
      <c r="M24" s="2" t="inlineStr">
        <is>
          <t>silver</t>
        </is>
      </c>
      <c r="N24" s="2" t="inlineStr">
        <is>
          <t>silver</t>
        </is>
      </c>
      <c r="O24" s="2" t="inlineStr">
        <is>
          <t>银两</t>
        </is>
      </c>
      <c r="P24" s="2" t="inlineStr">
        <is>
          <t>资源</t>
        </is>
      </c>
      <c r="Q24" s="2" t="inlineStr">
        <is>
          <t>资源</t>
        </is>
      </c>
      <c r="R24" s="5" t="n">
        <v>1</v>
      </c>
      <c r="S24" s="2" t="n">
        <v>24000</v>
      </c>
      <c r="T24" s="2" t="n"/>
      <c r="U24" s="2" t="inlineStr">
        <is>
          <t>否</t>
        </is>
      </c>
      <c r="V24" s="2" t="inlineStr">
        <is>
          <t>24000</t>
        </is>
      </c>
      <c r="W24" s="2" t="n"/>
      <c r="X24" s="5">
        <f>R24</f>
        <v>1</v>
      </c>
      <c r="Y24" s="6">
        <f>X24*S24</f>
        <v>24000</v>
      </c>
      <c r="Z24" s="2" t="inlineStr">
        <is>
          <t>个人任务</t>
        </is>
      </c>
      <c r="AA24" s="2" t="n"/>
      <c r="AB24" s="2" t="inlineStr">
        <is>
          <t>挑战者庄园</t>
        </is>
      </c>
      <c r="AC24" s="2" t="inlineStr">
        <is>
          <t>玩家胜利、非撤退，任务返程/防守结算；宝箱内容另见宝箱奖励明细</t>
        </is>
      </c>
      <c r="AD24" s="2" t="inlineStr">
        <is>
          <t>data/mission_templates.yaml:jiguanshou_chuxian.drop_table.silver</t>
        </is>
      </c>
    </row>
    <row r="25">
      <c r="A25" s="2" t="n">
        <v>24</v>
      </c>
      <c r="B25" s="2" t="inlineStr">
        <is>
          <t>jiguanshou_chuxian</t>
        </is>
      </c>
      <c r="C25" s="2" t="inlineStr">
        <is>
          <t>机关兽初现</t>
        </is>
      </c>
      <c r="D25" s="2" t="inlineStr">
        <is>
          <t>初级</t>
        </is>
      </c>
      <c r="E25" s="2" t="inlineStr">
        <is>
          <t>task1</t>
        </is>
      </c>
      <c r="F25" s="2" t="inlineStr">
        <is>
          <t>否</t>
        </is>
      </c>
      <c r="G25" s="2" t="inlineStr">
        <is>
          <t>否</t>
        </is>
      </c>
      <c r="H25" s="2" t="n">
        <v>2</v>
      </c>
      <c r="I25" s="2" t="n">
        <v>1800</v>
      </c>
      <c r="J25" s="2" t="inlineStr">
        <is>
          <t>每日开放</t>
        </is>
      </c>
      <c r="K25" s="2" t="inlineStr">
        <is>
          <t>无</t>
        </is>
      </c>
      <c r="L25" s="2" t="inlineStr">
        <is>
          <t>固定掉落</t>
        </is>
      </c>
      <c r="M25" s="2" t="inlineStr">
        <is>
          <t>mission_chest_jiguanshou_chuxian</t>
        </is>
      </c>
      <c r="N25" s="2" t="inlineStr">
        <is>
          <t>mission_chest_jiguanshou_chuxian</t>
        </is>
      </c>
      <c r="O25" s="2" t="inlineStr">
        <is>
          <t>机关兽初现宝箱</t>
        </is>
      </c>
      <c r="P25" s="2" t="inlineStr">
        <is>
          <t>loot_box</t>
        </is>
      </c>
      <c r="Q25" s="2" t="inlineStr">
        <is>
          <t>green</t>
        </is>
      </c>
      <c r="R25" s="5" t="n">
        <v>1</v>
      </c>
      <c r="S25" s="2" t="n">
        <v>1</v>
      </c>
      <c r="T25" s="2" t="n"/>
      <c r="U25" s="2" t="inlineStr">
        <is>
          <t>否</t>
        </is>
      </c>
      <c r="V25" s="2" t="inlineStr">
        <is>
          <t>1</t>
        </is>
      </c>
      <c r="W25" s="2" t="n"/>
      <c r="X25" s="5">
        <f>R25</f>
        <v>1</v>
      </c>
      <c r="Y25" s="6">
        <f>X25*S25</f>
        <v>1</v>
      </c>
      <c r="Z25" s="2" t="inlineStr">
        <is>
          <t>个人任务</t>
        </is>
      </c>
      <c r="AA25" s="2" t="n"/>
      <c r="AB25" s="2" t="inlineStr">
        <is>
          <t>挑战者庄园</t>
        </is>
      </c>
      <c r="AC25" s="2" t="inlineStr">
        <is>
          <t>玩家胜利、非撤退，任务返程/防守结算；宝箱内容另见宝箱奖励明细</t>
        </is>
      </c>
      <c r="AD25" s="2" t="inlineStr">
        <is>
          <t>data/mission_templates.yaml:jiguanshou_chuxian.drop_table.mission_chest_jiguanshou_chuxian</t>
        </is>
      </c>
    </row>
    <row r="26">
      <c r="A26" s="2" t="n">
        <v>25</v>
      </c>
      <c r="B26" s="2" t="inlineStr">
        <is>
          <t>biwu_zhaoqin</t>
        </is>
      </c>
      <c r="C26" s="2" t="inlineStr">
        <is>
          <t>比武招亲</t>
        </is>
      </c>
      <c r="D26" s="2" t="inlineStr">
        <is>
          <t>初级</t>
        </is>
      </c>
      <c r="E26" s="2" t="inlineStr">
        <is>
          <t>task1</t>
        </is>
      </c>
      <c r="F26" s="2" t="inlineStr">
        <is>
          <t>否</t>
        </is>
      </c>
      <c r="G26" s="2" t="inlineStr">
        <is>
          <t>是</t>
        </is>
      </c>
      <c r="H26" s="2" t="n">
        <v>3</v>
      </c>
      <c r="I26" s="2" t="n">
        <v>1800</v>
      </c>
      <c r="J26" s="2" t="inlineStr">
        <is>
          <t>每日开放</t>
        </is>
      </c>
      <c r="K26" s="2" t="inlineStr">
        <is>
          <t>无</t>
        </is>
      </c>
      <c r="L26" s="2" t="inlineStr">
        <is>
          <t>固定掉落</t>
        </is>
      </c>
      <c r="M26" s="2" t="inlineStr">
        <is>
          <t>silver</t>
        </is>
      </c>
      <c r="N26" s="2" t="inlineStr">
        <is>
          <t>silver</t>
        </is>
      </c>
      <c r="O26" s="2" t="inlineStr">
        <is>
          <t>银两</t>
        </is>
      </c>
      <c r="P26" s="2" t="inlineStr">
        <is>
          <t>资源</t>
        </is>
      </c>
      <c r="Q26" s="2" t="inlineStr">
        <is>
          <t>资源</t>
        </is>
      </c>
      <c r="R26" s="5" t="n">
        <v>1</v>
      </c>
      <c r="S26" s="2" t="n">
        <v>20000</v>
      </c>
      <c r="T26" s="2" t="n"/>
      <c r="U26" s="2" t="inlineStr">
        <is>
          <t>否</t>
        </is>
      </c>
      <c r="V26" s="2" t="inlineStr">
        <is>
          <t>20000</t>
        </is>
      </c>
      <c r="W26" s="2" t="n"/>
      <c r="X26" s="5">
        <f>R26</f>
        <v>1</v>
      </c>
      <c r="Y26" s="6">
        <f>X26*S26</f>
        <v>20000</v>
      </c>
      <c r="Z26" s="2" t="inlineStr">
        <is>
          <t>个人任务</t>
        </is>
      </c>
      <c r="AA26" s="2" t="n"/>
      <c r="AB26" s="2" t="inlineStr">
        <is>
          <t>挑战者庄园</t>
        </is>
      </c>
      <c r="AC26" s="2" t="inlineStr">
        <is>
          <t>玩家胜利、非撤退，任务返程/防守结算；宝箱内容另见宝箱奖励明细</t>
        </is>
      </c>
      <c r="AD26" s="2" t="inlineStr">
        <is>
          <t>data/mission_templates.yaml:biwu_zhaoqin.drop_table.silver</t>
        </is>
      </c>
    </row>
    <row r="27">
      <c r="A27" s="2" t="n">
        <v>26</v>
      </c>
      <c r="B27" s="2" t="inlineStr">
        <is>
          <t>biwu_zhaoqin</t>
        </is>
      </c>
      <c r="C27" s="2" t="inlineStr">
        <is>
          <t>比武招亲</t>
        </is>
      </c>
      <c r="D27" s="2" t="inlineStr">
        <is>
          <t>初级</t>
        </is>
      </c>
      <c r="E27" s="2" t="inlineStr">
        <is>
          <t>task1</t>
        </is>
      </c>
      <c r="F27" s="2" t="inlineStr">
        <is>
          <t>否</t>
        </is>
      </c>
      <c r="G27" s="2" t="inlineStr">
        <is>
          <t>是</t>
        </is>
      </c>
      <c r="H27" s="2" t="n">
        <v>3</v>
      </c>
      <c r="I27" s="2" t="n">
        <v>1800</v>
      </c>
      <c r="J27" s="2" t="inlineStr">
        <is>
          <t>每日开放</t>
        </is>
      </c>
      <c r="K27" s="2" t="inlineStr">
        <is>
          <t>无</t>
        </is>
      </c>
      <c r="L27" s="2" t="inlineStr">
        <is>
          <t>固定掉落</t>
        </is>
      </c>
      <c r="M27" s="2" t="inlineStr">
        <is>
          <t>mission_chest_biwu_zhaoqin</t>
        </is>
      </c>
      <c r="N27" s="2" t="inlineStr">
        <is>
          <t>mission_chest_biwu_zhaoqin</t>
        </is>
      </c>
      <c r="O27" s="2" t="inlineStr">
        <is>
          <t>比武招亲宝箱</t>
        </is>
      </c>
      <c r="P27" s="2" t="inlineStr">
        <is>
          <t>loot_box</t>
        </is>
      </c>
      <c r="Q27" s="2" t="inlineStr">
        <is>
          <t>green</t>
        </is>
      </c>
      <c r="R27" s="5" t="n">
        <v>1</v>
      </c>
      <c r="S27" s="2" t="n">
        <v>1</v>
      </c>
      <c r="T27" s="2" t="n"/>
      <c r="U27" s="2" t="inlineStr">
        <is>
          <t>否</t>
        </is>
      </c>
      <c r="V27" s="2" t="inlineStr">
        <is>
          <t>1</t>
        </is>
      </c>
      <c r="W27" s="2" t="n"/>
      <c r="X27" s="5">
        <f>R27</f>
        <v>1</v>
      </c>
      <c r="Y27" s="6">
        <f>X27*S27</f>
        <v>1</v>
      </c>
      <c r="Z27" s="2" t="inlineStr">
        <is>
          <t>个人任务</t>
        </is>
      </c>
      <c r="AA27" s="2" t="n"/>
      <c r="AB27" s="2" t="inlineStr">
        <is>
          <t>挑战者庄园</t>
        </is>
      </c>
      <c r="AC27" s="2" t="inlineStr">
        <is>
          <t>玩家胜利、非撤退，任务返程/防守结算；宝箱内容另见宝箱奖励明细</t>
        </is>
      </c>
      <c r="AD27" s="2" t="inlineStr">
        <is>
          <t>data/mission_templates.yaml:biwu_zhaoqin.drop_table.mission_chest_biwu_zhaoqin</t>
        </is>
      </c>
    </row>
    <row r="28">
      <c r="A28" s="2" t="n">
        <v>27</v>
      </c>
      <c r="B28" s="2" t="inlineStr">
        <is>
          <t>tianpeng_dijiao_1</t>
        </is>
      </c>
      <c r="C28" s="2" t="inlineStr">
        <is>
          <t>天蓬元帅的地窖（第一层）</t>
        </is>
      </c>
      <c r="D28" s="2" t="inlineStr">
        <is>
          <t>中级</t>
        </is>
      </c>
      <c r="E28" s="2" t="inlineStr">
        <is>
          <t>task1</t>
        </is>
      </c>
      <c r="F28" s="2" t="inlineStr">
        <is>
          <t>否</t>
        </is>
      </c>
      <c r="G28" s="2" t="inlineStr">
        <is>
          <t>否</t>
        </is>
      </c>
      <c r="H28" s="2" t="n">
        <v>3</v>
      </c>
      <c r="I28" s="2" t="n">
        <v>1800</v>
      </c>
      <c r="J28" s="2" t="inlineStr">
        <is>
          <t>每日开放</t>
        </is>
      </c>
      <c r="K28" s="2" t="inlineStr">
        <is>
          <t>无</t>
        </is>
      </c>
      <c r="L28" s="2" t="inlineStr">
        <is>
          <t>固定掉落</t>
        </is>
      </c>
      <c r="M28" s="2" t="inlineStr">
        <is>
          <t>silver</t>
        </is>
      </c>
      <c r="N28" s="2" t="inlineStr">
        <is>
          <t>silver</t>
        </is>
      </c>
      <c r="O28" s="2" t="inlineStr">
        <is>
          <t>银两</t>
        </is>
      </c>
      <c r="P28" s="2" t="inlineStr">
        <is>
          <t>资源</t>
        </is>
      </c>
      <c r="Q28" s="2" t="inlineStr">
        <is>
          <t>资源</t>
        </is>
      </c>
      <c r="R28" s="5" t="n">
        <v>1</v>
      </c>
      <c r="S28" s="2" t="n">
        <v>50000</v>
      </c>
      <c r="T28" s="2" t="n"/>
      <c r="U28" s="2" t="inlineStr">
        <is>
          <t>否</t>
        </is>
      </c>
      <c r="V28" s="2" t="inlineStr">
        <is>
          <t>50000</t>
        </is>
      </c>
      <c r="W28" s="2" t="n"/>
      <c r="X28" s="5">
        <f>R28</f>
        <v>1</v>
      </c>
      <c r="Y28" s="6">
        <f>X28*S28</f>
        <v>50000</v>
      </c>
      <c r="Z28" s="2" t="inlineStr">
        <is>
          <t>个人任务</t>
        </is>
      </c>
      <c r="AA28" s="2" t="n"/>
      <c r="AB28" s="2" t="inlineStr">
        <is>
          <t>挑战者庄园</t>
        </is>
      </c>
      <c r="AC28" s="2" t="inlineStr">
        <is>
          <t>玩家胜利、非撤退，任务返程/防守结算；宝箱内容另见宝箱奖励明细</t>
        </is>
      </c>
      <c r="AD28" s="2" t="inlineStr">
        <is>
          <t>data/mission_templates.yaml:tianpeng_dijiao_1.drop_table.silver</t>
        </is>
      </c>
    </row>
    <row r="29">
      <c r="A29" s="2" t="n">
        <v>28</v>
      </c>
      <c r="B29" s="2" t="inlineStr">
        <is>
          <t>tianpeng_dijiao_1</t>
        </is>
      </c>
      <c r="C29" s="2" t="inlineStr">
        <is>
          <t>天蓬元帅的地窖（第一层）</t>
        </is>
      </c>
      <c r="D29" s="2" t="inlineStr">
        <is>
          <t>中级</t>
        </is>
      </c>
      <c r="E29" s="2" t="inlineStr">
        <is>
          <t>task1</t>
        </is>
      </c>
      <c r="F29" s="2" t="inlineStr">
        <is>
          <t>否</t>
        </is>
      </c>
      <c r="G29" s="2" t="inlineStr">
        <is>
          <t>否</t>
        </is>
      </c>
      <c r="H29" s="2" t="n">
        <v>3</v>
      </c>
      <c r="I29" s="2" t="n">
        <v>1800</v>
      </c>
      <c r="J29" s="2" t="inlineStr">
        <is>
          <t>每日开放</t>
        </is>
      </c>
      <c r="K29" s="2" t="inlineStr">
        <is>
          <t>无</t>
        </is>
      </c>
      <c r="L29" s="2" t="inlineStr">
        <is>
          <t>固定掉落</t>
        </is>
      </c>
      <c r="M29" s="2" t="inlineStr">
        <is>
          <t>mission_chest_tianpeng_dijiao_1</t>
        </is>
      </c>
      <c r="N29" s="2" t="inlineStr">
        <is>
          <t>mission_chest_tianpeng_dijiao_1</t>
        </is>
      </c>
      <c r="O29" s="2" t="inlineStr">
        <is>
          <t>天蓬地窖一层宝箱</t>
        </is>
      </c>
      <c r="P29" s="2" t="inlineStr">
        <is>
          <t>loot_box</t>
        </is>
      </c>
      <c r="Q29" s="2" t="inlineStr">
        <is>
          <t>blue</t>
        </is>
      </c>
      <c r="R29" s="5" t="n">
        <v>1</v>
      </c>
      <c r="S29" s="2" t="n">
        <v>1</v>
      </c>
      <c r="T29" s="2" t="n"/>
      <c r="U29" s="2" t="inlineStr">
        <is>
          <t>否</t>
        </is>
      </c>
      <c r="V29" s="2" t="inlineStr">
        <is>
          <t>1</t>
        </is>
      </c>
      <c r="W29" s="2" t="n"/>
      <c r="X29" s="5">
        <f>R29</f>
        <v>1</v>
      </c>
      <c r="Y29" s="6">
        <f>X29*S29</f>
        <v>1</v>
      </c>
      <c r="Z29" s="2" t="inlineStr">
        <is>
          <t>个人任务</t>
        </is>
      </c>
      <c r="AA29" s="2" t="n"/>
      <c r="AB29" s="2" t="inlineStr">
        <is>
          <t>挑战者庄园</t>
        </is>
      </c>
      <c r="AC29" s="2" t="inlineStr">
        <is>
          <t>玩家胜利、非撤退，任务返程/防守结算；宝箱内容另见宝箱奖励明细</t>
        </is>
      </c>
      <c r="AD29" s="2" t="inlineStr">
        <is>
          <t>data/mission_templates.yaml:tianpeng_dijiao_1.drop_table.mission_chest_tianpeng_dijiao_1</t>
        </is>
      </c>
    </row>
    <row r="30">
      <c r="A30" s="2" t="n">
        <v>29</v>
      </c>
      <c r="B30" s="2" t="inlineStr">
        <is>
          <t>tianpeng_dijiao_2</t>
        </is>
      </c>
      <c r="C30" s="2" t="inlineStr">
        <is>
          <t>天蓬元帅的地窖（第二层）</t>
        </is>
      </c>
      <c r="D30" s="2" t="inlineStr">
        <is>
          <t>高级</t>
        </is>
      </c>
      <c r="E30" s="2" t="inlineStr">
        <is>
          <t>task1</t>
        </is>
      </c>
      <c r="F30" s="2" t="inlineStr">
        <is>
          <t>否</t>
        </is>
      </c>
      <c r="G30" s="2" t="inlineStr">
        <is>
          <t>否</t>
        </is>
      </c>
      <c r="H30" s="2" t="n">
        <v>3</v>
      </c>
      <c r="I30" s="2" t="n">
        <v>1800</v>
      </c>
      <c r="J30" s="2" t="inlineStr">
        <is>
          <t>每日开放</t>
        </is>
      </c>
      <c r="K30" s="2" t="inlineStr">
        <is>
          <t>无</t>
        </is>
      </c>
      <c r="L30" s="2" t="inlineStr">
        <is>
          <t>固定掉落</t>
        </is>
      </c>
      <c r="M30" s="2" t="inlineStr">
        <is>
          <t>mission_chest_tianpeng_dijiao_2</t>
        </is>
      </c>
      <c r="N30" s="2" t="inlineStr">
        <is>
          <t>mission_chest_tianpeng_dijiao_2</t>
        </is>
      </c>
      <c r="O30" s="2" t="inlineStr">
        <is>
          <t>天蓬地窖二层宝箱</t>
        </is>
      </c>
      <c r="P30" s="2" t="inlineStr">
        <is>
          <t>loot_box</t>
        </is>
      </c>
      <c r="Q30" s="2" t="inlineStr">
        <is>
          <t>purple</t>
        </is>
      </c>
      <c r="R30" s="5" t="n">
        <v>1</v>
      </c>
      <c r="S30" s="2" t="n">
        <v>1</v>
      </c>
      <c r="T30" s="2" t="n"/>
      <c r="U30" s="2" t="inlineStr">
        <is>
          <t>否</t>
        </is>
      </c>
      <c r="V30" s="2" t="inlineStr">
        <is>
          <t>1</t>
        </is>
      </c>
      <c r="W30" s="2" t="n"/>
      <c r="X30" s="5">
        <f>R30</f>
        <v>1</v>
      </c>
      <c r="Y30" s="6">
        <f>X30*S30</f>
        <v>1</v>
      </c>
      <c r="Z30" s="2" t="inlineStr">
        <is>
          <t>个人任务</t>
        </is>
      </c>
      <c r="AA30" s="2" t="n"/>
      <c r="AB30" s="2" t="inlineStr">
        <is>
          <t>挑战者庄园</t>
        </is>
      </c>
      <c r="AC30" s="2" t="inlineStr">
        <is>
          <t>玩家胜利、非撤退，任务返程/防守结算；宝箱内容另见宝箱奖励明细</t>
        </is>
      </c>
      <c r="AD30" s="2" t="inlineStr">
        <is>
          <t>data/mission_templates.yaml:tianpeng_dijiao_2.drop_table.mission_chest_tianpeng_dijiao_2</t>
        </is>
      </c>
    </row>
    <row r="31">
      <c r="A31" s="2" t="n">
        <v>30</v>
      </c>
      <c r="B31" s="2" t="inlineStr">
        <is>
          <t>jiguan_chuniao</t>
        </is>
      </c>
      <c r="C31" s="2" t="inlineStr">
        <is>
          <t>机关雏鸟</t>
        </is>
      </c>
      <c r="D31" s="2" t="inlineStr">
        <is>
          <t>中级</t>
        </is>
      </c>
      <c r="E31" s="2" t="inlineStr">
        <is>
          <t>task1</t>
        </is>
      </c>
      <c r="F31" s="2" t="inlineStr">
        <is>
          <t>否</t>
        </is>
      </c>
      <c r="G31" s="2" t="inlineStr">
        <is>
          <t>否</t>
        </is>
      </c>
      <c r="H31" s="2" t="n">
        <v>3</v>
      </c>
      <c r="I31" s="2" t="n">
        <v>1800</v>
      </c>
      <c r="J31" s="2" t="inlineStr">
        <is>
          <t>每日开放</t>
        </is>
      </c>
      <c r="K31" s="2" t="inlineStr">
        <is>
          <t>无</t>
        </is>
      </c>
      <c r="L31" s="2" t="inlineStr">
        <is>
          <t>固定掉落</t>
        </is>
      </c>
      <c r="M31" s="2" t="inlineStr">
        <is>
          <t>silver</t>
        </is>
      </c>
      <c r="N31" s="2" t="inlineStr">
        <is>
          <t>silver</t>
        </is>
      </c>
      <c r="O31" s="2" t="inlineStr">
        <is>
          <t>银两</t>
        </is>
      </c>
      <c r="P31" s="2" t="inlineStr">
        <is>
          <t>资源</t>
        </is>
      </c>
      <c r="Q31" s="2" t="inlineStr">
        <is>
          <t>资源</t>
        </is>
      </c>
      <c r="R31" s="5" t="n">
        <v>1</v>
      </c>
      <c r="S31" s="2" t="n">
        <v>30000</v>
      </c>
      <c r="T31" s="2" t="n"/>
      <c r="U31" s="2" t="inlineStr">
        <is>
          <t>否</t>
        </is>
      </c>
      <c r="V31" s="2" t="inlineStr">
        <is>
          <t>30000</t>
        </is>
      </c>
      <c r="W31" s="2" t="n"/>
      <c r="X31" s="5">
        <f>R31</f>
        <v>1</v>
      </c>
      <c r="Y31" s="6">
        <f>X31*S31</f>
        <v>30000</v>
      </c>
      <c r="Z31" s="2" t="inlineStr">
        <is>
          <t>个人任务</t>
        </is>
      </c>
      <c r="AA31" s="2" t="n"/>
      <c r="AB31" s="2" t="inlineStr">
        <is>
          <t>挑战者庄园</t>
        </is>
      </c>
      <c r="AC31" s="2" t="inlineStr">
        <is>
          <t>玩家胜利、非撤退，任务返程/防守结算；宝箱内容另见宝箱奖励明细</t>
        </is>
      </c>
      <c r="AD31" s="2" t="inlineStr">
        <is>
          <t>data/mission_templates.yaml:jiguan_chuniao.drop_table.silver</t>
        </is>
      </c>
    </row>
    <row r="32">
      <c r="A32" s="2" t="n">
        <v>31</v>
      </c>
      <c r="B32" s="2" t="inlineStr">
        <is>
          <t>jiguan_chuniao</t>
        </is>
      </c>
      <c r="C32" s="2" t="inlineStr">
        <is>
          <t>机关雏鸟</t>
        </is>
      </c>
      <c r="D32" s="2" t="inlineStr">
        <is>
          <t>中级</t>
        </is>
      </c>
      <c r="E32" s="2" t="inlineStr">
        <is>
          <t>task1</t>
        </is>
      </c>
      <c r="F32" s="2" t="inlineStr">
        <is>
          <t>否</t>
        </is>
      </c>
      <c r="G32" s="2" t="inlineStr">
        <is>
          <t>否</t>
        </is>
      </c>
      <c r="H32" s="2" t="n">
        <v>3</v>
      </c>
      <c r="I32" s="2" t="n">
        <v>1800</v>
      </c>
      <c r="J32" s="2" t="inlineStr">
        <is>
          <t>每日开放</t>
        </is>
      </c>
      <c r="K32" s="2" t="inlineStr">
        <is>
          <t>无</t>
        </is>
      </c>
      <c r="L32" s="2" t="inlineStr">
        <is>
          <t>固定掉落</t>
        </is>
      </c>
      <c r="M32" s="2" t="inlineStr">
        <is>
          <t>mission_chest_jiguan_chuniao</t>
        </is>
      </c>
      <c r="N32" s="2" t="inlineStr">
        <is>
          <t>mission_chest_jiguan_chuniao</t>
        </is>
      </c>
      <c r="O32" s="2" t="inlineStr">
        <is>
          <t>机关雏鸟宝箱</t>
        </is>
      </c>
      <c r="P32" s="2" t="inlineStr">
        <is>
          <t>loot_box</t>
        </is>
      </c>
      <c r="Q32" s="2" t="inlineStr">
        <is>
          <t>blue</t>
        </is>
      </c>
      <c r="R32" s="5" t="n">
        <v>1</v>
      </c>
      <c r="S32" s="2" t="n">
        <v>1</v>
      </c>
      <c r="T32" s="2" t="n"/>
      <c r="U32" s="2" t="inlineStr">
        <is>
          <t>否</t>
        </is>
      </c>
      <c r="V32" s="2" t="inlineStr">
        <is>
          <t>1</t>
        </is>
      </c>
      <c r="W32" s="2" t="n"/>
      <c r="X32" s="5">
        <f>R32</f>
        <v>1</v>
      </c>
      <c r="Y32" s="6">
        <f>X32*S32</f>
        <v>1</v>
      </c>
      <c r="Z32" s="2" t="inlineStr">
        <is>
          <t>个人任务</t>
        </is>
      </c>
      <c r="AA32" s="2" t="n"/>
      <c r="AB32" s="2" t="inlineStr">
        <is>
          <t>挑战者庄园</t>
        </is>
      </c>
      <c r="AC32" s="2" t="inlineStr">
        <is>
          <t>玩家胜利、非撤退，任务返程/防守结算；宝箱内容另见宝箱奖励明细</t>
        </is>
      </c>
      <c r="AD32" s="2" t="inlineStr">
        <is>
          <t>data/mission_templates.yaml:jiguan_chuniao.drop_table.mission_chest_jiguan_chuniao</t>
        </is>
      </c>
    </row>
    <row r="33">
      <c r="A33" s="2" t="n">
        <v>32</v>
      </c>
      <c r="B33" s="2" t="inlineStr">
        <is>
          <t>dongtian_fudi</t>
        </is>
      </c>
      <c r="C33" s="2" t="inlineStr">
        <is>
          <t>洞天福地</t>
        </is>
      </c>
      <c r="D33" s="2" t="inlineStr">
        <is>
          <t>高级</t>
        </is>
      </c>
      <c r="E33" s="2" t="inlineStr">
        <is>
          <t>task1</t>
        </is>
      </c>
      <c r="F33" s="2" t="inlineStr">
        <is>
          <t>否</t>
        </is>
      </c>
      <c r="G33" s="2" t="inlineStr">
        <is>
          <t>否</t>
        </is>
      </c>
      <c r="H33" s="2" t="n">
        <v>3</v>
      </c>
      <c r="I33" s="2" t="n">
        <v>1800</v>
      </c>
      <c r="J33" s="2" t="inlineStr">
        <is>
          <t>每日开放</t>
        </is>
      </c>
      <c r="K33" s="2" t="inlineStr">
        <is>
          <t>无</t>
        </is>
      </c>
      <c r="L33" s="2" t="inlineStr">
        <is>
          <t>固定掉落</t>
        </is>
      </c>
      <c r="M33" s="2" t="inlineStr">
        <is>
          <t>silver</t>
        </is>
      </c>
      <c r="N33" s="2" t="inlineStr">
        <is>
          <t>silver</t>
        </is>
      </c>
      <c r="O33" s="2" t="inlineStr">
        <is>
          <t>银两</t>
        </is>
      </c>
      <c r="P33" s="2" t="inlineStr">
        <is>
          <t>资源</t>
        </is>
      </c>
      <c r="Q33" s="2" t="inlineStr">
        <is>
          <t>资源</t>
        </is>
      </c>
      <c r="R33" s="5" t="n">
        <v>1</v>
      </c>
      <c r="S33" s="2" t="n">
        <v>50000</v>
      </c>
      <c r="T33" s="2" t="n"/>
      <c r="U33" s="2" t="inlineStr">
        <is>
          <t>否</t>
        </is>
      </c>
      <c r="V33" s="2" t="inlineStr">
        <is>
          <t>50000</t>
        </is>
      </c>
      <c r="W33" s="2" t="n"/>
      <c r="X33" s="5">
        <f>R33</f>
        <v>1</v>
      </c>
      <c r="Y33" s="6">
        <f>X33*S33</f>
        <v>50000</v>
      </c>
      <c r="Z33" s="2" t="inlineStr">
        <is>
          <t>个人任务</t>
        </is>
      </c>
      <c r="AA33" s="2" t="n"/>
      <c r="AB33" s="2" t="inlineStr">
        <is>
          <t>挑战者庄园</t>
        </is>
      </c>
      <c r="AC33" s="2" t="inlineStr">
        <is>
          <t>玩家胜利、非撤退，任务返程/防守结算；宝箱内容另见宝箱奖励明细</t>
        </is>
      </c>
      <c r="AD33" s="2" t="inlineStr">
        <is>
          <t>data/mission_templates.yaml:dongtian_fudi.drop_table.silver</t>
        </is>
      </c>
    </row>
    <row r="34">
      <c r="A34" s="2" t="n">
        <v>33</v>
      </c>
      <c r="B34" s="2" t="inlineStr">
        <is>
          <t>dongtian_fudi</t>
        </is>
      </c>
      <c r="C34" s="2" t="inlineStr">
        <is>
          <t>洞天福地</t>
        </is>
      </c>
      <c r="D34" s="2" t="inlineStr">
        <is>
          <t>高级</t>
        </is>
      </c>
      <c r="E34" s="2" t="inlineStr">
        <is>
          <t>task1</t>
        </is>
      </c>
      <c r="F34" s="2" t="inlineStr">
        <is>
          <t>否</t>
        </is>
      </c>
      <c r="G34" s="2" t="inlineStr">
        <is>
          <t>否</t>
        </is>
      </c>
      <c r="H34" s="2" t="n">
        <v>3</v>
      </c>
      <c r="I34" s="2" t="n">
        <v>1800</v>
      </c>
      <c r="J34" s="2" t="inlineStr">
        <is>
          <t>每日开放</t>
        </is>
      </c>
      <c r="K34" s="2" t="inlineStr">
        <is>
          <t>无</t>
        </is>
      </c>
      <c r="L34" s="2" t="inlineStr">
        <is>
          <t>固定掉落</t>
        </is>
      </c>
      <c r="M34" s="2" t="inlineStr">
        <is>
          <t>mission_chest_dongtian_fudi</t>
        </is>
      </c>
      <c r="N34" s="2" t="inlineStr">
        <is>
          <t>mission_chest_dongtian_fudi</t>
        </is>
      </c>
      <c r="O34" s="2" t="inlineStr">
        <is>
          <t>洞天福地宝箱</t>
        </is>
      </c>
      <c r="P34" s="2" t="inlineStr">
        <is>
          <t>loot_box</t>
        </is>
      </c>
      <c r="Q34" s="2" t="inlineStr">
        <is>
          <t>purple</t>
        </is>
      </c>
      <c r="R34" s="5" t="n">
        <v>1</v>
      </c>
      <c r="S34" s="2" t="n">
        <v>1</v>
      </c>
      <c r="T34" s="2" t="n"/>
      <c r="U34" s="2" t="inlineStr">
        <is>
          <t>否</t>
        </is>
      </c>
      <c r="V34" s="2" t="inlineStr">
        <is>
          <t>1</t>
        </is>
      </c>
      <c r="W34" s="2" t="n"/>
      <c r="X34" s="5">
        <f>R34</f>
        <v>1</v>
      </c>
      <c r="Y34" s="6">
        <f>X34*S34</f>
        <v>1</v>
      </c>
      <c r="Z34" s="2" t="inlineStr">
        <is>
          <t>个人任务</t>
        </is>
      </c>
      <c r="AA34" s="2" t="n"/>
      <c r="AB34" s="2" t="inlineStr">
        <is>
          <t>挑战者庄园</t>
        </is>
      </c>
      <c r="AC34" s="2" t="inlineStr">
        <is>
          <t>玩家胜利、非撤退，任务返程/防守结算；宝箱内容另见宝箱奖励明细</t>
        </is>
      </c>
      <c r="AD34" s="2" t="inlineStr">
        <is>
          <t>data/mission_templates.yaml:dongtian_fudi.drop_table.mission_chest_dongtian_fudi</t>
        </is>
      </c>
    </row>
    <row r="35">
      <c r="A35" s="2" t="n">
        <v>34</v>
      </c>
      <c r="B35" s="2" t="inlineStr">
        <is>
          <t>jiufeng_feihuan</t>
        </is>
      </c>
      <c r="C35" s="2" t="inlineStr">
        <is>
          <t>九峰匪患</t>
        </is>
      </c>
      <c r="D35" s="2" t="inlineStr">
        <is>
          <t>中级</t>
        </is>
      </c>
      <c r="E35" s="2" t="inlineStr">
        <is>
          <t>task1</t>
        </is>
      </c>
      <c r="F35" s="2" t="inlineStr">
        <is>
          <t>否</t>
        </is>
      </c>
      <c r="G35" s="2" t="inlineStr">
        <is>
          <t>否</t>
        </is>
      </c>
      <c r="H35" s="2" t="n">
        <v>3</v>
      </c>
      <c r="I35" s="2" t="n">
        <v>1800</v>
      </c>
      <c r="J35" s="2" t="inlineStr">
        <is>
          <t>每日开放</t>
        </is>
      </c>
      <c r="K35" s="2" t="inlineStr">
        <is>
          <t>无</t>
        </is>
      </c>
      <c r="L35" s="2" t="inlineStr">
        <is>
          <t>固定掉落</t>
        </is>
      </c>
      <c r="M35" s="2" t="inlineStr">
        <is>
          <t>silver</t>
        </is>
      </c>
      <c r="N35" s="2" t="inlineStr">
        <is>
          <t>silver</t>
        </is>
      </c>
      <c r="O35" s="2" t="inlineStr">
        <is>
          <t>银两</t>
        </is>
      </c>
      <c r="P35" s="2" t="inlineStr">
        <is>
          <t>资源</t>
        </is>
      </c>
      <c r="Q35" s="2" t="inlineStr">
        <is>
          <t>资源</t>
        </is>
      </c>
      <c r="R35" s="5" t="n">
        <v>1</v>
      </c>
      <c r="S35" s="2" t="n">
        <v>20000</v>
      </c>
      <c r="T35" s="2" t="n"/>
      <c r="U35" s="2" t="inlineStr">
        <is>
          <t>否</t>
        </is>
      </c>
      <c r="V35" s="2" t="inlineStr">
        <is>
          <t>20000</t>
        </is>
      </c>
      <c r="W35" s="2" t="n"/>
      <c r="X35" s="5">
        <f>R35</f>
        <v>1</v>
      </c>
      <c r="Y35" s="6">
        <f>X35*S35</f>
        <v>20000</v>
      </c>
      <c r="Z35" s="2" t="inlineStr">
        <is>
          <t>个人任务</t>
        </is>
      </c>
      <c r="AA35" s="2" t="n"/>
      <c r="AB35" s="2" t="inlineStr">
        <is>
          <t>挑战者庄园</t>
        </is>
      </c>
      <c r="AC35" s="2" t="inlineStr">
        <is>
          <t>玩家胜利、非撤退，任务返程/防守结算；宝箱内容另见宝箱奖励明细</t>
        </is>
      </c>
      <c r="AD35" s="2" t="inlineStr">
        <is>
          <t>data/mission_templates.yaml:jiufeng_feihuan.drop_table.silver</t>
        </is>
      </c>
    </row>
    <row r="36">
      <c r="A36" s="2" t="n">
        <v>35</v>
      </c>
      <c r="B36" s="2" t="inlineStr">
        <is>
          <t>jiufeng_feihuan</t>
        </is>
      </c>
      <c r="C36" s="2" t="inlineStr">
        <is>
          <t>九峰匪患</t>
        </is>
      </c>
      <c r="D36" s="2" t="inlineStr">
        <is>
          <t>中级</t>
        </is>
      </c>
      <c r="E36" s="2" t="inlineStr">
        <is>
          <t>task1</t>
        </is>
      </c>
      <c r="F36" s="2" t="inlineStr">
        <is>
          <t>否</t>
        </is>
      </c>
      <c r="G36" s="2" t="inlineStr">
        <is>
          <t>否</t>
        </is>
      </c>
      <c r="H36" s="2" t="n">
        <v>3</v>
      </c>
      <c r="I36" s="2" t="n">
        <v>1800</v>
      </c>
      <c r="J36" s="2" t="inlineStr">
        <is>
          <t>每日开放</t>
        </is>
      </c>
      <c r="K36" s="2" t="inlineStr">
        <is>
          <t>无</t>
        </is>
      </c>
      <c r="L36" s="2" t="inlineStr">
        <is>
          <t>固定掉落</t>
        </is>
      </c>
      <c r="M36" s="2" t="inlineStr">
        <is>
          <t>mission_chest_jiufeng_feihuan</t>
        </is>
      </c>
      <c r="N36" s="2" t="inlineStr">
        <is>
          <t>mission_chest_jiufeng_feihuan</t>
        </is>
      </c>
      <c r="O36" s="2" t="inlineStr">
        <is>
          <t>九峰匪患宝箱</t>
        </is>
      </c>
      <c r="P36" s="2" t="inlineStr">
        <is>
          <t>loot_box</t>
        </is>
      </c>
      <c r="Q36" s="2" t="inlineStr">
        <is>
          <t>blue</t>
        </is>
      </c>
      <c r="R36" s="5" t="n">
        <v>1</v>
      </c>
      <c r="S36" s="2" t="n">
        <v>1</v>
      </c>
      <c r="T36" s="2" t="n"/>
      <c r="U36" s="2" t="inlineStr">
        <is>
          <t>否</t>
        </is>
      </c>
      <c r="V36" s="2" t="inlineStr">
        <is>
          <t>1</t>
        </is>
      </c>
      <c r="W36" s="2" t="n"/>
      <c r="X36" s="5">
        <f>R36</f>
        <v>1</v>
      </c>
      <c r="Y36" s="6">
        <f>X36*S36</f>
        <v>1</v>
      </c>
      <c r="Z36" s="2" t="inlineStr">
        <is>
          <t>个人任务</t>
        </is>
      </c>
      <c r="AA36" s="2" t="n"/>
      <c r="AB36" s="2" t="inlineStr">
        <is>
          <t>挑战者庄园</t>
        </is>
      </c>
      <c r="AC36" s="2" t="inlineStr">
        <is>
          <t>玩家胜利、非撤退，任务返程/防守结算；宝箱内容另见宝箱奖励明细</t>
        </is>
      </c>
      <c r="AD36" s="2" t="inlineStr">
        <is>
          <t>data/mission_templates.yaml:jiufeng_feihuan.drop_table.mission_chest_jiufeng_feihuan</t>
        </is>
      </c>
    </row>
    <row r="37">
      <c r="A37" s="2" t="n">
        <v>36</v>
      </c>
      <c r="B37" s="2" t="inlineStr">
        <is>
          <t>taozi_fenban</t>
        </is>
      </c>
      <c r="C37" s="2" t="inlineStr">
        <is>
          <t>我的桃子分你一半</t>
        </is>
      </c>
      <c r="D37" s="2" t="inlineStr">
        <is>
          <t>初级</t>
        </is>
      </c>
      <c r="E37" s="2" t="inlineStr">
        <is>
          <t>task1</t>
        </is>
      </c>
      <c r="F37" s="2" t="inlineStr">
        <is>
          <t>否</t>
        </is>
      </c>
      <c r="G37" s="2" t="inlineStr">
        <is>
          <t>否</t>
        </is>
      </c>
      <c r="H37" s="2" t="n">
        <v>1</v>
      </c>
      <c r="I37" s="2" t="n">
        <v>1800</v>
      </c>
      <c r="J37" s="2" t="inlineStr">
        <is>
          <t>每日开放</t>
        </is>
      </c>
      <c r="K37" s="2" t="inlineStr">
        <is>
          <t>无</t>
        </is>
      </c>
      <c r="L37" s="2" t="inlineStr">
        <is>
          <t>固定掉落</t>
        </is>
      </c>
      <c r="M37" s="2" t="inlineStr">
        <is>
          <t>mission_chest_taozi_fenban</t>
        </is>
      </c>
      <c r="N37" s="2" t="inlineStr">
        <is>
          <t>mission_chest_taozi_fenban</t>
        </is>
      </c>
      <c r="O37" s="2" t="inlineStr">
        <is>
          <t>分桃宝箱</t>
        </is>
      </c>
      <c r="P37" s="2" t="inlineStr">
        <is>
          <t>loot_box</t>
        </is>
      </c>
      <c r="Q37" s="2" t="inlineStr">
        <is>
          <t>green</t>
        </is>
      </c>
      <c r="R37" s="5" t="n">
        <v>1</v>
      </c>
      <c r="S37" s="2" t="n">
        <v>1</v>
      </c>
      <c r="T37" s="2" t="n"/>
      <c r="U37" s="2" t="inlineStr">
        <is>
          <t>否</t>
        </is>
      </c>
      <c r="V37" s="2" t="inlineStr">
        <is>
          <t>1</t>
        </is>
      </c>
      <c r="W37" s="2" t="n"/>
      <c r="X37" s="5">
        <f>R37</f>
        <v>1</v>
      </c>
      <c r="Y37" s="6">
        <f>X37*S37</f>
        <v>1</v>
      </c>
      <c r="Z37" s="2" t="inlineStr">
        <is>
          <t>个人任务</t>
        </is>
      </c>
      <c r="AA37" s="2" t="n"/>
      <c r="AB37" s="2" t="inlineStr">
        <is>
          <t>挑战者庄园</t>
        </is>
      </c>
      <c r="AC37" s="2" t="inlineStr">
        <is>
          <t>玩家胜利、非撤退，任务返程/防守结算；宝箱内容另见宝箱奖励明细</t>
        </is>
      </c>
      <c r="AD37" s="2" t="inlineStr">
        <is>
          <t>data/mission_templates.yaml:taozi_fenban.drop_table.mission_chest_taozi_fenban</t>
        </is>
      </c>
    </row>
    <row r="38">
      <c r="A38" s="2" t="n">
        <v>37</v>
      </c>
      <c r="B38" s="2" t="inlineStr">
        <is>
          <t>simian_chuge</t>
        </is>
      </c>
      <c r="C38" s="2" t="inlineStr">
        <is>
          <t>四面楚歌</t>
        </is>
      </c>
      <c r="D38" s="2" t="inlineStr">
        <is>
          <t>高级</t>
        </is>
      </c>
      <c r="E38" s="2" t="inlineStr">
        <is>
          <t>task1</t>
        </is>
      </c>
      <c r="F38" s="2" t="inlineStr">
        <is>
          <t>否</t>
        </is>
      </c>
      <c r="G38" s="2" t="inlineStr">
        <is>
          <t>否</t>
        </is>
      </c>
      <c r="H38" s="2" t="n">
        <v>3</v>
      </c>
      <c r="I38" s="2" t="n">
        <v>1800</v>
      </c>
      <c r="J38" s="2" t="inlineStr">
        <is>
          <t>每日开放</t>
        </is>
      </c>
      <c r="K38" s="2" t="inlineStr">
        <is>
          <t>无</t>
        </is>
      </c>
      <c r="L38" s="2" t="inlineStr">
        <is>
          <t>固定掉落</t>
        </is>
      </c>
      <c r="M38" s="2" t="inlineStr">
        <is>
          <t>silver</t>
        </is>
      </c>
      <c r="N38" s="2" t="inlineStr">
        <is>
          <t>silver</t>
        </is>
      </c>
      <c r="O38" s="2" t="inlineStr">
        <is>
          <t>银两</t>
        </is>
      </c>
      <c r="P38" s="2" t="inlineStr">
        <is>
          <t>资源</t>
        </is>
      </c>
      <c r="Q38" s="2" t="inlineStr">
        <is>
          <t>资源</t>
        </is>
      </c>
      <c r="R38" s="5" t="n">
        <v>1</v>
      </c>
      <c r="S38" s="2" t="n">
        <v>50000</v>
      </c>
      <c r="T38" s="2" t="n"/>
      <c r="U38" s="2" t="inlineStr">
        <is>
          <t>否</t>
        </is>
      </c>
      <c r="V38" s="2" t="inlineStr">
        <is>
          <t>50000</t>
        </is>
      </c>
      <c r="W38" s="2" t="n"/>
      <c r="X38" s="5">
        <f>R38</f>
        <v>1</v>
      </c>
      <c r="Y38" s="6">
        <f>X38*S38</f>
        <v>50000</v>
      </c>
      <c r="Z38" s="2" t="inlineStr">
        <is>
          <t>个人任务</t>
        </is>
      </c>
      <c r="AA38" s="2" t="n"/>
      <c r="AB38" s="2" t="inlineStr">
        <is>
          <t>挑战者庄园</t>
        </is>
      </c>
      <c r="AC38" s="2" t="inlineStr">
        <is>
          <t>玩家胜利、非撤退，任务返程/防守结算；宝箱内容另见宝箱奖励明细</t>
        </is>
      </c>
      <c r="AD38" s="2" t="inlineStr">
        <is>
          <t>data/mission_templates.yaml:simian_chuge.drop_table.silver</t>
        </is>
      </c>
    </row>
    <row r="39">
      <c r="A39" s="2" t="n">
        <v>38</v>
      </c>
      <c r="B39" s="2" t="inlineStr">
        <is>
          <t>simian_chuge</t>
        </is>
      </c>
      <c r="C39" s="2" t="inlineStr">
        <is>
          <t>四面楚歌</t>
        </is>
      </c>
      <c r="D39" s="2" t="inlineStr">
        <is>
          <t>高级</t>
        </is>
      </c>
      <c r="E39" s="2" t="inlineStr">
        <is>
          <t>task1</t>
        </is>
      </c>
      <c r="F39" s="2" t="inlineStr">
        <is>
          <t>否</t>
        </is>
      </c>
      <c r="G39" s="2" t="inlineStr">
        <is>
          <t>否</t>
        </is>
      </c>
      <c r="H39" s="2" t="n">
        <v>3</v>
      </c>
      <c r="I39" s="2" t="n">
        <v>1800</v>
      </c>
      <c r="J39" s="2" t="inlineStr">
        <is>
          <t>每日开放</t>
        </is>
      </c>
      <c r="K39" s="2" t="inlineStr">
        <is>
          <t>无</t>
        </is>
      </c>
      <c r="L39" s="2" t="inlineStr">
        <is>
          <t>固定掉落</t>
        </is>
      </c>
      <c r="M39" s="2" t="inlineStr">
        <is>
          <t>mission_chest_simian_chuge</t>
        </is>
      </c>
      <c r="N39" s="2" t="inlineStr">
        <is>
          <t>mission_chest_simian_chuge</t>
        </is>
      </c>
      <c r="O39" s="2" t="inlineStr">
        <is>
          <t>四面楚歌宝箱</t>
        </is>
      </c>
      <c r="P39" s="2" t="inlineStr">
        <is>
          <t>loot_box</t>
        </is>
      </c>
      <c r="Q39" s="2" t="inlineStr">
        <is>
          <t>purple</t>
        </is>
      </c>
      <c r="R39" s="5" t="n">
        <v>1</v>
      </c>
      <c r="S39" s="2" t="n">
        <v>1</v>
      </c>
      <c r="T39" s="2" t="n"/>
      <c r="U39" s="2" t="inlineStr">
        <is>
          <t>否</t>
        </is>
      </c>
      <c r="V39" s="2" t="inlineStr">
        <is>
          <t>1</t>
        </is>
      </c>
      <c r="W39" s="2" t="n"/>
      <c r="X39" s="5">
        <f>R39</f>
        <v>1</v>
      </c>
      <c r="Y39" s="6">
        <f>X39*S39</f>
        <v>1</v>
      </c>
      <c r="Z39" s="2" t="inlineStr">
        <is>
          <t>个人任务</t>
        </is>
      </c>
      <c r="AA39" s="2" t="n"/>
      <c r="AB39" s="2" t="inlineStr">
        <is>
          <t>挑战者庄园</t>
        </is>
      </c>
      <c r="AC39" s="2" t="inlineStr">
        <is>
          <t>玩家胜利、非撤退，任务返程/防守结算；宝箱内容另见宝箱奖励明细</t>
        </is>
      </c>
      <c r="AD39" s="2" t="inlineStr">
        <is>
          <t>data/mission_templates.yaml:simian_chuge.drop_table.mission_chest_simian_chuge</t>
        </is>
      </c>
    </row>
    <row r="40">
      <c r="A40" s="2" t="n">
        <v>39</v>
      </c>
      <c r="B40" s="2" t="inlineStr">
        <is>
          <t>manzu_ruqin</t>
        </is>
      </c>
      <c r="C40" s="2" t="inlineStr">
        <is>
          <t>蛮族入侵</t>
        </is>
      </c>
      <c r="D40" s="2" t="inlineStr">
        <is>
          <t>高级</t>
        </is>
      </c>
      <c r="E40" s="2" t="inlineStr">
        <is>
          <t>task1</t>
        </is>
      </c>
      <c r="F40" s="2" t="inlineStr">
        <is>
          <t>是</t>
        </is>
      </c>
      <c r="G40" s="2" t="inlineStr">
        <is>
          <t>否</t>
        </is>
      </c>
      <c r="H40" s="2" t="n">
        <v>3</v>
      </c>
      <c r="I40" s="2" t="n">
        <v>1800</v>
      </c>
      <c r="J40" s="2" t="inlineStr">
        <is>
          <t>每日开放</t>
        </is>
      </c>
      <c r="K40" s="2" t="inlineStr">
        <is>
          <t>无</t>
        </is>
      </c>
      <c r="L40" s="2" t="inlineStr">
        <is>
          <t>固定掉落</t>
        </is>
      </c>
      <c r="M40" s="2" t="inlineStr">
        <is>
          <t>silver</t>
        </is>
      </c>
      <c r="N40" s="2" t="inlineStr">
        <is>
          <t>silver</t>
        </is>
      </c>
      <c r="O40" s="2" t="inlineStr">
        <is>
          <t>银两</t>
        </is>
      </c>
      <c r="P40" s="2" t="inlineStr">
        <is>
          <t>资源</t>
        </is>
      </c>
      <c r="Q40" s="2" t="inlineStr">
        <is>
          <t>资源</t>
        </is>
      </c>
      <c r="R40" s="5" t="n">
        <v>1</v>
      </c>
      <c r="S40" s="2" t="n">
        <v>50000</v>
      </c>
      <c r="T40" s="2" t="n"/>
      <c r="U40" s="2" t="inlineStr">
        <is>
          <t>否</t>
        </is>
      </c>
      <c r="V40" s="2" t="inlineStr">
        <is>
          <t>50000</t>
        </is>
      </c>
      <c r="W40" s="2" t="n"/>
      <c r="X40" s="5">
        <f>R40</f>
        <v>1</v>
      </c>
      <c r="Y40" s="6">
        <f>X40*S40</f>
        <v>50000</v>
      </c>
      <c r="Z40" s="2" t="inlineStr">
        <is>
          <t>个人任务</t>
        </is>
      </c>
      <c r="AA40" s="2" t="n"/>
      <c r="AB40" s="2" t="inlineStr">
        <is>
          <t>挑战者庄园</t>
        </is>
      </c>
      <c r="AC40" s="2" t="inlineStr">
        <is>
          <t>玩家胜利、非撤退，任务返程/防守结算；宝箱内容另见宝箱奖励明细</t>
        </is>
      </c>
      <c r="AD40" s="2" t="inlineStr">
        <is>
          <t>data/mission_templates.yaml:manzu_ruqin.drop_table.silver</t>
        </is>
      </c>
    </row>
    <row r="41">
      <c r="A41" s="2" t="n">
        <v>40</v>
      </c>
      <c r="B41" s="2" t="inlineStr">
        <is>
          <t>manzu_ruqin</t>
        </is>
      </c>
      <c r="C41" s="2" t="inlineStr">
        <is>
          <t>蛮族入侵</t>
        </is>
      </c>
      <c r="D41" s="2" t="inlineStr">
        <is>
          <t>高级</t>
        </is>
      </c>
      <c r="E41" s="2" t="inlineStr">
        <is>
          <t>task1</t>
        </is>
      </c>
      <c r="F41" s="2" t="inlineStr">
        <is>
          <t>是</t>
        </is>
      </c>
      <c r="G41" s="2" t="inlineStr">
        <is>
          <t>否</t>
        </is>
      </c>
      <c r="H41" s="2" t="n">
        <v>3</v>
      </c>
      <c r="I41" s="2" t="n">
        <v>1800</v>
      </c>
      <c r="J41" s="2" t="inlineStr">
        <is>
          <t>每日开放</t>
        </is>
      </c>
      <c r="K41" s="2" t="inlineStr">
        <is>
          <t>无</t>
        </is>
      </c>
      <c r="L41" s="2" t="inlineStr">
        <is>
          <t>固定掉落</t>
        </is>
      </c>
      <c r="M41" s="2" t="inlineStr">
        <is>
          <t>mission_chest_manzu_ruqin</t>
        </is>
      </c>
      <c r="N41" s="2" t="inlineStr">
        <is>
          <t>mission_chest_manzu_ruqin</t>
        </is>
      </c>
      <c r="O41" s="2" t="inlineStr">
        <is>
          <t>蛮族入侵宝箱</t>
        </is>
      </c>
      <c r="P41" s="2" t="inlineStr">
        <is>
          <t>loot_box</t>
        </is>
      </c>
      <c r="Q41" s="2" t="inlineStr">
        <is>
          <t>purple</t>
        </is>
      </c>
      <c r="R41" s="5" t="n">
        <v>1</v>
      </c>
      <c r="S41" s="2" t="n">
        <v>1</v>
      </c>
      <c r="T41" s="2" t="n"/>
      <c r="U41" s="2" t="inlineStr">
        <is>
          <t>否</t>
        </is>
      </c>
      <c r="V41" s="2" t="inlineStr">
        <is>
          <t>1</t>
        </is>
      </c>
      <c r="W41" s="2" t="n"/>
      <c r="X41" s="5">
        <f>R41</f>
        <v>1</v>
      </c>
      <c r="Y41" s="6">
        <f>X41*S41</f>
        <v>1</v>
      </c>
      <c r="Z41" s="2" t="inlineStr">
        <is>
          <t>个人任务</t>
        </is>
      </c>
      <c r="AA41" s="2" t="n"/>
      <c r="AB41" s="2" t="inlineStr">
        <is>
          <t>挑战者庄园</t>
        </is>
      </c>
      <c r="AC41" s="2" t="inlineStr">
        <is>
          <t>玩家胜利、非撤退，任务返程/防守结算；宝箱内容另见宝箱奖励明细</t>
        </is>
      </c>
      <c r="AD41" s="2" t="inlineStr">
        <is>
          <t>data/mission_templates.yaml:manzu_ruqin.drop_table.mission_chest_manzu_ruqin</t>
        </is>
      </c>
    </row>
    <row r="42">
      <c r="A42" s="2" t="n">
        <v>41</v>
      </c>
      <c r="B42" s="2" t="inlineStr">
        <is>
          <t>zhuiji_manzu</t>
        </is>
      </c>
      <c r="C42" s="2" t="inlineStr">
        <is>
          <t>追击蛮族</t>
        </is>
      </c>
      <c r="D42" s="2" t="inlineStr">
        <is>
          <t>高级</t>
        </is>
      </c>
      <c r="E42" s="2" t="inlineStr">
        <is>
          <t>task1</t>
        </is>
      </c>
      <c r="F42" s="2" t="inlineStr">
        <is>
          <t>否</t>
        </is>
      </c>
      <c r="G42" s="2" t="inlineStr">
        <is>
          <t>否</t>
        </is>
      </c>
      <c r="H42" s="2" t="n">
        <v>3</v>
      </c>
      <c r="I42" s="2" t="n">
        <v>1800</v>
      </c>
      <c r="J42" s="2" t="inlineStr">
        <is>
          <t>每日开放</t>
        </is>
      </c>
      <c r="K42" s="2" t="inlineStr">
        <is>
          <t>无</t>
        </is>
      </c>
      <c r="L42" s="2" t="inlineStr">
        <is>
          <t>固定掉落</t>
        </is>
      </c>
      <c r="M42" s="2" t="inlineStr">
        <is>
          <t>silver</t>
        </is>
      </c>
      <c r="N42" s="2" t="inlineStr">
        <is>
          <t>silver</t>
        </is>
      </c>
      <c r="O42" s="2" t="inlineStr">
        <is>
          <t>银两</t>
        </is>
      </c>
      <c r="P42" s="2" t="inlineStr">
        <is>
          <t>资源</t>
        </is>
      </c>
      <c r="Q42" s="2" t="inlineStr">
        <is>
          <t>资源</t>
        </is>
      </c>
      <c r="R42" s="5" t="n">
        <v>1</v>
      </c>
      <c r="S42" s="2" t="n">
        <v>40000</v>
      </c>
      <c r="T42" s="2" t="n"/>
      <c r="U42" s="2" t="inlineStr">
        <is>
          <t>否</t>
        </is>
      </c>
      <c r="V42" s="2" t="inlineStr">
        <is>
          <t>40000</t>
        </is>
      </c>
      <c r="W42" s="2" t="n"/>
      <c r="X42" s="5">
        <f>R42</f>
        <v>1</v>
      </c>
      <c r="Y42" s="6">
        <f>X42*S42</f>
        <v>40000</v>
      </c>
      <c r="Z42" s="2" t="inlineStr">
        <is>
          <t>个人任务</t>
        </is>
      </c>
      <c r="AA42" s="2" t="n"/>
      <c r="AB42" s="2" t="inlineStr">
        <is>
          <t>挑战者庄园</t>
        </is>
      </c>
      <c r="AC42" s="2" t="inlineStr">
        <is>
          <t>玩家胜利、非撤退，任务返程/防守结算；宝箱内容另见宝箱奖励明细</t>
        </is>
      </c>
      <c r="AD42" s="2" t="inlineStr">
        <is>
          <t>data/mission_templates.yaml:zhuiji_manzu.drop_table.silver</t>
        </is>
      </c>
    </row>
    <row r="43">
      <c r="A43" s="2" t="n">
        <v>42</v>
      </c>
      <c r="B43" s="2" t="inlineStr">
        <is>
          <t>zhuiji_manzu</t>
        </is>
      </c>
      <c r="C43" s="2" t="inlineStr">
        <is>
          <t>追击蛮族</t>
        </is>
      </c>
      <c r="D43" s="2" t="inlineStr">
        <is>
          <t>高级</t>
        </is>
      </c>
      <c r="E43" s="2" t="inlineStr">
        <is>
          <t>task1</t>
        </is>
      </c>
      <c r="F43" s="2" t="inlineStr">
        <is>
          <t>否</t>
        </is>
      </c>
      <c r="G43" s="2" t="inlineStr">
        <is>
          <t>否</t>
        </is>
      </c>
      <c r="H43" s="2" t="n">
        <v>3</v>
      </c>
      <c r="I43" s="2" t="n">
        <v>1800</v>
      </c>
      <c r="J43" s="2" t="inlineStr">
        <is>
          <t>每日开放</t>
        </is>
      </c>
      <c r="K43" s="2" t="inlineStr">
        <is>
          <t>无</t>
        </is>
      </c>
      <c r="L43" s="2" t="inlineStr">
        <is>
          <t>固定掉落</t>
        </is>
      </c>
      <c r="M43" s="2" t="inlineStr">
        <is>
          <t>mission_chest_zhuiji_manzu</t>
        </is>
      </c>
      <c r="N43" s="2" t="inlineStr">
        <is>
          <t>mission_chest_zhuiji_manzu</t>
        </is>
      </c>
      <c r="O43" s="2" t="inlineStr">
        <is>
          <t>追击蛮族宝箱</t>
        </is>
      </c>
      <c r="P43" s="2" t="inlineStr">
        <is>
          <t>loot_box</t>
        </is>
      </c>
      <c r="Q43" s="2" t="inlineStr">
        <is>
          <t>purple</t>
        </is>
      </c>
      <c r="R43" s="5" t="n">
        <v>1</v>
      </c>
      <c r="S43" s="2" t="n">
        <v>1</v>
      </c>
      <c r="T43" s="2" t="n"/>
      <c r="U43" s="2" t="inlineStr">
        <is>
          <t>否</t>
        </is>
      </c>
      <c r="V43" s="2" t="inlineStr">
        <is>
          <t>1</t>
        </is>
      </c>
      <c r="W43" s="2" t="n"/>
      <c r="X43" s="5">
        <f>R43</f>
        <v>1</v>
      </c>
      <c r="Y43" s="6">
        <f>X43*S43</f>
        <v>1</v>
      </c>
      <c r="Z43" s="2" t="inlineStr">
        <is>
          <t>个人任务</t>
        </is>
      </c>
      <c r="AA43" s="2" t="n"/>
      <c r="AB43" s="2" t="inlineStr">
        <is>
          <t>挑战者庄园</t>
        </is>
      </c>
      <c r="AC43" s="2" t="inlineStr">
        <is>
          <t>玩家胜利、非撤退，任务返程/防守结算；宝箱内容另见宝箱奖励明细</t>
        </is>
      </c>
      <c r="AD43" s="2" t="inlineStr">
        <is>
          <t>data/mission_templates.yaml:zhuiji_manzu.drop_table.mission_chest_zhuiji_manzu</t>
        </is>
      </c>
    </row>
    <row r="44">
      <c r="A44" s="2" t="n">
        <v>43</v>
      </c>
      <c r="B44" s="2" t="inlineStr">
        <is>
          <t>liangshanbo_zhuyingtai</t>
        </is>
      </c>
      <c r="C44" s="2" t="inlineStr">
        <is>
          <t>梁山伯与祝英台</t>
        </is>
      </c>
      <c r="D44" s="2" t="inlineStr">
        <is>
          <t>中级</t>
        </is>
      </c>
      <c r="E44" s="2" t="inlineStr">
        <is>
          <t>task1</t>
        </is>
      </c>
      <c r="F44" s="2" t="inlineStr">
        <is>
          <t>否</t>
        </is>
      </c>
      <c r="G44" s="2" t="inlineStr">
        <is>
          <t>否</t>
        </is>
      </c>
      <c r="H44" s="2" t="n">
        <v>3</v>
      </c>
      <c r="I44" s="2" t="n">
        <v>1800</v>
      </c>
      <c r="J44" s="2" t="inlineStr">
        <is>
          <t>周一、周三、周五、周六、周日</t>
        </is>
      </c>
      <c r="K44" s="2" t="inlineStr">
        <is>
          <t>无</t>
        </is>
      </c>
      <c r="L44" s="2" t="inlineStr">
        <is>
          <t>固定掉落</t>
        </is>
      </c>
      <c r="M44" s="2" t="inlineStr">
        <is>
          <t>silver</t>
        </is>
      </c>
      <c r="N44" s="2" t="inlineStr">
        <is>
          <t>silver</t>
        </is>
      </c>
      <c r="O44" s="2" t="inlineStr">
        <is>
          <t>银两</t>
        </is>
      </c>
      <c r="P44" s="2" t="inlineStr">
        <is>
          <t>资源</t>
        </is>
      </c>
      <c r="Q44" s="2" t="inlineStr">
        <is>
          <t>资源</t>
        </is>
      </c>
      <c r="R44" s="5" t="n">
        <v>1</v>
      </c>
      <c r="S44" s="2" t="n">
        <v>10000</v>
      </c>
      <c r="T44" s="2" t="n"/>
      <c r="U44" s="2" t="inlineStr">
        <is>
          <t>否</t>
        </is>
      </c>
      <c r="V44" s="2" t="inlineStr">
        <is>
          <t>10000</t>
        </is>
      </c>
      <c r="W44" s="2" t="n"/>
      <c r="X44" s="5">
        <f>R44</f>
        <v>1</v>
      </c>
      <c r="Y44" s="6">
        <f>X44*S44</f>
        <v>10000</v>
      </c>
      <c r="Z44" s="2" t="inlineStr">
        <is>
          <t>个人任务</t>
        </is>
      </c>
      <c r="AA44" s="2" t="n"/>
      <c r="AB44" s="2" t="inlineStr">
        <is>
          <t>挑战者庄园</t>
        </is>
      </c>
      <c r="AC44" s="2" t="inlineStr">
        <is>
          <t>玩家胜利、非撤退，任务返程/防守结算；宝箱内容另见宝箱奖励明细</t>
        </is>
      </c>
      <c r="AD44" s="2" t="inlineStr">
        <is>
          <t>data/mission_templates.yaml:liangshanbo_zhuyingtai.drop_table.silver</t>
        </is>
      </c>
    </row>
    <row r="45">
      <c r="A45" s="2" t="n">
        <v>44</v>
      </c>
      <c r="B45" s="2" t="inlineStr">
        <is>
          <t>liangshanbo_zhuyingtai</t>
        </is>
      </c>
      <c r="C45" s="2" t="inlineStr">
        <is>
          <t>梁山伯与祝英台</t>
        </is>
      </c>
      <c r="D45" s="2" t="inlineStr">
        <is>
          <t>中级</t>
        </is>
      </c>
      <c r="E45" s="2" t="inlineStr">
        <is>
          <t>task1</t>
        </is>
      </c>
      <c r="F45" s="2" t="inlineStr">
        <is>
          <t>否</t>
        </is>
      </c>
      <c r="G45" s="2" t="inlineStr">
        <is>
          <t>否</t>
        </is>
      </c>
      <c r="H45" s="2" t="n">
        <v>3</v>
      </c>
      <c r="I45" s="2" t="n">
        <v>1800</v>
      </c>
      <c r="J45" s="2" t="inlineStr">
        <is>
          <t>周一、周三、周五、周六、周日</t>
        </is>
      </c>
      <c r="K45" s="2" t="inlineStr">
        <is>
          <t>无</t>
        </is>
      </c>
      <c r="L45" s="2" t="inlineStr">
        <is>
          <t>固定掉落</t>
        </is>
      </c>
      <c r="M45" s="2" t="inlineStr">
        <is>
          <t>mission_chest_liangshanbo_zhuyingtai</t>
        </is>
      </c>
      <c r="N45" s="2" t="inlineStr">
        <is>
          <t>mission_chest_liangshanbo_zhuyingtai</t>
        </is>
      </c>
      <c r="O45" s="2" t="inlineStr">
        <is>
          <t>梁山伯与祝英台宝箱</t>
        </is>
      </c>
      <c r="P45" s="2" t="inlineStr">
        <is>
          <t>loot_box</t>
        </is>
      </c>
      <c r="Q45" s="2" t="inlineStr">
        <is>
          <t>blue</t>
        </is>
      </c>
      <c r="R45" s="5" t="n">
        <v>1</v>
      </c>
      <c r="S45" s="2" t="n">
        <v>1</v>
      </c>
      <c r="T45" s="2" t="n"/>
      <c r="U45" s="2" t="inlineStr">
        <is>
          <t>否</t>
        </is>
      </c>
      <c r="V45" s="2" t="inlineStr">
        <is>
          <t>1</t>
        </is>
      </c>
      <c r="W45" s="2" t="n"/>
      <c r="X45" s="5">
        <f>R45</f>
        <v>1</v>
      </c>
      <c r="Y45" s="6">
        <f>X45*S45</f>
        <v>1</v>
      </c>
      <c r="Z45" s="2" t="inlineStr">
        <is>
          <t>个人任务</t>
        </is>
      </c>
      <c r="AA45" s="2" t="n"/>
      <c r="AB45" s="2" t="inlineStr">
        <is>
          <t>挑战者庄园</t>
        </is>
      </c>
      <c r="AC45" s="2" t="inlineStr">
        <is>
          <t>玩家胜利、非撤退，任务返程/防守结算；宝箱内容另见宝箱奖励明细</t>
        </is>
      </c>
      <c r="AD45" s="2" t="inlineStr">
        <is>
          <t>data/mission_templates.yaml:liangshanbo_zhuyingtai.drop_table.mission_chest_liangshanbo_zhuyingtai</t>
        </is>
      </c>
    </row>
    <row r="46">
      <c r="A46" s="2" t="n">
        <v>45</v>
      </c>
      <c r="B46" s="2" t="inlineStr">
        <is>
          <t>biyou_candeng</t>
        </is>
      </c>
      <c r="C46" s="2" t="inlineStr">
        <is>
          <t>封神之战：碧游残灯</t>
        </is>
      </c>
      <c r="D46" s="2" t="inlineStr">
        <is>
          <t>高级</t>
        </is>
      </c>
      <c r="E46" s="2" t="inlineStr">
        <is>
          <t>task1</t>
        </is>
      </c>
      <c r="F46" s="2" t="inlineStr">
        <is>
          <t>否</t>
        </is>
      </c>
      <c r="G46" s="2" t="inlineStr">
        <is>
          <t>否</t>
        </is>
      </c>
      <c r="H46" s="2" t="n">
        <v>3</v>
      </c>
      <c r="I46" s="2" t="n">
        <v>1800</v>
      </c>
      <c r="J46" s="2" t="inlineStr">
        <is>
          <t>每日开放</t>
        </is>
      </c>
      <c r="K46" s="2" t="inlineStr">
        <is>
          <t>无</t>
        </is>
      </c>
      <c r="L46" s="2" t="inlineStr">
        <is>
          <t>固定掉落</t>
        </is>
      </c>
      <c r="M46" s="2" t="inlineStr">
        <is>
          <t>silver</t>
        </is>
      </c>
      <c r="N46" s="2" t="inlineStr">
        <is>
          <t>silver</t>
        </is>
      </c>
      <c r="O46" s="2" t="inlineStr">
        <is>
          <t>银两</t>
        </is>
      </c>
      <c r="P46" s="2" t="inlineStr">
        <is>
          <t>资源</t>
        </is>
      </c>
      <c r="Q46" s="2" t="inlineStr">
        <is>
          <t>资源</t>
        </is>
      </c>
      <c r="R46" s="5" t="n">
        <v>1</v>
      </c>
      <c r="S46" s="2" t="n">
        <v>60000</v>
      </c>
      <c r="T46" s="2" t="n"/>
      <c r="U46" s="2" t="inlineStr">
        <is>
          <t>否</t>
        </is>
      </c>
      <c r="V46" s="2" t="inlineStr">
        <is>
          <t>60000</t>
        </is>
      </c>
      <c r="W46" s="2" t="n"/>
      <c r="X46" s="5">
        <f>R46</f>
        <v>1</v>
      </c>
      <c r="Y46" s="6">
        <f>X46*S46</f>
        <v>60000</v>
      </c>
      <c r="Z46" s="2" t="inlineStr">
        <is>
          <t>个人任务</t>
        </is>
      </c>
      <c r="AA46" s="2" t="n"/>
      <c r="AB46" s="2" t="inlineStr">
        <is>
          <t>挑战者庄园</t>
        </is>
      </c>
      <c r="AC46" s="2" t="inlineStr">
        <is>
          <t>玩家胜利、非撤退，任务返程/防守结算；宝箱内容另见宝箱奖励明细</t>
        </is>
      </c>
      <c r="AD46" s="2" t="inlineStr">
        <is>
          <t>data/mission_templates.yaml:biyou_candeng.drop_table.silver</t>
        </is>
      </c>
    </row>
    <row r="47">
      <c r="A47" s="2" t="n">
        <v>46</v>
      </c>
      <c r="B47" s="2" t="inlineStr">
        <is>
          <t>biyou_candeng</t>
        </is>
      </c>
      <c r="C47" s="2" t="inlineStr">
        <is>
          <t>封神之战：碧游残灯</t>
        </is>
      </c>
      <c r="D47" s="2" t="inlineStr">
        <is>
          <t>高级</t>
        </is>
      </c>
      <c r="E47" s="2" t="inlineStr">
        <is>
          <t>task1</t>
        </is>
      </c>
      <c r="F47" s="2" t="inlineStr">
        <is>
          <t>否</t>
        </is>
      </c>
      <c r="G47" s="2" t="inlineStr">
        <is>
          <t>否</t>
        </is>
      </c>
      <c r="H47" s="2" t="n">
        <v>3</v>
      </c>
      <c r="I47" s="2" t="n">
        <v>1800</v>
      </c>
      <c r="J47" s="2" t="inlineStr">
        <is>
          <t>每日开放</t>
        </is>
      </c>
      <c r="K47" s="2" t="inlineStr">
        <is>
          <t>无</t>
        </is>
      </c>
      <c r="L47" s="2" t="inlineStr">
        <is>
          <t>固定掉落</t>
        </is>
      </c>
      <c r="M47" s="2" t="inlineStr">
        <is>
          <t>mission_chest_biyou_candeng</t>
        </is>
      </c>
      <c r="N47" s="2" t="inlineStr">
        <is>
          <t>mission_chest_biyou_candeng</t>
        </is>
      </c>
      <c r="O47" s="2" t="inlineStr">
        <is>
          <t>碧游残灯宝箱</t>
        </is>
      </c>
      <c r="P47" s="2" t="inlineStr">
        <is>
          <t>loot_box</t>
        </is>
      </c>
      <c r="Q47" s="2" t="inlineStr">
        <is>
          <t>purple</t>
        </is>
      </c>
      <c r="R47" s="5" t="n">
        <v>1</v>
      </c>
      <c r="S47" s="2" t="n">
        <v>1</v>
      </c>
      <c r="T47" s="2" t="n"/>
      <c r="U47" s="2" t="inlineStr">
        <is>
          <t>否</t>
        </is>
      </c>
      <c r="V47" s="2" t="inlineStr">
        <is>
          <t>1</t>
        </is>
      </c>
      <c r="W47" s="2" t="n"/>
      <c r="X47" s="5">
        <f>R47</f>
        <v>1</v>
      </c>
      <c r="Y47" s="6">
        <f>X47*S47</f>
        <v>1</v>
      </c>
      <c r="Z47" s="2" t="inlineStr">
        <is>
          <t>个人任务</t>
        </is>
      </c>
      <c r="AA47" s="2" t="n"/>
      <c r="AB47" s="2" t="inlineStr">
        <is>
          <t>挑战者庄园</t>
        </is>
      </c>
      <c r="AC47" s="2" t="inlineStr">
        <is>
          <t>玩家胜利、非撤退，任务返程/防守结算；宝箱内容另见宝箱奖励明细</t>
        </is>
      </c>
      <c r="AD47" s="2" t="inlineStr">
        <is>
          <t>data/mission_templates.yaml:biyou_candeng.drop_table.mission_chest_biyou_candeng</t>
        </is>
      </c>
    </row>
    <row r="48">
      <c r="A48" s="2" t="n">
        <v>47</v>
      </c>
      <c r="B48" s="2" t="inlineStr">
        <is>
          <t>shier_xianyin</t>
        </is>
      </c>
      <c r="C48" s="2" t="inlineStr">
        <is>
          <t>封神之战：十二仙印</t>
        </is>
      </c>
      <c r="D48" s="2" t="inlineStr">
        <is>
          <t>高级</t>
        </is>
      </c>
      <c r="E48" s="2" t="inlineStr">
        <is>
          <t>task1</t>
        </is>
      </c>
      <c r="F48" s="2" t="inlineStr">
        <is>
          <t>否</t>
        </is>
      </c>
      <c r="G48" s="2" t="inlineStr">
        <is>
          <t>否</t>
        </is>
      </c>
      <c r="H48" s="2" t="n">
        <v>2</v>
      </c>
      <c r="I48" s="2" t="n">
        <v>1800</v>
      </c>
      <c r="J48" s="2" t="inlineStr">
        <is>
          <t>每日开放</t>
        </is>
      </c>
      <c r="K48" s="2" t="inlineStr">
        <is>
          <t>万仙阵旗残片×1</t>
        </is>
      </c>
      <c r="L48" s="2" t="inlineStr">
        <is>
          <t>固定掉落</t>
        </is>
      </c>
      <c r="M48" s="2" t="inlineStr">
        <is>
          <t>silver</t>
        </is>
      </c>
      <c r="N48" s="2" t="inlineStr">
        <is>
          <t>silver</t>
        </is>
      </c>
      <c r="O48" s="2" t="inlineStr">
        <is>
          <t>银两</t>
        </is>
      </c>
      <c r="P48" s="2" t="inlineStr">
        <is>
          <t>资源</t>
        </is>
      </c>
      <c r="Q48" s="2" t="inlineStr">
        <is>
          <t>资源</t>
        </is>
      </c>
      <c r="R48" s="5" t="n">
        <v>1</v>
      </c>
      <c r="S48" s="2" t="n">
        <v>80000</v>
      </c>
      <c r="T48" s="2" t="n"/>
      <c r="U48" s="2" t="inlineStr">
        <is>
          <t>否</t>
        </is>
      </c>
      <c r="V48" s="2" t="inlineStr">
        <is>
          <t>80000</t>
        </is>
      </c>
      <c r="W48" s="2" t="n"/>
      <c r="X48" s="5">
        <f>R48</f>
        <v>1</v>
      </c>
      <c r="Y48" s="6">
        <f>X48*S48</f>
        <v>80000</v>
      </c>
      <c r="Z48" s="2" t="inlineStr">
        <is>
          <t>个人任务</t>
        </is>
      </c>
      <c r="AA48" s="2" t="n"/>
      <c r="AB48" s="2" t="inlineStr">
        <is>
          <t>挑战者庄园</t>
        </is>
      </c>
      <c r="AC48" s="2" t="inlineStr">
        <is>
          <t>玩家胜利、非撤退，任务返程/防守结算；宝箱内容另见宝箱奖励明细</t>
        </is>
      </c>
      <c r="AD48" s="2" t="inlineStr">
        <is>
          <t>data/mission_templates.yaml:shier_xianyin.drop_table.silver</t>
        </is>
      </c>
    </row>
    <row r="49">
      <c r="A49" s="2" t="n">
        <v>48</v>
      </c>
      <c r="B49" s="2" t="inlineStr">
        <is>
          <t>shier_xianyin</t>
        </is>
      </c>
      <c r="C49" s="2" t="inlineStr">
        <is>
          <t>封神之战：十二仙印</t>
        </is>
      </c>
      <c r="D49" s="2" t="inlineStr">
        <is>
          <t>高级</t>
        </is>
      </c>
      <c r="E49" s="2" t="inlineStr">
        <is>
          <t>task1</t>
        </is>
      </c>
      <c r="F49" s="2" t="inlineStr">
        <is>
          <t>否</t>
        </is>
      </c>
      <c r="G49" s="2" t="inlineStr">
        <is>
          <t>否</t>
        </is>
      </c>
      <c r="H49" s="2" t="n">
        <v>2</v>
      </c>
      <c r="I49" s="2" t="n">
        <v>1800</v>
      </c>
      <c r="J49" s="2" t="inlineStr">
        <is>
          <t>每日开放</t>
        </is>
      </c>
      <c r="K49" s="2" t="inlineStr">
        <is>
          <t>万仙阵旗残片×1</t>
        </is>
      </c>
      <c r="L49" s="2" t="inlineStr">
        <is>
          <t>固定掉落</t>
        </is>
      </c>
      <c r="M49" s="2" t="inlineStr">
        <is>
          <t>mission_chest_shier_xianyin</t>
        </is>
      </c>
      <c r="N49" s="2" t="inlineStr">
        <is>
          <t>mission_chest_shier_xianyin</t>
        </is>
      </c>
      <c r="O49" s="2" t="inlineStr">
        <is>
          <t>十二仙印宝箱</t>
        </is>
      </c>
      <c r="P49" s="2" t="inlineStr">
        <is>
          <t>loot_box</t>
        </is>
      </c>
      <c r="Q49" s="2" t="inlineStr">
        <is>
          <t>purple</t>
        </is>
      </c>
      <c r="R49" s="5" t="n">
        <v>1</v>
      </c>
      <c r="S49" s="2" t="n">
        <v>1</v>
      </c>
      <c r="T49" s="2" t="n"/>
      <c r="U49" s="2" t="inlineStr">
        <is>
          <t>否</t>
        </is>
      </c>
      <c r="V49" s="2" t="inlineStr">
        <is>
          <t>1</t>
        </is>
      </c>
      <c r="W49" s="2" t="n"/>
      <c r="X49" s="5">
        <f>R49</f>
        <v>1</v>
      </c>
      <c r="Y49" s="6">
        <f>X49*S49</f>
        <v>1</v>
      </c>
      <c r="Z49" s="2" t="inlineStr">
        <is>
          <t>个人任务</t>
        </is>
      </c>
      <c r="AA49" s="2" t="n"/>
      <c r="AB49" s="2" t="inlineStr">
        <is>
          <t>挑战者庄园</t>
        </is>
      </c>
      <c r="AC49" s="2" t="inlineStr">
        <is>
          <t>玩家胜利、非撤退，任务返程/防守结算；宝箱内容另见宝箱奖励明细</t>
        </is>
      </c>
      <c r="AD49" s="2" t="inlineStr">
        <is>
          <t>data/mission_templates.yaml:shier_xianyin.drop_table.mission_chest_shier_xianyin</t>
        </is>
      </c>
    </row>
    <row r="50">
      <c r="A50" s="2" t="n">
        <v>49</v>
      </c>
      <c r="B50" s="2" t="inlineStr">
        <is>
          <t>fengbang_tianmen</t>
        </is>
      </c>
      <c r="C50" s="2" t="inlineStr">
        <is>
          <t>封神之战：封榜天门</t>
        </is>
      </c>
      <c r="D50" s="2" t="inlineStr">
        <is>
          <t>高级</t>
        </is>
      </c>
      <c r="E50" s="2" t="inlineStr">
        <is>
          <t>task1</t>
        </is>
      </c>
      <c r="F50" s="2" t="inlineStr">
        <is>
          <t>否</t>
        </is>
      </c>
      <c r="G50" s="2" t="inlineStr">
        <is>
          <t>否</t>
        </is>
      </c>
      <c r="H50" s="2" t="n">
        <v>1</v>
      </c>
      <c r="I50" s="2" t="n">
        <v>1800</v>
      </c>
      <c r="J50" s="2" t="inlineStr">
        <is>
          <t>每日开放</t>
        </is>
      </c>
      <c r="K50" s="2" t="inlineStr">
        <is>
          <t>玉虚碎印×1</t>
        </is>
      </c>
      <c r="L50" s="2" t="inlineStr">
        <is>
          <t>固定掉落</t>
        </is>
      </c>
      <c r="M50" s="2" t="inlineStr">
        <is>
          <t>silver</t>
        </is>
      </c>
      <c r="N50" s="2" t="inlineStr">
        <is>
          <t>silver</t>
        </is>
      </c>
      <c r="O50" s="2" t="inlineStr">
        <is>
          <t>银两</t>
        </is>
      </c>
      <c r="P50" s="2" t="inlineStr">
        <is>
          <t>资源</t>
        </is>
      </c>
      <c r="Q50" s="2" t="inlineStr">
        <is>
          <t>资源</t>
        </is>
      </c>
      <c r="R50" s="5" t="n">
        <v>1</v>
      </c>
      <c r="S50" s="2" t="n">
        <v>100000</v>
      </c>
      <c r="T50" s="2" t="n"/>
      <c r="U50" s="2" t="inlineStr">
        <is>
          <t>否</t>
        </is>
      </c>
      <c r="V50" s="2" t="inlineStr">
        <is>
          <t>100000</t>
        </is>
      </c>
      <c r="W50" s="2" t="n"/>
      <c r="X50" s="5">
        <f>R50</f>
        <v>1</v>
      </c>
      <c r="Y50" s="6">
        <f>X50*S50</f>
        <v>100000</v>
      </c>
      <c r="Z50" s="2" t="inlineStr">
        <is>
          <t>个人任务</t>
        </is>
      </c>
      <c r="AA50" s="2" t="n"/>
      <c r="AB50" s="2" t="inlineStr">
        <is>
          <t>挑战者庄园</t>
        </is>
      </c>
      <c r="AC50" s="2" t="inlineStr">
        <is>
          <t>玩家胜利、非撤退，任务返程/防守结算；宝箱内容另见宝箱奖励明细</t>
        </is>
      </c>
      <c r="AD50" s="2" t="inlineStr">
        <is>
          <t>data/mission_templates.yaml:fengbang_tianmen.drop_table.silver</t>
        </is>
      </c>
    </row>
    <row r="51">
      <c r="A51" s="2" t="n">
        <v>50</v>
      </c>
      <c r="B51" s="2" t="inlineStr">
        <is>
          <t>fengbang_tianmen</t>
        </is>
      </c>
      <c r="C51" s="2" t="inlineStr">
        <is>
          <t>封神之战：封榜天门</t>
        </is>
      </c>
      <c r="D51" s="2" t="inlineStr">
        <is>
          <t>高级</t>
        </is>
      </c>
      <c r="E51" s="2" t="inlineStr">
        <is>
          <t>task1</t>
        </is>
      </c>
      <c r="F51" s="2" t="inlineStr">
        <is>
          <t>否</t>
        </is>
      </c>
      <c r="G51" s="2" t="inlineStr">
        <is>
          <t>否</t>
        </is>
      </c>
      <c r="H51" s="2" t="n">
        <v>1</v>
      </c>
      <c r="I51" s="2" t="n">
        <v>1800</v>
      </c>
      <c r="J51" s="2" t="inlineStr">
        <is>
          <t>每日开放</t>
        </is>
      </c>
      <c r="K51" s="2" t="inlineStr">
        <is>
          <t>玉虚碎印×1</t>
        </is>
      </c>
      <c r="L51" s="2" t="inlineStr">
        <is>
          <t>固定掉落</t>
        </is>
      </c>
      <c r="M51" s="2" t="inlineStr">
        <is>
          <t>mission_chest_fengbang_tianmen</t>
        </is>
      </c>
      <c r="N51" s="2" t="inlineStr">
        <is>
          <t>mission_chest_fengbang_tianmen</t>
        </is>
      </c>
      <c r="O51" s="2" t="inlineStr">
        <is>
          <t>封榜天门宝箱</t>
        </is>
      </c>
      <c r="P51" s="2" t="inlineStr">
        <is>
          <t>loot_box</t>
        </is>
      </c>
      <c r="Q51" s="2" t="inlineStr">
        <is>
          <t>purple</t>
        </is>
      </c>
      <c r="R51" s="5" t="n">
        <v>1</v>
      </c>
      <c r="S51" s="2" t="n">
        <v>1</v>
      </c>
      <c r="T51" s="2" t="n"/>
      <c r="U51" s="2" t="inlineStr">
        <is>
          <t>否</t>
        </is>
      </c>
      <c r="V51" s="2" t="inlineStr">
        <is>
          <t>1</t>
        </is>
      </c>
      <c r="W51" s="2" t="n"/>
      <c r="X51" s="5">
        <f>R51</f>
        <v>1</v>
      </c>
      <c r="Y51" s="6">
        <f>X51*S51</f>
        <v>1</v>
      </c>
      <c r="Z51" s="2" t="inlineStr">
        <is>
          <t>个人任务</t>
        </is>
      </c>
      <c r="AA51" s="2" t="n"/>
      <c r="AB51" s="2" t="inlineStr">
        <is>
          <t>挑战者庄园</t>
        </is>
      </c>
      <c r="AC51" s="2" t="inlineStr">
        <is>
          <t>玩家胜利、非撤退，任务返程/防守结算；宝箱内容另见宝箱奖励明细</t>
        </is>
      </c>
      <c r="AD51" s="2" t="inlineStr">
        <is>
          <t>data/mission_templates.yaml:fengbang_tianmen.drop_table.mission_chest_fengbang_tianmen</t>
        </is>
      </c>
    </row>
    <row r="52">
      <c r="A52" s="2" t="n">
        <v>51</v>
      </c>
      <c r="B52" s="2" t="inlineStr">
        <is>
          <t>zhuolu_zhongyuan</t>
        </is>
      </c>
      <c r="C52" s="2" t="inlineStr">
        <is>
          <t>逐鹿中原</t>
        </is>
      </c>
      <c r="D52" s="2" t="inlineStr">
        <is>
          <t>高级</t>
        </is>
      </c>
      <c r="E52" s="2" t="inlineStr">
        <is>
          <t>task1</t>
        </is>
      </c>
      <c r="F52" s="2" t="inlineStr">
        <is>
          <t>否</t>
        </is>
      </c>
      <c r="G52" s="2" t="inlineStr">
        <is>
          <t>否</t>
        </is>
      </c>
      <c r="H52" s="2" t="n">
        <v>1</v>
      </c>
      <c r="I52" s="2" t="n">
        <v>1800</v>
      </c>
      <c r="J52" s="2" t="inlineStr">
        <is>
          <t>每日开放</t>
        </is>
      </c>
      <c r="K52" s="2" t="inlineStr">
        <is>
          <t>无</t>
        </is>
      </c>
      <c r="L52" s="2" t="inlineStr">
        <is>
          <t>固定掉落</t>
        </is>
      </c>
      <c r="M52" s="2" t="inlineStr">
        <is>
          <t>silver</t>
        </is>
      </c>
      <c r="N52" s="2" t="inlineStr">
        <is>
          <t>silver</t>
        </is>
      </c>
      <c r="O52" s="2" t="inlineStr">
        <is>
          <t>银两</t>
        </is>
      </c>
      <c r="P52" s="2" t="inlineStr">
        <is>
          <t>资源</t>
        </is>
      </c>
      <c r="Q52" s="2" t="inlineStr">
        <is>
          <t>资源</t>
        </is>
      </c>
      <c r="R52" s="5" t="n">
        <v>1</v>
      </c>
      <c r="S52" s="2" t="n">
        <v>100000</v>
      </c>
      <c r="T52" s="2" t="n"/>
      <c r="U52" s="2" t="inlineStr">
        <is>
          <t>否</t>
        </is>
      </c>
      <c r="V52" s="2" t="inlineStr">
        <is>
          <t>100000</t>
        </is>
      </c>
      <c r="W52" s="2" t="n"/>
      <c r="X52" s="5">
        <f>R52</f>
        <v>1</v>
      </c>
      <c r="Y52" s="6">
        <f>X52*S52</f>
        <v>100000</v>
      </c>
      <c r="Z52" s="2" t="inlineStr">
        <is>
          <t>个人任务</t>
        </is>
      </c>
      <c r="AA52" s="2" t="n"/>
      <c r="AB52" s="2" t="inlineStr">
        <is>
          <t>挑战者庄园</t>
        </is>
      </c>
      <c r="AC52" s="2" t="inlineStr">
        <is>
          <t>玩家胜利、非撤退，任务返程/防守结算；宝箱内容另见宝箱奖励明细</t>
        </is>
      </c>
      <c r="AD52" s="2" t="inlineStr">
        <is>
          <t>data/mission_templates.yaml:zhuolu_zhongyuan.drop_table.silver</t>
        </is>
      </c>
    </row>
    <row r="53">
      <c r="A53" s="2" t="n">
        <v>52</v>
      </c>
      <c r="B53" s="2" t="inlineStr">
        <is>
          <t>zhuolu_zhongyuan</t>
        </is>
      </c>
      <c r="C53" s="2" t="inlineStr">
        <is>
          <t>逐鹿中原</t>
        </is>
      </c>
      <c r="D53" s="2" t="inlineStr">
        <is>
          <t>高级</t>
        </is>
      </c>
      <c r="E53" s="2" t="inlineStr">
        <is>
          <t>task1</t>
        </is>
      </c>
      <c r="F53" s="2" t="inlineStr">
        <is>
          <t>否</t>
        </is>
      </c>
      <c r="G53" s="2" t="inlineStr">
        <is>
          <t>否</t>
        </is>
      </c>
      <c r="H53" s="2" t="n">
        <v>1</v>
      </c>
      <c r="I53" s="2" t="n">
        <v>1800</v>
      </c>
      <c r="J53" s="2" t="inlineStr">
        <is>
          <t>每日开放</t>
        </is>
      </c>
      <c r="K53" s="2" t="inlineStr">
        <is>
          <t>无</t>
        </is>
      </c>
      <c r="L53" s="2" t="inlineStr">
        <is>
          <t>固定掉落</t>
        </is>
      </c>
      <c r="M53" s="2" t="inlineStr">
        <is>
          <t>mission_chest_zhuolu_zhongyuan</t>
        </is>
      </c>
      <c r="N53" s="2" t="inlineStr">
        <is>
          <t>mission_chest_zhuolu_zhongyuan</t>
        </is>
      </c>
      <c r="O53" s="2" t="inlineStr">
        <is>
          <t>逐鹿中原宝箱</t>
        </is>
      </c>
      <c r="P53" s="2" t="inlineStr">
        <is>
          <t>loot_box</t>
        </is>
      </c>
      <c r="Q53" s="2" t="inlineStr">
        <is>
          <t>purple</t>
        </is>
      </c>
      <c r="R53" s="5" t="n">
        <v>1</v>
      </c>
      <c r="S53" s="2" t="n">
        <v>1</v>
      </c>
      <c r="T53" s="2" t="n"/>
      <c r="U53" s="2" t="inlineStr">
        <is>
          <t>否</t>
        </is>
      </c>
      <c r="V53" s="2" t="inlineStr">
        <is>
          <t>1</t>
        </is>
      </c>
      <c r="W53" s="2" t="n"/>
      <c r="X53" s="5">
        <f>R53</f>
        <v>1</v>
      </c>
      <c r="Y53" s="6">
        <f>X53*S53</f>
        <v>1</v>
      </c>
      <c r="Z53" s="2" t="inlineStr">
        <is>
          <t>个人任务</t>
        </is>
      </c>
      <c r="AA53" s="2" t="n"/>
      <c r="AB53" s="2" t="inlineStr">
        <is>
          <t>挑战者庄园</t>
        </is>
      </c>
      <c r="AC53" s="2" t="inlineStr">
        <is>
          <t>玩家胜利、非撤退，任务返程/防守结算；宝箱内容另见宝箱奖励明细</t>
        </is>
      </c>
      <c r="AD53" s="2" t="inlineStr">
        <is>
          <t>data/mission_templates.yaml:zhuolu_zhongyuan.drop_table.mission_chest_zhuolu_zhongyuan</t>
        </is>
      </c>
    </row>
    <row r="54">
      <c r="A54" s="2" t="n">
        <v>53</v>
      </c>
      <c r="B54" s="2" t="inlineStr">
        <is>
          <t>guandu_zhizhan</t>
        </is>
      </c>
      <c r="C54" s="2" t="inlineStr">
        <is>
          <t>官渡之战</t>
        </is>
      </c>
      <c r="D54" s="2" t="inlineStr">
        <is>
          <t>高级</t>
        </is>
      </c>
      <c r="E54" s="2" t="inlineStr">
        <is>
          <t>task1</t>
        </is>
      </c>
      <c r="F54" s="2" t="inlineStr">
        <is>
          <t>否</t>
        </is>
      </c>
      <c r="G54" s="2" t="inlineStr">
        <is>
          <t>否</t>
        </is>
      </c>
      <c r="H54" s="2" t="n">
        <v>1</v>
      </c>
      <c r="I54" s="2" t="n">
        <v>2400</v>
      </c>
      <c r="J54" s="2" t="inlineStr">
        <is>
          <t>每日开放</t>
        </is>
      </c>
      <c r="K54" s="2" t="inlineStr">
        <is>
          <t>无</t>
        </is>
      </c>
      <c r="L54" s="2" t="inlineStr">
        <is>
          <t>固定掉落</t>
        </is>
      </c>
      <c r="M54" s="2" t="inlineStr">
        <is>
          <t>silver</t>
        </is>
      </c>
      <c r="N54" s="2" t="inlineStr">
        <is>
          <t>silver</t>
        </is>
      </c>
      <c r="O54" s="2" t="inlineStr">
        <is>
          <t>银两</t>
        </is>
      </c>
      <c r="P54" s="2" t="inlineStr">
        <is>
          <t>资源</t>
        </is>
      </c>
      <c r="Q54" s="2" t="inlineStr">
        <is>
          <t>资源</t>
        </is>
      </c>
      <c r="R54" s="5" t="n">
        <v>1</v>
      </c>
      <c r="S54" s="2" t="n">
        <v>120000</v>
      </c>
      <c r="T54" s="2" t="n"/>
      <c r="U54" s="2" t="inlineStr">
        <is>
          <t>否</t>
        </is>
      </c>
      <c r="V54" s="2" t="inlineStr">
        <is>
          <t>120000</t>
        </is>
      </c>
      <c r="W54" s="2" t="n"/>
      <c r="X54" s="5">
        <f>R54</f>
        <v>1</v>
      </c>
      <c r="Y54" s="6">
        <f>X54*S54</f>
        <v>120000</v>
      </c>
      <c r="Z54" s="2" t="inlineStr">
        <is>
          <t>个人任务</t>
        </is>
      </c>
      <c r="AA54" s="2" t="n"/>
      <c r="AB54" s="2" t="inlineStr">
        <is>
          <t>挑战者庄园</t>
        </is>
      </c>
      <c r="AC54" s="2" t="inlineStr">
        <is>
          <t>玩家胜利、非撤退，任务返程/防守结算；宝箱内容另见宝箱奖励明细</t>
        </is>
      </c>
      <c r="AD54" s="2" t="inlineStr">
        <is>
          <t>data/mission_templates.yaml:guandu_zhizhan.drop_table.silver</t>
        </is>
      </c>
    </row>
    <row r="55">
      <c r="A55" s="2" t="n">
        <v>54</v>
      </c>
      <c r="B55" s="2" t="inlineStr">
        <is>
          <t>guandu_zhizhan</t>
        </is>
      </c>
      <c r="C55" s="2" t="inlineStr">
        <is>
          <t>官渡之战</t>
        </is>
      </c>
      <c r="D55" s="2" t="inlineStr">
        <is>
          <t>高级</t>
        </is>
      </c>
      <c r="E55" s="2" t="inlineStr">
        <is>
          <t>task1</t>
        </is>
      </c>
      <c r="F55" s="2" t="inlineStr">
        <is>
          <t>否</t>
        </is>
      </c>
      <c r="G55" s="2" t="inlineStr">
        <is>
          <t>否</t>
        </is>
      </c>
      <c r="H55" s="2" t="n">
        <v>1</v>
      </c>
      <c r="I55" s="2" t="n">
        <v>2400</v>
      </c>
      <c r="J55" s="2" t="inlineStr">
        <is>
          <t>每日开放</t>
        </is>
      </c>
      <c r="K55" s="2" t="inlineStr">
        <is>
          <t>无</t>
        </is>
      </c>
      <c r="L55" s="2" t="inlineStr">
        <is>
          <t>固定掉落</t>
        </is>
      </c>
      <c r="M55" s="2" t="inlineStr">
        <is>
          <t>mission_chest_guandu_zhizhan</t>
        </is>
      </c>
      <c r="N55" s="2" t="inlineStr">
        <is>
          <t>mission_chest_guandu_zhizhan</t>
        </is>
      </c>
      <c r="O55" s="2" t="inlineStr">
        <is>
          <t>官渡之战宝箱</t>
        </is>
      </c>
      <c r="P55" s="2" t="inlineStr">
        <is>
          <t>loot_box</t>
        </is>
      </c>
      <c r="Q55" s="2" t="inlineStr">
        <is>
          <t>purple</t>
        </is>
      </c>
      <c r="R55" s="5" t="n">
        <v>1</v>
      </c>
      <c r="S55" s="2" t="n">
        <v>1</v>
      </c>
      <c r="T55" s="2" t="n"/>
      <c r="U55" s="2" t="inlineStr">
        <is>
          <t>否</t>
        </is>
      </c>
      <c r="V55" s="2" t="inlineStr">
        <is>
          <t>1</t>
        </is>
      </c>
      <c r="W55" s="2" t="n"/>
      <c r="X55" s="5">
        <f>R55</f>
        <v>1</v>
      </c>
      <c r="Y55" s="6">
        <f>X55*S55</f>
        <v>1</v>
      </c>
      <c r="Z55" s="2" t="inlineStr">
        <is>
          <t>个人任务</t>
        </is>
      </c>
      <c r="AA55" s="2" t="n"/>
      <c r="AB55" s="2" t="inlineStr">
        <is>
          <t>挑战者庄园</t>
        </is>
      </c>
      <c r="AC55" s="2" t="inlineStr">
        <is>
          <t>玩家胜利、非撤退，任务返程/防守结算；宝箱内容另见宝箱奖励明细</t>
        </is>
      </c>
      <c r="AD55" s="2" t="inlineStr">
        <is>
          <t>data/mission_templates.yaml:guandu_zhizhan.drop_table.mission_chest_guandu_zhizhan</t>
        </is>
      </c>
    </row>
    <row r="56">
      <c r="A56" s="2" t="n">
        <v>55</v>
      </c>
      <c r="B56" s="2" t="inlineStr">
        <is>
          <t>huashan_lunjian_advanced</t>
        </is>
      </c>
      <c r="C56" s="2" t="inlineStr">
        <is>
          <t>华山论剑</t>
        </is>
      </c>
      <c r="D56" s="2" t="inlineStr">
        <is>
          <t>高级</t>
        </is>
      </c>
      <c r="E56" s="2" t="inlineStr">
        <is>
          <t>task1</t>
        </is>
      </c>
      <c r="F56" s="2" t="inlineStr">
        <is>
          <t>否</t>
        </is>
      </c>
      <c r="G56" s="2" t="inlineStr">
        <is>
          <t>是</t>
        </is>
      </c>
      <c r="H56" s="2" t="n">
        <v>1</v>
      </c>
      <c r="I56" s="2" t="n">
        <v>2400</v>
      </c>
      <c r="J56" s="2" t="inlineStr">
        <is>
          <t>每日开放</t>
        </is>
      </c>
      <c r="K56" s="2" t="inlineStr">
        <is>
          <t>无</t>
        </is>
      </c>
      <c r="L56" s="2" t="inlineStr">
        <is>
          <t>固定掉落</t>
        </is>
      </c>
      <c r="M56" s="2" t="inlineStr">
        <is>
          <t>silver</t>
        </is>
      </c>
      <c r="N56" s="2" t="inlineStr">
        <is>
          <t>silver</t>
        </is>
      </c>
      <c r="O56" s="2" t="inlineStr">
        <is>
          <t>银两</t>
        </is>
      </c>
      <c r="P56" s="2" t="inlineStr">
        <is>
          <t>资源</t>
        </is>
      </c>
      <c r="Q56" s="2" t="inlineStr">
        <is>
          <t>资源</t>
        </is>
      </c>
      <c r="R56" s="5" t="n">
        <v>1</v>
      </c>
      <c r="S56" s="2" t="n">
        <v>120000</v>
      </c>
      <c r="T56" s="2" t="n"/>
      <c r="U56" s="2" t="inlineStr">
        <is>
          <t>否</t>
        </is>
      </c>
      <c r="V56" s="2" t="inlineStr">
        <is>
          <t>120000</t>
        </is>
      </c>
      <c r="W56" s="2" t="n"/>
      <c r="X56" s="5">
        <f>R56</f>
        <v>1</v>
      </c>
      <c r="Y56" s="6">
        <f>X56*S56</f>
        <v>120000</v>
      </c>
      <c r="Z56" s="2" t="inlineStr">
        <is>
          <t>个人任务</t>
        </is>
      </c>
      <c r="AA56" s="2" t="n"/>
      <c r="AB56" s="2" t="inlineStr">
        <is>
          <t>挑战者庄园</t>
        </is>
      </c>
      <c r="AC56" s="2" t="inlineStr">
        <is>
          <t>玩家胜利、非撤退，任务返程/防守结算；宝箱内容另见宝箱奖励明细</t>
        </is>
      </c>
      <c r="AD56" s="2" t="inlineStr">
        <is>
          <t>data/mission_templates.yaml:huashan_lunjian_advanced.drop_table.silver</t>
        </is>
      </c>
    </row>
    <row r="57">
      <c r="A57" s="2" t="n">
        <v>56</v>
      </c>
      <c r="B57" s="2" t="inlineStr">
        <is>
          <t>huashan_lunjian_advanced</t>
        </is>
      </c>
      <c r="C57" s="2" t="inlineStr">
        <is>
          <t>华山论剑</t>
        </is>
      </c>
      <c r="D57" s="2" t="inlineStr">
        <is>
          <t>高级</t>
        </is>
      </c>
      <c r="E57" s="2" t="inlineStr">
        <is>
          <t>task1</t>
        </is>
      </c>
      <c r="F57" s="2" t="inlineStr">
        <is>
          <t>否</t>
        </is>
      </c>
      <c r="G57" s="2" t="inlineStr">
        <is>
          <t>是</t>
        </is>
      </c>
      <c r="H57" s="2" t="n">
        <v>1</v>
      </c>
      <c r="I57" s="2" t="n">
        <v>2400</v>
      </c>
      <c r="J57" s="2" t="inlineStr">
        <is>
          <t>每日开放</t>
        </is>
      </c>
      <c r="K57" s="2" t="inlineStr">
        <is>
          <t>无</t>
        </is>
      </c>
      <c r="L57" s="2" t="inlineStr">
        <is>
          <t>固定掉落</t>
        </is>
      </c>
      <c r="M57" s="2" t="inlineStr">
        <is>
          <t>mission_chest_huashan_lunjian_advanced</t>
        </is>
      </c>
      <c r="N57" s="2" t="inlineStr">
        <is>
          <t>mission_chest_huashan_lunjian_advanced</t>
        </is>
      </c>
      <c r="O57" s="2" t="inlineStr">
        <is>
          <t>华山论剑宝箱</t>
        </is>
      </c>
      <c r="P57" s="2" t="inlineStr">
        <is>
          <t>loot_box</t>
        </is>
      </c>
      <c r="Q57" s="2" t="inlineStr">
        <is>
          <t>purple</t>
        </is>
      </c>
      <c r="R57" s="5" t="n">
        <v>1</v>
      </c>
      <c r="S57" s="2" t="n">
        <v>1</v>
      </c>
      <c r="T57" s="2" t="n"/>
      <c r="U57" s="2" t="inlineStr">
        <is>
          <t>否</t>
        </is>
      </c>
      <c r="V57" s="2" t="inlineStr">
        <is>
          <t>1</t>
        </is>
      </c>
      <c r="W57" s="2" t="n"/>
      <c r="X57" s="5">
        <f>R57</f>
        <v>1</v>
      </c>
      <c r="Y57" s="6">
        <f>X57*S57</f>
        <v>1</v>
      </c>
      <c r="Z57" s="2" t="inlineStr">
        <is>
          <t>个人任务</t>
        </is>
      </c>
      <c r="AA57" s="2" t="n"/>
      <c r="AB57" s="2" t="inlineStr">
        <is>
          <t>挑战者庄园</t>
        </is>
      </c>
      <c r="AC57" s="2" t="inlineStr">
        <is>
          <t>玩家胜利、非撤退，任务返程/防守结算；宝箱内容另见宝箱奖励明细</t>
        </is>
      </c>
      <c r="AD57" s="2" t="inlineStr">
        <is>
          <t>data/mission_templates.yaml:huashan_lunjian_advanced.drop_table.mission_chest_huashan_lunjian_advanced</t>
        </is>
      </c>
    </row>
    <row r="58">
      <c r="A58" s="2" t="n">
        <v>57</v>
      </c>
      <c r="B58" s="2" t="inlineStr">
        <is>
          <t>sishui_huaxiong_chengwei</t>
        </is>
      </c>
      <c r="C58" s="2" t="inlineStr">
        <is>
          <t>飞将浮沉录：汜水关华雄逞威</t>
        </is>
      </c>
      <c r="D58" s="2" t="inlineStr">
        <is>
          <t>高级</t>
        </is>
      </c>
      <c r="E58" s="2" t="inlineStr">
        <is>
          <t>task1</t>
        </is>
      </c>
      <c r="F58" s="2" t="inlineStr">
        <is>
          <t>否</t>
        </is>
      </c>
      <c r="G58" s="2" t="inlineStr">
        <is>
          <t>否</t>
        </is>
      </c>
      <c r="H58" s="2" t="n">
        <v>1</v>
      </c>
      <c r="I58" s="2" t="n">
        <v>2400</v>
      </c>
      <c r="J58" s="2" t="inlineStr">
        <is>
          <t>每日开放</t>
        </is>
      </c>
      <c r="K58" s="2" t="inlineStr">
        <is>
          <t>无</t>
        </is>
      </c>
      <c r="L58" s="2" t="inlineStr">
        <is>
          <t>固定掉落</t>
        </is>
      </c>
      <c r="M58" s="2" t="inlineStr">
        <is>
          <t>silver</t>
        </is>
      </c>
      <c r="N58" s="2" t="inlineStr">
        <is>
          <t>silver</t>
        </is>
      </c>
      <c r="O58" s="2" t="inlineStr">
        <is>
          <t>银两</t>
        </is>
      </c>
      <c r="P58" s="2" t="inlineStr">
        <is>
          <t>资源</t>
        </is>
      </c>
      <c r="Q58" s="2" t="inlineStr">
        <is>
          <t>资源</t>
        </is>
      </c>
      <c r="R58" s="5" t="n">
        <v>1</v>
      </c>
      <c r="S58" s="2" t="n">
        <v>90000</v>
      </c>
      <c r="T58" s="2" t="n"/>
      <c r="U58" s="2" t="inlineStr">
        <is>
          <t>否</t>
        </is>
      </c>
      <c r="V58" s="2" t="inlineStr">
        <is>
          <t>90000</t>
        </is>
      </c>
      <c r="W58" s="2" t="n"/>
      <c r="X58" s="5">
        <f>R58</f>
        <v>1</v>
      </c>
      <c r="Y58" s="6">
        <f>X58*S58</f>
        <v>90000</v>
      </c>
      <c r="Z58" s="2" t="inlineStr">
        <is>
          <t>个人任务</t>
        </is>
      </c>
      <c r="AA58" s="2" t="n"/>
      <c r="AB58" s="2" t="inlineStr">
        <is>
          <t>挑战者庄园</t>
        </is>
      </c>
      <c r="AC58" s="2" t="inlineStr">
        <is>
          <t>玩家胜利、非撤退，任务返程/防守结算；宝箱内容另见宝箱奖励明细</t>
        </is>
      </c>
      <c r="AD58" s="2" t="inlineStr">
        <is>
          <t>data/mission_templates.yaml:sishui_huaxiong_chengwei.drop_table.silver</t>
        </is>
      </c>
    </row>
    <row r="59">
      <c r="A59" s="2" t="n">
        <v>58</v>
      </c>
      <c r="B59" s="2" t="inlineStr">
        <is>
          <t>sishui_huaxiong_chengwei</t>
        </is>
      </c>
      <c r="C59" s="2" t="inlineStr">
        <is>
          <t>飞将浮沉录：汜水关华雄逞威</t>
        </is>
      </c>
      <c r="D59" s="2" t="inlineStr">
        <is>
          <t>高级</t>
        </is>
      </c>
      <c r="E59" s="2" t="inlineStr">
        <is>
          <t>task1</t>
        </is>
      </c>
      <c r="F59" s="2" t="inlineStr">
        <is>
          <t>否</t>
        </is>
      </c>
      <c r="G59" s="2" t="inlineStr">
        <is>
          <t>否</t>
        </is>
      </c>
      <c r="H59" s="2" t="n">
        <v>1</v>
      </c>
      <c r="I59" s="2" t="n">
        <v>2400</v>
      </c>
      <c r="J59" s="2" t="inlineStr">
        <is>
          <t>每日开放</t>
        </is>
      </c>
      <c r="K59" s="2" t="inlineStr">
        <is>
          <t>无</t>
        </is>
      </c>
      <c r="L59" s="2" t="inlineStr">
        <is>
          <t>固定掉落</t>
        </is>
      </c>
      <c r="M59" s="2" t="inlineStr">
        <is>
          <t>mission_chest_sishui_huaxiong_chengwei</t>
        </is>
      </c>
      <c r="N59" s="2" t="inlineStr">
        <is>
          <t>mission_chest_sishui_huaxiong_chengwei</t>
        </is>
      </c>
      <c r="O59" s="2" t="inlineStr">
        <is>
          <t>汜水关宝箱</t>
        </is>
      </c>
      <c r="P59" s="2" t="inlineStr">
        <is>
          <t>loot_box</t>
        </is>
      </c>
      <c r="Q59" s="2" t="inlineStr">
        <is>
          <t>purple</t>
        </is>
      </c>
      <c r="R59" s="5" t="n">
        <v>1</v>
      </c>
      <c r="S59" s="2" t="n">
        <v>1</v>
      </c>
      <c r="T59" s="2" t="n"/>
      <c r="U59" s="2" t="inlineStr">
        <is>
          <t>否</t>
        </is>
      </c>
      <c r="V59" s="2" t="inlineStr">
        <is>
          <t>1</t>
        </is>
      </c>
      <c r="W59" s="2" t="n"/>
      <c r="X59" s="5">
        <f>R59</f>
        <v>1</v>
      </c>
      <c r="Y59" s="6">
        <f>X59*S59</f>
        <v>1</v>
      </c>
      <c r="Z59" s="2" t="inlineStr">
        <is>
          <t>个人任务</t>
        </is>
      </c>
      <c r="AA59" s="2" t="n"/>
      <c r="AB59" s="2" t="inlineStr">
        <is>
          <t>挑战者庄园</t>
        </is>
      </c>
      <c r="AC59" s="2" t="inlineStr">
        <is>
          <t>玩家胜利、非撤退，任务返程/防守结算；宝箱内容另见宝箱奖励明细</t>
        </is>
      </c>
      <c r="AD59" s="2" t="inlineStr">
        <is>
          <t>data/mission_templates.yaml:sishui_huaxiong_chengwei.drop_table.mission_chest_sishui_huaxiong_chengwei</t>
        </is>
      </c>
    </row>
    <row r="60">
      <c r="A60" s="2" t="n">
        <v>59</v>
      </c>
      <c r="B60" s="2" t="inlineStr">
        <is>
          <t>hulao_qunying_zhan_lvbu</t>
        </is>
      </c>
      <c r="C60" s="2" t="inlineStr">
        <is>
          <t>飞将浮沉录：虎牢关群英战吕布</t>
        </is>
      </c>
      <c r="D60" s="2" t="inlineStr">
        <is>
          <t>高级</t>
        </is>
      </c>
      <c r="E60" s="2" t="inlineStr">
        <is>
          <t>task1</t>
        </is>
      </c>
      <c r="F60" s="2" t="inlineStr">
        <is>
          <t>否</t>
        </is>
      </c>
      <c r="G60" s="2" t="inlineStr">
        <is>
          <t>否</t>
        </is>
      </c>
      <c r="H60" s="2" t="n">
        <v>1</v>
      </c>
      <c r="I60" s="2" t="n">
        <v>2400</v>
      </c>
      <c r="J60" s="2" t="inlineStr">
        <is>
          <t>每日开放</t>
        </is>
      </c>
      <c r="K60" s="2" t="inlineStr">
        <is>
          <t>汜水关战报×1</t>
        </is>
      </c>
      <c r="L60" s="2" t="inlineStr">
        <is>
          <t>固定掉落</t>
        </is>
      </c>
      <c r="M60" s="2" t="inlineStr">
        <is>
          <t>silver</t>
        </is>
      </c>
      <c r="N60" s="2" t="inlineStr">
        <is>
          <t>silver</t>
        </is>
      </c>
      <c r="O60" s="2" t="inlineStr">
        <is>
          <t>银两</t>
        </is>
      </c>
      <c r="P60" s="2" t="inlineStr">
        <is>
          <t>资源</t>
        </is>
      </c>
      <c r="Q60" s="2" t="inlineStr">
        <is>
          <t>资源</t>
        </is>
      </c>
      <c r="R60" s="5" t="n">
        <v>1</v>
      </c>
      <c r="S60" s="2" t="n">
        <v>110000</v>
      </c>
      <c r="T60" s="2" t="n"/>
      <c r="U60" s="2" t="inlineStr">
        <is>
          <t>否</t>
        </is>
      </c>
      <c r="V60" s="2" t="inlineStr">
        <is>
          <t>110000</t>
        </is>
      </c>
      <c r="W60" s="2" t="n"/>
      <c r="X60" s="5">
        <f>R60</f>
        <v>1</v>
      </c>
      <c r="Y60" s="6">
        <f>X60*S60</f>
        <v>110000</v>
      </c>
      <c r="Z60" s="2" t="inlineStr">
        <is>
          <t>个人任务</t>
        </is>
      </c>
      <c r="AA60" s="2" t="n"/>
      <c r="AB60" s="2" t="inlineStr">
        <is>
          <t>挑战者庄园</t>
        </is>
      </c>
      <c r="AC60" s="2" t="inlineStr">
        <is>
          <t>玩家胜利、非撤退，任务返程/防守结算；宝箱内容另见宝箱奖励明细</t>
        </is>
      </c>
      <c r="AD60" s="2" t="inlineStr">
        <is>
          <t>data/mission_templates.yaml:hulao_qunying_zhan_lvbu.drop_table.silver</t>
        </is>
      </c>
    </row>
    <row r="61">
      <c r="A61" s="2" t="n">
        <v>60</v>
      </c>
      <c r="B61" s="2" t="inlineStr">
        <is>
          <t>hulao_qunying_zhan_lvbu</t>
        </is>
      </c>
      <c r="C61" s="2" t="inlineStr">
        <is>
          <t>飞将浮沉录：虎牢关群英战吕布</t>
        </is>
      </c>
      <c r="D61" s="2" t="inlineStr">
        <is>
          <t>高级</t>
        </is>
      </c>
      <c r="E61" s="2" t="inlineStr">
        <is>
          <t>task1</t>
        </is>
      </c>
      <c r="F61" s="2" t="inlineStr">
        <is>
          <t>否</t>
        </is>
      </c>
      <c r="G61" s="2" t="inlineStr">
        <is>
          <t>否</t>
        </is>
      </c>
      <c r="H61" s="2" t="n">
        <v>1</v>
      </c>
      <c r="I61" s="2" t="n">
        <v>2400</v>
      </c>
      <c r="J61" s="2" t="inlineStr">
        <is>
          <t>每日开放</t>
        </is>
      </c>
      <c r="K61" s="2" t="inlineStr">
        <is>
          <t>汜水关战报×1</t>
        </is>
      </c>
      <c r="L61" s="2" t="inlineStr">
        <is>
          <t>固定掉落</t>
        </is>
      </c>
      <c r="M61" s="2" t="inlineStr">
        <is>
          <t>mission_chest_hulao_qunying_zhan_lvbu</t>
        </is>
      </c>
      <c r="N61" s="2" t="inlineStr">
        <is>
          <t>mission_chest_hulao_qunying_zhan_lvbu</t>
        </is>
      </c>
      <c r="O61" s="2" t="inlineStr">
        <is>
          <t>虎牢关宝箱</t>
        </is>
      </c>
      <c r="P61" s="2" t="inlineStr">
        <is>
          <t>loot_box</t>
        </is>
      </c>
      <c r="Q61" s="2" t="inlineStr">
        <is>
          <t>purple</t>
        </is>
      </c>
      <c r="R61" s="5" t="n">
        <v>1</v>
      </c>
      <c r="S61" s="2" t="n">
        <v>1</v>
      </c>
      <c r="T61" s="2" t="n"/>
      <c r="U61" s="2" t="inlineStr">
        <is>
          <t>否</t>
        </is>
      </c>
      <c r="V61" s="2" t="inlineStr">
        <is>
          <t>1</t>
        </is>
      </c>
      <c r="W61" s="2" t="n"/>
      <c r="X61" s="5">
        <f>R61</f>
        <v>1</v>
      </c>
      <c r="Y61" s="6">
        <f>X61*S61</f>
        <v>1</v>
      </c>
      <c r="Z61" s="2" t="inlineStr">
        <is>
          <t>个人任务</t>
        </is>
      </c>
      <c r="AA61" s="2" t="n"/>
      <c r="AB61" s="2" t="inlineStr">
        <is>
          <t>挑战者庄园</t>
        </is>
      </c>
      <c r="AC61" s="2" t="inlineStr">
        <is>
          <t>玩家胜利、非撤退，任务返程/防守结算；宝箱内容另见宝箱奖励明细</t>
        </is>
      </c>
      <c r="AD61" s="2" t="inlineStr">
        <is>
          <t>data/mission_templates.yaml:hulao_qunying_zhan_lvbu.drop_table.mission_chest_hulao_qunying_zhan_lvbu</t>
        </is>
      </c>
    </row>
    <row r="62">
      <c r="A62" s="2" t="n">
        <v>61</v>
      </c>
      <c r="B62" s="2" t="inlineStr">
        <is>
          <t>baimenlou_mingyun_jueze</t>
        </is>
      </c>
      <c r="C62" s="2" t="inlineStr">
        <is>
          <t>飞将浮沉录：白门楼命运抉择</t>
        </is>
      </c>
      <c r="D62" s="2" t="inlineStr">
        <is>
          <t>高级</t>
        </is>
      </c>
      <c r="E62" s="2" t="inlineStr">
        <is>
          <t>task1</t>
        </is>
      </c>
      <c r="F62" s="2" t="inlineStr">
        <is>
          <t>否</t>
        </is>
      </c>
      <c r="G62" s="2" t="inlineStr">
        <is>
          <t>否</t>
        </is>
      </c>
      <c r="H62" s="2" t="n">
        <v>1</v>
      </c>
      <c r="I62" s="2" t="n">
        <v>2700</v>
      </c>
      <c r="J62" s="2" t="inlineStr">
        <is>
          <t>每日开放</t>
        </is>
      </c>
      <c r="K62" s="2" t="inlineStr">
        <is>
          <t>虎牢关战旗×1</t>
        </is>
      </c>
      <c r="L62" s="2" t="inlineStr">
        <is>
          <t>固定掉落</t>
        </is>
      </c>
      <c r="M62" s="2" t="inlineStr">
        <is>
          <t>silver</t>
        </is>
      </c>
      <c r="N62" s="2" t="inlineStr">
        <is>
          <t>silver</t>
        </is>
      </c>
      <c r="O62" s="2" t="inlineStr">
        <is>
          <t>银两</t>
        </is>
      </c>
      <c r="P62" s="2" t="inlineStr">
        <is>
          <t>资源</t>
        </is>
      </c>
      <c r="Q62" s="2" t="inlineStr">
        <is>
          <t>资源</t>
        </is>
      </c>
      <c r="R62" s="5" t="n">
        <v>1</v>
      </c>
      <c r="S62" s="2" t="n">
        <v>180000</v>
      </c>
      <c r="T62" s="2" t="n"/>
      <c r="U62" s="2" t="inlineStr">
        <is>
          <t>否</t>
        </is>
      </c>
      <c r="V62" s="2" t="inlineStr">
        <is>
          <t>180000</t>
        </is>
      </c>
      <c r="W62" s="2" t="n"/>
      <c r="X62" s="5">
        <f>R62</f>
        <v>1</v>
      </c>
      <c r="Y62" s="6">
        <f>X62*S62</f>
        <v>180000</v>
      </c>
      <c r="Z62" s="2" t="inlineStr">
        <is>
          <t>个人任务</t>
        </is>
      </c>
      <c r="AA62" s="2" t="n"/>
      <c r="AB62" s="2" t="inlineStr">
        <is>
          <t>挑战者庄园</t>
        </is>
      </c>
      <c r="AC62" s="2" t="inlineStr">
        <is>
          <t>玩家胜利、非撤退，任务返程/防守结算；宝箱内容另见宝箱奖励明细</t>
        </is>
      </c>
      <c r="AD62" s="2" t="inlineStr">
        <is>
          <t>data/mission_templates.yaml:baimenlou_mingyun_jueze.drop_table.silver</t>
        </is>
      </c>
    </row>
    <row r="63">
      <c r="A63" s="2" t="n">
        <v>62</v>
      </c>
      <c r="B63" s="2" t="inlineStr">
        <is>
          <t>baimenlou_mingyun_jueze</t>
        </is>
      </c>
      <c r="C63" s="2" t="inlineStr">
        <is>
          <t>飞将浮沉录：白门楼命运抉择</t>
        </is>
      </c>
      <c r="D63" s="2" t="inlineStr">
        <is>
          <t>高级</t>
        </is>
      </c>
      <c r="E63" s="2" t="inlineStr">
        <is>
          <t>task1</t>
        </is>
      </c>
      <c r="F63" s="2" t="inlineStr">
        <is>
          <t>否</t>
        </is>
      </c>
      <c r="G63" s="2" t="inlineStr">
        <is>
          <t>否</t>
        </is>
      </c>
      <c r="H63" s="2" t="n">
        <v>1</v>
      </c>
      <c r="I63" s="2" t="n">
        <v>2700</v>
      </c>
      <c r="J63" s="2" t="inlineStr">
        <is>
          <t>每日开放</t>
        </is>
      </c>
      <c r="K63" s="2" t="inlineStr">
        <is>
          <t>虎牢关战旗×1</t>
        </is>
      </c>
      <c r="L63" s="2" t="inlineStr">
        <is>
          <t>固定掉落</t>
        </is>
      </c>
      <c r="M63" s="2" t="inlineStr">
        <is>
          <t>mission_chest_baimenlou_mingyun_jueze</t>
        </is>
      </c>
      <c r="N63" s="2" t="inlineStr">
        <is>
          <t>mission_chest_baimenlou_mingyun_jueze</t>
        </is>
      </c>
      <c r="O63" s="2" t="inlineStr">
        <is>
          <t>白门楼宝箱</t>
        </is>
      </c>
      <c r="P63" s="2" t="inlineStr">
        <is>
          <t>loot_box</t>
        </is>
      </c>
      <c r="Q63" s="2" t="inlineStr">
        <is>
          <t>purple</t>
        </is>
      </c>
      <c r="R63" s="5" t="n">
        <v>1</v>
      </c>
      <c r="S63" s="2" t="n">
        <v>1</v>
      </c>
      <c r="T63" s="2" t="n"/>
      <c r="U63" s="2" t="inlineStr">
        <is>
          <t>否</t>
        </is>
      </c>
      <c r="V63" s="2" t="inlineStr">
        <is>
          <t>1</t>
        </is>
      </c>
      <c r="W63" s="2" t="n"/>
      <c r="X63" s="5">
        <f>R63</f>
        <v>1</v>
      </c>
      <c r="Y63" s="6">
        <f>X63*S63</f>
        <v>1</v>
      </c>
      <c r="Z63" s="2" t="inlineStr">
        <is>
          <t>个人任务</t>
        </is>
      </c>
      <c r="AA63" s="2" t="n"/>
      <c r="AB63" s="2" t="inlineStr">
        <is>
          <t>挑战者庄园</t>
        </is>
      </c>
      <c r="AC63" s="2" t="inlineStr">
        <is>
          <t>玩家胜利、非撤退，任务返程/防守结算；宝箱内容另见宝箱奖励明细</t>
        </is>
      </c>
      <c r="AD63" s="2" t="inlineStr">
        <is>
          <t>data/mission_templates.yaml:baimenlou_mingyun_jueze.drop_table.mission_chest_baimenlou_mingyun_jueze</t>
        </is>
      </c>
    </row>
    <row r="64">
      <c r="A64" s="2" t="n">
        <v>63</v>
      </c>
      <c r="B64" s="2" t="inlineStr">
        <is>
          <t>guild_patrol_alpha</t>
        </is>
      </c>
      <c r="C64" s="2" t="inlineStr">
        <is>
          <t>夜袭乌鳞寨</t>
        </is>
      </c>
      <c r="D64" s="2" t="inlineStr">
        <is>
          <t>初级</t>
        </is>
      </c>
      <c r="E64" s="2" t="inlineStr">
        <is>
          <t>troop</t>
        </is>
      </c>
      <c r="F64" s="2" t="inlineStr">
        <is>
          <t>否</t>
        </is>
      </c>
      <c r="G64" s="2" t="inlineStr">
        <is>
          <t>否</t>
        </is>
      </c>
      <c r="H64" s="2" t="n"/>
      <c r="I64" s="2" t="n">
        <v>1500</v>
      </c>
      <c r="J64" s="2" t="inlineStr">
        <is>
          <t>每日开放</t>
        </is>
      </c>
      <c r="K64" s="2" t="inlineStr">
        <is>
          <t>无</t>
        </is>
      </c>
      <c r="L64" s="2" t="inlineStr">
        <is>
          <t>帮会固定奖励</t>
        </is>
      </c>
      <c r="M64" s="2" t="inlineStr">
        <is>
          <t>red_ruby</t>
        </is>
      </c>
      <c r="N64" s="2" t="inlineStr">
        <is>
          <t>red_ruby</t>
        </is>
      </c>
      <c r="O64" s="2" t="inlineStr">
        <is>
          <t>红宝石</t>
        </is>
      </c>
      <c r="P64" s="2" t="inlineStr">
        <is>
          <t>资源</t>
        </is>
      </c>
      <c r="Q64" s="2" t="inlineStr">
        <is>
          <t>稀有/蓝</t>
        </is>
      </c>
      <c r="R64" s="5" t="n">
        <v>1</v>
      </c>
      <c r="S64" s="2" t="n">
        <v>96</v>
      </c>
      <c r="T64" s="2" t="n"/>
      <c r="U64" s="2" t="inlineStr">
        <is>
          <t>否</t>
        </is>
      </c>
      <c r="V64" s="2" t="inlineStr">
        <is>
          <t>96</t>
        </is>
      </c>
      <c r="W64" s="2" t="n"/>
      <c r="X64" s="5">
        <f>R64</f>
        <v>1</v>
      </c>
      <c r="Y64" s="6">
        <f>X64*S64</f>
        <v>96</v>
      </c>
      <c r="Z64" s="2" t="inlineStr">
        <is>
          <t>帮会任务</t>
        </is>
      </c>
      <c r="AA64" s="2" t="n">
        <v>3</v>
      </c>
      <c r="AB64" s="2" t="inlineStr">
        <is>
          <t>帮会仓库</t>
        </is>
      </c>
      <c r="AC64" s="2" t="inlineStr">
        <is>
          <t>帮会任务胜利（attacker），非撤退，结算发放</t>
        </is>
      </c>
      <c r="AD64" s="2" t="inlineStr">
        <is>
          <t>data/guild_mission_templates.yaml:L9:ruby_reward</t>
        </is>
      </c>
    </row>
    <row r="65">
      <c r="A65" s="2" t="n">
        <v>64</v>
      </c>
      <c r="B65" s="2" t="inlineStr">
        <is>
          <t>guild_supply_escort</t>
        </is>
      </c>
      <c r="C65" s="2" t="inlineStr">
        <is>
          <t>血旗镖局风云</t>
        </is>
      </c>
      <c r="D65" s="2" t="inlineStr">
        <is>
          <t>中级</t>
        </is>
      </c>
      <c r="E65" s="2" t="inlineStr">
        <is>
          <t>troop</t>
        </is>
      </c>
      <c r="F65" s="2" t="inlineStr">
        <is>
          <t>否</t>
        </is>
      </c>
      <c r="G65" s="2" t="inlineStr">
        <is>
          <t>否</t>
        </is>
      </c>
      <c r="H65" s="2" t="n"/>
      <c r="I65" s="2" t="n">
        <v>2100</v>
      </c>
      <c r="J65" s="2" t="inlineStr">
        <is>
          <t>每日开放</t>
        </is>
      </c>
      <c r="K65" s="2" t="inlineStr">
        <is>
          <t>无</t>
        </is>
      </c>
      <c r="L65" s="2" t="inlineStr">
        <is>
          <t>帮会固定奖励</t>
        </is>
      </c>
      <c r="M65" s="2" t="inlineStr">
        <is>
          <t>red_ruby</t>
        </is>
      </c>
      <c r="N65" s="2" t="inlineStr">
        <is>
          <t>red_ruby</t>
        </is>
      </c>
      <c r="O65" s="2" t="inlineStr">
        <is>
          <t>红宝石</t>
        </is>
      </c>
      <c r="P65" s="2" t="inlineStr">
        <is>
          <t>资源</t>
        </is>
      </c>
      <c r="Q65" s="2" t="inlineStr">
        <is>
          <t>稀有/蓝</t>
        </is>
      </c>
      <c r="R65" s="5" t="n">
        <v>1</v>
      </c>
      <c r="S65" s="2" t="n">
        <v>168</v>
      </c>
      <c r="T65" s="2" t="n"/>
      <c r="U65" s="2" t="inlineStr">
        <is>
          <t>否</t>
        </is>
      </c>
      <c r="V65" s="2" t="inlineStr">
        <is>
          <t>168</t>
        </is>
      </c>
      <c r="W65" s="2" t="n"/>
      <c r="X65" s="5">
        <f>R65</f>
        <v>1</v>
      </c>
      <c r="Y65" s="6">
        <f>X65*S65</f>
        <v>168</v>
      </c>
      <c r="Z65" s="2" t="inlineStr">
        <is>
          <t>帮会任务</t>
        </is>
      </c>
      <c r="AA65" s="2" t="n">
        <v>3</v>
      </c>
      <c r="AB65" s="2" t="inlineStr">
        <is>
          <t>帮会仓库</t>
        </is>
      </c>
      <c r="AC65" s="2" t="inlineStr">
        <is>
          <t>帮会任务胜利（attacker），非撤退，结算发放</t>
        </is>
      </c>
      <c r="AD65" s="2" t="inlineStr">
        <is>
          <t>data/guild_mission_templates.yaml:L47:ruby_reward</t>
        </is>
      </c>
    </row>
    <row r="66">
      <c r="A66" s="2" t="n">
        <v>65</v>
      </c>
      <c r="B66" s="2" t="inlineStr">
        <is>
          <t>guild_blackwind_assault</t>
        </is>
      </c>
      <c r="C66" s="2" t="inlineStr">
        <is>
          <t>黑风关总攻</t>
        </is>
      </c>
      <c r="D66" s="2" t="inlineStr">
        <is>
          <t>高级</t>
        </is>
      </c>
      <c r="E66" s="2" t="inlineStr">
        <is>
          <t>troop</t>
        </is>
      </c>
      <c r="F66" s="2" t="inlineStr">
        <is>
          <t>否</t>
        </is>
      </c>
      <c r="G66" s="2" t="inlineStr">
        <is>
          <t>否</t>
        </is>
      </c>
      <c r="H66" s="2" t="n"/>
      <c r="I66" s="2" t="n">
        <v>3000</v>
      </c>
      <c r="J66" s="2" t="inlineStr">
        <is>
          <t>每日开放</t>
        </is>
      </c>
      <c r="K66" s="2" t="inlineStr">
        <is>
          <t>无</t>
        </is>
      </c>
      <c r="L66" s="2" t="inlineStr">
        <is>
          <t>帮会固定奖励</t>
        </is>
      </c>
      <c r="M66" s="2" t="inlineStr">
        <is>
          <t>red_ruby</t>
        </is>
      </c>
      <c r="N66" s="2" t="inlineStr">
        <is>
          <t>red_ruby</t>
        </is>
      </c>
      <c r="O66" s="2" t="inlineStr">
        <is>
          <t>红宝石</t>
        </is>
      </c>
      <c r="P66" s="2" t="inlineStr">
        <is>
          <t>资源</t>
        </is>
      </c>
      <c r="Q66" s="2" t="inlineStr">
        <is>
          <t>稀有/蓝</t>
        </is>
      </c>
      <c r="R66" s="5" t="n">
        <v>1</v>
      </c>
      <c r="S66" s="2" t="n">
        <v>288</v>
      </c>
      <c r="T66" s="2" t="n"/>
      <c r="U66" s="2" t="inlineStr">
        <is>
          <t>否</t>
        </is>
      </c>
      <c r="V66" s="2" t="inlineStr">
        <is>
          <t>288</t>
        </is>
      </c>
      <c r="W66" s="2" t="n"/>
      <c r="X66" s="5">
        <f>R66</f>
        <v>1</v>
      </c>
      <c r="Y66" s="6">
        <f>X66*S66</f>
        <v>288</v>
      </c>
      <c r="Z66" s="2" t="inlineStr">
        <is>
          <t>帮会任务</t>
        </is>
      </c>
      <c r="AA66" s="2" t="n">
        <v>3</v>
      </c>
      <c r="AB66" s="2" t="inlineStr">
        <is>
          <t>帮会仓库</t>
        </is>
      </c>
      <c r="AC66" s="2" t="inlineStr">
        <is>
          <t>帮会任务胜利（attacker），非撤退，结算发放</t>
        </is>
      </c>
      <c r="AD66" s="2" t="inlineStr">
        <is>
          <t>data/guild_mission_templates.yaml:L89:ruby_reward</t>
        </is>
      </c>
    </row>
  </sheetData>
  <autoFilter ref="A1:AD66"/>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6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32" customWidth="1" min="2" max="2"/>
    <col width="20" customWidth="1" min="3" max="3"/>
    <col width="18" customWidth="1" min="4" max="4"/>
    <col width="36" customWidth="1" min="5" max="5"/>
    <col width="34" customWidth="1" min="6" max="6"/>
    <col width="20" customWidth="1" min="7" max="7"/>
    <col width="24" customWidth="1" min="8" max="8"/>
    <col width="12" customWidth="1" min="9" max="9"/>
    <col width="38" customWidth="1" min="10" max="10"/>
    <col width="16" customWidth="1" min="11" max="11"/>
    <col width="20" customWidth="1" min="12" max="12"/>
    <col width="24" customWidth="1" min="13" max="13"/>
    <col width="80" customWidth="1" min="14" max="14"/>
  </cols>
  <sheetData>
    <row r="1" ht="32" customHeight="1">
      <c r="A1" s="1" t="inlineStr">
        <is>
          <t>物品key</t>
        </is>
      </c>
      <c r="B1" s="1" t="inlineStr">
        <is>
          <t>物品名称</t>
        </is>
      </c>
      <c r="C1" s="1" t="inlineStr">
        <is>
          <t>物品类型</t>
        </is>
      </c>
      <c r="D1" s="1" t="inlineStr">
        <is>
          <t>稀有度</t>
        </is>
      </c>
      <c r="E1" s="1" t="inlineStr">
        <is>
          <t>任务key</t>
        </is>
      </c>
      <c r="F1" s="1" t="inlineStr">
        <is>
          <t>任务名称</t>
        </is>
      </c>
      <c r="G1" s="1" t="inlineStr">
        <is>
          <t>掉落类型</t>
        </is>
      </c>
      <c r="H1" s="1" t="inlineStr">
        <is>
          <t>单项实际掉落概率</t>
        </is>
      </c>
      <c r="I1" s="1" t="inlineStr">
        <is>
          <t>数量</t>
        </is>
      </c>
      <c r="J1" s="1" t="inlineStr">
        <is>
          <t>掉落配置key</t>
        </is>
      </c>
      <c r="K1" s="1" t="inlineStr">
        <is>
          <t>任务分类</t>
        </is>
      </c>
      <c r="L1" s="1" t="inlineStr">
        <is>
          <t>奖励接收方</t>
        </is>
      </c>
      <c r="M1" s="1" t="inlineStr">
        <is>
          <t>单次胜利期望数量</t>
        </is>
      </c>
      <c r="N1" s="1" t="inlineStr">
        <is>
          <t>数据来源</t>
        </is>
      </c>
    </row>
    <row r="2">
      <c r="A2" s="2" t="inlineStr">
        <is>
          <t>silver</t>
        </is>
      </c>
      <c r="B2" s="2" t="inlineStr">
        <is>
          <t>银两</t>
        </is>
      </c>
      <c r="C2" s="2" t="inlineStr">
        <is>
          <t>资源</t>
        </is>
      </c>
      <c r="D2" s="2" t="inlineStr">
        <is>
          <t>资源</t>
        </is>
      </c>
      <c r="E2" s="2" t="inlineStr">
        <is>
          <t>mid_autumn_moon_palace_trial</t>
        </is>
      </c>
      <c r="F2" s="2" t="inlineStr">
        <is>
          <t>广寒宫试炼</t>
        </is>
      </c>
      <c r="G2" s="2" t="inlineStr">
        <is>
          <t>固定掉落</t>
        </is>
      </c>
      <c r="H2" s="5">
        <f>'任务掉落明细'!X2</f>
        <v>1</v>
      </c>
      <c r="I2" s="2" t="n">
        <v>40000</v>
      </c>
      <c r="J2" s="2" t="inlineStr">
        <is>
          <t>silver</t>
        </is>
      </c>
      <c r="K2" s="2" t="inlineStr">
        <is>
          <t>个人任务</t>
        </is>
      </c>
      <c r="L2" s="2" t="inlineStr">
        <is>
          <t>挑战者庄园</t>
        </is>
      </c>
      <c r="M2" s="6">
        <f>'任务掉落明细'!Y2</f>
        <v>40000</v>
      </c>
      <c r="N2" s="2" t="inlineStr">
        <is>
          <t>data/mission_templates.yaml:mid_autumn_moon_palace_trial.drop_table.silver</t>
        </is>
      </c>
    </row>
    <row r="3">
      <c r="A3" s="2" t="inlineStr">
        <is>
          <t>mission_chest_mid_autumn_moon_palace_trial</t>
        </is>
      </c>
      <c r="B3" s="2" t="inlineStr">
        <is>
          <t>广寒宫试炼宝箱</t>
        </is>
      </c>
      <c r="C3" s="2" t="inlineStr">
        <is>
          <t>loot_box</t>
        </is>
      </c>
      <c r="D3" s="2" t="inlineStr">
        <is>
          <t>blue</t>
        </is>
      </c>
      <c r="E3" s="2" t="inlineStr">
        <is>
          <t>mid_autumn_moon_palace_trial</t>
        </is>
      </c>
      <c r="F3" s="2" t="inlineStr">
        <is>
          <t>广寒宫试炼</t>
        </is>
      </c>
      <c r="G3" s="2" t="inlineStr">
        <is>
          <t>固定掉落</t>
        </is>
      </c>
      <c r="H3" s="5">
        <f>'任务掉落明细'!X3</f>
        <v>1</v>
      </c>
      <c r="I3" s="2" t="n">
        <v>1</v>
      </c>
      <c r="J3" s="2" t="inlineStr">
        <is>
          <t>mission_chest_mid_autumn_moon_palace_trial</t>
        </is>
      </c>
      <c r="K3" s="2" t="inlineStr">
        <is>
          <t>个人任务</t>
        </is>
      </c>
      <c r="L3" s="2" t="inlineStr">
        <is>
          <t>挑战者庄园</t>
        </is>
      </c>
      <c r="M3" s="6">
        <f>'任务掉落明细'!Y3</f>
        <v>1</v>
      </c>
      <c r="N3" s="2" t="inlineStr">
        <is>
          <t>data/mission_templates.yaml:mid_autumn_moon_palace_trial.drop_table.mission_chest_mid_autumn_moon_palace_trial</t>
        </is>
      </c>
    </row>
    <row r="4">
      <c r="A4" s="2" t="inlineStr">
        <is>
          <t>silver</t>
        </is>
      </c>
      <c r="B4" s="2" t="inlineStr">
        <is>
          <t>银两</t>
        </is>
      </c>
      <c r="C4" s="2" t="inlineStr">
        <is>
          <t>资源</t>
        </is>
      </c>
      <c r="D4" s="2" t="inlineStr">
        <is>
          <t>资源</t>
        </is>
      </c>
      <c r="E4" s="2" t="inlineStr">
        <is>
          <t>kasukabe_daisakusen</t>
        </is>
      </c>
      <c r="F4" s="2" t="inlineStr">
        <is>
          <t>春日部大作战</t>
        </is>
      </c>
      <c r="G4" s="2" t="inlineStr">
        <is>
          <t>固定掉落</t>
        </is>
      </c>
      <c r="H4" s="5">
        <f>'任务掉落明细'!X4</f>
        <v>1</v>
      </c>
      <c r="I4" s="2" t="n">
        <v>40000</v>
      </c>
      <c r="J4" s="2" t="inlineStr">
        <is>
          <t>silver</t>
        </is>
      </c>
      <c r="K4" s="2" t="inlineStr">
        <is>
          <t>个人任务</t>
        </is>
      </c>
      <c r="L4" s="2" t="inlineStr">
        <is>
          <t>挑战者庄园</t>
        </is>
      </c>
      <c r="M4" s="6">
        <f>'任务掉落明细'!Y4</f>
        <v>40000</v>
      </c>
      <c r="N4" s="2" t="inlineStr">
        <is>
          <t>data/mission_templates.yaml:kasukabe_daisakusen.drop_table.silver</t>
        </is>
      </c>
    </row>
    <row r="5">
      <c r="A5" s="2" t="inlineStr">
        <is>
          <t>mission_chest_kasukabe_daisakusen</t>
        </is>
      </c>
      <c r="B5" s="2" t="inlineStr">
        <is>
          <t>春日部大作战宝箱</t>
        </is>
      </c>
      <c r="C5" s="2" t="inlineStr">
        <is>
          <t>loot_box</t>
        </is>
      </c>
      <c r="D5" s="2" t="inlineStr">
        <is>
          <t>blue</t>
        </is>
      </c>
      <c r="E5" s="2" t="inlineStr">
        <is>
          <t>kasukabe_daisakusen</t>
        </is>
      </c>
      <c r="F5" s="2" t="inlineStr">
        <is>
          <t>春日部大作战</t>
        </is>
      </c>
      <c r="G5" s="2" t="inlineStr">
        <is>
          <t>固定掉落</t>
        </is>
      </c>
      <c r="H5" s="5">
        <f>'任务掉落明细'!X5</f>
        <v>1</v>
      </c>
      <c r="I5" s="2" t="n">
        <v>1</v>
      </c>
      <c r="J5" s="2" t="inlineStr">
        <is>
          <t>mission_chest_kasukabe_daisakusen</t>
        </is>
      </c>
      <c r="K5" s="2" t="inlineStr">
        <is>
          <t>个人任务</t>
        </is>
      </c>
      <c r="L5" s="2" t="inlineStr">
        <is>
          <t>挑战者庄园</t>
        </is>
      </c>
      <c r="M5" s="6">
        <f>'任务掉落明细'!Y5</f>
        <v>1</v>
      </c>
      <c r="N5" s="2" t="inlineStr">
        <is>
          <t>data/mission_templates.yaml:kasukabe_daisakusen.drop_table.mission_chest_kasukabe_daisakusen</t>
        </is>
      </c>
    </row>
    <row r="6">
      <c r="A6" s="2" t="inlineStr">
        <is>
          <t>silver</t>
        </is>
      </c>
      <c r="B6" s="2" t="inlineStr">
        <is>
          <t>银两</t>
        </is>
      </c>
      <c r="C6" s="2" t="inlineStr">
        <is>
          <t>资源</t>
        </is>
      </c>
      <c r="D6" s="2" t="inlineStr">
        <is>
          <t>资源</t>
        </is>
      </c>
      <c r="E6" s="2" t="inlineStr">
        <is>
          <t>huashan_lunjian</t>
        </is>
      </c>
      <c r="F6" s="2" t="inlineStr">
        <is>
          <t>华山论贱</t>
        </is>
      </c>
      <c r="G6" s="2" t="inlineStr">
        <is>
          <t>固定掉落</t>
        </is>
      </c>
      <c r="H6" s="5">
        <f>'任务掉落明细'!X6</f>
        <v>1</v>
      </c>
      <c r="I6" s="2" t="n">
        <v>8000</v>
      </c>
      <c r="J6" s="2" t="inlineStr">
        <is>
          <t>silver</t>
        </is>
      </c>
      <c r="K6" s="2" t="inlineStr">
        <is>
          <t>个人任务</t>
        </is>
      </c>
      <c r="L6" s="2" t="inlineStr">
        <is>
          <t>挑战者庄园</t>
        </is>
      </c>
      <c r="M6" s="6">
        <f>'任务掉落明细'!Y6</f>
        <v>8000</v>
      </c>
      <c r="N6" s="2" t="inlineStr">
        <is>
          <t>data/mission_templates.yaml:huashan_lunjian.drop_table.silver</t>
        </is>
      </c>
    </row>
    <row r="7">
      <c r="A7" s="2" t="inlineStr">
        <is>
          <t>mission_chest_huashan_lunjian</t>
        </is>
      </c>
      <c r="B7" s="2" t="inlineStr">
        <is>
          <t>华山论贱宝箱</t>
        </is>
      </c>
      <c r="C7" s="2" t="inlineStr">
        <is>
          <t>loot_box</t>
        </is>
      </c>
      <c r="D7" s="2" t="inlineStr">
        <is>
          <t>green</t>
        </is>
      </c>
      <c r="E7" s="2" t="inlineStr">
        <is>
          <t>huashan_lunjian</t>
        </is>
      </c>
      <c r="F7" s="2" t="inlineStr">
        <is>
          <t>华山论贱</t>
        </is>
      </c>
      <c r="G7" s="2" t="inlineStr">
        <is>
          <t>固定掉落</t>
        </is>
      </c>
      <c r="H7" s="5">
        <f>'任务掉落明细'!X7</f>
        <v>1</v>
      </c>
      <c r="I7" s="2" t="n">
        <v>1</v>
      </c>
      <c r="J7" s="2" t="inlineStr">
        <is>
          <t>mission_chest_huashan_lunjian</t>
        </is>
      </c>
      <c r="K7" s="2" t="inlineStr">
        <is>
          <t>个人任务</t>
        </is>
      </c>
      <c r="L7" s="2" t="inlineStr">
        <is>
          <t>挑战者庄园</t>
        </is>
      </c>
      <c r="M7" s="6">
        <f>'任务掉落明细'!Y7</f>
        <v>1</v>
      </c>
      <c r="N7" s="2" t="inlineStr">
        <is>
          <t>data/mission_templates.yaml:huashan_lunjian.drop_table.mission_chest_huashan_lunjian</t>
        </is>
      </c>
    </row>
    <row r="8">
      <c r="A8" s="2" t="inlineStr">
        <is>
          <t>silver</t>
        </is>
      </c>
      <c r="B8" s="2" t="inlineStr">
        <is>
          <t>银两</t>
        </is>
      </c>
      <c r="C8" s="2" t="inlineStr">
        <is>
          <t>资源</t>
        </is>
      </c>
      <c r="D8" s="2" t="inlineStr">
        <is>
          <t>资源</t>
        </is>
      </c>
      <c r="E8" s="2" t="inlineStr">
        <is>
          <t>wagangzhai_nixi</t>
        </is>
      </c>
      <c r="F8" s="2" t="inlineStr">
        <is>
          <t>瓦岗寨的逆袭</t>
        </is>
      </c>
      <c r="G8" s="2" t="inlineStr">
        <is>
          <t>固定掉落</t>
        </is>
      </c>
      <c r="H8" s="5">
        <f>'任务掉落明细'!X8</f>
        <v>1</v>
      </c>
      <c r="I8" s="2" t="n">
        <v>40000</v>
      </c>
      <c r="J8" s="2" t="inlineStr">
        <is>
          <t>silver</t>
        </is>
      </c>
      <c r="K8" s="2" t="inlineStr">
        <is>
          <t>个人任务</t>
        </is>
      </c>
      <c r="L8" s="2" t="inlineStr">
        <is>
          <t>挑战者庄园</t>
        </is>
      </c>
      <c r="M8" s="6">
        <f>'任务掉落明细'!Y8</f>
        <v>40000</v>
      </c>
      <c r="N8" s="2" t="inlineStr">
        <is>
          <t>data/mission_templates.yaml:wagangzhai_nixi.drop_table.silver</t>
        </is>
      </c>
    </row>
    <row r="9">
      <c r="A9" s="2" t="inlineStr">
        <is>
          <t>mission_chest_wagangzhai_nixi</t>
        </is>
      </c>
      <c r="B9" s="2" t="inlineStr">
        <is>
          <t>瓦岗寨的逆袭宝箱</t>
        </is>
      </c>
      <c r="C9" s="2" t="inlineStr">
        <is>
          <t>loot_box</t>
        </is>
      </c>
      <c r="D9" s="2" t="inlineStr">
        <is>
          <t>blue</t>
        </is>
      </c>
      <c r="E9" s="2" t="inlineStr">
        <is>
          <t>wagangzhai_nixi</t>
        </is>
      </c>
      <c r="F9" s="2" t="inlineStr">
        <is>
          <t>瓦岗寨的逆袭</t>
        </is>
      </c>
      <c r="G9" s="2" t="inlineStr">
        <is>
          <t>固定掉落</t>
        </is>
      </c>
      <c r="H9" s="5">
        <f>'任务掉落明细'!X9</f>
        <v>1</v>
      </c>
      <c r="I9" s="2" t="n">
        <v>1</v>
      </c>
      <c r="J9" s="2" t="inlineStr">
        <is>
          <t>mission_chest_wagangzhai_nixi</t>
        </is>
      </c>
      <c r="K9" s="2" t="inlineStr">
        <is>
          <t>个人任务</t>
        </is>
      </c>
      <c r="L9" s="2" t="inlineStr">
        <is>
          <t>挑战者庄园</t>
        </is>
      </c>
      <c r="M9" s="6">
        <f>'任务掉落明细'!Y9</f>
        <v>1</v>
      </c>
      <c r="N9" s="2" t="inlineStr">
        <is>
          <t>data/mission_templates.yaml:wagangzhai_nixi.drop_table.mission_chest_wagangzhai_nixi</t>
        </is>
      </c>
    </row>
    <row r="10">
      <c r="A10" s="2" t="inlineStr">
        <is>
          <t>silver</t>
        </is>
      </c>
      <c r="B10" s="2" t="inlineStr">
        <is>
          <t>银两</t>
        </is>
      </c>
      <c r="C10" s="2" t="inlineStr">
        <is>
          <t>资源</t>
        </is>
      </c>
      <c r="D10" s="2" t="inlineStr">
        <is>
          <t>资源</t>
        </is>
      </c>
      <c r="E10" s="2" t="inlineStr">
        <is>
          <t>jingyanggang</t>
        </is>
      </c>
      <c r="F10" s="2" t="inlineStr">
        <is>
          <t>景阳冈</t>
        </is>
      </c>
      <c r="G10" s="2" t="inlineStr">
        <is>
          <t>固定掉落</t>
        </is>
      </c>
      <c r="H10" s="5">
        <f>'任务掉落明细'!X10</f>
        <v>1</v>
      </c>
      <c r="I10" s="2" t="n">
        <v>7000</v>
      </c>
      <c r="J10" s="2" t="inlineStr">
        <is>
          <t>silver</t>
        </is>
      </c>
      <c r="K10" s="2" t="inlineStr">
        <is>
          <t>个人任务</t>
        </is>
      </c>
      <c r="L10" s="2" t="inlineStr">
        <is>
          <t>挑战者庄园</t>
        </is>
      </c>
      <c r="M10" s="6">
        <f>'任务掉落明细'!Y10</f>
        <v>7000</v>
      </c>
      <c r="N10" s="2" t="inlineStr">
        <is>
          <t>data/mission_templates.yaml:jingyanggang.drop_table.silver</t>
        </is>
      </c>
    </row>
    <row r="11">
      <c r="A11" s="2" t="inlineStr">
        <is>
          <t>mission_chest_jingyanggang</t>
        </is>
      </c>
      <c r="B11" s="2" t="inlineStr">
        <is>
          <t>景阳冈宝箱</t>
        </is>
      </c>
      <c r="C11" s="2" t="inlineStr">
        <is>
          <t>loot_box</t>
        </is>
      </c>
      <c r="D11" s="2" t="inlineStr">
        <is>
          <t>green</t>
        </is>
      </c>
      <c r="E11" s="2" t="inlineStr">
        <is>
          <t>jingyanggang</t>
        </is>
      </c>
      <c r="F11" s="2" t="inlineStr">
        <is>
          <t>景阳冈</t>
        </is>
      </c>
      <c r="G11" s="2" t="inlineStr">
        <is>
          <t>固定掉落</t>
        </is>
      </c>
      <c r="H11" s="5">
        <f>'任务掉落明细'!X11</f>
        <v>1</v>
      </c>
      <c r="I11" s="2" t="n">
        <v>1</v>
      </c>
      <c r="J11" s="2" t="inlineStr">
        <is>
          <t>mission_chest_jingyanggang</t>
        </is>
      </c>
      <c r="K11" s="2" t="inlineStr">
        <is>
          <t>个人任务</t>
        </is>
      </c>
      <c r="L11" s="2" t="inlineStr">
        <is>
          <t>挑战者庄园</t>
        </is>
      </c>
      <c r="M11" s="6">
        <f>'任务掉落明细'!Y11</f>
        <v>1</v>
      </c>
      <c r="N11" s="2" t="inlineStr">
        <is>
          <t>data/mission_templates.yaml:jingyanggang.drop_table.mission_chest_jingyanggang</t>
        </is>
      </c>
    </row>
    <row r="12">
      <c r="A12" s="2" t="inlineStr">
        <is>
          <t>silver</t>
        </is>
      </c>
      <c r="B12" s="2" t="inlineStr">
        <is>
          <t>银两</t>
        </is>
      </c>
      <c r="C12" s="2" t="inlineStr">
        <is>
          <t>资源</t>
        </is>
      </c>
      <c r="D12" s="2" t="inlineStr">
        <is>
          <t>资源</t>
        </is>
      </c>
      <c r="E12" s="2" t="inlineStr">
        <is>
          <t>wulongshan</t>
        </is>
      </c>
      <c r="F12" s="2" t="inlineStr">
        <is>
          <t>乌龙山</t>
        </is>
      </c>
      <c r="G12" s="2" t="inlineStr">
        <is>
          <t>固定掉落</t>
        </is>
      </c>
      <c r="H12" s="5">
        <f>'任务掉落明细'!X12</f>
        <v>1</v>
      </c>
      <c r="I12" s="2" t="n">
        <v>15000</v>
      </c>
      <c r="J12" s="2" t="inlineStr">
        <is>
          <t>silver</t>
        </is>
      </c>
      <c r="K12" s="2" t="inlineStr">
        <is>
          <t>个人任务</t>
        </is>
      </c>
      <c r="L12" s="2" t="inlineStr">
        <is>
          <t>挑战者庄园</t>
        </is>
      </c>
      <c r="M12" s="6">
        <f>'任务掉落明细'!Y12</f>
        <v>15000</v>
      </c>
      <c r="N12" s="2" t="inlineStr">
        <is>
          <t>data/mission_templates.yaml:wulongshan.drop_table.silver</t>
        </is>
      </c>
    </row>
    <row r="13">
      <c r="A13" s="2" t="inlineStr">
        <is>
          <t>mission_chest_wulongshan</t>
        </is>
      </c>
      <c r="B13" s="2" t="inlineStr">
        <is>
          <t>乌龙山宝箱</t>
        </is>
      </c>
      <c r="C13" s="2" t="inlineStr">
        <is>
          <t>loot_box</t>
        </is>
      </c>
      <c r="D13" s="2" t="inlineStr">
        <is>
          <t>green</t>
        </is>
      </c>
      <c r="E13" s="2" t="inlineStr">
        <is>
          <t>wulongshan</t>
        </is>
      </c>
      <c r="F13" s="2" t="inlineStr">
        <is>
          <t>乌龙山</t>
        </is>
      </c>
      <c r="G13" s="2" t="inlineStr">
        <is>
          <t>固定掉落</t>
        </is>
      </c>
      <c r="H13" s="5">
        <f>'任务掉落明细'!X13</f>
        <v>1</v>
      </c>
      <c r="I13" s="2" t="n">
        <v>1</v>
      </c>
      <c r="J13" s="2" t="inlineStr">
        <is>
          <t>mission_chest_wulongshan</t>
        </is>
      </c>
      <c r="K13" s="2" t="inlineStr">
        <is>
          <t>个人任务</t>
        </is>
      </c>
      <c r="L13" s="2" t="inlineStr">
        <is>
          <t>挑战者庄园</t>
        </is>
      </c>
      <c r="M13" s="6">
        <f>'任务掉落明细'!Y13</f>
        <v>1</v>
      </c>
      <c r="N13" s="2" t="inlineStr">
        <is>
          <t>data/mission_templates.yaml:wulongshan.drop_table.mission_chest_wulongshan</t>
        </is>
      </c>
    </row>
    <row r="14">
      <c r="A14" s="2" t="inlineStr">
        <is>
          <t>silver</t>
        </is>
      </c>
      <c r="B14" s="2" t="inlineStr">
        <is>
          <t>银两</t>
        </is>
      </c>
      <c r="C14" s="2" t="inlineStr">
        <is>
          <t>资源</t>
        </is>
      </c>
      <c r="D14" s="2" t="inlineStr">
        <is>
          <t>资源</t>
        </is>
      </c>
      <c r="E14" s="2" t="inlineStr">
        <is>
          <t>wagangzhai</t>
        </is>
      </c>
      <c r="F14" s="2" t="inlineStr">
        <is>
          <t>瓦岗寨</t>
        </is>
      </c>
      <c r="G14" s="2" t="inlineStr">
        <is>
          <t>固定掉落</t>
        </is>
      </c>
      <c r="H14" s="5">
        <f>'任务掉落明细'!X14</f>
        <v>1</v>
      </c>
      <c r="I14" s="2" t="n">
        <v>20000</v>
      </c>
      <c r="J14" s="2" t="inlineStr">
        <is>
          <t>silver</t>
        </is>
      </c>
      <c r="K14" s="2" t="inlineStr">
        <is>
          <t>个人任务</t>
        </is>
      </c>
      <c r="L14" s="2" t="inlineStr">
        <is>
          <t>挑战者庄园</t>
        </is>
      </c>
      <c r="M14" s="6">
        <f>'任务掉落明细'!Y14</f>
        <v>20000</v>
      </c>
      <c r="N14" s="2" t="inlineStr">
        <is>
          <t>data/mission_templates.yaml:wagangzhai.drop_table.silver</t>
        </is>
      </c>
    </row>
    <row r="15">
      <c r="A15" s="2" t="inlineStr">
        <is>
          <t>mission_chest_wagangzhai</t>
        </is>
      </c>
      <c r="B15" s="2" t="inlineStr">
        <is>
          <t>瓦岗寨宝箱</t>
        </is>
      </c>
      <c r="C15" s="2" t="inlineStr">
        <is>
          <t>loot_box</t>
        </is>
      </c>
      <c r="D15" s="2" t="inlineStr">
        <is>
          <t>green</t>
        </is>
      </c>
      <c r="E15" s="2" t="inlineStr">
        <is>
          <t>wagangzhai</t>
        </is>
      </c>
      <c r="F15" s="2" t="inlineStr">
        <is>
          <t>瓦岗寨</t>
        </is>
      </c>
      <c r="G15" s="2" t="inlineStr">
        <is>
          <t>固定掉落</t>
        </is>
      </c>
      <c r="H15" s="5">
        <f>'任务掉落明细'!X15</f>
        <v>1</v>
      </c>
      <c r="I15" s="2" t="n">
        <v>1</v>
      </c>
      <c r="J15" s="2" t="inlineStr">
        <is>
          <t>mission_chest_wagangzhai</t>
        </is>
      </c>
      <c r="K15" s="2" t="inlineStr">
        <is>
          <t>个人任务</t>
        </is>
      </c>
      <c r="L15" s="2" t="inlineStr">
        <is>
          <t>挑战者庄园</t>
        </is>
      </c>
      <c r="M15" s="6">
        <f>'任务掉落明细'!Y15</f>
        <v>1</v>
      </c>
      <c r="N15" s="2" t="inlineStr">
        <is>
          <t>data/mission_templates.yaml:wagangzhai.drop_table.mission_chest_wagangzhai</t>
        </is>
      </c>
    </row>
    <row r="16">
      <c r="A16" s="2" t="inlineStr">
        <is>
          <t>silver</t>
        </is>
      </c>
      <c r="B16" s="2" t="inlineStr">
        <is>
          <t>银两</t>
        </is>
      </c>
      <c r="C16" s="2" t="inlineStr">
        <is>
          <t>资源</t>
        </is>
      </c>
      <c r="D16" s="2" t="inlineStr">
        <is>
          <t>资源</t>
        </is>
      </c>
      <c r="E16" s="2" t="inlineStr">
        <is>
          <t>fugui_shanzhuang</t>
        </is>
      </c>
      <c r="F16" s="2" t="inlineStr">
        <is>
          <t>富贵山庄</t>
        </is>
      </c>
      <c r="G16" s="2" t="inlineStr">
        <is>
          <t>固定掉落</t>
        </is>
      </c>
      <c r="H16" s="5">
        <f>'任务掉落明细'!X16</f>
        <v>1</v>
      </c>
      <c r="I16" s="2" t="n">
        <v>14000</v>
      </c>
      <c r="J16" s="2" t="inlineStr">
        <is>
          <t>silver</t>
        </is>
      </c>
      <c r="K16" s="2" t="inlineStr">
        <is>
          <t>个人任务</t>
        </is>
      </c>
      <c r="L16" s="2" t="inlineStr">
        <is>
          <t>挑战者庄园</t>
        </is>
      </c>
      <c r="M16" s="6">
        <f>'任务掉落明细'!Y16</f>
        <v>14000</v>
      </c>
      <c r="N16" s="2" t="inlineStr">
        <is>
          <t>data/mission_templates.yaml:fugui_shanzhuang.drop_table.silver</t>
        </is>
      </c>
    </row>
    <row r="17">
      <c r="A17" s="2" t="inlineStr">
        <is>
          <t>mission_chest_fugui_shanzhuang</t>
        </is>
      </c>
      <c r="B17" s="2" t="inlineStr">
        <is>
          <t>富贵山庄宝箱</t>
        </is>
      </c>
      <c r="C17" s="2" t="inlineStr">
        <is>
          <t>loot_box</t>
        </is>
      </c>
      <c r="D17" s="2" t="inlineStr">
        <is>
          <t>green</t>
        </is>
      </c>
      <c r="E17" s="2" t="inlineStr">
        <is>
          <t>fugui_shanzhuang</t>
        </is>
      </c>
      <c r="F17" s="2" t="inlineStr">
        <is>
          <t>富贵山庄</t>
        </is>
      </c>
      <c r="G17" s="2" t="inlineStr">
        <is>
          <t>固定掉落</t>
        </is>
      </c>
      <c r="H17" s="5">
        <f>'任务掉落明细'!X17</f>
        <v>1</v>
      </c>
      <c r="I17" s="2" t="n">
        <v>1</v>
      </c>
      <c r="J17" s="2" t="inlineStr">
        <is>
          <t>mission_chest_fugui_shanzhuang</t>
        </is>
      </c>
      <c r="K17" s="2" t="inlineStr">
        <is>
          <t>个人任务</t>
        </is>
      </c>
      <c r="L17" s="2" t="inlineStr">
        <is>
          <t>挑战者庄园</t>
        </is>
      </c>
      <c r="M17" s="6">
        <f>'任务掉落明细'!Y17</f>
        <v>1</v>
      </c>
      <c r="N17" s="2" t="inlineStr">
        <is>
          <t>data/mission_templates.yaml:fugui_shanzhuang.drop_table.mission_chest_fugui_shanzhuang</t>
        </is>
      </c>
    </row>
    <row r="18">
      <c r="A18" s="2" t="inlineStr">
        <is>
          <t>silver</t>
        </is>
      </c>
      <c r="B18" s="2" t="inlineStr">
        <is>
          <t>银两</t>
        </is>
      </c>
      <c r="C18" s="2" t="inlineStr">
        <is>
          <t>资源</t>
        </is>
      </c>
      <c r="D18" s="2" t="inlineStr">
        <is>
          <t>资源</t>
        </is>
      </c>
      <c r="E18" s="2" t="inlineStr">
        <is>
          <t>shizipo_heidian</t>
        </is>
      </c>
      <c r="F18" s="2" t="inlineStr">
        <is>
          <t>十字坡黑店</t>
        </is>
      </c>
      <c r="G18" s="2" t="inlineStr">
        <is>
          <t>固定掉落</t>
        </is>
      </c>
      <c r="H18" s="5">
        <f>'任务掉落明细'!X18</f>
        <v>1</v>
      </c>
      <c r="I18" s="2" t="n">
        <v>30000</v>
      </c>
      <c r="J18" s="2" t="inlineStr">
        <is>
          <t>silver</t>
        </is>
      </c>
      <c r="K18" s="2" t="inlineStr">
        <is>
          <t>个人任务</t>
        </is>
      </c>
      <c r="L18" s="2" t="inlineStr">
        <is>
          <t>挑战者庄园</t>
        </is>
      </c>
      <c r="M18" s="6">
        <f>'任务掉落明细'!Y18</f>
        <v>30000</v>
      </c>
      <c r="N18" s="2" t="inlineStr">
        <is>
          <t>data/mission_templates.yaml:shizipo_heidian.drop_table.silver</t>
        </is>
      </c>
    </row>
    <row r="19">
      <c r="A19" s="2" t="inlineStr">
        <is>
          <t>mission_chest_shizipo_heidian</t>
        </is>
      </c>
      <c r="B19" s="2" t="inlineStr">
        <is>
          <t>十字坡黑店宝箱</t>
        </is>
      </c>
      <c r="C19" s="2" t="inlineStr">
        <is>
          <t>loot_box</t>
        </is>
      </c>
      <c r="D19" s="2" t="inlineStr">
        <is>
          <t>blue</t>
        </is>
      </c>
      <c r="E19" s="2" t="inlineStr">
        <is>
          <t>shizipo_heidian</t>
        </is>
      </c>
      <c r="F19" s="2" t="inlineStr">
        <is>
          <t>十字坡黑店</t>
        </is>
      </c>
      <c r="G19" s="2" t="inlineStr">
        <is>
          <t>固定掉落</t>
        </is>
      </c>
      <c r="H19" s="5">
        <f>'任务掉落明细'!X19</f>
        <v>1</v>
      </c>
      <c r="I19" s="2" t="n">
        <v>1</v>
      </c>
      <c r="J19" s="2" t="inlineStr">
        <is>
          <t>mission_chest_shizipo_heidian</t>
        </is>
      </c>
      <c r="K19" s="2" t="inlineStr">
        <is>
          <t>个人任务</t>
        </is>
      </c>
      <c r="L19" s="2" t="inlineStr">
        <is>
          <t>挑战者庄园</t>
        </is>
      </c>
      <c r="M19" s="6">
        <f>'任务掉落明细'!Y19</f>
        <v>1</v>
      </c>
      <c r="N19" s="2" t="inlineStr">
        <is>
          <t>data/mission_templates.yaml:shizipo_heidian.drop_table.mission_chest_shizipo_heidian</t>
        </is>
      </c>
    </row>
    <row r="20">
      <c r="A20" s="2" t="inlineStr">
        <is>
          <t>silver</t>
        </is>
      </c>
      <c r="B20" s="2" t="inlineStr">
        <is>
          <t>银两</t>
        </is>
      </c>
      <c r="C20" s="2" t="inlineStr">
        <is>
          <t>资源</t>
        </is>
      </c>
      <c r="D20" s="2" t="inlineStr">
        <is>
          <t>资源</t>
        </is>
      </c>
      <c r="E20" s="2" t="inlineStr">
        <is>
          <t>shanhaiguan</t>
        </is>
      </c>
      <c r="F20" s="2" t="inlineStr">
        <is>
          <t>山海关</t>
        </is>
      </c>
      <c r="G20" s="2" t="inlineStr">
        <is>
          <t>固定掉落</t>
        </is>
      </c>
      <c r="H20" s="5">
        <f>'任务掉落明细'!X20</f>
        <v>1</v>
      </c>
      <c r="I20" s="2" t="n">
        <v>40000</v>
      </c>
      <c r="J20" s="2" t="inlineStr">
        <is>
          <t>silver</t>
        </is>
      </c>
      <c r="K20" s="2" t="inlineStr">
        <is>
          <t>个人任务</t>
        </is>
      </c>
      <c r="L20" s="2" t="inlineStr">
        <is>
          <t>挑战者庄园</t>
        </is>
      </c>
      <c r="M20" s="6">
        <f>'任务掉落明细'!Y20</f>
        <v>40000</v>
      </c>
      <c r="N20" s="2" t="inlineStr">
        <is>
          <t>data/mission_templates.yaml:shanhaiguan.drop_table.silver</t>
        </is>
      </c>
    </row>
    <row r="21">
      <c r="A21" s="2" t="inlineStr">
        <is>
          <t>mission_chest_shanhaiguan</t>
        </is>
      </c>
      <c r="B21" s="2" t="inlineStr">
        <is>
          <t>山海关宝箱</t>
        </is>
      </c>
      <c r="C21" s="2" t="inlineStr">
        <is>
          <t>loot_box</t>
        </is>
      </c>
      <c r="D21" s="2" t="inlineStr">
        <is>
          <t>blue</t>
        </is>
      </c>
      <c r="E21" s="2" t="inlineStr">
        <is>
          <t>shanhaiguan</t>
        </is>
      </c>
      <c r="F21" s="2" t="inlineStr">
        <is>
          <t>山海关</t>
        </is>
      </c>
      <c r="G21" s="2" t="inlineStr">
        <is>
          <t>固定掉落</t>
        </is>
      </c>
      <c r="H21" s="5">
        <f>'任务掉落明细'!X21</f>
        <v>1</v>
      </c>
      <c r="I21" s="2" t="n">
        <v>1</v>
      </c>
      <c r="J21" s="2" t="inlineStr">
        <is>
          <t>mission_chest_shanhaiguan</t>
        </is>
      </c>
      <c r="K21" s="2" t="inlineStr">
        <is>
          <t>个人任务</t>
        </is>
      </c>
      <c r="L21" s="2" t="inlineStr">
        <is>
          <t>挑战者庄园</t>
        </is>
      </c>
      <c r="M21" s="6">
        <f>'任务掉落明细'!Y21</f>
        <v>1</v>
      </c>
      <c r="N21" s="2" t="inlineStr">
        <is>
          <t>data/mission_templates.yaml:shanhaiguan.drop_table.mission_chest_shanhaiguan</t>
        </is>
      </c>
    </row>
    <row r="22">
      <c r="A22" s="2" t="inlineStr">
        <is>
          <t>silver</t>
        </is>
      </c>
      <c r="B22" s="2" t="inlineStr">
        <is>
          <t>银两</t>
        </is>
      </c>
      <c r="C22" s="2" t="inlineStr">
        <is>
          <t>资源</t>
        </is>
      </c>
      <c r="D22" s="2" t="inlineStr">
        <is>
          <t>资源</t>
        </is>
      </c>
      <c r="E22" s="2" t="inlineStr">
        <is>
          <t>shiren_daochang</t>
        </is>
      </c>
      <c r="F22" s="2" t="inlineStr">
        <is>
          <t>十人道场</t>
        </is>
      </c>
      <c r="G22" s="2" t="inlineStr">
        <is>
          <t>固定掉落</t>
        </is>
      </c>
      <c r="H22" s="5">
        <f>'任务掉落明细'!X22</f>
        <v>1</v>
      </c>
      <c r="I22" s="2" t="n">
        <v>20000</v>
      </c>
      <c r="J22" s="2" t="inlineStr">
        <is>
          <t>silver</t>
        </is>
      </c>
      <c r="K22" s="2" t="inlineStr">
        <is>
          <t>个人任务</t>
        </is>
      </c>
      <c r="L22" s="2" t="inlineStr">
        <is>
          <t>挑战者庄园</t>
        </is>
      </c>
      <c r="M22" s="6">
        <f>'任务掉落明细'!Y22</f>
        <v>20000</v>
      </c>
      <c r="N22" s="2" t="inlineStr">
        <is>
          <t>data/mission_templates.yaml:shiren_daochang.drop_table.silver</t>
        </is>
      </c>
    </row>
    <row r="23">
      <c r="A23" s="2" t="inlineStr">
        <is>
          <t>mission_chest_shiren_daochang</t>
        </is>
      </c>
      <c r="B23" s="2" t="inlineStr">
        <is>
          <t>十人道场宝箱</t>
        </is>
      </c>
      <c r="C23" s="2" t="inlineStr">
        <is>
          <t>loot_box</t>
        </is>
      </c>
      <c r="D23" s="2" t="inlineStr">
        <is>
          <t>blue</t>
        </is>
      </c>
      <c r="E23" s="2" t="inlineStr">
        <is>
          <t>shiren_daochang</t>
        </is>
      </c>
      <c r="F23" s="2" t="inlineStr">
        <is>
          <t>十人道场</t>
        </is>
      </c>
      <c r="G23" s="2" t="inlineStr">
        <is>
          <t>固定掉落</t>
        </is>
      </c>
      <c r="H23" s="5">
        <f>'任务掉落明细'!X23</f>
        <v>1</v>
      </c>
      <c r="I23" s="2" t="n">
        <v>1</v>
      </c>
      <c r="J23" s="2" t="inlineStr">
        <is>
          <t>mission_chest_shiren_daochang</t>
        </is>
      </c>
      <c r="K23" s="2" t="inlineStr">
        <is>
          <t>个人任务</t>
        </is>
      </c>
      <c r="L23" s="2" t="inlineStr">
        <is>
          <t>挑战者庄园</t>
        </is>
      </c>
      <c r="M23" s="6">
        <f>'任务掉落明细'!Y23</f>
        <v>1</v>
      </c>
      <c r="N23" s="2" t="inlineStr">
        <is>
          <t>data/mission_templates.yaml:shiren_daochang.drop_table.mission_chest_shiren_daochang</t>
        </is>
      </c>
    </row>
    <row r="24">
      <c r="A24" s="2" t="inlineStr">
        <is>
          <t>silver</t>
        </is>
      </c>
      <c r="B24" s="2" t="inlineStr">
        <is>
          <t>银两</t>
        </is>
      </c>
      <c r="C24" s="2" t="inlineStr">
        <is>
          <t>资源</t>
        </is>
      </c>
      <c r="D24" s="2" t="inlineStr">
        <is>
          <t>资源</t>
        </is>
      </c>
      <c r="E24" s="2" t="inlineStr">
        <is>
          <t>jiguanshou_chuxian</t>
        </is>
      </c>
      <c r="F24" s="2" t="inlineStr">
        <is>
          <t>机关兽初现</t>
        </is>
      </c>
      <c r="G24" s="2" t="inlineStr">
        <is>
          <t>固定掉落</t>
        </is>
      </c>
      <c r="H24" s="5">
        <f>'任务掉落明细'!X24</f>
        <v>1</v>
      </c>
      <c r="I24" s="2" t="n">
        <v>24000</v>
      </c>
      <c r="J24" s="2" t="inlineStr">
        <is>
          <t>silver</t>
        </is>
      </c>
      <c r="K24" s="2" t="inlineStr">
        <is>
          <t>个人任务</t>
        </is>
      </c>
      <c r="L24" s="2" t="inlineStr">
        <is>
          <t>挑战者庄园</t>
        </is>
      </c>
      <c r="M24" s="6">
        <f>'任务掉落明细'!Y24</f>
        <v>24000</v>
      </c>
      <c r="N24" s="2" t="inlineStr">
        <is>
          <t>data/mission_templates.yaml:jiguanshou_chuxian.drop_table.silver</t>
        </is>
      </c>
    </row>
    <row r="25">
      <c r="A25" s="2" t="inlineStr">
        <is>
          <t>mission_chest_jiguanshou_chuxian</t>
        </is>
      </c>
      <c r="B25" s="2" t="inlineStr">
        <is>
          <t>机关兽初现宝箱</t>
        </is>
      </c>
      <c r="C25" s="2" t="inlineStr">
        <is>
          <t>loot_box</t>
        </is>
      </c>
      <c r="D25" s="2" t="inlineStr">
        <is>
          <t>green</t>
        </is>
      </c>
      <c r="E25" s="2" t="inlineStr">
        <is>
          <t>jiguanshou_chuxian</t>
        </is>
      </c>
      <c r="F25" s="2" t="inlineStr">
        <is>
          <t>机关兽初现</t>
        </is>
      </c>
      <c r="G25" s="2" t="inlineStr">
        <is>
          <t>固定掉落</t>
        </is>
      </c>
      <c r="H25" s="5">
        <f>'任务掉落明细'!X25</f>
        <v>1</v>
      </c>
      <c r="I25" s="2" t="n">
        <v>1</v>
      </c>
      <c r="J25" s="2" t="inlineStr">
        <is>
          <t>mission_chest_jiguanshou_chuxian</t>
        </is>
      </c>
      <c r="K25" s="2" t="inlineStr">
        <is>
          <t>个人任务</t>
        </is>
      </c>
      <c r="L25" s="2" t="inlineStr">
        <is>
          <t>挑战者庄园</t>
        </is>
      </c>
      <c r="M25" s="6">
        <f>'任务掉落明细'!Y25</f>
        <v>1</v>
      </c>
      <c r="N25" s="2" t="inlineStr">
        <is>
          <t>data/mission_templates.yaml:jiguanshou_chuxian.drop_table.mission_chest_jiguanshou_chuxian</t>
        </is>
      </c>
    </row>
    <row r="26">
      <c r="A26" s="2" t="inlineStr">
        <is>
          <t>silver</t>
        </is>
      </c>
      <c r="B26" s="2" t="inlineStr">
        <is>
          <t>银两</t>
        </is>
      </c>
      <c r="C26" s="2" t="inlineStr">
        <is>
          <t>资源</t>
        </is>
      </c>
      <c r="D26" s="2" t="inlineStr">
        <is>
          <t>资源</t>
        </is>
      </c>
      <c r="E26" s="2" t="inlineStr">
        <is>
          <t>biwu_zhaoqin</t>
        </is>
      </c>
      <c r="F26" s="2" t="inlineStr">
        <is>
          <t>比武招亲</t>
        </is>
      </c>
      <c r="G26" s="2" t="inlineStr">
        <is>
          <t>固定掉落</t>
        </is>
      </c>
      <c r="H26" s="5">
        <f>'任务掉落明细'!X26</f>
        <v>1</v>
      </c>
      <c r="I26" s="2" t="n">
        <v>20000</v>
      </c>
      <c r="J26" s="2" t="inlineStr">
        <is>
          <t>silver</t>
        </is>
      </c>
      <c r="K26" s="2" t="inlineStr">
        <is>
          <t>个人任务</t>
        </is>
      </c>
      <c r="L26" s="2" t="inlineStr">
        <is>
          <t>挑战者庄园</t>
        </is>
      </c>
      <c r="M26" s="6">
        <f>'任务掉落明细'!Y26</f>
        <v>20000</v>
      </c>
      <c r="N26" s="2" t="inlineStr">
        <is>
          <t>data/mission_templates.yaml:biwu_zhaoqin.drop_table.silver</t>
        </is>
      </c>
    </row>
    <row r="27">
      <c r="A27" s="2" t="inlineStr">
        <is>
          <t>mission_chest_biwu_zhaoqin</t>
        </is>
      </c>
      <c r="B27" s="2" t="inlineStr">
        <is>
          <t>比武招亲宝箱</t>
        </is>
      </c>
      <c r="C27" s="2" t="inlineStr">
        <is>
          <t>loot_box</t>
        </is>
      </c>
      <c r="D27" s="2" t="inlineStr">
        <is>
          <t>green</t>
        </is>
      </c>
      <c r="E27" s="2" t="inlineStr">
        <is>
          <t>biwu_zhaoqin</t>
        </is>
      </c>
      <c r="F27" s="2" t="inlineStr">
        <is>
          <t>比武招亲</t>
        </is>
      </c>
      <c r="G27" s="2" t="inlineStr">
        <is>
          <t>固定掉落</t>
        </is>
      </c>
      <c r="H27" s="5">
        <f>'任务掉落明细'!X27</f>
        <v>1</v>
      </c>
      <c r="I27" s="2" t="n">
        <v>1</v>
      </c>
      <c r="J27" s="2" t="inlineStr">
        <is>
          <t>mission_chest_biwu_zhaoqin</t>
        </is>
      </c>
      <c r="K27" s="2" t="inlineStr">
        <is>
          <t>个人任务</t>
        </is>
      </c>
      <c r="L27" s="2" t="inlineStr">
        <is>
          <t>挑战者庄园</t>
        </is>
      </c>
      <c r="M27" s="6">
        <f>'任务掉落明细'!Y27</f>
        <v>1</v>
      </c>
      <c r="N27" s="2" t="inlineStr">
        <is>
          <t>data/mission_templates.yaml:biwu_zhaoqin.drop_table.mission_chest_biwu_zhaoqin</t>
        </is>
      </c>
    </row>
    <row r="28">
      <c r="A28" s="2" t="inlineStr">
        <is>
          <t>silver</t>
        </is>
      </c>
      <c r="B28" s="2" t="inlineStr">
        <is>
          <t>银两</t>
        </is>
      </c>
      <c r="C28" s="2" t="inlineStr">
        <is>
          <t>资源</t>
        </is>
      </c>
      <c r="D28" s="2" t="inlineStr">
        <is>
          <t>资源</t>
        </is>
      </c>
      <c r="E28" s="2" t="inlineStr">
        <is>
          <t>tianpeng_dijiao_1</t>
        </is>
      </c>
      <c r="F28" s="2" t="inlineStr">
        <is>
          <t>天蓬元帅的地窖（第一层）</t>
        </is>
      </c>
      <c r="G28" s="2" t="inlineStr">
        <is>
          <t>固定掉落</t>
        </is>
      </c>
      <c r="H28" s="5">
        <f>'任务掉落明细'!X28</f>
        <v>1</v>
      </c>
      <c r="I28" s="2" t="n">
        <v>50000</v>
      </c>
      <c r="J28" s="2" t="inlineStr">
        <is>
          <t>silver</t>
        </is>
      </c>
      <c r="K28" s="2" t="inlineStr">
        <is>
          <t>个人任务</t>
        </is>
      </c>
      <c r="L28" s="2" t="inlineStr">
        <is>
          <t>挑战者庄园</t>
        </is>
      </c>
      <c r="M28" s="6">
        <f>'任务掉落明细'!Y28</f>
        <v>50000</v>
      </c>
      <c r="N28" s="2" t="inlineStr">
        <is>
          <t>data/mission_templates.yaml:tianpeng_dijiao_1.drop_table.silver</t>
        </is>
      </c>
    </row>
    <row r="29">
      <c r="A29" s="2" t="inlineStr">
        <is>
          <t>mission_chest_tianpeng_dijiao_1</t>
        </is>
      </c>
      <c r="B29" s="2" t="inlineStr">
        <is>
          <t>天蓬地窖一层宝箱</t>
        </is>
      </c>
      <c r="C29" s="2" t="inlineStr">
        <is>
          <t>loot_box</t>
        </is>
      </c>
      <c r="D29" s="2" t="inlineStr">
        <is>
          <t>blue</t>
        </is>
      </c>
      <c r="E29" s="2" t="inlineStr">
        <is>
          <t>tianpeng_dijiao_1</t>
        </is>
      </c>
      <c r="F29" s="2" t="inlineStr">
        <is>
          <t>天蓬元帅的地窖（第一层）</t>
        </is>
      </c>
      <c r="G29" s="2" t="inlineStr">
        <is>
          <t>固定掉落</t>
        </is>
      </c>
      <c r="H29" s="5">
        <f>'任务掉落明细'!X29</f>
        <v>1</v>
      </c>
      <c r="I29" s="2" t="n">
        <v>1</v>
      </c>
      <c r="J29" s="2" t="inlineStr">
        <is>
          <t>mission_chest_tianpeng_dijiao_1</t>
        </is>
      </c>
      <c r="K29" s="2" t="inlineStr">
        <is>
          <t>个人任务</t>
        </is>
      </c>
      <c r="L29" s="2" t="inlineStr">
        <is>
          <t>挑战者庄园</t>
        </is>
      </c>
      <c r="M29" s="6">
        <f>'任务掉落明细'!Y29</f>
        <v>1</v>
      </c>
      <c r="N29" s="2" t="inlineStr">
        <is>
          <t>data/mission_templates.yaml:tianpeng_dijiao_1.drop_table.mission_chest_tianpeng_dijiao_1</t>
        </is>
      </c>
    </row>
    <row r="30">
      <c r="A30" s="2" t="inlineStr">
        <is>
          <t>mission_chest_tianpeng_dijiao_2</t>
        </is>
      </c>
      <c r="B30" s="2" t="inlineStr">
        <is>
          <t>天蓬地窖二层宝箱</t>
        </is>
      </c>
      <c r="C30" s="2" t="inlineStr">
        <is>
          <t>loot_box</t>
        </is>
      </c>
      <c r="D30" s="2" t="inlineStr">
        <is>
          <t>purple</t>
        </is>
      </c>
      <c r="E30" s="2" t="inlineStr">
        <is>
          <t>tianpeng_dijiao_2</t>
        </is>
      </c>
      <c r="F30" s="2" t="inlineStr">
        <is>
          <t>天蓬元帅的地窖（第二层）</t>
        </is>
      </c>
      <c r="G30" s="2" t="inlineStr">
        <is>
          <t>固定掉落</t>
        </is>
      </c>
      <c r="H30" s="5">
        <f>'任务掉落明细'!X30</f>
        <v>1</v>
      </c>
      <c r="I30" s="2" t="n">
        <v>1</v>
      </c>
      <c r="J30" s="2" t="inlineStr">
        <is>
          <t>mission_chest_tianpeng_dijiao_2</t>
        </is>
      </c>
      <c r="K30" s="2" t="inlineStr">
        <is>
          <t>个人任务</t>
        </is>
      </c>
      <c r="L30" s="2" t="inlineStr">
        <is>
          <t>挑战者庄园</t>
        </is>
      </c>
      <c r="M30" s="6">
        <f>'任务掉落明细'!Y30</f>
        <v>1</v>
      </c>
      <c r="N30" s="2" t="inlineStr">
        <is>
          <t>data/mission_templates.yaml:tianpeng_dijiao_2.drop_table.mission_chest_tianpeng_dijiao_2</t>
        </is>
      </c>
    </row>
    <row r="31">
      <c r="A31" s="2" t="inlineStr">
        <is>
          <t>silver</t>
        </is>
      </c>
      <c r="B31" s="2" t="inlineStr">
        <is>
          <t>银两</t>
        </is>
      </c>
      <c r="C31" s="2" t="inlineStr">
        <is>
          <t>资源</t>
        </is>
      </c>
      <c r="D31" s="2" t="inlineStr">
        <is>
          <t>资源</t>
        </is>
      </c>
      <c r="E31" s="2" t="inlineStr">
        <is>
          <t>jiguan_chuniao</t>
        </is>
      </c>
      <c r="F31" s="2" t="inlineStr">
        <is>
          <t>机关雏鸟</t>
        </is>
      </c>
      <c r="G31" s="2" t="inlineStr">
        <is>
          <t>固定掉落</t>
        </is>
      </c>
      <c r="H31" s="5">
        <f>'任务掉落明细'!X31</f>
        <v>1</v>
      </c>
      <c r="I31" s="2" t="n">
        <v>30000</v>
      </c>
      <c r="J31" s="2" t="inlineStr">
        <is>
          <t>silver</t>
        </is>
      </c>
      <c r="K31" s="2" t="inlineStr">
        <is>
          <t>个人任务</t>
        </is>
      </c>
      <c r="L31" s="2" t="inlineStr">
        <is>
          <t>挑战者庄园</t>
        </is>
      </c>
      <c r="M31" s="6">
        <f>'任务掉落明细'!Y31</f>
        <v>30000</v>
      </c>
      <c r="N31" s="2" t="inlineStr">
        <is>
          <t>data/mission_templates.yaml:jiguan_chuniao.drop_table.silver</t>
        </is>
      </c>
    </row>
    <row r="32">
      <c r="A32" s="2" t="inlineStr">
        <is>
          <t>mission_chest_jiguan_chuniao</t>
        </is>
      </c>
      <c r="B32" s="2" t="inlineStr">
        <is>
          <t>机关雏鸟宝箱</t>
        </is>
      </c>
      <c r="C32" s="2" t="inlineStr">
        <is>
          <t>loot_box</t>
        </is>
      </c>
      <c r="D32" s="2" t="inlineStr">
        <is>
          <t>blue</t>
        </is>
      </c>
      <c r="E32" s="2" t="inlineStr">
        <is>
          <t>jiguan_chuniao</t>
        </is>
      </c>
      <c r="F32" s="2" t="inlineStr">
        <is>
          <t>机关雏鸟</t>
        </is>
      </c>
      <c r="G32" s="2" t="inlineStr">
        <is>
          <t>固定掉落</t>
        </is>
      </c>
      <c r="H32" s="5">
        <f>'任务掉落明细'!X32</f>
        <v>1</v>
      </c>
      <c r="I32" s="2" t="n">
        <v>1</v>
      </c>
      <c r="J32" s="2" t="inlineStr">
        <is>
          <t>mission_chest_jiguan_chuniao</t>
        </is>
      </c>
      <c r="K32" s="2" t="inlineStr">
        <is>
          <t>个人任务</t>
        </is>
      </c>
      <c r="L32" s="2" t="inlineStr">
        <is>
          <t>挑战者庄园</t>
        </is>
      </c>
      <c r="M32" s="6">
        <f>'任务掉落明细'!Y32</f>
        <v>1</v>
      </c>
      <c r="N32" s="2" t="inlineStr">
        <is>
          <t>data/mission_templates.yaml:jiguan_chuniao.drop_table.mission_chest_jiguan_chuniao</t>
        </is>
      </c>
    </row>
    <row r="33">
      <c r="A33" s="2" t="inlineStr">
        <is>
          <t>silver</t>
        </is>
      </c>
      <c r="B33" s="2" t="inlineStr">
        <is>
          <t>银两</t>
        </is>
      </c>
      <c r="C33" s="2" t="inlineStr">
        <is>
          <t>资源</t>
        </is>
      </c>
      <c r="D33" s="2" t="inlineStr">
        <is>
          <t>资源</t>
        </is>
      </c>
      <c r="E33" s="2" t="inlineStr">
        <is>
          <t>dongtian_fudi</t>
        </is>
      </c>
      <c r="F33" s="2" t="inlineStr">
        <is>
          <t>洞天福地</t>
        </is>
      </c>
      <c r="G33" s="2" t="inlineStr">
        <is>
          <t>固定掉落</t>
        </is>
      </c>
      <c r="H33" s="5">
        <f>'任务掉落明细'!X33</f>
        <v>1</v>
      </c>
      <c r="I33" s="2" t="n">
        <v>50000</v>
      </c>
      <c r="J33" s="2" t="inlineStr">
        <is>
          <t>silver</t>
        </is>
      </c>
      <c r="K33" s="2" t="inlineStr">
        <is>
          <t>个人任务</t>
        </is>
      </c>
      <c r="L33" s="2" t="inlineStr">
        <is>
          <t>挑战者庄园</t>
        </is>
      </c>
      <c r="M33" s="6">
        <f>'任务掉落明细'!Y33</f>
        <v>50000</v>
      </c>
      <c r="N33" s="2" t="inlineStr">
        <is>
          <t>data/mission_templates.yaml:dongtian_fudi.drop_table.silver</t>
        </is>
      </c>
    </row>
    <row r="34">
      <c r="A34" s="2" t="inlineStr">
        <is>
          <t>mission_chest_dongtian_fudi</t>
        </is>
      </c>
      <c r="B34" s="2" t="inlineStr">
        <is>
          <t>洞天福地宝箱</t>
        </is>
      </c>
      <c r="C34" s="2" t="inlineStr">
        <is>
          <t>loot_box</t>
        </is>
      </c>
      <c r="D34" s="2" t="inlineStr">
        <is>
          <t>purple</t>
        </is>
      </c>
      <c r="E34" s="2" t="inlineStr">
        <is>
          <t>dongtian_fudi</t>
        </is>
      </c>
      <c r="F34" s="2" t="inlineStr">
        <is>
          <t>洞天福地</t>
        </is>
      </c>
      <c r="G34" s="2" t="inlineStr">
        <is>
          <t>固定掉落</t>
        </is>
      </c>
      <c r="H34" s="5">
        <f>'任务掉落明细'!X34</f>
        <v>1</v>
      </c>
      <c r="I34" s="2" t="n">
        <v>1</v>
      </c>
      <c r="J34" s="2" t="inlineStr">
        <is>
          <t>mission_chest_dongtian_fudi</t>
        </is>
      </c>
      <c r="K34" s="2" t="inlineStr">
        <is>
          <t>个人任务</t>
        </is>
      </c>
      <c r="L34" s="2" t="inlineStr">
        <is>
          <t>挑战者庄园</t>
        </is>
      </c>
      <c r="M34" s="6">
        <f>'任务掉落明细'!Y34</f>
        <v>1</v>
      </c>
      <c r="N34" s="2" t="inlineStr">
        <is>
          <t>data/mission_templates.yaml:dongtian_fudi.drop_table.mission_chest_dongtian_fudi</t>
        </is>
      </c>
    </row>
    <row r="35">
      <c r="A35" s="2" t="inlineStr">
        <is>
          <t>silver</t>
        </is>
      </c>
      <c r="B35" s="2" t="inlineStr">
        <is>
          <t>银两</t>
        </is>
      </c>
      <c r="C35" s="2" t="inlineStr">
        <is>
          <t>资源</t>
        </is>
      </c>
      <c r="D35" s="2" t="inlineStr">
        <is>
          <t>资源</t>
        </is>
      </c>
      <c r="E35" s="2" t="inlineStr">
        <is>
          <t>jiufeng_feihuan</t>
        </is>
      </c>
      <c r="F35" s="2" t="inlineStr">
        <is>
          <t>九峰匪患</t>
        </is>
      </c>
      <c r="G35" s="2" t="inlineStr">
        <is>
          <t>固定掉落</t>
        </is>
      </c>
      <c r="H35" s="5">
        <f>'任务掉落明细'!X35</f>
        <v>1</v>
      </c>
      <c r="I35" s="2" t="n">
        <v>20000</v>
      </c>
      <c r="J35" s="2" t="inlineStr">
        <is>
          <t>silver</t>
        </is>
      </c>
      <c r="K35" s="2" t="inlineStr">
        <is>
          <t>个人任务</t>
        </is>
      </c>
      <c r="L35" s="2" t="inlineStr">
        <is>
          <t>挑战者庄园</t>
        </is>
      </c>
      <c r="M35" s="6">
        <f>'任务掉落明细'!Y35</f>
        <v>20000</v>
      </c>
      <c r="N35" s="2" t="inlineStr">
        <is>
          <t>data/mission_templates.yaml:jiufeng_feihuan.drop_table.silver</t>
        </is>
      </c>
    </row>
    <row r="36">
      <c r="A36" s="2" t="inlineStr">
        <is>
          <t>mission_chest_jiufeng_feihuan</t>
        </is>
      </c>
      <c r="B36" s="2" t="inlineStr">
        <is>
          <t>九峰匪患宝箱</t>
        </is>
      </c>
      <c r="C36" s="2" t="inlineStr">
        <is>
          <t>loot_box</t>
        </is>
      </c>
      <c r="D36" s="2" t="inlineStr">
        <is>
          <t>blue</t>
        </is>
      </c>
      <c r="E36" s="2" t="inlineStr">
        <is>
          <t>jiufeng_feihuan</t>
        </is>
      </c>
      <c r="F36" s="2" t="inlineStr">
        <is>
          <t>九峰匪患</t>
        </is>
      </c>
      <c r="G36" s="2" t="inlineStr">
        <is>
          <t>固定掉落</t>
        </is>
      </c>
      <c r="H36" s="5">
        <f>'任务掉落明细'!X36</f>
        <v>1</v>
      </c>
      <c r="I36" s="2" t="n">
        <v>1</v>
      </c>
      <c r="J36" s="2" t="inlineStr">
        <is>
          <t>mission_chest_jiufeng_feihuan</t>
        </is>
      </c>
      <c r="K36" s="2" t="inlineStr">
        <is>
          <t>个人任务</t>
        </is>
      </c>
      <c r="L36" s="2" t="inlineStr">
        <is>
          <t>挑战者庄园</t>
        </is>
      </c>
      <c r="M36" s="6">
        <f>'任务掉落明细'!Y36</f>
        <v>1</v>
      </c>
      <c r="N36" s="2" t="inlineStr">
        <is>
          <t>data/mission_templates.yaml:jiufeng_feihuan.drop_table.mission_chest_jiufeng_feihuan</t>
        </is>
      </c>
    </row>
    <row r="37">
      <c r="A37" s="2" t="inlineStr">
        <is>
          <t>mission_chest_taozi_fenban</t>
        </is>
      </c>
      <c r="B37" s="2" t="inlineStr">
        <is>
          <t>分桃宝箱</t>
        </is>
      </c>
      <c r="C37" s="2" t="inlineStr">
        <is>
          <t>loot_box</t>
        </is>
      </c>
      <c r="D37" s="2" t="inlineStr">
        <is>
          <t>green</t>
        </is>
      </c>
      <c r="E37" s="2" t="inlineStr">
        <is>
          <t>taozi_fenban</t>
        </is>
      </c>
      <c r="F37" s="2" t="inlineStr">
        <is>
          <t>我的桃子分你一半</t>
        </is>
      </c>
      <c r="G37" s="2" t="inlineStr">
        <is>
          <t>固定掉落</t>
        </is>
      </c>
      <c r="H37" s="5">
        <f>'任务掉落明细'!X37</f>
        <v>1</v>
      </c>
      <c r="I37" s="2" t="n">
        <v>1</v>
      </c>
      <c r="J37" s="2" t="inlineStr">
        <is>
          <t>mission_chest_taozi_fenban</t>
        </is>
      </c>
      <c r="K37" s="2" t="inlineStr">
        <is>
          <t>个人任务</t>
        </is>
      </c>
      <c r="L37" s="2" t="inlineStr">
        <is>
          <t>挑战者庄园</t>
        </is>
      </c>
      <c r="M37" s="6">
        <f>'任务掉落明细'!Y37</f>
        <v>1</v>
      </c>
      <c r="N37" s="2" t="inlineStr">
        <is>
          <t>data/mission_templates.yaml:taozi_fenban.drop_table.mission_chest_taozi_fenban</t>
        </is>
      </c>
    </row>
    <row r="38">
      <c r="A38" s="2" t="inlineStr">
        <is>
          <t>silver</t>
        </is>
      </c>
      <c r="B38" s="2" t="inlineStr">
        <is>
          <t>银两</t>
        </is>
      </c>
      <c r="C38" s="2" t="inlineStr">
        <is>
          <t>资源</t>
        </is>
      </c>
      <c r="D38" s="2" t="inlineStr">
        <is>
          <t>资源</t>
        </is>
      </c>
      <c r="E38" s="2" t="inlineStr">
        <is>
          <t>simian_chuge</t>
        </is>
      </c>
      <c r="F38" s="2" t="inlineStr">
        <is>
          <t>四面楚歌</t>
        </is>
      </c>
      <c r="G38" s="2" t="inlineStr">
        <is>
          <t>固定掉落</t>
        </is>
      </c>
      <c r="H38" s="5">
        <f>'任务掉落明细'!X38</f>
        <v>1</v>
      </c>
      <c r="I38" s="2" t="n">
        <v>50000</v>
      </c>
      <c r="J38" s="2" t="inlineStr">
        <is>
          <t>silver</t>
        </is>
      </c>
      <c r="K38" s="2" t="inlineStr">
        <is>
          <t>个人任务</t>
        </is>
      </c>
      <c r="L38" s="2" t="inlineStr">
        <is>
          <t>挑战者庄园</t>
        </is>
      </c>
      <c r="M38" s="6">
        <f>'任务掉落明细'!Y38</f>
        <v>50000</v>
      </c>
      <c r="N38" s="2" t="inlineStr">
        <is>
          <t>data/mission_templates.yaml:simian_chuge.drop_table.silver</t>
        </is>
      </c>
    </row>
    <row r="39">
      <c r="A39" s="2" t="inlineStr">
        <is>
          <t>mission_chest_simian_chuge</t>
        </is>
      </c>
      <c r="B39" s="2" t="inlineStr">
        <is>
          <t>四面楚歌宝箱</t>
        </is>
      </c>
      <c r="C39" s="2" t="inlineStr">
        <is>
          <t>loot_box</t>
        </is>
      </c>
      <c r="D39" s="2" t="inlineStr">
        <is>
          <t>purple</t>
        </is>
      </c>
      <c r="E39" s="2" t="inlineStr">
        <is>
          <t>simian_chuge</t>
        </is>
      </c>
      <c r="F39" s="2" t="inlineStr">
        <is>
          <t>四面楚歌</t>
        </is>
      </c>
      <c r="G39" s="2" t="inlineStr">
        <is>
          <t>固定掉落</t>
        </is>
      </c>
      <c r="H39" s="5">
        <f>'任务掉落明细'!X39</f>
        <v>1</v>
      </c>
      <c r="I39" s="2" t="n">
        <v>1</v>
      </c>
      <c r="J39" s="2" t="inlineStr">
        <is>
          <t>mission_chest_simian_chuge</t>
        </is>
      </c>
      <c r="K39" s="2" t="inlineStr">
        <is>
          <t>个人任务</t>
        </is>
      </c>
      <c r="L39" s="2" t="inlineStr">
        <is>
          <t>挑战者庄园</t>
        </is>
      </c>
      <c r="M39" s="6">
        <f>'任务掉落明细'!Y39</f>
        <v>1</v>
      </c>
      <c r="N39" s="2" t="inlineStr">
        <is>
          <t>data/mission_templates.yaml:simian_chuge.drop_table.mission_chest_simian_chuge</t>
        </is>
      </c>
    </row>
    <row r="40">
      <c r="A40" s="2" t="inlineStr">
        <is>
          <t>silver</t>
        </is>
      </c>
      <c r="B40" s="2" t="inlineStr">
        <is>
          <t>银两</t>
        </is>
      </c>
      <c r="C40" s="2" t="inlineStr">
        <is>
          <t>资源</t>
        </is>
      </c>
      <c r="D40" s="2" t="inlineStr">
        <is>
          <t>资源</t>
        </is>
      </c>
      <c r="E40" s="2" t="inlineStr">
        <is>
          <t>manzu_ruqin</t>
        </is>
      </c>
      <c r="F40" s="2" t="inlineStr">
        <is>
          <t>蛮族入侵</t>
        </is>
      </c>
      <c r="G40" s="2" t="inlineStr">
        <is>
          <t>固定掉落</t>
        </is>
      </c>
      <c r="H40" s="5">
        <f>'任务掉落明细'!X40</f>
        <v>1</v>
      </c>
      <c r="I40" s="2" t="n">
        <v>50000</v>
      </c>
      <c r="J40" s="2" t="inlineStr">
        <is>
          <t>silver</t>
        </is>
      </c>
      <c r="K40" s="2" t="inlineStr">
        <is>
          <t>个人任务</t>
        </is>
      </c>
      <c r="L40" s="2" t="inlineStr">
        <is>
          <t>挑战者庄园</t>
        </is>
      </c>
      <c r="M40" s="6">
        <f>'任务掉落明细'!Y40</f>
        <v>50000</v>
      </c>
      <c r="N40" s="2" t="inlineStr">
        <is>
          <t>data/mission_templates.yaml:manzu_ruqin.drop_table.silver</t>
        </is>
      </c>
    </row>
    <row r="41">
      <c r="A41" s="2" t="inlineStr">
        <is>
          <t>mission_chest_manzu_ruqin</t>
        </is>
      </c>
      <c r="B41" s="2" t="inlineStr">
        <is>
          <t>蛮族入侵宝箱</t>
        </is>
      </c>
      <c r="C41" s="2" t="inlineStr">
        <is>
          <t>loot_box</t>
        </is>
      </c>
      <c r="D41" s="2" t="inlineStr">
        <is>
          <t>purple</t>
        </is>
      </c>
      <c r="E41" s="2" t="inlineStr">
        <is>
          <t>manzu_ruqin</t>
        </is>
      </c>
      <c r="F41" s="2" t="inlineStr">
        <is>
          <t>蛮族入侵</t>
        </is>
      </c>
      <c r="G41" s="2" t="inlineStr">
        <is>
          <t>固定掉落</t>
        </is>
      </c>
      <c r="H41" s="5">
        <f>'任务掉落明细'!X41</f>
        <v>1</v>
      </c>
      <c r="I41" s="2" t="n">
        <v>1</v>
      </c>
      <c r="J41" s="2" t="inlineStr">
        <is>
          <t>mission_chest_manzu_ruqin</t>
        </is>
      </c>
      <c r="K41" s="2" t="inlineStr">
        <is>
          <t>个人任务</t>
        </is>
      </c>
      <c r="L41" s="2" t="inlineStr">
        <is>
          <t>挑战者庄园</t>
        </is>
      </c>
      <c r="M41" s="6">
        <f>'任务掉落明细'!Y41</f>
        <v>1</v>
      </c>
      <c r="N41" s="2" t="inlineStr">
        <is>
          <t>data/mission_templates.yaml:manzu_ruqin.drop_table.mission_chest_manzu_ruqin</t>
        </is>
      </c>
    </row>
    <row r="42">
      <c r="A42" s="2" t="inlineStr">
        <is>
          <t>silver</t>
        </is>
      </c>
      <c r="B42" s="2" t="inlineStr">
        <is>
          <t>银两</t>
        </is>
      </c>
      <c r="C42" s="2" t="inlineStr">
        <is>
          <t>资源</t>
        </is>
      </c>
      <c r="D42" s="2" t="inlineStr">
        <is>
          <t>资源</t>
        </is>
      </c>
      <c r="E42" s="2" t="inlineStr">
        <is>
          <t>zhuiji_manzu</t>
        </is>
      </c>
      <c r="F42" s="2" t="inlineStr">
        <is>
          <t>追击蛮族</t>
        </is>
      </c>
      <c r="G42" s="2" t="inlineStr">
        <is>
          <t>固定掉落</t>
        </is>
      </c>
      <c r="H42" s="5">
        <f>'任务掉落明细'!X42</f>
        <v>1</v>
      </c>
      <c r="I42" s="2" t="n">
        <v>40000</v>
      </c>
      <c r="J42" s="2" t="inlineStr">
        <is>
          <t>silver</t>
        </is>
      </c>
      <c r="K42" s="2" t="inlineStr">
        <is>
          <t>个人任务</t>
        </is>
      </c>
      <c r="L42" s="2" t="inlineStr">
        <is>
          <t>挑战者庄园</t>
        </is>
      </c>
      <c r="M42" s="6">
        <f>'任务掉落明细'!Y42</f>
        <v>40000</v>
      </c>
      <c r="N42" s="2" t="inlineStr">
        <is>
          <t>data/mission_templates.yaml:zhuiji_manzu.drop_table.silver</t>
        </is>
      </c>
    </row>
    <row r="43">
      <c r="A43" s="2" t="inlineStr">
        <is>
          <t>mission_chest_zhuiji_manzu</t>
        </is>
      </c>
      <c r="B43" s="2" t="inlineStr">
        <is>
          <t>追击蛮族宝箱</t>
        </is>
      </c>
      <c r="C43" s="2" t="inlineStr">
        <is>
          <t>loot_box</t>
        </is>
      </c>
      <c r="D43" s="2" t="inlineStr">
        <is>
          <t>purple</t>
        </is>
      </c>
      <c r="E43" s="2" t="inlineStr">
        <is>
          <t>zhuiji_manzu</t>
        </is>
      </c>
      <c r="F43" s="2" t="inlineStr">
        <is>
          <t>追击蛮族</t>
        </is>
      </c>
      <c r="G43" s="2" t="inlineStr">
        <is>
          <t>固定掉落</t>
        </is>
      </c>
      <c r="H43" s="5">
        <f>'任务掉落明细'!X43</f>
        <v>1</v>
      </c>
      <c r="I43" s="2" t="n">
        <v>1</v>
      </c>
      <c r="J43" s="2" t="inlineStr">
        <is>
          <t>mission_chest_zhuiji_manzu</t>
        </is>
      </c>
      <c r="K43" s="2" t="inlineStr">
        <is>
          <t>个人任务</t>
        </is>
      </c>
      <c r="L43" s="2" t="inlineStr">
        <is>
          <t>挑战者庄园</t>
        </is>
      </c>
      <c r="M43" s="6">
        <f>'任务掉落明细'!Y43</f>
        <v>1</v>
      </c>
      <c r="N43" s="2" t="inlineStr">
        <is>
          <t>data/mission_templates.yaml:zhuiji_manzu.drop_table.mission_chest_zhuiji_manzu</t>
        </is>
      </c>
    </row>
    <row r="44">
      <c r="A44" s="2" t="inlineStr">
        <is>
          <t>silver</t>
        </is>
      </c>
      <c r="B44" s="2" t="inlineStr">
        <is>
          <t>银两</t>
        </is>
      </c>
      <c r="C44" s="2" t="inlineStr">
        <is>
          <t>资源</t>
        </is>
      </c>
      <c r="D44" s="2" t="inlineStr">
        <is>
          <t>资源</t>
        </is>
      </c>
      <c r="E44" s="2" t="inlineStr">
        <is>
          <t>liangshanbo_zhuyingtai</t>
        </is>
      </c>
      <c r="F44" s="2" t="inlineStr">
        <is>
          <t>梁山伯与祝英台</t>
        </is>
      </c>
      <c r="G44" s="2" t="inlineStr">
        <is>
          <t>固定掉落</t>
        </is>
      </c>
      <c r="H44" s="5">
        <f>'任务掉落明细'!X44</f>
        <v>1</v>
      </c>
      <c r="I44" s="2" t="n">
        <v>10000</v>
      </c>
      <c r="J44" s="2" t="inlineStr">
        <is>
          <t>silver</t>
        </is>
      </c>
      <c r="K44" s="2" t="inlineStr">
        <is>
          <t>个人任务</t>
        </is>
      </c>
      <c r="L44" s="2" t="inlineStr">
        <is>
          <t>挑战者庄园</t>
        </is>
      </c>
      <c r="M44" s="6">
        <f>'任务掉落明细'!Y44</f>
        <v>10000</v>
      </c>
      <c r="N44" s="2" t="inlineStr">
        <is>
          <t>data/mission_templates.yaml:liangshanbo_zhuyingtai.drop_table.silver</t>
        </is>
      </c>
    </row>
    <row r="45">
      <c r="A45" s="2" t="inlineStr">
        <is>
          <t>mission_chest_liangshanbo_zhuyingtai</t>
        </is>
      </c>
      <c r="B45" s="2" t="inlineStr">
        <is>
          <t>梁山伯与祝英台宝箱</t>
        </is>
      </c>
      <c r="C45" s="2" t="inlineStr">
        <is>
          <t>loot_box</t>
        </is>
      </c>
      <c r="D45" s="2" t="inlineStr">
        <is>
          <t>blue</t>
        </is>
      </c>
      <c r="E45" s="2" t="inlineStr">
        <is>
          <t>liangshanbo_zhuyingtai</t>
        </is>
      </c>
      <c r="F45" s="2" t="inlineStr">
        <is>
          <t>梁山伯与祝英台</t>
        </is>
      </c>
      <c r="G45" s="2" t="inlineStr">
        <is>
          <t>固定掉落</t>
        </is>
      </c>
      <c r="H45" s="5">
        <f>'任务掉落明细'!X45</f>
        <v>1</v>
      </c>
      <c r="I45" s="2" t="n">
        <v>1</v>
      </c>
      <c r="J45" s="2" t="inlineStr">
        <is>
          <t>mission_chest_liangshanbo_zhuyingtai</t>
        </is>
      </c>
      <c r="K45" s="2" t="inlineStr">
        <is>
          <t>个人任务</t>
        </is>
      </c>
      <c r="L45" s="2" t="inlineStr">
        <is>
          <t>挑战者庄园</t>
        </is>
      </c>
      <c r="M45" s="6">
        <f>'任务掉落明细'!Y45</f>
        <v>1</v>
      </c>
      <c r="N45" s="2" t="inlineStr">
        <is>
          <t>data/mission_templates.yaml:liangshanbo_zhuyingtai.drop_table.mission_chest_liangshanbo_zhuyingtai</t>
        </is>
      </c>
    </row>
    <row r="46">
      <c r="A46" s="2" t="inlineStr">
        <is>
          <t>silver</t>
        </is>
      </c>
      <c r="B46" s="2" t="inlineStr">
        <is>
          <t>银两</t>
        </is>
      </c>
      <c r="C46" s="2" t="inlineStr">
        <is>
          <t>资源</t>
        </is>
      </c>
      <c r="D46" s="2" t="inlineStr">
        <is>
          <t>资源</t>
        </is>
      </c>
      <c r="E46" s="2" t="inlineStr">
        <is>
          <t>biyou_candeng</t>
        </is>
      </c>
      <c r="F46" s="2" t="inlineStr">
        <is>
          <t>封神之战：碧游残灯</t>
        </is>
      </c>
      <c r="G46" s="2" t="inlineStr">
        <is>
          <t>固定掉落</t>
        </is>
      </c>
      <c r="H46" s="5">
        <f>'任务掉落明细'!X46</f>
        <v>1</v>
      </c>
      <c r="I46" s="2" t="n">
        <v>60000</v>
      </c>
      <c r="J46" s="2" t="inlineStr">
        <is>
          <t>silver</t>
        </is>
      </c>
      <c r="K46" s="2" t="inlineStr">
        <is>
          <t>个人任务</t>
        </is>
      </c>
      <c r="L46" s="2" t="inlineStr">
        <is>
          <t>挑战者庄园</t>
        </is>
      </c>
      <c r="M46" s="6">
        <f>'任务掉落明细'!Y46</f>
        <v>60000</v>
      </c>
      <c r="N46" s="2" t="inlineStr">
        <is>
          <t>data/mission_templates.yaml:biyou_candeng.drop_table.silver</t>
        </is>
      </c>
    </row>
    <row r="47">
      <c r="A47" s="2" t="inlineStr">
        <is>
          <t>mission_chest_biyou_candeng</t>
        </is>
      </c>
      <c r="B47" s="2" t="inlineStr">
        <is>
          <t>碧游残灯宝箱</t>
        </is>
      </c>
      <c r="C47" s="2" t="inlineStr">
        <is>
          <t>loot_box</t>
        </is>
      </c>
      <c r="D47" s="2" t="inlineStr">
        <is>
          <t>purple</t>
        </is>
      </c>
      <c r="E47" s="2" t="inlineStr">
        <is>
          <t>biyou_candeng</t>
        </is>
      </c>
      <c r="F47" s="2" t="inlineStr">
        <is>
          <t>封神之战：碧游残灯</t>
        </is>
      </c>
      <c r="G47" s="2" t="inlineStr">
        <is>
          <t>固定掉落</t>
        </is>
      </c>
      <c r="H47" s="5">
        <f>'任务掉落明细'!X47</f>
        <v>1</v>
      </c>
      <c r="I47" s="2" t="n">
        <v>1</v>
      </c>
      <c r="J47" s="2" t="inlineStr">
        <is>
          <t>mission_chest_biyou_candeng</t>
        </is>
      </c>
      <c r="K47" s="2" t="inlineStr">
        <is>
          <t>个人任务</t>
        </is>
      </c>
      <c r="L47" s="2" t="inlineStr">
        <is>
          <t>挑战者庄园</t>
        </is>
      </c>
      <c r="M47" s="6">
        <f>'任务掉落明细'!Y47</f>
        <v>1</v>
      </c>
      <c r="N47" s="2" t="inlineStr">
        <is>
          <t>data/mission_templates.yaml:biyou_candeng.drop_table.mission_chest_biyou_candeng</t>
        </is>
      </c>
    </row>
    <row r="48">
      <c r="A48" s="2" t="inlineStr">
        <is>
          <t>silver</t>
        </is>
      </c>
      <c r="B48" s="2" t="inlineStr">
        <is>
          <t>银两</t>
        </is>
      </c>
      <c r="C48" s="2" t="inlineStr">
        <is>
          <t>资源</t>
        </is>
      </c>
      <c r="D48" s="2" t="inlineStr">
        <is>
          <t>资源</t>
        </is>
      </c>
      <c r="E48" s="2" t="inlineStr">
        <is>
          <t>shier_xianyin</t>
        </is>
      </c>
      <c r="F48" s="2" t="inlineStr">
        <is>
          <t>封神之战：十二仙印</t>
        </is>
      </c>
      <c r="G48" s="2" t="inlineStr">
        <is>
          <t>固定掉落</t>
        </is>
      </c>
      <c r="H48" s="5">
        <f>'任务掉落明细'!X48</f>
        <v>1</v>
      </c>
      <c r="I48" s="2" t="n">
        <v>80000</v>
      </c>
      <c r="J48" s="2" t="inlineStr">
        <is>
          <t>silver</t>
        </is>
      </c>
      <c r="K48" s="2" t="inlineStr">
        <is>
          <t>个人任务</t>
        </is>
      </c>
      <c r="L48" s="2" t="inlineStr">
        <is>
          <t>挑战者庄园</t>
        </is>
      </c>
      <c r="M48" s="6">
        <f>'任务掉落明细'!Y48</f>
        <v>80000</v>
      </c>
      <c r="N48" s="2" t="inlineStr">
        <is>
          <t>data/mission_templates.yaml:shier_xianyin.drop_table.silver</t>
        </is>
      </c>
    </row>
    <row r="49">
      <c r="A49" s="2" t="inlineStr">
        <is>
          <t>mission_chest_shier_xianyin</t>
        </is>
      </c>
      <c r="B49" s="2" t="inlineStr">
        <is>
          <t>十二仙印宝箱</t>
        </is>
      </c>
      <c r="C49" s="2" t="inlineStr">
        <is>
          <t>loot_box</t>
        </is>
      </c>
      <c r="D49" s="2" t="inlineStr">
        <is>
          <t>purple</t>
        </is>
      </c>
      <c r="E49" s="2" t="inlineStr">
        <is>
          <t>shier_xianyin</t>
        </is>
      </c>
      <c r="F49" s="2" t="inlineStr">
        <is>
          <t>封神之战：十二仙印</t>
        </is>
      </c>
      <c r="G49" s="2" t="inlineStr">
        <is>
          <t>固定掉落</t>
        </is>
      </c>
      <c r="H49" s="5">
        <f>'任务掉落明细'!X49</f>
        <v>1</v>
      </c>
      <c r="I49" s="2" t="n">
        <v>1</v>
      </c>
      <c r="J49" s="2" t="inlineStr">
        <is>
          <t>mission_chest_shier_xianyin</t>
        </is>
      </c>
      <c r="K49" s="2" t="inlineStr">
        <is>
          <t>个人任务</t>
        </is>
      </c>
      <c r="L49" s="2" t="inlineStr">
        <is>
          <t>挑战者庄园</t>
        </is>
      </c>
      <c r="M49" s="6">
        <f>'任务掉落明细'!Y49</f>
        <v>1</v>
      </c>
      <c r="N49" s="2" t="inlineStr">
        <is>
          <t>data/mission_templates.yaml:shier_xianyin.drop_table.mission_chest_shier_xianyin</t>
        </is>
      </c>
    </row>
    <row r="50">
      <c r="A50" s="2" t="inlineStr">
        <is>
          <t>silver</t>
        </is>
      </c>
      <c r="B50" s="2" t="inlineStr">
        <is>
          <t>银两</t>
        </is>
      </c>
      <c r="C50" s="2" t="inlineStr">
        <is>
          <t>资源</t>
        </is>
      </c>
      <c r="D50" s="2" t="inlineStr">
        <is>
          <t>资源</t>
        </is>
      </c>
      <c r="E50" s="2" t="inlineStr">
        <is>
          <t>fengbang_tianmen</t>
        </is>
      </c>
      <c r="F50" s="2" t="inlineStr">
        <is>
          <t>封神之战：封榜天门</t>
        </is>
      </c>
      <c r="G50" s="2" t="inlineStr">
        <is>
          <t>固定掉落</t>
        </is>
      </c>
      <c r="H50" s="5">
        <f>'任务掉落明细'!X50</f>
        <v>1</v>
      </c>
      <c r="I50" s="2" t="n">
        <v>100000</v>
      </c>
      <c r="J50" s="2" t="inlineStr">
        <is>
          <t>silver</t>
        </is>
      </c>
      <c r="K50" s="2" t="inlineStr">
        <is>
          <t>个人任务</t>
        </is>
      </c>
      <c r="L50" s="2" t="inlineStr">
        <is>
          <t>挑战者庄园</t>
        </is>
      </c>
      <c r="M50" s="6">
        <f>'任务掉落明细'!Y50</f>
        <v>100000</v>
      </c>
      <c r="N50" s="2" t="inlineStr">
        <is>
          <t>data/mission_templates.yaml:fengbang_tianmen.drop_table.silver</t>
        </is>
      </c>
    </row>
    <row r="51">
      <c r="A51" s="2" t="inlineStr">
        <is>
          <t>mission_chest_fengbang_tianmen</t>
        </is>
      </c>
      <c r="B51" s="2" t="inlineStr">
        <is>
          <t>封榜天门宝箱</t>
        </is>
      </c>
      <c r="C51" s="2" t="inlineStr">
        <is>
          <t>loot_box</t>
        </is>
      </c>
      <c r="D51" s="2" t="inlineStr">
        <is>
          <t>purple</t>
        </is>
      </c>
      <c r="E51" s="2" t="inlineStr">
        <is>
          <t>fengbang_tianmen</t>
        </is>
      </c>
      <c r="F51" s="2" t="inlineStr">
        <is>
          <t>封神之战：封榜天门</t>
        </is>
      </c>
      <c r="G51" s="2" t="inlineStr">
        <is>
          <t>固定掉落</t>
        </is>
      </c>
      <c r="H51" s="5">
        <f>'任务掉落明细'!X51</f>
        <v>1</v>
      </c>
      <c r="I51" s="2" t="n">
        <v>1</v>
      </c>
      <c r="J51" s="2" t="inlineStr">
        <is>
          <t>mission_chest_fengbang_tianmen</t>
        </is>
      </c>
      <c r="K51" s="2" t="inlineStr">
        <is>
          <t>个人任务</t>
        </is>
      </c>
      <c r="L51" s="2" t="inlineStr">
        <is>
          <t>挑战者庄园</t>
        </is>
      </c>
      <c r="M51" s="6">
        <f>'任务掉落明细'!Y51</f>
        <v>1</v>
      </c>
      <c r="N51" s="2" t="inlineStr">
        <is>
          <t>data/mission_templates.yaml:fengbang_tianmen.drop_table.mission_chest_fengbang_tianmen</t>
        </is>
      </c>
    </row>
    <row r="52">
      <c r="A52" s="2" t="inlineStr">
        <is>
          <t>silver</t>
        </is>
      </c>
      <c r="B52" s="2" t="inlineStr">
        <is>
          <t>银两</t>
        </is>
      </c>
      <c r="C52" s="2" t="inlineStr">
        <is>
          <t>资源</t>
        </is>
      </c>
      <c r="D52" s="2" t="inlineStr">
        <is>
          <t>资源</t>
        </is>
      </c>
      <c r="E52" s="2" t="inlineStr">
        <is>
          <t>zhuolu_zhongyuan</t>
        </is>
      </c>
      <c r="F52" s="2" t="inlineStr">
        <is>
          <t>逐鹿中原</t>
        </is>
      </c>
      <c r="G52" s="2" t="inlineStr">
        <is>
          <t>固定掉落</t>
        </is>
      </c>
      <c r="H52" s="5">
        <f>'任务掉落明细'!X52</f>
        <v>1</v>
      </c>
      <c r="I52" s="2" t="n">
        <v>100000</v>
      </c>
      <c r="J52" s="2" t="inlineStr">
        <is>
          <t>silver</t>
        </is>
      </c>
      <c r="K52" s="2" t="inlineStr">
        <is>
          <t>个人任务</t>
        </is>
      </c>
      <c r="L52" s="2" t="inlineStr">
        <is>
          <t>挑战者庄园</t>
        </is>
      </c>
      <c r="M52" s="6">
        <f>'任务掉落明细'!Y52</f>
        <v>100000</v>
      </c>
      <c r="N52" s="2" t="inlineStr">
        <is>
          <t>data/mission_templates.yaml:zhuolu_zhongyuan.drop_table.silver</t>
        </is>
      </c>
    </row>
    <row r="53">
      <c r="A53" s="2" t="inlineStr">
        <is>
          <t>mission_chest_zhuolu_zhongyuan</t>
        </is>
      </c>
      <c r="B53" s="2" t="inlineStr">
        <is>
          <t>逐鹿中原宝箱</t>
        </is>
      </c>
      <c r="C53" s="2" t="inlineStr">
        <is>
          <t>loot_box</t>
        </is>
      </c>
      <c r="D53" s="2" t="inlineStr">
        <is>
          <t>purple</t>
        </is>
      </c>
      <c r="E53" s="2" t="inlineStr">
        <is>
          <t>zhuolu_zhongyuan</t>
        </is>
      </c>
      <c r="F53" s="2" t="inlineStr">
        <is>
          <t>逐鹿中原</t>
        </is>
      </c>
      <c r="G53" s="2" t="inlineStr">
        <is>
          <t>固定掉落</t>
        </is>
      </c>
      <c r="H53" s="5">
        <f>'任务掉落明细'!X53</f>
        <v>1</v>
      </c>
      <c r="I53" s="2" t="n">
        <v>1</v>
      </c>
      <c r="J53" s="2" t="inlineStr">
        <is>
          <t>mission_chest_zhuolu_zhongyuan</t>
        </is>
      </c>
      <c r="K53" s="2" t="inlineStr">
        <is>
          <t>个人任务</t>
        </is>
      </c>
      <c r="L53" s="2" t="inlineStr">
        <is>
          <t>挑战者庄园</t>
        </is>
      </c>
      <c r="M53" s="6">
        <f>'任务掉落明细'!Y53</f>
        <v>1</v>
      </c>
      <c r="N53" s="2" t="inlineStr">
        <is>
          <t>data/mission_templates.yaml:zhuolu_zhongyuan.drop_table.mission_chest_zhuolu_zhongyuan</t>
        </is>
      </c>
    </row>
    <row r="54">
      <c r="A54" s="2" t="inlineStr">
        <is>
          <t>silver</t>
        </is>
      </c>
      <c r="B54" s="2" t="inlineStr">
        <is>
          <t>银两</t>
        </is>
      </c>
      <c r="C54" s="2" t="inlineStr">
        <is>
          <t>资源</t>
        </is>
      </c>
      <c r="D54" s="2" t="inlineStr">
        <is>
          <t>资源</t>
        </is>
      </c>
      <c r="E54" s="2" t="inlineStr">
        <is>
          <t>guandu_zhizhan</t>
        </is>
      </c>
      <c r="F54" s="2" t="inlineStr">
        <is>
          <t>官渡之战</t>
        </is>
      </c>
      <c r="G54" s="2" t="inlineStr">
        <is>
          <t>固定掉落</t>
        </is>
      </c>
      <c r="H54" s="5">
        <f>'任务掉落明细'!X54</f>
        <v>1</v>
      </c>
      <c r="I54" s="2" t="n">
        <v>120000</v>
      </c>
      <c r="J54" s="2" t="inlineStr">
        <is>
          <t>silver</t>
        </is>
      </c>
      <c r="K54" s="2" t="inlineStr">
        <is>
          <t>个人任务</t>
        </is>
      </c>
      <c r="L54" s="2" t="inlineStr">
        <is>
          <t>挑战者庄园</t>
        </is>
      </c>
      <c r="M54" s="6">
        <f>'任务掉落明细'!Y54</f>
        <v>120000</v>
      </c>
      <c r="N54" s="2" t="inlineStr">
        <is>
          <t>data/mission_templates.yaml:guandu_zhizhan.drop_table.silver</t>
        </is>
      </c>
    </row>
    <row r="55">
      <c r="A55" s="2" t="inlineStr">
        <is>
          <t>mission_chest_guandu_zhizhan</t>
        </is>
      </c>
      <c r="B55" s="2" t="inlineStr">
        <is>
          <t>官渡之战宝箱</t>
        </is>
      </c>
      <c r="C55" s="2" t="inlineStr">
        <is>
          <t>loot_box</t>
        </is>
      </c>
      <c r="D55" s="2" t="inlineStr">
        <is>
          <t>purple</t>
        </is>
      </c>
      <c r="E55" s="2" t="inlineStr">
        <is>
          <t>guandu_zhizhan</t>
        </is>
      </c>
      <c r="F55" s="2" t="inlineStr">
        <is>
          <t>官渡之战</t>
        </is>
      </c>
      <c r="G55" s="2" t="inlineStr">
        <is>
          <t>固定掉落</t>
        </is>
      </c>
      <c r="H55" s="5">
        <f>'任务掉落明细'!X55</f>
        <v>1</v>
      </c>
      <c r="I55" s="2" t="n">
        <v>1</v>
      </c>
      <c r="J55" s="2" t="inlineStr">
        <is>
          <t>mission_chest_guandu_zhizhan</t>
        </is>
      </c>
      <c r="K55" s="2" t="inlineStr">
        <is>
          <t>个人任务</t>
        </is>
      </c>
      <c r="L55" s="2" t="inlineStr">
        <is>
          <t>挑战者庄园</t>
        </is>
      </c>
      <c r="M55" s="6">
        <f>'任务掉落明细'!Y55</f>
        <v>1</v>
      </c>
      <c r="N55" s="2" t="inlineStr">
        <is>
          <t>data/mission_templates.yaml:guandu_zhizhan.drop_table.mission_chest_guandu_zhizhan</t>
        </is>
      </c>
    </row>
    <row r="56">
      <c r="A56" s="2" t="inlineStr">
        <is>
          <t>silver</t>
        </is>
      </c>
      <c r="B56" s="2" t="inlineStr">
        <is>
          <t>银两</t>
        </is>
      </c>
      <c r="C56" s="2" t="inlineStr">
        <is>
          <t>资源</t>
        </is>
      </c>
      <c r="D56" s="2" t="inlineStr">
        <is>
          <t>资源</t>
        </is>
      </c>
      <c r="E56" s="2" t="inlineStr">
        <is>
          <t>huashan_lunjian_advanced</t>
        </is>
      </c>
      <c r="F56" s="2" t="inlineStr">
        <is>
          <t>华山论剑</t>
        </is>
      </c>
      <c r="G56" s="2" t="inlineStr">
        <is>
          <t>固定掉落</t>
        </is>
      </c>
      <c r="H56" s="5">
        <f>'任务掉落明细'!X56</f>
        <v>1</v>
      </c>
      <c r="I56" s="2" t="n">
        <v>120000</v>
      </c>
      <c r="J56" s="2" t="inlineStr">
        <is>
          <t>silver</t>
        </is>
      </c>
      <c r="K56" s="2" t="inlineStr">
        <is>
          <t>个人任务</t>
        </is>
      </c>
      <c r="L56" s="2" t="inlineStr">
        <is>
          <t>挑战者庄园</t>
        </is>
      </c>
      <c r="M56" s="6">
        <f>'任务掉落明细'!Y56</f>
        <v>120000</v>
      </c>
      <c r="N56" s="2" t="inlineStr">
        <is>
          <t>data/mission_templates.yaml:huashan_lunjian_advanced.drop_table.silver</t>
        </is>
      </c>
    </row>
    <row r="57">
      <c r="A57" s="2" t="inlineStr">
        <is>
          <t>mission_chest_huashan_lunjian_advanced</t>
        </is>
      </c>
      <c r="B57" s="2" t="inlineStr">
        <is>
          <t>华山论剑宝箱</t>
        </is>
      </c>
      <c r="C57" s="2" t="inlineStr">
        <is>
          <t>loot_box</t>
        </is>
      </c>
      <c r="D57" s="2" t="inlineStr">
        <is>
          <t>purple</t>
        </is>
      </c>
      <c r="E57" s="2" t="inlineStr">
        <is>
          <t>huashan_lunjian_advanced</t>
        </is>
      </c>
      <c r="F57" s="2" t="inlineStr">
        <is>
          <t>华山论剑</t>
        </is>
      </c>
      <c r="G57" s="2" t="inlineStr">
        <is>
          <t>固定掉落</t>
        </is>
      </c>
      <c r="H57" s="5">
        <f>'任务掉落明细'!X57</f>
        <v>1</v>
      </c>
      <c r="I57" s="2" t="n">
        <v>1</v>
      </c>
      <c r="J57" s="2" t="inlineStr">
        <is>
          <t>mission_chest_huashan_lunjian_advanced</t>
        </is>
      </c>
      <c r="K57" s="2" t="inlineStr">
        <is>
          <t>个人任务</t>
        </is>
      </c>
      <c r="L57" s="2" t="inlineStr">
        <is>
          <t>挑战者庄园</t>
        </is>
      </c>
      <c r="M57" s="6">
        <f>'任务掉落明细'!Y57</f>
        <v>1</v>
      </c>
      <c r="N57" s="2" t="inlineStr">
        <is>
          <t>data/mission_templates.yaml:huashan_lunjian_advanced.drop_table.mission_chest_huashan_lunjian_advanced</t>
        </is>
      </c>
    </row>
    <row r="58">
      <c r="A58" s="2" t="inlineStr">
        <is>
          <t>silver</t>
        </is>
      </c>
      <c r="B58" s="2" t="inlineStr">
        <is>
          <t>银两</t>
        </is>
      </c>
      <c r="C58" s="2" t="inlineStr">
        <is>
          <t>资源</t>
        </is>
      </c>
      <c r="D58" s="2" t="inlineStr">
        <is>
          <t>资源</t>
        </is>
      </c>
      <c r="E58" s="2" t="inlineStr">
        <is>
          <t>sishui_huaxiong_chengwei</t>
        </is>
      </c>
      <c r="F58" s="2" t="inlineStr">
        <is>
          <t>飞将浮沉录：汜水关华雄逞威</t>
        </is>
      </c>
      <c r="G58" s="2" t="inlineStr">
        <is>
          <t>固定掉落</t>
        </is>
      </c>
      <c r="H58" s="5">
        <f>'任务掉落明细'!X58</f>
        <v>1</v>
      </c>
      <c r="I58" s="2" t="n">
        <v>90000</v>
      </c>
      <c r="J58" s="2" t="inlineStr">
        <is>
          <t>silver</t>
        </is>
      </c>
      <c r="K58" s="2" t="inlineStr">
        <is>
          <t>个人任务</t>
        </is>
      </c>
      <c r="L58" s="2" t="inlineStr">
        <is>
          <t>挑战者庄园</t>
        </is>
      </c>
      <c r="M58" s="6">
        <f>'任务掉落明细'!Y58</f>
        <v>90000</v>
      </c>
      <c r="N58" s="2" t="inlineStr">
        <is>
          <t>data/mission_templates.yaml:sishui_huaxiong_chengwei.drop_table.silver</t>
        </is>
      </c>
    </row>
    <row r="59">
      <c r="A59" s="2" t="inlineStr">
        <is>
          <t>mission_chest_sishui_huaxiong_chengwei</t>
        </is>
      </c>
      <c r="B59" s="2" t="inlineStr">
        <is>
          <t>汜水关宝箱</t>
        </is>
      </c>
      <c r="C59" s="2" t="inlineStr">
        <is>
          <t>loot_box</t>
        </is>
      </c>
      <c r="D59" s="2" t="inlineStr">
        <is>
          <t>purple</t>
        </is>
      </c>
      <c r="E59" s="2" t="inlineStr">
        <is>
          <t>sishui_huaxiong_chengwei</t>
        </is>
      </c>
      <c r="F59" s="2" t="inlineStr">
        <is>
          <t>飞将浮沉录：汜水关华雄逞威</t>
        </is>
      </c>
      <c r="G59" s="2" t="inlineStr">
        <is>
          <t>固定掉落</t>
        </is>
      </c>
      <c r="H59" s="5">
        <f>'任务掉落明细'!X59</f>
        <v>1</v>
      </c>
      <c r="I59" s="2" t="n">
        <v>1</v>
      </c>
      <c r="J59" s="2" t="inlineStr">
        <is>
          <t>mission_chest_sishui_huaxiong_chengwei</t>
        </is>
      </c>
      <c r="K59" s="2" t="inlineStr">
        <is>
          <t>个人任务</t>
        </is>
      </c>
      <c r="L59" s="2" t="inlineStr">
        <is>
          <t>挑战者庄园</t>
        </is>
      </c>
      <c r="M59" s="6">
        <f>'任务掉落明细'!Y59</f>
        <v>1</v>
      </c>
      <c r="N59" s="2" t="inlineStr">
        <is>
          <t>data/mission_templates.yaml:sishui_huaxiong_chengwei.drop_table.mission_chest_sishui_huaxiong_chengwei</t>
        </is>
      </c>
    </row>
    <row r="60">
      <c r="A60" s="2" t="inlineStr">
        <is>
          <t>silver</t>
        </is>
      </c>
      <c r="B60" s="2" t="inlineStr">
        <is>
          <t>银两</t>
        </is>
      </c>
      <c r="C60" s="2" t="inlineStr">
        <is>
          <t>资源</t>
        </is>
      </c>
      <c r="D60" s="2" t="inlineStr">
        <is>
          <t>资源</t>
        </is>
      </c>
      <c r="E60" s="2" t="inlineStr">
        <is>
          <t>hulao_qunying_zhan_lvbu</t>
        </is>
      </c>
      <c r="F60" s="2" t="inlineStr">
        <is>
          <t>飞将浮沉录：虎牢关群英战吕布</t>
        </is>
      </c>
      <c r="G60" s="2" t="inlineStr">
        <is>
          <t>固定掉落</t>
        </is>
      </c>
      <c r="H60" s="5">
        <f>'任务掉落明细'!X60</f>
        <v>1</v>
      </c>
      <c r="I60" s="2" t="n">
        <v>110000</v>
      </c>
      <c r="J60" s="2" t="inlineStr">
        <is>
          <t>silver</t>
        </is>
      </c>
      <c r="K60" s="2" t="inlineStr">
        <is>
          <t>个人任务</t>
        </is>
      </c>
      <c r="L60" s="2" t="inlineStr">
        <is>
          <t>挑战者庄园</t>
        </is>
      </c>
      <c r="M60" s="6">
        <f>'任务掉落明细'!Y60</f>
        <v>110000</v>
      </c>
      <c r="N60" s="2" t="inlineStr">
        <is>
          <t>data/mission_templates.yaml:hulao_qunying_zhan_lvbu.drop_table.silver</t>
        </is>
      </c>
    </row>
    <row r="61">
      <c r="A61" s="2" t="inlineStr">
        <is>
          <t>mission_chest_hulao_qunying_zhan_lvbu</t>
        </is>
      </c>
      <c r="B61" s="2" t="inlineStr">
        <is>
          <t>虎牢关宝箱</t>
        </is>
      </c>
      <c r="C61" s="2" t="inlineStr">
        <is>
          <t>loot_box</t>
        </is>
      </c>
      <c r="D61" s="2" t="inlineStr">
        <is>
          <t>purple</t>
        </is>
      </c>
      <c r="E61" s="2" t="inlineStr">
        <is>
          <t>hulao_qunying_zhan_lvbu</t>
        </is>
      </c>
      <c r="F61" s="2" t="inlineStr">
        <is>
          <t>飞将浮沉录：虎牢关群英战吕布</t>
        </is>
      </c>
      <c r="G61" s="2" t="inlineStr">
        <is>
          <t>固定掉落</t>
        </is>
      </c>
      <c r="H61" s="5">
        <f>'任务掉落明细'!X61</f>
        <v>1</v>
      </c>
      <c r="I61" s="2" t="n">
        <v>1</v>
      </c>
      <c r="J61" s="2" t="inlineStr">
        <is>
          <t>mission_chest_hulao_qunying_zhan_lvbu</t>
        </is>
      </c>
      <c r="K61" s="2" t="inlineStr">
        <is>
          <t>个人任务</t>
        </is>
      </c>
      <c r="L61" s="2" t="inlineStr">
        <is>
          <t>挑战者庄园</t>
        </is>
      </c>
      <c r="M61" s="6">
        <f>'任务掉落明细'!Y61</f>
        <v>1</v>
      </c>
      <c r="N61" s="2" t="inlineStr">
        <is>
          <t>data/mission_templates.yaml:hulao_qunying_zhan_lvbu.drop_table.mission_chest_hulao_qunying_zhan_lvbu</t>
        </is>
      </c>
    </row>
    <row r="62">
      <c r="A62" s="2" t="inlineStr">
        <is>
          <t>silver</t>
        </is>
      </c>
      <c r="B62" s="2" t="inlineStr">
        <is>
          <t>银两</t>
        </is>
      </c>
      <c r="C62" s="2" t="inlineStr">
        <is>
          <t>资源</t>
        </is>
      </c>
      <c r="D62" s="2" t="inlineStr">
        <is>
          <t>资源</t>
        </is>
      </c>
      <c r="E62" s="2" t="inlineStr">
        <is>
          <t>baimenlou_mingyun_jueze</t>
        </is>
      </c>
      <c r="F62" s="2" t="inlineStr">
        <is>
          <t>飞将浮沉录：白门楼命运抉择</t>
        </is>
      </c>
      <c r="G62" s="2" t="inlineStr">
        <is>
          <t>固定掉落</t>
        </is>
      </c>
      <c r="H62" s="5">
        <f>'任务掉落明细'!X62</f>
        <v>1</v>
      </c>
      <c r="I62" s="2" t="n">
        <v>180000</v>
      </c>
      <c r="J62" s="2" t="inlineStr">
        <is>
          <t>silver</t>
        </is>
      </c>
      <c r="K62" s="2" t="inlineStr">
        <is>
          <t>个人任务</t>
        </is>
      </c>
      <c r="L62" s="2" t="inlineStr">
        <is>
          <t>挑战者庄园</t>
        </is>
      </c>
      <c r="M62" s="6">
        <f>'任务掉落明细'!Y62</f>
        <v>180000</v>
      </c>
      <c r="N62" s="2" t="inlineStr">
        <is>
          <t>data/mission_templates.yaml:baimenlou_mingyun_jueze.drop_table.silver</t>
        </is>
      </c>
    </row>
    <row r="63">
      <c r="A63" s="2" t="inlineStr">
        <is>
          <t>mission_chest_baimenlou_mingyun_jueze</t>
        </is>
      </c>
      <c r="B63" s="2" t="inlineStr">
        <is>
          <t>白门楼宝箱</t>
        </is>
      </c>
      <c r="C63" s="2" t="inlineStr">
        <is>
          <t>loot_box</t>
        </is>
      </c>
      <c r="D63" s="2" t="inlineStr">
        <is>
          <t>purple</t>
        </is>
      </c>
      <c r="E63" s="2" t="inlineStr">
        <is>
          <t>baimenlou_mingyun_jueze</t>
        </is>
      </c>
      <c r="F63" s="2" t="inlineStr">
        <is>
          <t>飞将浮沉录：白门楼命运抉择</t>
        </is>
      </c>
      <c r="G63" s="2" t="inlineStr">
        <is>
          <t>固定掉落</t>
        </is>
      </c>
      <c r="H63" s="5">
        <f>'任务掉落明细'!X63</f>
        <v>1</v>
      </c>
      <c r="I63" s="2" t="n">
        <v>1</v>
      </c>
      <c r="J63" s="2" t="inlineStr">
        <is>
          <t>mission_chest_baimenlou_mingyun_jueze</t>
        </is>
      </c>
      <c r="K63" s="2" t="inlineStr">
        <is>
          <t>个人任务</t>
        </is>
      </c>
      <c r="L63" s="2" t="inlineStr">
        <is>
          <t>挑战者庄园</t>
        </is>
      </c>
      <c r="M63" s="6">
        <f>'任务掉落明细'!Y63</f>
        <v>1</v>
      </c>
      <c r="N63" s="2" t="inlineStr">
        <is>
          <t>data/mission_templates.yaml:baimenlou_mingyun_jueze.drop_table.mission_chest_baimenlou_mingyun_jueze</t>
        </is>
      </c>
    </row>
    <row r="64">
      <c r="A64" s="2" t="inlineStr">
        <is>
          <t>red_ruby</t>
        </is>
      </c>
      <c r="B64" s="2" t="inlineStr">
        <is>
          <t>红宝石</t>
        </is>
      </c>
      <c r="C64" s="2" t="inlineStr">
        <is>
          <t>资源</t>
        </is>
      </c>
      <c r="D64" s="2" t="inlineStr">
        <is>
          <t>稀有/蓝</t>
        </is>
      </c>
      <c r="E64" s="2" t="inlineStr">
        <is>
          <t>guild_patrol_alpha</t>
        </is>
      </c>
      <c r="F64" s="2" t="inlineStr">
        <is>
          <t>夜袭乌鳞寨</t>
        </is>
      </c>
      <c r="G64" s="2" t="inlineStr">
        <is>
          <t>帮会固定奖励</t>
        </is>
      </c>
      <c r="H64" s="5">
        <f>'任务掉落明细'!X64</f>
        <v>1</v>
      </c>
      <c r="I64" s="2" t="n">
        <v>96</v>
      </c>
      <c r="J64" s="2" t="inlineStr">
        <is>
          <t>red_ruby</t>
        </is>
      </c>
      <c r="K64" s="2" t="inlineStr">
        <is>
          <t>帮会任务</t>
        </is>
      </c>
      <c r="L64" s="2" t="inlineStr">
        <is>
          <t>帮会仓库</t>
        </is>
      </c>
      <c r="M64" s="6">
        <f>'任务掉落明细'!Y64</f>
        <v>96</v>
      </c>
      <c r="N64" s="2" t="inlineStr">
        <is>
          <t>data/guild_mission_templates.yaml:L9:ruby_reward</t>
        </is>
      </c>
    </row>
    <row r="65">
      <c r="A65" s="2" t="inlineStr">
        <is>
          <t>red_ruby</t>
        </is>
      </c>
      <c r="B65" s="2" t="inlineStr">
        <is>
          <t>红宝石</t>
        </is>
      </c>
      <c r="C65" s="2" t="inlineStr">
        <is>
          <t>资源</t>
        </is>
      </c>
      <c r="D65" s="2" t="inlineStr">
        <is>
          <t>稀有/蓝</t>
        </is>
      </c>
      <c r="E65" s="2" t="inlineStr">
        <is>
          <t>guild_supply_escort</t>
        </is>
      </c>
      <c r="F65" s="2" t="inlineStr">
        <is>
          <t>血旗镖局风云</t>
        </is>
      </c>
      <c r="G65" s="2" t="inlineStr">
        <is>
          <t>帮会固定奖励</t>
        </is>
      </c>
      <c r="H65" s="5">
        <f>'任务掉落明细'!X65</f>
        <v>1</v>
      </c>
      <c r="I65" s="2" t="n">
        <v>168</v>
      </c>
      <c r="J65" s="2" t="inlineStr">
        <is>
          <t>red_ruby</t>
        </is>
      </c>
      <c r="K65" s="2" t="inlineStr">
        <is>
          <t>帮会任务</t>
        </is>
      </c>
      <c r="L65" s="2" t="inlineStr">
        <is>
          <t>帮会仓库</t>
        </is>
      </c>
      <c r="M65" s="6">
        <f>'任务掉落明细'!Y65</f>
        <v>168</v>
      </c>
      <c r="N65" s="2" t="inlineStr">
        <is>
          <t>data/guild_mission_templates.yaml:L47:ruby_reward</t>
        </is>
      </c>
    </row>
    <row r="66">
      <c r="A66" s="2" t="inlineStr">
        <is>
          <t>red_ruby</t>
        </is>
      </c>
      <c r="B66" s="2" t="inlineStr">
        <is>
          <t>红宝石</t>
        </is>
      </c>
      <c r="C66" s="2" t="inlineStr">
        <is>
          <t>资源</t>
        </is>
      </c>
      <c r="D66" s="2" t="inlineStr">
        <is>
          <t>稀有/蓝</t>
        </is>
      </c>
      <c r="E66" s="2" t="inlineStr">
        <is>
          <t>guild_blackwind_assault</t>
        </is>
      </c>
      <c r="F66" s="2" t="inlineStr">
        <is>
          <t>黑风关总攻</t>
        </is>
      </c>
      <c r="G66" s="2" t="inlineStr">
        <is>
          <t>帮会固定奖励</t>
        </is>
      </c>
      <c r="H66" s="5">
        <f>'任务掉落明细'!X66</f>
        <v>1</v>
      </c>
      <c r="I66" s="2" t="n">
        <v>288</v>
      </c>
      <c r="J66" s="2" t="inlineStr">
        <is>
          <t>red_ruby</t>
        </is>
      </c>
      <c r="K66" s="2" t="inlineStr">
        <is>
          <t>帮会任务</t>
        </is>
      </c>
      <c r="L66" s="2" t="inlineStr">
        <is>
          <t>帮会仓库</t>
        </is>
      </c>
      <c r="M66" s="6">
        <f>'任务掉落明细'!Y66</f>
        <v>288</v>
      </c>
      <c r="N66" s="2" t="inlineStr">
        <is>
          <t>data/guild_mission_templates.yaml:L89:ruby_reward</t>
        </is>
      </c>
    </row>
  </sheetData>
  <autoFilter ref="A1:N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34" customWidth="1" min="2" max="2"/>
    <col width="16" customWidth="1" min="3" max="3"/>
    <col width="16" customWidth="1" min="4" max="4"/>
    <col width="44" customWidth="1" min="5" max="5"/>
    <col width="12" customWidth="1" min="6" max="6"/>
    <col width="30" customWidth="1" min="7" max="7"/>
    <col width="70" customWidth="1" min="8" max="8"/>
    <col width="20" customWidth="1" min="9" max="9"/>
    <col width="16" customWidth="1" min="10" max="10"/>
    <col width="20" customWidth="1" min="11" max="11"/>
    <col width="65" customWidth="1" min="12" max="12"/>
    <col width="90" customWidth="1" min="13" max="13"/>
  </cols>
  <sheetData>
    <row r="1" ht="32" customHeight="1">
      <c r="A1" s="1" t="inlineStr">
        <is>
          <t>任务key</t>
        </is>
      </c>
      <c r="B1" s="1" t="inlineStr">
        <is>
          <t>任务名称</t>
        </is>
      </c>
      <c r="C1" s="1" t="inlineStr">
        <is>
          <t>任务分类</t>
        </is>
      </c>
      <c r="D1" s="1" t="inlineStr">
        <is>
          <t>单位类型</t>
        </is>
      </c>
      <c r="E1" s="1" t="inlineStr">
        <is>
          <t>单位key</t>
        </is>
      </c>
      <c r="F1" s="1" t="inlineStr">
        <is>
          <t>数量</t>
        </is>
      </c>
      <c r="G1" s="1" t="inlineStr">
        <is>
          <t>单位名称</t>
        </is>
      </c>
      <c r="H1" s="1" t="inlineStr">
        <is>
          <t>门客技能</t>
        </is>
      </c>
      <c r="I1" s="1" t="inlineStr">
        <is>
          <t>统一科技等级</t>
        </is>
      </c>
      <c r="J1" s="1" t="inlineStr">
        <is>
          <t>门客等级</t>
        </is>
      </c>
      <c r="K1" s="1" t="inlineStr">
        <is>
          <t>门客属性加成</t>
        </is>
      </c>
      <c r="L1" s="1" t="inlineStr">
        <is>
          <t>数据来源</t>
        </is>
      </c>
      <c r="M1" s="1" t="inlineStr">
        <is>
          <t>原始单位配置(JSON)</t>
        </is>
      </c>
    </row>
    <row r="2">
      <c r="A2" s="2" t="inlineStr">
        <is>
          <t>mid_autumn_moon_palace_trial</t>
        </is>
      </c>
      <c r="B2" s="2" t="inlineStr">
        <is>
          <t>广寒宫试炼</t>
        </is>
      </c>
      <c r="C2" s="2" t="inlineStr">
        <is>
          <t>个人任务</t>
        </is>
      </c>
      <c r="D2" s="2" t="inlineStr">
        <is>
          <t>门客</t>
        </is>
      </c>
      <c r="E2" s="2" t="inlineStr">
        <is>
          <t>myth_moon_jade_rabbit</t>
        </is>
      </c>
      <c r="F2" s="2" t="n">
        <v>1</v>
      </c>
      <c r="G2" s="2" t="inlineStr">
        <is>
          <t>玉兔</t>
        </is>
      </c>
      <c r="H2" s="2" t="inlineStr">
        <is>
          <t>使用模板默认技能</t>
        </is>
      </c>
      <c r="I2" s="2" t="n">
        <v>7</v>
      </c>
      <c r="J2" s="2" t="n">
        <v>60</v>
      </c>
      <c r="K2" s="4" t="n">
        <v>0.12</v>
      </c>
      <c r="L2" s="2" t="inlineStr">
        <is>
          <t>data/mission_templates.yaml:L139:enemy_guests</t>
        </is>
      </c>
      <c r="M2" s="2" t="inlineStr">
        <is>
          <t>{"key":"myth_moon_jade_rabbit","label":"玉兔"}</t>
        </is>
      </c>
    </row>
    <row r="3">
      <c r="A3" s="2" t="inlineStr">
        <is>
          <t>mid_autumn_moon_palace_trial</t>
        </is>
      </c>
      <c r="B3" s="2" t="inlineStr">
        <is>
          <t>广寒宫试炼</t>
        </is>
      </c>
      <c r="C3" s="2" t="inlineStr">
        <is>
          <t>个人任务</t>
        </is>
      </c>
      <c r="D3" s="2" t="inlineStr">
        <is>
          <t>门客</t>
        </is>
      </c>
      <c r="E3" s="2" t="inlineStr">
        <is>
          <t>myth_moon_wu_gang</t>
        </is>
      </c>
      <c r="F3" s="2" t="n">
        <v>1</v>
      </c>
      <c r="G3" s="2" t="inlineStr">
        <is>
          <t>吴刚</t>
        </is>
      </c>
      <c r="H3" s="2" t="inlineStr">
        <is>
          <t>使用模板默认技能</t>
        </is>
      </c>
      <c r="I3" s="2" t="n">
        <v>7</v>
      </c>
      <c r="J3" s="2" t="n">
        <v>60</v>
      </c>
      <c r="K3" s="4" t="n">
        <v>0.12</v>
      </c>
      <c r="L3" s="2" t="inlineStr">
        <is>
          <t>data/mission_templates.yaml:L139:enemy_guests</t>
        </is>
      </c>
      <c r="M3" s="2" t="inlineStr">
        <is>
          <t>{"key":"myth_moon_wu_gang","label":"吴刚"}</t>
        </is>
      </c>
    </row>
    <row r="4">
      <c r="A4" s="2" t="inlineStr">
        <is>
          <t>mid_autumn_moon_palace_trial</t>
        </is>
      </c>
      <c r="B4" s="2" t="inlineStr">
        <is>
          <t>广寒宫试炼</t>
        </is>
      </c>
      <c r="C4" s="2" t="inlineStr">
        <is>
          <t>个人任务</t>
        </is>
      </c>
      <c r="D4" s="2" t="inlineStr">
        <is>
          <t>门客</t>
        </is>
      </c>
      <c r="E4" s="2" t="inlineStr">
        <is>
          <t>hist_xianqin_0413</t>
        </is>
      </c>
      <c r="F4" s="2" t="n">
        <v>1</v>
      </c>
      <c r="G4" s="2" t="inlineStr">
        <is>
          <t>嫦娥</t>
        </is>
      </c>
      <c r="H4" s="2" t="inlineStr">
        <is>
          <t>使用模板默认技能</t>
        </is>
      </c>
      <c r="I4" s="2" t="n">
        <v>7</v>
      </c>
      <c r="J4" s="2" t="n">
        <v>60</v>
      </c>
      <c r="K4" s="4" t="n">
        <v>0.12</v>
      </c>
      <c r="L4" s="2" t="inlineStr">
        <is>
          <t>data/mission_templates.yaml:L139:enemy_guests</t>
        </is>
      </c>
      <c r="M4" s="2" t="inlineStr">
        <is>
          <t>{"key":"hist_xianqin_0413","label":"嫦娥"}</t>
        </is>
      </c>
    </row>
    <row r="5">
      <c r="A5" s="2" t="inlineStr">
        <is>
          <t>mid_autumn_moon_palace_trial</t>
        </is>
      </c>
      <c r="B5" s="2" t="inlineStr">
        <is>
          <t>广寒宫试炼</t>
        </is>
      </c>
      <c r="C5" s="2" t="inlineStr">
        <is>
          <t>个人任务</t>
        </is>
      </c>
      <c r="D5" s="2" t="inlineStr">
        <is>
          <t>护院</t>
        </is>
      </c>
      <c r="E5" s="2" t="inlineStr">
        <is>
          <t>quan_wang</t>
        </is>
      </c>
      <c r="F5" s="2" t="n">
        <v>300</v>
      </c>
      <c r="G5" s="2" t="inlineStr">
        <is>
          <t>拳王</t>
        </is>
      </c>
      <c r="H5" s="2" t="inlineStr"/>
      <c r="I5" s="2" t="n">
        <v>7</v>
      </c>
      <c r="J5" s="2" t="n"/>
      <c r="K5" s="4" t="n"/>
      <c r="L5" s="2" t="inlineStr">
        <is>
          <t>data/mission_templates.yaml:L139:enemy_troops</t>
        </is>
      </c>
      <c r="M5" s="2" t="inlineStr">
        <is>
          <t>{"quan_wang":300}</t>
        </is>
      </c>
    </row>
    <row r="6">
      <c r="A6" s="2" t="inlineStr">
        <is>
          <t>mid_autumn_moon_palace_trial</t>
        </is>
      </c>
      <c r="B6" s="2" t="inlineStr">
        <is>
          <t>广寒宫试炼</t>
        </is>
      </c>
      <c r="C6" s="2" t="inlineStr">
        <is>
          <t>个人任务</t>
        </is>
      </c>
      <c r="D6" s="2" t="inlineStr">
        <is>
          <t>护院</t>
        </is>
      </c>
      <c r="E6" s="2" t="inlineStr">
        <is>
          <t>jian_hao</t>
        </is>
      </c>
      <c r="F6" s="2" t="n">
        <v>300</v>
      </c>
      <c r="G6" s="2" t="inlineStr">
        <is>
          <t>剑豪</t>
        </is>
      </c>
      <c r="H6" s="2" t="inlineStr"/>
      <c r="I6" s="2" t="n">
        <v>7</v>
      </c>
      <c r="J6" s="2" t="n"/>
      <c r="K6" s="4" t="n"/>
      <c r="L6" s="2" t="inlineStr">
        <is>
          <t>data/mission_templates.yaml:L139:enemy_troops</t>
        </is>
      </c>
      <c r="M6" s="2" t="inlineStr">
        <is>
          <t>{"jian_hao":300}</t>
        </is>
      </c>
    </row>
    <row r="7">
      <c r="A7" s="2" t="inlineStr">
        <is>
          <t>mid_autumn_moon_palace_trial</t>
        </is>
      </c>
      <c r="B7" s="2" t="inlineStr">
        <is>
          <t>广寒宫试炼</t>
        </is>
      </c>
      <c r="C7" s="2" t="inlineStr">
        <is>
          <t>个人任务</t>
        </is>
      </c>
      <c r="D7" s="2" t="inlineStr">
        <is>
          <t>护院</t>
        </is>
      </c>
      <c r="E7" s="2" t="inlineStr">
        <is>
          <t>divine_archer</t>
        </is>
      </c>
      <c r="F7" s="2" t="n">
        <v>200</v>
      </c>
      <c r="G7" s="2" t="inlineStr">
        <is>
          <t>神箭手</t>
        </is>
      </c>
      <c r="H7" s="2" t="inlineStr"/>
      <c r="I7" s="2" t="n">
        <v>7</v>
      </c>
      <c r="J7" s="2" t="n"/>
      <c r="K7" s="4" t="n"/>
      <c r="L7" s="2" t="inlineStr">
        <is>
          <t>data/mission_templates.yaml:L139:enemy_troops</t>
        </is>
      </c>
      <c r="M7" s="2" t="inlineStr">
        <is>
          <t>{"divine_archer":200}</t>
        </is>
      </c>
    </row>
    <row r="8">
      <c r="A8" s="2" t="inlineStr">
        <is>
          <t>kasukabe_daisakusen</t>
        </is>
      </c>
      <c r="B8" s="2" t="inlineStr">
        <is>
          <t>春日部大作战</t>
        </is>
      </c>
      <c r="C8" s="2" t="inlineStr">
        <is>
          <t>个人任务</t>
        </is>
      </c>
      <c r="D8" s="2" t="inlineStr">
        <is>
          <t>门客</t>
        </is>
      </c>
      <c r="E8" s="2" t="inlineStr">
        <is>
          <t>task_kasukabe_patrol_captain</t>
        </is>
      </c>
      <c r="F8" s="2" t="n">
        <v>1</v>
      </c>
      <c r="G8" s="2" t="inlineStr">
        <is>
          <t>春日部巡逻队长</t>
        </is>
      </c>
      <c r="H8" s="2" t="inlineStr">
        <is>
          <t>使用模板默认技能</t>
        </is>
      </c>
      <c r="I8" s="2" t="n">
        <v>7</v>
      </c>
      <c r="J8" s="2" t="n">
        <v>60</v>
      </c>
      <c r="K8" s="4" t="n">
        <v>0.12</v>
      </c>
      <c r="L8" s="2" t="inlineStr">
        <is>
          <t>data/mission_templates.yaml:L206:enemy_guests</t>
        </is>
      </c>
      <c r="M8" s="2" t="inlineStr">
        <is>
          <t>{"key":"task_kasukabe_patrol_captain","label":"春日部巡逻队长"}</t>
        </is>
      </c>
    </row>
    <row r="9">
      <c r="A9" s="2" t="inlineStr">
        <is>
          <t>kasukabe_daisakusen</t>
        </is>
      </c>
      <c r="B9" s="2" t="inlineStr">
        <is>
          <t>春日部大作战</t>
        </is>
      </c>
      <c r="C9" s="2" t="inlineStr">
        <is>
          <t>个人任务</t>
        </is>
      </c>
      <c r="D9" s="2" t="inlineStr">
        <is>
          <t>门客</t>
        </is>
      </c>
      <c r="E9" s="2" t="inlineStr">
        <is>
          <t>task_kasukabe_toy_crocodile</t>
        </is>
      </c>
      <c r="F9" s="2" t="n">
        <v>1</v>
      </c>
      <c r="G9" s="2" t="inlineStr">
        <is>
          <t>玩具机关鳄鱼</t>
        </is>
      </c>
      <c r="H9" s="2" t="inlineStr">
        <is>
          <t>使用模板默认技能</t>
        </is>
      </c>
      <c r="I9" s="2" t="n">
        <v>7</v>
      </c>
      <c r="J9" s="2" t="n">
        <v>60</v>
      </c>
      <c r="K9" s="4" t="n">
        <v>0.12</v>
      </c>
      <c r="L9" s="2" t="inlineStr">
        <is>
          <t>data/mission_templates.yaml:L206:enemy_guests</t>
        </is>
      </c>
      <c r="M9" s="2" t="inlineStr">
        <is>
          <t>{"key":"task_kasukabe_toy_crocodile","label":"玩具机关鳄鱼"}</t>
        </is>
      </c>
    </row>
    <row r="10">
      <c r="A10" s="2" t="inlineStr">
        <is>
          <t>kasukabe_daisakusen</t>
        </is>
      </c>
      <c r="B10" s="2" t="inlineStr">
        <is>
          <t>春日部大作战</t>
        </is>
      </c>
      <c r="C10" s="2" t="inlineStr">
        <is>
          <t>个人任务</t>
        </is>
      </c>
      <c r="D10" s="2" t="inlineStr">
        <is>
          <t>门客</t>
        </is>
      </c>
      <c r="E10" s="2" t="inlineStr">
        <is>
          <t>task_kasukabe_defense_member</t>
        </is>
      </c>
      <c r="F10" s="2" t="n">
        <v>1</v>
      </c>
      <c r="G10" s="2" t="inlineStr">
        <is>
          <t>迷路的防卫队员</t>
        </is>
      </c>
      <c r="H10" s="2" t="inlineStr">
        <is>
          <t>使用模板默认技能</t>
        </is>
      </c>
      <c r="I10" s="2" t="n">
        <v>7</v>
      </c>
      <c r="J10" s="2" t="n">
        <v>60</v>
      </c>
      <c r="K10" s="4" t="n">
        <v>0.12</v>
      </c>
      <c r="L10" s="2" t="inlineStr">
        <is>
          <t>data/mission_templates.yaml:L206:enemy_guests</t>
        </is>
      </c>
      <c r="M10" s="2" t="inlineStr">
        <is>
          <t>{"key":"task_kasukabe_defense_member","label":"迷路的防卫队员"}</t>
        </is>
      </c>
    </row>
    <row r="11">
      <c r="A11" s="2" t="inlineStr">
        <is>
          <t>kasukabe_daisakusen</t>
        </is>
      </c>
      <c r="B11" s="2" t="inlineStr">
        <is>
          <t>春日部大作战</t>
        </is>
      </c>
      <c r="C11" s="2" t="inlineStr">
        <is>
          <t>个人任务</t>
        </is>
      </c>
      <c r="D11" s="2" t="inlineStr">
        <is>
          <t>门客</t>
        </is>
      </c>
      <c r="E11" s="2" t="inlineStr">
        <is>
          <t>task_kasukabe_crayon_clone</t>
        </is>
      </c>
      <c r="F11" s="2" t="n">
        <v>1</v>
      </c>
      <c r="G11" s="2" t="inlineStr">
        <is>
          <t>蜡笔恶作剧分身</t>
        </is>
      </c>
      <c r="H11" s="2" t="inlineStr">
        <is>
          <t>使用模板默认技能</t>
        </is>
      </c>
      <c r="I11" s="2" t="n">
        <v>7</v>
      </c>
      <c r="J11" s="2" t="n">
        <v>60</v>
      </c>
      <c r="K11" s="4" t="n">
        <v>0.12</v>
      </c>
      <c r="L11" s="2" t="inlineStr">
        <is>
          <t>data/mission_templates.yaml:L206:enemy_guests</t>
        </is>
      </c>
      <c r="M11" s="2" t="inlineStr">
        <is>
          <t>{"key":"task_kasukabe_crayon_clone","label":"蜡笔恶作剧分身"}</t>
        </is>
      </c>
    </row>
    <row r="12">
      <c r="A12" s="2" t="inlineStr">
        <is>
          <t>kasukabe_daisakusen</t>
        </is>
      </c>
      <c r="B12" s="2" t="inlineStr">
        <is>
          <t>春日部大作战</t>
        </is>
      </c>
      <c r="C12" s="2" t="inlineStr">
        <is>
          <t>个人任务</t>
        </is>
      </c>
      <c r="D12" s="2" t="inlineStr">
        <is>
          <t>门客</t>
        </is>
      </c>
      <c r="E12" s="2" t="inlineStr">
        <is>
          <t>task_kasukabe_doodle_boss</t>
        </is>
      </c>
      <c r="F12" s="2" t="n">
        <v>1</v>
      </c>
      <c r="G12" s="2" t="inlineStr">
        <is>
          <t>涂鸦大魔王</t>
        </is>
      </c>
      <c r="H12" s="2" t="inlineStr">
        <is>
          <t>使用模板默认技能</t>
        </is>
      </c>
      <c r="I12" s="2" t="n">
        <v>7</v>
      </c>
      <c r="J12" s="2" t="n">
        <v>60</v>
      </c>
      <c r="K12" s="4" t="n">
        <v>0.12</v>
      </c>
      <c r="L12" s="2" t="inlineStr">
        <is>
          <t>data/mission_templates.yaml:L206:enemy_guests</t>
        </is>
      </c>
      <c r="M12" s="2" t="inlineStr">
        <is>
          <t>{"key":"task_kasukabe_doodle_boss","label":"涂鸦大魔王"}</t>
        </is>
      </c>
    </row>
    <row r="13">
      <c r="A13" s="2" t="inlineStr">
        <is>
          <t>kasukabe_daisakusen</t>
        </is>
      </c>
      <c r="B13" s="2" t="inlineStr">
        <is>
          <t>春日部大作战</t>
        </is>
      </c>
      <c r="C13" s="2" t="inlineStr">
        <is>
          <t>个人任务</t>
        </is>
      </c>
      <c r="D13" s="2" t="inlineStr">
        <is>
          <t>护院</t>
        </is>
      </c>
      <c r="E13" s="2" t="inlineStr">
        <is>
          <t>quan_wang</t>
        </is>
      </c>
      <c r="F13" s="2" t="n">
        <v>300</v>
      </c>
      <c r="G13" s="2" t="inlineStr">
        <is>
          <t>拳王</t>
        </is>
      </c>
      <c r="H13" s="2" t="inlineStr"/>
      <c r="I13" s="2" t="n">
        <v>7</v>
      </c>
      <c r="J13" s="2" t="n"/>
      <c r="K13" s="4" t="n"/>
      <c r="L13" s="2" t="inlineStr">
        <is>
          <t>data/mission_templates.yaml:L206:enemy_troops</t>
        </is>
      </c>
      <c r="M13" s="2" t="inlineStr">
        <is>
          <t>{"quan_wang":300}</t>
        </is>
      </c>
    </row>
    <row r="14">
      <c r="A14" s="2" t="inlineStr">
        <is>
          <t>kasukabe_daisakusen</t>
        </is>
      </c>
      <c r="B14" s="2" t="inlineStr">
        <is>
          <t>春日部大作战</t>
        </is>
      </c>
      <c r="C14" s="2" t="inlineStr">
        <is>
          <t>个人任务</t>
        </is>
      </c>
      <c r="D14" s="2" t="inlineStr">
        <is>
          <t>护院</t>
        </is>
      </c>
      <c r="E14" s="2" t="inlineStr">
        <is>
          <t>archer</t>
        </is>
      </c>
      <c r="F14" s="2" t="n">
        <v>300</v>
      </c>
      <c r="G14" s="2" t="inlineStr">
        <is>
          <t>弓箭手</t>
        </is>
      </c>
      <c r="H14" s="2" t="inlineStr"/>
      <c r="I14" s="2" t="n">
        <v>7</v>
      </c>
      <c r="J14" s="2" t="n"/>
      <c r="K14" s="4" t="n"/>
      <c r="L14" s="2" t="inlineStr">
        <is>
          <t>data/mission_templates.yaml:L206:enemy_troops</t>
        </is>
      </c>
      <c r="M14" s="2" t="inlineStr">
        <is>
          <t>{"archer":300}</t>
        </is>
      </c>
    </row>
    <row r="15">
      <c r="A15" s="2" t="inlineStr">
        <is>
          <t>kasukabe_daisakusen</t>
        </is>
      </c>
      <c r="B15" s="2" t="inlineStr">
        <is>
          <t>春日部大作战</t>
        </is>
      </c>
      <c r="C15" s="2" t="inlineStr">
        <is>
          <t>个人任务</t>
        </is>
      </c>
      <c r="D15" s="2" t="inlineStr">
        <is>
          <t>护院</t>
        </is>
      </c>
      <c r="E15" s="2" t="inlineStr">
        <is>
          <t>dao_ba</t>
        </is>
      </c>
      <c r="F15" s="2" t="n">
        <v>200</v>
      </c>
      <c r="G15" s="2" t="inlineStr">
        <is>
          <t>刀霸</t>
        </is>
      </c>
      <c r="H15" s="2" t="inlineStr"/>
      <c r="I15" s="2" t="n">
        <v>7</v>
      </c>
      <c r="J15" s="2" t="n"/>
      <c r="K15" s="4" t="n"/>
      <c r="L15" s="2" t="inlineStr">
        <is>
          <t>data/mission_templates.yaml:L206:enemy_troops</t>
        </is>
      </c>
      <c r="M15" s="2" t="inlineStr">
        <is>
          <t>{"dao_ba":200}</t>
        </is>
      </c>
    </row>
    <row r="16">
      <c r="A16" s="2" t="inlineStr">
        <is>
          <t>huashan_lunjian</t>
        </is>
      </c>
      <c r="B16" s="2" t="inlineStr">
        <is>
          <t>华山论贱</t>
        </is>
      </c>
      <c r="C16" s="2" t="inlineStr">
        <is>
          <t>个人任务</t>
        </is>
      </c>
      <c r="D16" s="2" t="inlineStr">
        <is>
          <t>门客</t>
        </is>
      </c>
      <c r="E16" s="2" t="inlineStr">
        <is>
          <t>task_huashan_jianwang</t>
        </is>
      </c>
      <c r="F16" s="2" t="n">
        <v>1</v>
      </c>
      <c r="G16" s="2" t="inlineStr">
        <is>
          <t>贱王之王</t>
        </is>
      </c>
      <c r="H16" s="2" t="inlineStr">
        <is>
          <t>使用模板默认技能</t>
        </is>
      </c>
      <c r="I16" s="2" t="n">
        <v>2</v>
      </c>
      <c r="J16" s="2" t="n">
        <v>12</v>
      </c>
      <c r="K16" s="4" t="n">
        <v>0</v>
      </c>
      <c r="L16" s="2" t="inlineStr">
        <is>
          <t>data/mission_templates.yaml:L287:enemy_guests</t>
        </is>
      </c>
      <c r="M16" s="2" t="inlineStr">
        <is>
          <t>{"key":"task_huashan_jianwang","label":"贱王之王"}</t>
        </is>
      </c>
    </row>
    <row r="17">
      <c r="A17" s="2" t="inlineStr">
        <is>
          <t>huashan_lunjian</t>
        </is>
      </c>
      <c r="B17" s="2" t="inlineStr">
        <is>
          <t>华山论贱</t>
        </is>
      </c>
      <c r="C17" s="2" t="inlineStr">
        <is>
          <t>个人任务</t>
        </is>
      </c>
      <c r="D17" s="2" t="inlineStr">
        <is>
          <t>门客</t>
        </is>
      </c>
      <c r="E17" s="2" t="inlineStr">
        <is>
          <t>task_huashan_jianjing</t>
        </is>
      </c>
      <c r="F17" s="2" t="n">
        <v>1</v>
      </c>
      <c r="G17" s="2" t="inlineStr">
        <is>
          <t>顶级贱精</t>
        </is>
      </c>
      <c r="H17" s="2" t="inlineStr">
        <is>
          <t>使用模板默认技能</t>
        </is>
      </c>
      <c r="I17" s="2" t="n">
        <v>2</v>
      </c>
      <c r="J17" s="2" t="n">
        <v>12</v>
      </c>
      <c r="K17" s="4" t="n">
        <v>0</v>
      </c>
      <c r="L17" s="2" t="inlineStr">
        <is>
          <t>data/mission_templates.yaml:L287:enemy_guests</t>
        </is>
      </c>
      <c r="M17" s="2" t="inlineStr">
        <is>
          <t>{"key":"task_huashan_jianjing","label":"顶级贱精"}</t>
        </is>
      </c>
    </row>
    <row r="18">
      <c r="A18" s="2" t="inlineStr">
        <is>
          <t>huashan_lunjian</t>
        </is>
      </c>
      <c r="B18" s="2" t="inlineStr">
        <is>
          <t>华山论贱</t>
        </is>
      </c>
      <c r="C18" s="2" t="inlineStr">
        <is>
          <t>个人任务</t>
        </is>
      </c>
      <c r="D18" s="2" t="inlineStr">
        <is>
          <t>门客</t>
        </is>
      </c>
      <c r="E18" s="2" t="inlineStr">
        <is>
          <t>task_huashan_jianjing</t>
        </is>
      </c>
      <c r="F18" s="2" t="n">
        <v>1</v>
      </c>
      <c r="G18" s="2" t="inlineStr">
        <is>
          <t>顶级贱精</t>
        </is>
      </c>
      <c r="H18" s="2" t="inlineStr">
        <is>
          <t>使用模板默认技能</t>
        </is>
      </c>
      <c r="I18" s="2" t="n">
        <v>2</v>
      </c>
      <c r="J18" s="2" t="n">
        <v>12</v>
      </c>
      <c r="K18" s="4" t="n">
        <v>0</v>
      </c>
      <c r="L18" s="2" t="inlineStr">
        <is>
          <t>data/mission_templates.yaml:L287:enemy_guests</t>
        </is>
      </c>
      <c r="M18" s="2" t="inlineStr">
        <is>
          <t>{"key":"task_huashan_jianjing","label":"顶级贱精"}</t>
        </is>
      </c>
    </row>
    <row r="19">
      <c r="A19" s="2" t="inlineStr">
        <is>
          <t>huashan_lunjian</t>
        </is>
      </c>
      <c r="B19" s="2" t="inlineStr">
        <is>
          <t>华山论贱</t>
        </is>
      </c>
      <c r="C19" s="2" t="inlineStr">
        <is>
          <t>个人任务</t>
        </is>
      </c>
      <c r="D19" s="2" t="inlineStr">
        <is>
          <t>门客</t>
        </is>
      </c>
      <c r="E19" s="2" t="inlineStr">
        <is>
          <t>task_huashan_audience_a</t>
        </is>
      </c>
      <c r="F19" s="2" t="n">
        <v>1</v>
      </c>
      <c r="G19" s="2" t="inlineStr">
        <is>
          <t>观众甲</t>
        </is>
      </c>
      <c r="H19" s="2" t="inlineStr">
        <is>
          <t>使用模板默认技能</t>
        </is>
      </c>
      <c r="I19" s="2" t="n">
        <v>2</v>
      </c>
      <c r="J19" s="2" t="n">
        <v>12</v>
      </c>
      <c r="K19" s="4" t="n">
        <v>0</v>
      </c>
      <c r="L19" s="2" t="inlineStr">
        <is>
          <t>data/mission_templates.yaml:L287:enemy_guests</t>
        </is>
      </c>
      <c r="M19" s="2" t="inlineStr">
        <is>
          <t>{"key":"task_huashan_audience_a","label":"观众甲"}</t>
        </is>
      </c>
    </row>
    <row r="20">
      <c r="A20" s="2" t="inlineStr">
        <is>
          <t>wagangzhai_nixi</t>
        </is>
      </c>
      <c r="B20" s="2" t="inlineStr">
        <is>
          <t>瓦岗寨的逆袭</t>
        </is>
      </c>
      <c r="C20" s="2" t="inlineStr">
        <is>
          <t>个人任务</t>
        </is>
      </c>
      <c r="D20" s="2" t="inlineStr">
        <is>
          <t>门客</t>
        </is>
      </c>
      <c r="E20" s="2" t="inlineStr">
        <is>
          <t>hist_suitang_0162_zhairang</t>
        </is>
      </c>
      <c r="F20" s="2" t="n">
        <v>1</v>
      </c>
      <c r="G20" s="2" t="inlineStr">
        <is>
          <t>翟让</t>
        </is>
      </c>
      <c r="H20" s="2" t="inlineStr">
        <is>
          <t>唐僧说禅</t>
        </is>
      </c>
      <c r="I20" s="2" t="n">
        <v>10</v>
      </c>
      <c r="J20" s="2" t="n">
        <v>100</v>
      </c>
      <c r="K20" s="4" t="n">
        <v>0.3</v>
      </c>
      <c r="L20" s="2" t="inlineStr">
        <is>
          <t>data/mission_templates.yaml:L326:enemy_guests</t>
        </is>
      </c>
      <c r="M20" s="2" t="inlineStr">
        <is>
          <t>{"key":"hist_suitang_0162_zhairang","skills":["tangseng_sermon"]}</t>
        </is>
      </c>
    </row>
    <row r="21">
      <c r="A21" s="2" t="inlineStr">
        <is>
          <t>wagangzhai_nixi</t>
        </is>
      </c>
      <c r="B21" s="2" t="inlineStr">
        <is>
          <t>瓦岗寨的逆袭</t>
        </is>
      </c>
      <c r="C21" s="2" t="inlineStr">
        <is>
          <t>个人任务</t>
        </is>
      </c>
      <c r="D21" s="2" t="inlineStr">
        <is>
          <t>门客</t>
        </is>
      </c>
      <c r="E21" s="2" t="inlineStr">
        <is>
          <t>hero_qin_shubao</t>
        </is>
      </c>
      <c r="F21" s="2" t="n">
        <v>1</v>
      </c>
      <c r="G21" s="2" t="inlineStr">
        <is>
          <t>秦叔宝</t>
        </is>
      </c>
      <c r="H21" s="2" t="inlineStr">
        <is>
          <t>梵天真火</t>
        </is>
      </c>
      <c r="I21" s="2" t="n">
        <v>10</v>
      </c>
      <c r="J21" s="2" t="n">
        <v>100</v>
      </c>
      <c r="K21" s="4" t="n">
        <v>0.3</v>
      </c>
      <c r="L21" s="2" t="inlineStr">
        <is>
          <t>data/mission_templates.yaml:L326:enemy_guests</t>
        </is>
      </c>
      <c r="M21" s="2" t="inlineStr">
        <is>
          <t>{"key":"hero_qin_shubao","skills":["brahma_true_fire"]}</t>
        </is>
      </c>
    </row>
    <row r="22">
      <c r="A22" s="2" t="inlineStr">
        <is>
          <t>wagangzhai_nixi</t>
        </is>
      </c>
      <c r="B22" s="2" t="inlineStr">
        <is>
          <t>瓦岗寨的逆袭</t>
        </is>
      </c>
      <c r="C22" s="2" t="inlineStr">
        <is>
          <t>个人任务</t>
        </is>
      </c>
      <c r="D22" s="2" t="inlineStr">
        <is>
          <t>门客</t>
        </is>
      </c>
      <c r="E22" s="2" t="inlineStr">
        <is>
          <t>hist_suitang_0164_shanxiongxin</t>
        </is>
      </c>
      <c r="F22" s="2" t="n">
        <v>1</v>
      </c>
      <c r="G22" s="2" t="inlineStr">
        <is>
          <t>单雄信</t>
        </is>
      </c>
      <c r="H22" s="2" t="inlineStr">
        <is>
          <t>使用模板默认技能</t>
        </is>
      </c>
      <c r="I22" s="2" t="n">
        <v>10</v>
      </c>
      <c r="J22" s="2" t="n">
        <v>100</v>
      </c>
      <c r="K22" s="4" t="n">
        <v>0.3</v>
      </c>
      <c r="L22" s="2" t="inlineStr">
        <is>
          <t>data/mission_templates.yaml:L326:enemy_guests</t>
        </is>
      </c>
      <c r="M22" s="2" t="inlineStr">
        <is>
          <t>"hist_suitang_0164_shanxiongxin"</t>
        </is>
      </c>
    </row>
    <row r="23">
      <c r="A23" s="2" t="inlineStr">
        <is>
          <t>wagangzhai_nixi</t>
        </is>
      </c>
      <c r="B23" s="2" t="inlineStr">
        <is>
          <t>瓦岗寨的逆袭</t>
        </is>
      </c>
      <c r="C23" s="2" t="inlineStr">
        <is>
          <t>个人任务</t>
        </is>
      </c>
      <c r="D23" s="2" t="inlineStr">
        <is>
          <t>门客</t>
        </is>
      </c>
      <c r="E23" s="2" t="inlineStr">
        <is>
          <t>hist_suitang_0165_wangbodang</t>
        </is>
      </c>
      <c r="F23" s="2" t="n">
        <v>1</v>
      </c>
      <c r="G23" s="2" t="inlineStr">
        <is>
          <t>王伯当</t>
        </is>
      </c>
      <c r="H23" s="2" t="inlineStr">
        <is>
          <t>使用模板默认技能</t>
        </is>
      </c>
      <c r="I23" s="2" t="n">
        <v>10</v>
      </c>
      <c r="J23" s="2" t="n">
        <v>100</v>
      </c>
      <c r="K23" s="4" t="n">
        <v>0.3</v>
      </c>
      <c r="L23" s="2" t="inlineStr">
        <is>
          <t>data/mission_templates.yaml:L326:enemy_guests</t>
        </is>
      </c>
      <c r="M23" s="2" t="inlineStr">
        <is>
          <t>"hist_suitang_0165_wangbodang"</t>
        </is>
      </c>
    </row>
    <row r="24">
      <c r="A24" s="2" t="inlineStr">
        <is>
          <t>wagangzhai_nixi</t>
        </is>
      </c>
      <c r="B24" s="2" t="inlineStr">
        <is>
          <t>瓦岗寨的逆袭</t>
        </is>
      </c>
      <c r="C24" s="2" t="inlineStr">
        <is>
          <t>个人任务</t>
        </is>
      </c>
      <c r="D24" s="2" t="inlineStr">
        <is>
          <t>门客</t>
        </is>
      </c>
      <c r="E24" s="2" t="inlineStr">
        <is>
          <t>hero_luo_cheng</t>
        </is>
      </c>
      <c r="F24" s="2" t="n">
        <v>1</v>
      </c>
      <c r="G24" s="2" t="inlineStr">
        <is>
          <t>罗成</t>
        </is>
      </c>
      <c r="H24" s="2" t="inlineStr">
        <is>
          <t>使用模板默认技能</t>
        </is>
      </c>
      <c r="I24" s="2" t="n">
        <v>10</v>
      </c>
      <c r="J24" s="2" t="n">
        <v>100</v>
      </c>
      <c r="K24" s="4" t="n">
        <v>0.3</v>
      </c>
      <c r="L24" s="2" t="inlineStr">
        <is>
          <t>data/mission_templates.yaml:L326:enemy_guests</t>
        </is>
      </c>
      <c r="M24" s="2" t="inlineStr">
        <is>
          <t>"hero_luo_cheng"</t>
        </is>
      </c>
    </row>
    <row r="25">
      <c r="A25" s="2" t="inlineStr">
        <is>
          <t>wagangzhai_nixi</t>
        </is>
      </c>
      <c r="B25" s="2" t="inlineStr">
        <is>
          <t>瓦岗寨的逆袭</t>
        </is>
      </c>
      <c r="C25" s="2" t="inlineStr">
        <is>
          <t>个人任务</t>
        </is>
      </c>
      <c r="D25" s="2" t="inlineStr">
        <is>
          <t>门客</t>
        </is>
      </c>
      <c r="E25" s="2" t="inlineStr">
        <is>
          <t>hero_cheng_yaojin</t>
        </is>
      </c>
      <c r="F25" s="2" t="n">
        <v>1</v>
      </c>
      <c r="G25" s="2" t="inlineStr">
        <is>
          <t>程咬金</t>
        </is>
      </c>
      <c r="H25" s="2" t="inlineStr">
        <is>
          <t>使用模板默认技能</t>
        </is>
      </c>
      <c r="I25" s="2" t="n">
        <v>10</v>
      </c>
      <c r="J25" s="2" t="n">
        <v>100</v>
      </c>
      <c r="K25" s="4" t="n">
        <v>0.3</v>
      </c>
      <c r="L25" s="2" t="inlineStr">
        <is>
          <t>data/mission_templates.yaml:L326:enemy_guests</t>
        </is>
      </c>
      <c r="M25" s="2" t="inlineStr">
        <is>
          <t>"hero_cheng_yaojin"</t>
        </is>
      </c>
    </row>
    <row r="26">
      <c r="A26" s="2" t="inlineStr">
        <is>
          <t>wagangzhai_nixi</t>
        </is>
      </c>
      <c r="B26" s="2" t="inlineStr">
        <is>
          <t>瓦岗寨的逆袭</t>
        </is>
      </c>
      <c r="C26" s="2" t="inlineStr">
        <is>
          <t>个人任务</t>
        </is>
      </c>
      <c r="D26" s="2" t="inlineStr">
        <is>
          <t>护院</t>
        </is>
      </c>
      <c r="E26" s="2" t="inlineStr">
        <is>
          <t>arrow_god</t>
        </is>
      </c>
      <c r="F26" s="2" t="n">
        <v>800</v>
      </c>
      <c r="G26" s="2" t="inlineStr">
        <is>
          <t>箭神</t>
        </is>
      </c>
      <c r="H26" s="2" t="inlineStr"/>
      <c r="I26" s="2" t="n">
        <v>10</v>
      </c>
      <c r="J26" s="2" t="n"/>
      <c r="K26" s="4" t="n"/>
      <c r="L26" s="2" t="inlineStr">
        <is>
          <t>data/mission_templates.yaml:L326:enemy_troops</t>
        </is>
      </c>
      <c r="M26" s="2" t="inlineStr">
        <is>
          <t>{"arrow_god":800}</t>
        </is>
      </c>
    </row>
    <row r="27">
      <c r="A27" s="2" t="inlineStr">
        <is>
          <t>wagangzhai_nixi</t>
        </is>
      </c>
      <c r="B27" s="2" t="inlineStr">
        <is>
          <t>瓦岗寨的逆袭</t>
        </is>
      </c>
      <c r="C27" s="2" t="inlineStr">
        <is>
          <t>个人任务</t>
        </is>
      </c>
      <c r="D27" s="2" t="inlineStr">
        <is>
          <t>护院</t>
        </is>
      </c>
      <c r="E27" s="2" t="inlineStr">
        <is>
          <t>quan_sheng</t>
        </is>
      </c>
      <c r="F27" s="2" t="n">
        <v>800</v>
      </c>
      <c r="G27" s="2" t="inlineStr">
        <is>
          <t>拳圣</t>
        </is>
      </c>
      <c r="H27" s="2" t="inlineStr"/>
      <c r="I27" s="2" t="n">
        <v>10</v>
      </c>
      <c r="J27" s="2" t="n"/>
      <c r="K27" s="4" t="n"/>
      <c r="L27" s="2" t="inlineStr">
        <is>
          <t>data/mission_templates.yaml:L326:enemy_troops</t>
        </is>
      </c>
      <c r="M27" s="2" t="inlineStr">
        <is>
          <t>{"quan_sheng":800}</t>
        </is>
      </c>
    </row>
    <row r="28">
      <c r="A28" s="2" t="inlineStr">
        <is>
          <t>wagangzhai_nixi</t>
        </is>
      </c>
      <c r="B28" s="2" t="inlineStr">
        <is>
          <t>瓦岗寨的逆袭</t>
        </is>
      </c>
      <c r="C28" s="2" t="inlineStr">
        <is>
          <t>个人任务</t>
        </is>
      </c>
      <c r="D28" s="2" t="inlineStr">
        <is>
          <t>护院</t>
        </is>
      </c>
      <c r="E28" s="2" t="inlineStr">
        <is>
          <t>qiang_wang</t>
        </is>
      </c>
      <c r="F28" s="2" t="n">
        <v>800</v>
      </c>
      <c r="G28" s="2" t="inlineStr">
        <is>
          <t>枪王</t>
        </is>
      </c>
      <c r="H28" s="2" t="inlineStr"/>
      <c r="I28" s="2" t="n">
        <v>10</v>
      </c>
      <c r="J28" s="2" t="n"/>
      <c r="K28" s="4" t="n"/>
      <c r="L28" s="2" t="inlineStr">
        <is>
          <t>data/mission_templates.yaml:L326:enemy_troops</t>
        </is>
      </c>
      <c r="M28" s="2" t="inlineStr">
        <is>
          <t>{"qiang_wang":800}</t>
        </is>
      </c>
    </row>
    <row r="29">
      <c r="A29" s="2" t="inlineStr">
        <is>
          <t>jingyanggang</t>
        </is>
      </c>
      <c r="B29" s="2" t="inlineStr">
        <is>
          <t>景阳冈</t>
        </is>
      </c>
      <c r="C29" s="2" t="inlineStr">
        <is>
          <t>个人任务</t>
        </is>
      </c>
      <c r="D29" s="2" t="inlineStr">
        <is>
          <t>门客</t>
        </is>
      </c>
      <c r="E29" s="2" t="inlineStr">
        <is>
          <t>task_jingyang_tiger</t>
        </is>
      </c>
      <c r="F29" s="2" t="n">
        <v>1</v>
      </c>
      <c r="G29" s="2" t="inlineStr">
        <is>
          <t>猛虎</t>
        </is>
      </c>
      <c r="H29" s="2" t="inlineStr">
        <is>
          <t>使用模板默认技能</t>
        </is>
      </c>
      <c r="I29" s="2" t="n">
        <v>3</v>
      </c>
      <c r="J29" s="2" t="n">
        <v>15</v>
      </c>
      <c r="K29" s="4" t="n">
        <v>0.02</v>
      </c>
      <c r="L29" s="2" t="inlineStr">
        <is>
          <t>data/mission_templates.yaml:L379:enemy_guests</t>
        </is>
      </c>
      <c r="M29" s="2" t="inlineStr">
        <is>
          <t>{"key":"task_jingyang_tiger","label":"猛虎"}</t>
        </is>
      </c>
    </row>
    <row r="30">
      <c r="A30" s="2" t="inlineStr">
        <is>
          <t>wulongshan</t>
        </is>
      </c>
      <c r="B30" s="2" t="inlineStr">
        <is>
          <t>乌龙山</t>
        </is>
      </c>
      <c r="C30" s="2" t="inlineStr">
        <is>
          <t>个人任务</t>
        </is>
      </c>
      <c r="D30" s="2" t="inlineStr">
        <is>
          <t>门客</t>
        </is>
      </c>
      <c r="E30" s="2" t="inlineStr">
        <is>
          <t>task_wulong_bandit_chief_zuanshanbao</t>
        </is>
      </c>
      <c r="F30" s="2" t="n">
        <v>1</v>
      </c>
      <c r="G30" s="2" t="inlineStr">
        <is>
          <t>钻山豹</t>
        </is>
      </c>
      <c r="H30" s="2" t="inlineStr">
        <is>
          <t>使用模板默认技能</t>
        </is>
      </c>
      <c r="I30" s="2" t="n">
        <v>4</v>
      </c>
      <c r="J30" s="2" t="n">
        <v>20</v>
      </c>
      <c r="K30" s="4" t="n">
        <v>0.04</v>
      </c>
      <c r="L30" s="2" t="inlineStr">
        <is>
          <t>data/mission_templates.yaml:L408:enemy_guests</t>
        </is>
      </c>
      <c r="M30" s="2" t="inlineStr">
        <is>
          <t>{"key":"task_wulong_bandit_chief_zuanshanbao","label":"钻山豹"}</t>
        </is>
      </c>
    </row>
    <row r="31">
      <c r="A31" s="2" t="inlineStr">
        <is>
          <t>wulongshan</t>
        </is>
      </c>
      <c r="B31" s="2" t="inlineStr">
        <is>
          <t>乌龙山</t>
        </is>
      </c>
      <c r="C31" s="2" t="inlineStr">
        <is>
          <t>个人任务</t>
        </is>
      </c>
      <c r="D31" s="2" t="inlineStr">
        <is>
          <t>门客</t>
        </is>
      </c>
      <c r="E31" s="2" t="inlineStr">
        <is>
          <t>task_wulong_bandit_chief_zuoshandiao</t>
        </is>
      </c>
      <c r="F31" s="2" t="n">
        <v>1</v>
      </c>
      <c r="G31" s="2" t="inlineStr">
        <is>
          <t>座山雕</t>
        </is>
      </c>
      <c r="H31" s="2" t="inlineStr">
        <is>
          <t>使用模板默认技能</t>
        </is>
      </c>
      <c r="I31" s="2" t="n">
        <v>4</v>
      </c>
      <c r="J31" s="2" t="n">
        <v>20</v>
      </c>
      <c r="K31" s="4" t="n">
        <v>0.04</v>
      </c>
      <c r="L31" s="2" t="inlineStr">
        <is>
          <t>data/mission_templates.yaml:L408:enemy_guests</t>
        </is>
      </c>
      <c r="M31" s="2" t="inlineStr">
        <is>
          <t>{"key":"task_wulong_bandit_chief_zuoshandiao","label":"座山雕"}</t>
        </is>
      </c>
    </row>
    <row r="32">
      <c r="A32" s="2" t="inlineStr">
        <is>
          <t>wulongshan</t>
        </is>
      </c>
      <c r="B32" s="2" t="inlineStr">
        <is>
          <t>乌龙山</t>
        </is>
      </c>
      <c r="C32" s="2" t="inlineStr">
        <is>
          <t>个人任务</t>
        </is>
      </c>
      <c r="D32" s="2" t="inlineStr">
        <is>
          <t>护院</t>
        </is>
      </c>
      <c r="E32" s="2" t="inlineStr">
        <is>
          <t>qiang_ke</t>
        </is>
      </c>
      <c r="F32" s="2" t="n">
        <v>200</v>
      </c>
      <c r="G32" s="2" t="inlineStr">
        <is>
          <t>枪客</t>
        </is>
      </c>
      <c r="H32" s="2" t="inlineStr"/>
      <c r="I32" s="2" t="n">
        <v>4</v>
      </c>
      <c r="J32" s="2" t="n"/>
      <c r="K32" s="4" t="n"/>
      <c r="L32" s="2" t="inlineStr">
        <is>
          <t>data/mission_templates.yaml:L408:enemy_troops</t>
        </is>
      </c>
      <c r="M32" s="2" t="inlineStr">
        <is>
          <t>{"qiang_ke":200}</t>
        </is>
      </c>
    </row>
    <row r="33">
      <c r="A33" s="2" t="inlineStr">
        <is>
          <t>wagangzhai</t>
        </is>
      </c>
      <c r="B33" s="2" t="inlineStr">
        <is>
          <t>瓦岗寨</t>
        </is>
      </c>
      <c r="C33" s="2" t="inlineStr">
        <is>
          <t>个人任务</t>
        </is>
      </c>
      <c r="D33" s="2" t="inlineStr">
        <is>
          <t>门客</t>
        </is>
      </c>
      <c r="E33" s="2" t="inlineStr">
        <is>
          <t>hero_cheng_yaojin</t>
        </is>
      </c>
      <c r="F33" s="2" t="n">
        <v>1</v>
      </c>
      <c r="G33" s="2" t="inlineStr">
        <is>
          <t>程咬金</t>
        </is>
      </c>
      <c r="H33" s="2" t="inlineStr">
        <is>
          <t>使用模板默认技能</t>
        </is>
      </c>
      <c r="I33" s="2" t="n">
        <v>5</v>
      </c>
      <c r="J33" s="2" t="n">
        <v>35</v>
      </c>
      <c r="K33" s="4" t="n">
        <v>0.1</v>
      </c>
      <c r="L33" s="2" t="inlineStr">
        <is>
          <t>data/mission_templates.yaml:L444:enemy_guests</t>
        </is>
      </c>
      <c r="M33" s="2" t="inlineStr">
        <is>
          <t>"hero_cheng_yaojin"</t>
        </is>
      </c>
    </row>
    <row r="34">
      <c r="A34" s="2" t="inlineStr">
        <is>
          <t>wagangzhai</t>
        </is>
      </c>
      <c r="B34" s="2" t="inlineStr">
        <is>
          <t>瓦岗寨</t>
        </is>
      </c>
      <c r="C34" s="2" t="inlineStr">
        <is>
          <t>个人任务</t>
        </is>
      </c>
      <c r="D34" s="2" t="inlineStr">
        <is>
          <t>门客</t>
        </is>
      </c>
      <c r="E34" s="2" t="inlineStr">
        <is>
          <t>hist_suitang_0162_zhairang</t>
        </is>
      </c>
      <c r="F34" s="2" t="n">
        <v>1</v>
      </c>
      <c r="G34" s="2" t="inlineStr">
        <is>
          <t>翟让</t>
        </is>
      </c>
      <c r="H34" s="2" t="inlineStr">
        <is>
          <t>使用模板默认技能</t>
        </is>
      </c>
      <c r="I34" s="2" t="n">
        <v>5</v>
      </c>
      <c r="J34" s="2" t="n">
        <v>35</v>
      </c>
      <c r="K34" s="4" t="n">
        <v>0.1</v>
      </c>
      <c r="L34" s="2" t="inlineStr">
        <is>
          <t>data/mission_templates.yaml:L444:enemy_guests</t>
        </is>
      </c>
      <c r="M34" s="2" t="inlineStr">
        <is>
          <t>"hist_suitang_0162_zhairang"</t>
        </is>
      </c>
    </row>
    <row r="35">
      <c r="A35" s="2" t="inlineStr">
        <is>
          <t>wagangzhai</t>
        </is>
      </c>
      <c r="B35" s="2" t="inlineStr">
        <is>
          <t>瓦岗寨</t>
        </is>
      </c>
      <c r="C35" s="2" t="inlineStr">
        <is>
          <t>个人任务</t>
        </is>
      </c>
      <c r="D35" s="2" t="inlineStr">
        <is>
          <t>护院</t>
        </is>
      </c>
      <c r="E35" s="2" t="inlineStr">
        <is>
          <t>jian_xia</t>
        </is>
      </c>
      <c r="F35" s="2" t="n">
        <v>400</v>
      </c>
      <c r="G35" s="2" t="inlineStr">
        <is>
          <t>剑侠</t>
        </is>
      </c>
      <c r="H35" s="2" t="inlineStr"/>
      <c r="I35" s="2" t="n">
        <v>5</v>
      </c>
      <c r="J35" s="2" t="n"/>
      <c r="K35" s="4" t="n"/>
      <c r="L35" s="2" t="inlineStr">
        <is>
          <t>data/mission_templates.yaml:L444:enemy_troops</t>
        </is>
      </c>
      <c r="M35" s="2" t="inlineStr">
        <is>
          <t>{"jian_xia":400}</t>
        </is>
      </c>
    </row>
    <row r="36">
      <c r="A36" s="2" t="inlineStr">
        <is>
          <t>fugui_shanzhuang</t>
        </is>
      </c>
      <c r="B36" s="2" t="inlineStr">
        <is>
          <t>富贵山庄</t>
        </is>
      </c>
      <c r="C36" s="2" t="inlineStr">
        <is>
          <t>个人任务</t>
        </is>
      </c>
      <c r="D36" s="2" t="inlineStr">
        <is>
          <t>门客</t>
        </is>
      </c>
      <c r="E36" s="2" t="inlineStr">
        <is>
          <t>task_fugui_instructor</t>
        </is>
      </c>
      <c r="F36" s="2" t="n">
        <v>1</v>
      </c>
      <c r="G36" s="2" t="inlineStr">
        <is>
          <t>武师教头</t>
        </is>
      </c>
      <c r="H36" s="2" t="inlineStr">
        <is>
          <t>使用模板默认技能</t>
        </is>
      </c>
      <c r="I36" s="2" t="n">
        <v>3</v>
      </c>
      <c r="J36" s="2" t="n">
        <v>40</v>
      </c>
      <c r="K36" s="4" t="n">
        <v>0.05</v>
      </c>
      <c r="L36" s="2" t="inlineStr">
        <is>
          <t>data/mission_templates.yaml:L482:enemy_guests</t>
        </is>
      </c>
      <c r="M36" s="2" t="inlineStr">
        <is>
          <t>{"key":"task_fugui_instructor","label":"武师教头"}</t>
        </is>
      </c>
    </row>
    <row r="37">
      <c r="A37" s="2" t="inlineStr">
        <is>
          <t>shizipo_heidian</t>
        </is>
      </c>
      <c r="B37" s="2" t="inlineStr">
        <is>
          <t>十字坡黑店</t>
        </is>
      </c>
      <c r="C37" s="2" t="inlineStr">
        <is>
          <t>个人任务</t>
        </is>
      </c>
      <c r="D37" s="2" t="inlineStr">
        <is>
          <t>门客</t>
        </is>
      </c>
      <c r="E37" s="2" t="inlineStr">
        <is>
          <t>task_shizipo_sun_erniang</t>
        </is>
      </c>
      <c r="F37" s="2" t="n">
        <v>1</v>
      </c>
      <c r="G37" s="2" t="inlineStr">
        <is>
          <t>孙二娘</t>
        </is>
      </c>
      <c r="H37" s="2" t="inlineStr">
        <is>
          <t>使用模板默认技能</t>
        </is>
      </c>
      <c r="I37" s="2" t="n">
        <v>6</v>
      </c>
      <c r="J37" s="2" t="n">
        <v>70</v>
      </c>
      <c r="K37" s="4" t="n">
        <v>0.1</v>
      </c>
      <c r="L37" s="2" t="inlineStr">
        <is>
          <t>data/mission_templates.yaml:L514:enemy_guests</t>
        </is>
      </c>
      <c r="M37" s="2" t="inlineStr">
        <is>
          <t>{"key":"task_shizipo_sun_erniang","label":"孙二娘"}</t>
        </is>
      </c>
    </row>
    <row r="38">
      <c r="A38" s="2" t="inlineStr">
        <is>
          <t>shizipo_heidian</t>
        </is>
      </c>
      <c r="B38" s="2" t="inlineStr">
        <is>
          <t>十字坡黑店</t>
        </is>
      </c>
      <c r="C38" s="2" t="inlineStr">
        <is>
          <t>个人任务</t>
        </is>
      </c>
      <c r="D38" s="2" t="inlineStr">
        <is>
          <t>门客</t>
        </is>
      </c>
      <c r="E38" s="2" t="inlineStr">
        <is>
          <t>task_shizipo_zhang_qing</t>
        </is>
      </c>
      <c r="F38" s="2" t="n">
        <v>1</v>
      </c>
      <c r="G38" s="2" t="inlineStr">
        <is>
          <t>张青</t>
        </is>
      </c>
      <c r="H38" s="2" t="inlineStr">
        <is>
          <t>使用模板默认技能</t>
        </is>
      </c>
      <c r="I38" s="2" t="n">
        <v>6</v>
      </c>
      <c r="J38" s="2" t="n">
        <v>70</v>
      </c>
      <c r="K38" s="4" t="n">
        <v>0.1</v>
      </c>
      <c r="L38" s="2" t="inlineStr">
        <is>
          <t>data/mission_templates.yaml:L514:enemy_guests</t>
        </is>
      </c>
      <c r="M38" s="2" t="inlineStr">
        <is>
          <t>{"key":"task_shizipo_zhang_qing","label":"张青"}</t>
        </is>
      </c>
    </row>
    <row r="39">
      <c r="A39" s="2" t="inlineStr">
        <is>
          <t>shizipo_heidian</t>
        </is>
      </c>
      <c r="B39" s="2" t="inlineStr">
        <is>
          <t>十字坡黑店</t>
        </is>
      </c>
      <c r="C39" s="2" t="inlineStr">
        <is>
          <t>个人任务</t>
        </is>
      </c>
      <c r="D39" s="2" t="inlineStr">
        <is>
          <t>护院</t>
        </is>
      </c>
      <c r="E39" s="2" t="inlineStr">
        <is>
          <t>quan_wang</t>
        </is>
      </c>
      <c r="F39" s="2" t="n">
        <v>300</v>
      </c>
      <c r="G39" s="2" t="inlineStr">
        <is>
          <t>拳王</t>
        </is>
      </c>
      <c r="H39" s="2" t="inlineStr"/>
      <c r="I39" s="2" t="n">
        <v>6</v>
      </c>
      <c r="J39" s="2" t="n"/>
      <c r="K39" s="4" t="n"/>
      <c r="L39" s="2" t="inlineStr">
        <is>
          <t>data/mission_templates.yaml:L514:enemy_troops</t>
        </is>
      </c>
      <c r="M39" s="2" t="inlineStr">
        <is>
          <t>{"quan_wang":300}</t>
        </is>
      </c>
    </row>
    <row r="40">
      <c r="A40" s="2" t="inlineStr">
        <is>
          <t>shizipo_heidian</t>
        </is>
      </c>
      <c r="B40" s="2" t="inlineStr">
        <is>
          <t>十字坡黑店</t>
        </is>
      </c>
      <c r="C40" s="2" t="inlineStr">
        <is>
          <t>个人任务</t>
        </is>
      </c>
      <c r="D40" s="2" t="inlineStr">
        <is>
          <t>护院</t>
        </is>
      </c>
      <c r="E40" s="2" t="inlineStr">
        <is>
          <t>divine_archer</t>
        </is>
      </c>
      <c r="F40" s="2" t="n">
        <v>300</v>
      </c>
      <c r="G40" s="2" t="inlineStr">
        <is>
          <t>神箭手</t>
        </is>
      </c>
      <c r="H40" s="2" t="inlineStr"/>
      <c r="I40" s="2" t="n">
        <v>6</v>
      </c>
      <c r="J40" s="2" t="n"/>
      <c r="K40" s="4" t="n"/>
      <c r="L40" s="2" t="inlineStr">
        <is>
          <t>data/mission_templates.yaml:L514:enemy_troops</t>
        </is>
      </c>
      <c r="M40" s="2" t="inlineStr">
        <is>
          <t>{"divine_archer":300}</t>
        </is>
      </c>
    </row>
    <row r="41">
      <c r="A41" s="2" t="inlineStr">
        <is>
          <t>shizipo_heidian</t>
        </is>
      </c>
      <c r="B41" s="2" t="inlineStr">
        <is>
          <t>十字坡黑店</t>
        </is>
      </c>
      <c r="C41" s="2" t="inlineStr">
        <is>
          <t>个人任务</t>
        </is>
      </c>
      <c r="D41" s="2" t="inlineStr">
        <is>
          <t>护院</t>
        </is>
      </c>
      <c r="E41" s="2" t="inlineStr">
        <is>
          <t>dao_ba</t>
        </is>
      </c>
      <c r="F41" s="2" t="n">
        <v>100</v>
      </c>
      <c r="G41" s="2" t="inlineStr">
        <is>
          <t>刀霸</t>
        </is>
      </c>
      <c r="H41" s="2" t="inlineStr"/>
      <c r="I41" s="2" t="n">
        <v>6</v>
      </c>
      <c r="J41" s="2" t="n"/>
      <c r="K41" s="4" t="n"/>
      <c r="L41" s="2" t="inlineStr">
        <is>
          <t>data/mission_templates.yaml:L514:enemy_troops</t>
        </is>
      </c>
      <c r="M41" s="2" t="inlineStr">
        <is>
          <t>{"dao_ba":100}</t>
        </is>
      </c>
    </row>
    <row r="42">
      <c r="A42" s="2" t="inlineStr">
        <is>
          <t>shanhaiguan</t>
        </is>
      </c>
      <c r="B42" s="2" t="inlineStr">
        <is>
          <t>山海关</t>
        </is>
      </c>
      <c r="C42" s="2" t="inlineStr">
        <is>
          <t>个人任务</t>
        </is>
      </c>
      <c r="D42" s="2" t="inlineStr">
        <is>
          <t>门客</t>
        </is>
      </c>
      <c r="E42" s="2" t="inlineStr">
        <is>
          <t>hist_mingqing_0230</t>
        </is>
      </c>
      <c r="F42" s="2" t="n">
        <v>1</v>
      </c>
      <c r="G42" s="2" t="inlineStr">
        <is>
          <t>祖大寿</t>
        </is>
      </c>
      <c r="H42" s="2" t="inlineStr">
        <is>
          <t>使用模板默认技能</t>
        </is>
      </c>
      <c r="I42" s="2" t="n">
        <v>7</v>
      </c>
      <c r="J42" s="2" t="n">
        <v>70</v>
      </c>
      <c r="K42" s="4" t="n">
        <v>0.18</v>
      </c>
      <c r="L42" s="2" t="inlineStr">
        <is>
          <t>data/mission_templates.yaml:L559:enemy_guests</t>
        </is>
      </c>
      <c r="M42" s="2" t="inlineStr">
        <is>
          <t>"hist_mingqing_0230"</t>
        </is>
      </c>
    </row>
    <row r="43">
      <c r="A43" s="2" t="inlineStr">
        <is>
          <t>shanhaiguan</t>
        </is>
      </c>
      <c r="B43" s="2" t="inlineStr">
        <is>
          <t>山海关</t>
        </is>
      </c>
      <c r="C43" s="2" t="inlineStr">
        <is>
          <t>个人任务</t>
        </is>
      </c>
      <c r="D43" s="2" t="inlineStr">
        <is>
          <t>门客</t>
        </is>
      </c>
      <c r="E43" s="2" t="inlineStr">
        <is>
          <t>hist_mingqing_0054</t>
        </is>
      </c>
      <c r="F43" s="2" t="n">
        <v>1</v>
      </c>
      <c r="G43" s="2" t="inlineStr">
        <is>
          <t>吴三桂</t>
        </is>
      </c>
      <c r="H43" s="2" t="inlineStr">
        <is>
          <t>使用模板默认技能</t>
        </is>
      </c>
      <c r="I43" s="2" t="n">
        <v>7</v>
      </c>
      <c r="J43" s="2" t="n">
        <v>70</v>
      </c>
      <c r="K43" s="4" t="n">
        <v>0.18</v>
      </c>
      <c r="L43" s="2" t="inlineStr">
        <is>
          <t>data/mission_templates.yaml:L559:enemy_guests</t>
        </is>
      </c>
      <c r="M43" s="2" t="inlineStr">
        <is>
          <t>"hist_mingqing_0054"</t>
        </is>
      </c>
    </row>
    <row r="44">
      <c r="A44" s="2" t="inlineStr">
        <is>
          <t>shanhaiguan</t>
        </is>
      </c>
      <c r="B44" s="2" t="inlineStr">
        <is>
          <t>山海关</t>
        </is>
      </c>
      <c r="C44" s="2" t="inlineStr">
        <is>
          <t>个人任务</t>
        </is>
      </c>
      <c r="D44" s="2" t="inlineStr">
        <is>
          <t>护院</t>
        </is>
      </c>
      <c r="E44" s="2" t="inlineStr">
        <is>
          <t>jian_sheng</t>
        </is>
      </c>
      <c r="F44" s="2" t="n">
        <v>500</v>
      </c>
      <c r="G44" s="2" t="inlineStr">
        <is>
          <t>剑圣</t>
        </is>
      </c>
      <c r="H44" s="2" t="inlineStr"/>
      <c r="I44" s="2" t="n">
        <v>7</v>
      </c>
      <c r="J44" s="2" t="n"/>
      <c r="K44" s="4" t="n"/>
      <c r="L44" s="2" t="inlineStr">
        <is>
          <t>data/mission_templates.yaml:L559:enemy_troops</t>
        </is>
      </c>
      <c r="M44" s="2" t="inlineStr">
        <is>
          <t>{"jian_sheng":500}</t>
        </is>
      </c>
    </row>
    <row r="45">
      <c r="A45" s="2" t="inlineStr">
        <is>
          <t>shanhaiguan</t>
        </is>
      </c>
      <c r="B45" s="2" t="inlineStr">
        <is>
          <t>山海关</t>
        </is>
      </c>
      <c r="C45" s="2" t="inlineStr">
        <is>
          <t>个人任务</t>
        </is>
      </c>
      <c r="D45" s="2" t="inlineStr">
        <is>
          <t>护院</t>
        </is>
      </c>
      <c r="E45" s="2" t="inlineStr">
        <is>
          <t>quan_wang</t>
        </is>
      </c>
      <c r="F45" s="2" t="n">
        <v>500</v>
      </c>
      <c r="G45" s="2" t="inlineStr">
        <is>
          <t>拳王</t>
        </is>
      </c>
      <c r="H45" s="2" t="inlineStr"/>
      <c r="I45" s="2" t="n">
        <v>7</v>
      </c>
      <c r="J45" s="2" t="n"/>
      <c r="K45" s="4" t="n"/>
      <c r="L45" s="2" t="inlineStr">
        <is>
          <t>data/mission_templates.yaml:L559:enemy_troops</t>
        </is>
      </c>
      <c r="M45" s="2" t="inlineStr">
        <is>
          <t>{"quan_wang":500}</t>
        </is>
      </c>
    </row>
    <row r="46">
      <c r="A46" s="2" t="inlineStr">
        <is>
          <t>shanhaiguan</t>
        </is>
      </c>
      <c r="B46" s="2" t="inlineStr">
        <is>
          <t>山海关</t>
        </is>
      </c>
      <c r="C46" s="2" t="inlineStr">
        <is>
          <t>个人任务</t>
        </is>
      </c>
      <c r="D46" s="2" t="inlineStr">
        <is>
          <t>护院</t>
        </is>
      </c>
      <c r="E46" s="2" t="inlineStr">
        <is>
          <t>qiang_ba</t>
        </is>
      </c>
      <c r="F46" s="2" t="n">
        <v>500</v>
      </c>
      <c r="G46" s="2" t="inlineStr">
        <is>
          <t>枪霸</t>
        </is>
      </c>
      <c r="H46" s="2" t="inlineStr"/>
      <c r="I46" s="2" t="n">
        <v>7</v>
      </c>
      <c r="J46" s="2" t="n"/>
      <c r="K46" s="4" t="n"/>
      <c r="L46" s="2" t="inlineStr">
        <is>
          <t>data/mission_templates.yaml:L559:enemy_troops</t>
        </is>
      </c>
      <c r="M46" s="2" t="inlineStr">
        <is>
          <t>{"qiang_ba":500}</t>
        </is>
      </c>
    </row>
    <row r="47">
      <c r="A47" s="2" t="inlineStr">
        <is>
          <t>shiren_daochang</t>
        </is>
      </c>
      <c r="B47" s="2" t="inlineStr">
        <is>
          <t>十人道场</t>
        </is>
      </c>
      <c r="C47" s="2" t="inlineStr">
        <is>
          <t>个人任务</t>
        </is>
      </c>
      <c r="D47" s="2" t="inlineStr">
        <is>
          <t>门客</t>
        </is>
      </c>
      <c r="E47" s="2" t="inlineStr">
        <is>
          <t>hero_du_sha</t>
        </is>
      </c>
      <c r="F47" s="2" t="n">
        <v>1</v>
      </c>
      <c r="G47" s="2" t="inlineStr">
        <is>
          <t>杜杀</t>
        </is>
      </c>
      <c r="H47" s="2" t="inlineStr">
        <is>
          <t>使用模板默认技能</t>
        </is>
      </c>
      <c r="I47" s="2" t="n">
        <v>6</v>
      </c>
      <c r="J47" s="2" t="n">
        <v>55</v>
      </c>
      <c r="K47" s="4" t="n">
        <v>0.08</v>
      </c>
      <c r="L47" s="2" t="inlineStr">
        <is>
          <t>data/mission_templates.yaml:L607:enemy_guests</t>
        </is>
      </c>
      <c r="M47" s="2" t="inlineStr">
        <is>
          <t>"hero_du_sha"</t>
        </is>
      </c>
    </row>
    <row r="48">
      <c r="A48" s="2" t="inlineStr">
        <is>
          <t>shiren_daochang</t>
        </is>
      </c>
      <c r="B48" s="2" t="inlineStr">
        <is>
          <t>十人道场</t>
        </is>
      </c>
      <c r="C48" s="2" t="inlineStr">
        <is>
          <t>个人任务</t>
        </is>
      </c>
      <c r="D48" s="2" t="inlineStr">
        <is>
          <t>门客</t>
        </is>
      </c>
      <c r="E48" s="2" t="inlineStr">
        <is>
          <t>hero_li_dazui</t>
        </is>
      </c>
      <c r="F48" s="2" t="n">
        <v>1</v>
      </c>
      <c r="G48" s="2" t="inlineStr">
        <is>
          <t>李大嘴</t>
        </is>
      </c>
      <c r="H48" s="2" t="inlineStr">
        <is>
          <t>使用模板默认技能</t>
        </is>
      </c>
      <c r="I48" s="2" t="n">
        <v>6</v>
      </c>
      <c r="J48" s="2" t="n">
        <v>55</v>
      </c>
      <c r="K48" s="4" t="n">
        <v>0.08</v>
      </c>
      <c r="L48" s="2" t="inlineStr">
        <is>
          <t>data/mission_templates.yaml:L607:enemy_guests</t>
        </is>
      </c>
      <c r="M48" s="2" t="inlineStr">
        <is>
          <t>"hero_li_dazui"</t>
        </is>
      </c>
    </row>
    <row r="49">
      <c r="A49" s="2" t="inlineStr">
        <is>
          <t>shiren_daochang</t>
        </is>
      </c>
      <c r="B49" s="2" t="inlineStr">
        <is>
          <t>十人道场</t>
        </is>
      </c>
      <c r="C49" s="2" t="inlineStr">
        <is>
          <t>个人任务</t>
        </is>
      </c>
      <c r="D49" s="2" t="inlineStr">
        <is>
          <t>门客</t>
        </is>
      </c>
      <c r="E49" s="2" t="inlineStr">
        <is>
          <t>hero_hahaer</t>
        </is>
      </c>
      <c r="F49" s="2" t="n">
        <v>1</v>
      </c>
      <c r="G49" s="2" t="inlineStr">
        <is>
          <t>哈哈儿</t>
        </is>
      </c>
      <c r="H49" s="2" t="inlineStr">
        <is>
          <t>使用模板默认技能</t>
        </is>
      </c>
      <c r="I49" s="2" t="n">
        <v>6</v>
      </c>
      <c r="J49" s="2" t="n">
        <v>55</v>
      </c>
      <c r="K49" s="4" t="n">
        <v>0.08</v>
      </c>
      <c r="L49" s="2" t="inlineStr">
        <is>
          <t>data/mission_templates.yaml:L607:enemy_guests</t>
        </is>
      </c>
      <c r="M49" s="2" t="inlineStr">
        <is>
          <t>"hero_hahaer"</t>
        </is>
      </c>
    </row>
    <row r="50">
      <c r="A50" s="2" t="inlineStr">
        <is>
          <t>shiren_daochang</t>
        </is>
      </c>
      <c r="B50" s="2" t="inlineStr">
        <is>
          <t>十人道场</t>
        </is>
      </c>
      <c r="C50" s="2" t="inlineStr">
        <is>
          <t>个人任务</t>
        </is>
      </c>
      <c r="D50" s="2" t="inlineStr">
        <is>
          <t>门客</t>
        </is>
      </c>
      <c r="E50" s="2" t="inlineStr">
        <is>
          <t>hero_tu_jiaojiao</t>
        </is>
      </c>
      <c r="F50" s="2" t="n">
        <v>1</v>
      </c>
      <c r="G50" s="2" t="inlineStr">
        <is>
          <t>屠娇娇</t>
        </is>
      </c>
      <c r="H50" s="2" t="inlineStr">
        <is>
          <t>使用模板默认技能</t>
        </is>
      </c>
      <c r="I50" s="2" t="n">
        <v>6</v>
      </c>
      <c r="J50" s="2" t="n">
        <v>55</v>
      </c>
      <c r="K50" s="4" t="n">
        <v>0.08</v>
      </c>
      <c r="L50" s="2" t="inlineStr">
        <is>
          <t>data/mission_templates.yaml:L607:enemy_guests</t>
        </is>
      </c>
      <c r="M50" s="2" t="inlineStr">
        <is>
          <t>"hero_tu_jiaojiao"</t>
        </is>
      </c>
    </row>
    <row r="51">
      <c r="A51" s="2" t="inlineStr">
        <is>
          <t>shiren_daochang</t>
        </is>
      </c>
      <c r="B51" s="2" t="inlineStr">
        <is>
          <t>十人道场</t>
        </is>
      </c>
      <c r="C51" s="2" t="inlineStr">
        <is>
          <t>个人任务</t>
        </is>
      </c>
      <c r="D51" s="2" t="inlineStr">
        <is>
          <t>门客</t>
        </is>
      </c>
      <c r="E51" s="2" t="inlineStr">
        <is>
          <t>hero_yin_jiuyou</t>
        </is>
      </c>
      <c r="F51" s="2" t="n">
        <v>1</v>
      </c>
      <c r="G51" s="2" t="inlineStr">
        <is>
          <t>阴九幽</t>
        </is>
      </c>
      <c r="H51" s="2" t="inlineStr">
        <is>
          <t>使用模板默认技能</t>
        </is>
      </c>
      <c r="I51" s="2" t="n">
        <v>6</v>
      </c>
      <c r="J51" s="2" t="n">
        <v>55</v>
      </c>
      <c r="K51" s="4" t="n">
        <v>0.08</v>
      </c>
      <c r="L51" s="2" t="inlineStr">
        <is>
          <t>data/mission_templates.yaml:L607:enemy_guests</t>
        </is>
      </c>
      <c r="M51" s="2" t="inlineStr">
        <is>
          <t>"hero_yin_jiuyou"</t>
        </is>
      </c>
    </row>
    <row r="52">
      <c r="A52" s="2" t="inlineStr">
        <is>
          <t>shiren_daochang</t>
        </is>
      </c>
      <c r="B52" s="2" t="inlineStr">
        <is>
          <t>十人道场</t>
        </is>
      </c>
      <c r="C52" s="2" t="inlineStr">
        <is>
          <t>个人任务</t>
        </is>
      </c>
      <c r="D52" s="2" t="inlineStr">
        <is>
          <t>门客</t>
        </is>
      </c>
      <c r="E52" s="2" t="inlineStr">
        <is>
          <t>task_shiren_xiaomimi</t>
        </is>
      </c>
      <c r="F52" s="2" t="n">
        <v>1</v>
      </c>
      <c r="G52" s="2" t="inlineStr">
        <is>
          <t>萧咪咪</t>
        </is>
      </c>
      <c r="H52" s="2" t="inlineStr">
        <is>
          <t>使用模板默认技能</t>
        </is>
      </c>
      <c r="I52" s="2" t="n">
        <v>6</v>
      </c>
      <c r="J52" s="2" t="n">
        <v>55</v>
      </c>
      <c r="K52" s="4" t="n">
        <v>0.08</v>
      </c>
      <c r="L52" s="2" t="inlineStr">
        <is>
          <t>data/mission_templates.yaml:L607:enemy_guests</t>
        </is>
      </c>
      <c r="M52" s="2" t="inlineStr">
        <is>
          <t>{"key":"task_shiren_xiaomimi","label":"萧咪咪"}</t>
        </is>
      </c>
    </row>
    <row r="53">
      <c r="A53" s="2" t="inlineStr">
        <is>
          <t>shiren_daochang</t>
        </is>
      </c>
      <c r="B53" s="2" t="inlineStr">
        <is>
          <t>十人道场</t>
        </is>
      </c>
      <c r="C53" s="2" t="inlineStr">
        <is>
          <t>个人任务</t>
        </is>
      </c>
      <c r="D53" s="2" t="inlineStr">
        <is>
          <t>门客</t>
        </is>
      </c>
      <c r="E53" s="2" t="inlineStr">
        <is>
          <t>task_shiren_xuanyuansanguang</t>
        </is>
      </c>
      <c r="F53" s="2" t="n">
        <v>1</v>
      </c>
      <c r="G53" s="2" t="inlineStr">
        <is>
          <t>轩辕三光</t>
        </is>
      </c>
      <c r="H53" s="2" t="inlineStr">
        <is>
          <t>使用模板默认技能</t>
        </is>
      </c>
      <c r="I53" s="2" t="n">
        <v>6</v>
      </c>
      <c r="J53" s="2" t="n">
        <v>55</v>
      </c>
      <c r="K53" s="4" t="n">
        <v>0.08</v>
      </c>
      <c r="L53" s="2" t="inlineStr">
        <is>
          <t>data/mission_templates.yaml:L607:enemy_guests</t>
        </is>
      </c>
      <c r="M53" s="2" t="inlineStr">
        <is>
          <t>{"key":"task_shiren_xuanyuansanguang","label":"轩辕三光"}</t>
        </is>
      </c>
    </row>
    <row r="54">
      <c r="A54" s="2" t="inlineStr">
        <is>
          <t>shiren_daochang</t>
        </is>
      </c>
      <c r="B54" s="2" t="inlineStr">
        <is>
          <t>十人道场</t>
        </is>
      </c>
      <c r="C54" s="2" t="inlineStr">
        <is>
          <t>个人任务</t>
        </is>
      </c>
      <c r="D54" s="2" t="inlineStr">
        <is>
          <t>门客</t>
        </is>
      </c>
      <c r="E54" s="2" t="inlineStr">
        <is>
          <t>task_shiren_tiezhan</t>
        </is>
      </c>
      <c r="F54" s="2" t="n">
        <v>1</v>
      </c>
      <c r="G54" s="2" t="inlineStr">
        <is>
          <t>铁战</t>
        </is>
      </c>
      <c r="H54" s="2" t="inlineStr">
        <is>
          <t>使用模板默认技能</t>
        </is>
      </c>
      <c r="I54" s="2" t="n">
        <v>6</v>
      </c>
      <c r="J54" s="2" t="n">
        <v>55</v>
      </c>
      <c r="K54" s="4" t="n">
        <v>0.08</v>
      </c>
      <c r="L54" s="2" t="inlineStr">
        <is>
          <t>data/mission_templates.yaml:L607:enemy_guests</t>
        </is>
      </c>
      <c r="M54" s="2" t="inlineStr">
        <is>
          <t>{"key":"task_shiren_tiezhan","label":"铁战"}</t>
        </is>
      </c>
    </row>
    <row r="55">
      <c r="A55" s="2" t="inlineStr">
        <is>
          <t>shiren_daochang</t>
        </is>
      </c>
      <c r="B55" s="2" t="inlineStr">
        <is>
          <t>十人道场</t>
        </is>
      </c>
      <c r="C55" s="2" t="inlineStr">
        <is>
          <t>个人任务</t>
        </is>
      </c>
      <c r="D55" s="2" t="inlineStr">
        <is>
          <t>门客</t>
        </is>
      </c>
      <c r="E55" s="2" t="inlineStr">
        <is>
          <t>hero_bai_kaixin</t>
        </is>
      </c>
      <c r="F55" s="2" t="n">
        <v>1</v>
      </c>
      <c r="G55" s="2" t="inlineStr">
        <is>
          <t>白开心</t>
        </is>
      </c>
      <c r="H55" s="2" t="inlineStr">
        <is>
          <t>使用模板默认技能</t>
        </is>
      </c>
      <c r="I55" s="2" t="n">
        <v>6</v>
      </c>
      <c r="J55" s="2" t="n">
        <v>55</v>
      </c>
      <c r="K55" s="4" t="n">
        <v>0.08</v>
      </c>
      <c r="L55" s="2" t="inlineStr">
        <is>
          <t>data/mission_templates.yaml:L607:enemy_guests</t>
        </is>
      </c>
      <c r="M55" s="2" t="inlineStr">
        <is>
          <t>"hero_bai_kaixin"</t>
        </is>
      </c>
    </row>
    <row r="56">
      <c r="A56" s="2" t="inlineStr">
        <is>
          <t>shiren_daochang</t>
        </is>
      </c>
      <c r="B56" s="2" t="inlineStr">
        <is>
          <t>十人道场</t>
        </is>
      </c>
      <c r="C56" s="2" t="inlineStr">
        <is>
          <t>个人任务</t>
        </is>
      </c>
      <c r="D56" s="2" t="inlineStr">
        <is>
          <t>门客</t>
        </is>
      </c>
      <c r="E56" s="2" t="inlineStr">
        <is>
          <t>task_shiren_luoshixiongdi</t>
        </is>
      </c>
      <c r="F56" s="2" t="n">
        <v>1</v>
      </c>
      <c r="G56" s="2" t="inlineStr">
        <is>
          <t>罗氏兄弟</t>
        </is>
      </c>
      <c r="H56" s="2" t="inlineStr">
        <is>
          <t>使用模板默认技能</t>
        </is>
      </c>
      <c r="I56" s="2" t="n">
        <v>6</v>
      </c>
      <c r="J56" s="2" t="n">
        <v>55</v>
      </c>
      <c r="K56" s="4" t="n">
        <v>0.08</v>
      </c>
      <c r="L56" s="2" t="inlineStr">
        <is>
          <t>data/mission_templates.yaml:L607:enemy_guests</t>
        </is>
      </c>
      <c r="M56" s="2" t="inlineStr">
        <is>
          <t>{"key":"task_shiren_luoshixiongdi","label":"罗氏兄弟"}</t>
        </is>
      </c>
    </row>
    <row r="57">
      <c r="A57" s="2" t="inlineStr">
        <is>
          <t>jiguanshou_chuxian</t>
        </is>
      </c>
      <c r="B57" s="2" t="inlineStr">
        <is>
          <t>机关兽初现</t>
        </is>
      </c>
      <c r="C57" s="2" t="inlineStr">
        <is>
          <t>个人任务</t>
        </is>
      </c>
      <c r="D57" s="2" t="inlineStr">
        <is>
          <t>门客</t>
        </is>
      </c>
      <c r="E57" s="2" t="inlineStr">
        <is>
          <t>task_mechanism_cat</t>
        </is>
      </c>
      <c r="F57" s="2" t="n">
        <v>1</v>
      </c>
      <c r="G57" s="2" t="inlineStr">
        <is>
          <t>改装机械猫</t>
        </is>
      </c>
      <c r="H57" s="2" t="inlineStr">
        <is>
          <t>使用模板默认技能</t>
        </is>
      </c>
      <c r="I57" s="2" t="n">
        <v>7</v>
      </c>
      <c r="J57" s="2" t="n">
        <v>35</v>
      </c>
      <c r="K57" s="4" t="n">
        <v>0.12</v>
      </c>
      <c r="L57" s="2" t="inlineStr">
        <is>
          <t>data/mission_templates.yaml:L655:enemy_guests</t>
        </is>
      </c>
      <c r="M57" s="2" t="inlineStr">
        <is>
          <t>{"key":"task_mechanism_cat","label":"改装机械猫"}</t>
        </is>
      </c>
    </row>
    <row r="58">
      <c r="A58" s="2" t="inlineStr">
        <is>
          <t>jiguanshou_chuxian</t>
        </is>
      </c>
      <c r="B58" s="2" t="inlineStr">
        <is>
          <t>机关兽初现</t>
        </is>
      </c>
      <c r="C58" s="2" t="inlineStr">
        <is>
          <t>个人任务</t>
        </is>
      </c>
      <c r="D58" s="2" t="inlineStr">
        <is>
          <t>门客</t>
        </is>
      </c>
      <c r="E58" s="2" t="inlineStr">
        <is>
          <t>task_mechanism_cat</t>
        </is>
      </c>
      <c r="F58" s="2" t="n">
        <v>1</v>
      </c>
      <c r="G58" s="2" t="inlineStr">
        <is>
          <t>改装机械猫</t>
        </is>
      </c>
      <c r="H58" s="2" t="inlineStr">
        <is>
          <t>使用模板默认技能</t>
        </is>
      </c>
      <c r="I58" s="2" t="n">
        <v>7</v>
      </c>
      <c r="J58" s="2" t="n">
        <v>35</v>
      </c>
      <c r="K58" s="4" t="n">
        <v>0.12</v>
      </c>
      <c r="L58" s="2" t="inlineStr">
        <is>
          <t>data/mission_templates.yaml:L655:enemy_guests</t>
        </is>
      </c>
      <c r="M58" s="2" t="inlineStr">
        <is>
          <t>{"key":"task_mechanism_cat","label":"改装机械猫"}</t>
        </is>
      </c>
    </row>
    <row r="59">
      <c r="A59" s="2" t="inlineStr">
        <is>
          <t>jiguanshou_chuxian</t>
        </is>
      </c>
      <c r="B59" s="2" t="inlineStr">
        <is>
          <t>机关兽初现</t>
        </is>
      </c>
      <c r="C59" s="2" t="inlineStr">
        <is>
          <t>个人任务</t>
        </is>
      </c>
      <c r="D59" s="2" t="inlineStr">
        <is>
          <t>门客</t>
        </is>
      </c>
      <c r="E59" s="2" t="inlineStr">
        <is>
          <t>task_mechanism_cat</t>
        </is>
      </c>
      <c r="F59" s="2" t="n">
        <v>1</v>
      </c>
      <c r="G59" s="2" t="inlineStr">
        <is>
          <t>改装机械猫</t>
        </is>
      </c>
      <c r="H59" s="2" t="inlineStr">
        <is>
          <t>使用模板默认技能</t>
        </is>
      </c>
      <c r="I59" s="2" t="n">
        <v>7</v>
      </c>
      <c r="J59" s="2" t="n">
        <v>35</v>
      </c>
      <c r="K59" s="4" t="n">
        <v>0.12</v>
      </c>
      <c r="L59" s="2" t="inlineStr">
        <is>
          <t>data/mission_templates.yaml:L655:enemy_guests</t>
        </is>
      </c>
      <c r="M59" s="2" t="inlineStr">
        <is>
          <t>{"key":"task_mechanism_cat","label":"改装机械猫"}</t>
        </is>
      </c>
    </row>
    <row r="60">
      <c r="A60" s="2" t="inlineStr">
        <is>
          <t>jiguanshou_chuxian</t>
        </is>
      </c>
      <c r="B60" s="2" t="inlineStr">
        <is>
          <t>机关兽初现</t>
        </is>
      </c>
      <c r="C60" s="2" t="inlineStr">
        <is>
          <t>个人任务</t>
        </is>
      </c>
      <c r="D60" s="2" t="inlineStr">
        <is>
          <t>门客</t>
        </is>
      </c>
      <c r="E60" s="2" t="inlineStr">
        <is>
          <t>task_mechanism_cat</t>
        </is>
      </c>
      <c r="F60" s="2" t="n">
        <v>1</v>
      </c>
      <c r="G60" s="2" t="inlineStr">
        <is>
          <t>改装机械猫</t>
        </is>
      </c>
      <c r="H60" s="2" t="inlineStr">
        <is>
          <t>使用模板默认技能</t>
        </is>
      </c>
      <c r="I60" s="2" t="n">
        <v>7</v>
      </c>
      <c r="J60" s="2" t="n">
        <v>35</v>
      </c>
      <c r="K60" s="4" t="n">
        <v>0.12</v>
      </c>
      <c r="L60" s="2" t="inlineStr">
        <is>
          <t>data/mission_templates.yaml:L655:enemy_guests</t>
        </is>
      </c>
      <c r="M60" s="2" t="inlineStr">
        <is>
          <t>{"key":"task_mechanism_cat","label":"改装机械猫"}</t>
        </is>
      </c>
    </row>
    <row r="61">
      <c r="A61" s="2" t="inlineStr">
        <is>
          <t>jiguanshou_chuxian</t>
        </is>
      </c>
      <c r="B61" s="2" t="inlineStr">
        <is>
          <t>机关兽初现</t>
        </is>
      </c>
      <c r="C61" s="2" t="inlineStr">
        <is>
          <t>个人任务</t>
        </is>
      </c>
      <c r="D61" s="2" t="inlineStr">
        <is>
          <t>门客</t>
        </is>
      </c>
      <c r="E61" s="2" t="inlineStr">
        <is>
          <t>task_mechanism_cat</t>
        </is>
      </c>
      <c r="F61" s="2" t="n">
        <v>1</v>
      </c>
      <c r="G61" s="2" t="inlineStr">
        <is>
          <t>改装机械猫</t>
        </is>
      </c>
      <c r="H61" s="2" t="inlineStr">
        <is>
          <t>使用模板默认技能</t>
        </is>
      </c>
      <c r="I61" s="2" t="n">
        <v>7</v>
      </c>
      <c r="J61" s="2" t="n">
        <v>35</v>
      </c>
      <c r="K61" s="4" t="n">
        <v>0.12</v>
      </c>
      <c r="L61" s="2" t="inlineStr">
        <is>
          <t>data/mission_templates.yaml:L655:enemy_guests</t>
        </is>
      </c>
      <c r="M61" s="2" t="inlineStr">
        <is>
          <t>{"key":"task_mechanism_cat","label":"改装机械猫"}</t>
        </is>
      </c>
    </row>
    <row r="62">
      <c r="A62" s="2" t="inlineStr">
        <is>
          <t>jiguanshou_chuxian</t>
        </is>
      </c>
      <c r="B62" s="2" t="inlineStr">
        <is>
          <t>机关兽初现</t>
        </is>
      </c>
      <c r="C62" s="2" t="inlineStr">
        <is>
          <t>个人任务</t>
        </is>
      </c>
      <c r="D62" s="2" t="inlineStr">
        <is>
          <t>门客</t>
        </is>
      </c>
      <c r="E62" s="2" t="inlineStr">
        <is>
          <t>task_mechanism_cat</t>
        </is>
      </c>
      <c r="F62" s="2" t="n">
        <v>1</v>
      </c>
      <c r="G62" s="2" t="inlineStr">
        <is>
          <t>改装机械猫</t>
        </is>
      </c>
      <c r="H62" s="2" t="inlineStr">
        <is>
          <t>使用模板默认技能</t>
        </is>
      </c>
      <c r="I62" s="2" t="n">
        <v>7</v>
      </c>
      <c r="J62" s="2" t="n">
        <v>35</v>
      </c>
      <c r="K62" s="4" t="n">
        <v>0.12</v>
      </c>
      <c r="L62" s="2" t="inlineStr">
        <is>
          <t>data/mission_templates.yaml:L655:enemy_guests</t>
        </is>
      </c>
      <c r="M62" s="2" t="inlineStr">
        <is>
          <t>{"key":"task_mechanism_cat","label":"改装机械猫"}</t>
        </is>
      </c>
    </row>
    <row r="63">
      <c r="A63" s="2" t="inlineStr">
        <is>
          <t>jiguanshou_chuxian</t>
        </is>
      </c>
      <c r="B63" s="2" t="inlineStr">
        <is>
          <t>机关兽初现</t>
        </is>
      </c>
      <c r="C63" s="2" t="inlineStr">
        <is>
          <t>个人任务</t>
        </is>
      </c>
      <c r="D63" s="2" t="inlineStr">
        <is>
          <t>门客</t>
        </is>
      </c>
      <c r="E63" s="2" t="inlineStr">
        <is>
          <t>task_mechanism_cat</t>
        </is>
      </c>
      <c r="F63" s="2" t="n">
        <v>1</v>
      </c>
      <c r="G63" s="2" t="inlineStr">
        <is>
          <t>改装机械猫</t>
        </is>
      </c>
      <c r="H63" s="2" t="inlineStr">
        <is>
          <t>使用模板默认技能</t>
        </is>
      </c>
      <c r="I63" s="2" t="n">
        <v>7</v>
      </c>
      <c r="J63" s="2" t="n">
        <v>35</v>
      </c>
      <c r="K63" s="4" t="n">
        <v>0.12</v>
      </c>
      <c r="L63" s="2" t="inlineStr">
        <is>
          <t>data/mission_templates.yaml:L655:enemy_guests</t>
        </is>
      </c>
      <c r="M63" s="2" t="inlineStr">
        <is>
          <t>{"key":"task_mechanism_cat","label":"改装机械猫"}</t>
        </is>
      </c>
    </row>
    <row r="64">
      <c r="A64" s="2" t="inlineStr">
        <is>
          <t>jiguanshou_chuxian</t>
        </is>
      </c>
      <c r="B64" s="2" t="inlineStr">
        <is>
          <t>机关兽初现</t>
        </is>
      </c>
      <c r="C64" s="2" t="inlineStr">
        <is>
          <t>个人任务</t>
        </is>
      </c>
      <c r="D64" s="2" t="inlineStr">
        <is>
          <t>门客</t>
        </is>
      </c>
      <c r="E64" s="2" t="inlineStr">
        <is>
          <t>task_mechanism_cat</t>
        </is>
      </c>
      <c r="F64" s="2" t="n">
        <v>1</v>
      </c>
      <c r="G64" s="2" t="inlineStr">
        <is>
          <t>改装机械猫</t>
        </is>
      </c>
      <c r="H64" s="2" t="inlineStr">
        <is>
          <t>使用模板默认技能</t>
        </is>
      </c>
      <c r="I64" s="2" t="n">
        <v>7</v>
      </c>
      <c r="J64" s="2" t="n">
        <v>35</v>
      </c>
      <c r="K64" s="4" t="n">
        <v>0.12</v>
      </c>
      <c r="L64" s="2" t="inlineStr">
        <is>
          <t>data/mission_templates.yaml:L655:enemy_guests</t>
        </is>
      </c>
      <c r="M64" s="2" t="inlineStr">
        <is>
          <t>{"key":"task_mechanism_cat","label":"改装机械猫"}</t>
        </is>
      </c>
    </row>
    <row r="65">
      <c r="A65" s="2" t="inlineStr">
        <is>
          <t>biwu_zhaoqin</t>
        </is>
      </c>
      <c r="B65" s="2" t="inlineStr">
        <is>
          <t>比武招亲</t>
        </is>
      </c>
      <c r="C65" s="2" t="inlineStr">
        <is>
          <t>个人任务</t>
        </is>
      </c>
      <c r="D65" s="2" t="inlineStr">
        <is>
          <t>门客</t>
        </is>
      </c>
      <c r="E65" s="2" t="inlineStr">
        <is>
          <t>task_matchmaking_bear</t>
        </is>
      </c>
      <c r="F65" s="2" t="n">
        <v>1</v>
      </c>
      <c r="G65" s="2" t="inlineStr">
        <is>
          <t>机关熊</t>
        </is>
      </c>
      <c r="H65" s="2" t="inlineStr">
        <is>
          <t>使用模板默认技能</t>
        </is>
      </c>
      <c r="I65" s="2" t="n">
        <v>4</v>
      </c>
      <c r="J65" s="2" t="n">
        <v>55</v>
      </c>
      <c r="K65" s="4" t="n">
        <v>0.2</v>
      </c>
      <c r="L65" s="2" t="inlineStr">
        <is>
          <t>data/mission_templates.yaml:L698:enemy_guests</t>
        </is>
      </c>
      <c r="M65" s="2" t="inlineStr">
        <is>
          <t>{"key":"task_matchmaking_bear","label":"机关熊"}</t>
        </is>
      </c>
    </row>
    <row r="66">
      <c r="A66" s="2" t="inlineStr">
        <is>
          <t>tianpeng_dijiao_1</t>
        </is>
      </c>
      <c r="B66" s="2" t="inlineStr">
        <is>
          <t>天蓬元帅的地窖（第一层）</t>
        </is>
      </c>
      <c r="C66" s="2" t="inlineStr">
        <is>
          <t>个人任务</t>
        </is>
      </c>
      <c r="D66" s="2" t="inlineStr">
        <is>
          <t>门客</t>
        </is>
      </c>
      <c r="E66" s="2" t="inlineStr">
        <is>
          <t>task_cellar_guard</t>
        </is>
      </c>
      <c r="F66" s="2" t="n">
        <v>1</v>
      </c>
      <c r="G66" s="2" t="inlineStr">
        <is>
          <t>守卫</t>
        </is>
      </c>
      <c r="H66" s="2" t="inlineStr">
        <is>
          <t>使用模板默认技能</t>
        </is>
      </c>
      <c r="I66" s="2" t="n">
        <v>8</v>
      </c>
      <c r="J66" s="2" t="n">
        <v>50</v>
      </c>
      <c r="K66" s="4" t="n">
        <v>0.12</v>
      </c>
      <c r="L66" s="2" t="inlineStr">
        <is>
          <t>data/mission_templates.yaml:L731:enemy_guests</t>
        </is>
      </c>
      <c r="M66" s="2" t="inlineStr">
        <is>
          <t>{"key":"task_cellar_guard","label":"守卫"}</t>
        </is>
      </c>
    </row>
    <row r="67">
      <c r="A67" s="2" t="inlineStr">
        <is>
          <t>tianpeng_dijiao_1</t>
        </is>
      </c>
      <c r="B67" s="2" t="inlineStr">
        <is>
          <t>天蓬元帅的地窖（第一层）</t>
        </is>
      </c>
      <c r="C67" s="2" t="inlineStr">
        <is>
          <t>个人任务</t>
        </is>
      </c>
      <c r="D67" s="2" t="inlineStr">
        <is>
          <t>门客</t>
        </is>
      </c>
      <c r="E67" s="2" t="inlineStr">
        <is>
          <t>task_cellar_guard</t>
        </is>
      </c>
      <c r="F67" s="2" t="n">
        <v>1</v>
      </c>
      <c r="G67" s="2" t="inlineStr">
        <is>
          <t>守卫</t>
        </is>
      </c>
      <c r="H67" s="2" t="inlineStr">
        <is>
          <t>使用模板默认技能</t>
        </is>
      </c>
      <c r="I67" s="2" t="n">
        <v>8</v>
      </c>
      <c r="J67" s="2" t="n">
        <v>50</v>
      </c>
      <c r="K67" s="4" t="n">
        <v>0.12</v>
      </c>
      <c r="L67" s="2" t="inlineStr">
        <is>
          <t>data/mission_templates.yaml:L731:enemy_guests</t>
        </is>
      </c>
      <c r="M67" s="2" t="inlineStr">
        <is>
          <t>{"key":"task_cellar_guard","label":"守卫"}</t>
        </is>
      </c>
    </row>
    <row r="68">
      <c r="A68" s="2" t="inlineStr">
        <is>
          <t>tianpeng_dijiao_1</t>
        </is>
      </c>
      <c r="B68" s="2" t="inlineStr">
        <is>
          <t>天蓬元帅的地窖（第一层）</t>
        </is>
      </c>
      <c r="C68" s="2" t="inlineStr">
        <is>
          <t>个人任务</t>
        </is>
      </c>
      <c r="D68" s="2" t="inlineStr">
        <is>
          <t>门客</t>
        </is>
      </c>
      <c r="E68" s="2" t="inlineStr">
        <is>
          <t>task_cellar_guard</t>
        </is>
      </c>
      <c r="F68" s="2" t="n">
        <v>1</v>
      </c>
      <c r="G68" s="2" t="inlineStr">
        <is>
          <t>守卫</t>
        </is>
      </c>
      <c r="H68" s="2" t="inlineStr">
        <is>
          <t>使用模板默认技能</t>
        </is>
      </c>
      <c r="I68" s="2" t="n">
        <v>8</v>
      </c>
      <c r="J68" s="2" t="n">
        <v>50</v>
      </c>
      <c r="K68" s="4" t="n">
        <v>0.12</v>
      </c>
      <c r="L68" s="2" t="inlineStr">
        <is>
          <t>data/mission_templates.yaml:L731:enemy_guests</t>
        </is>
      </c>
      <c r="M68" s="2" t="inlineStr">
        <is>
          <t>{"key":"task_cellar_guard","label":"守卫"}</t>
        </is>
      </c>
    </row>
    <row r="69">
      <c r="A69" s="2" t="inlineStr">
        <is>
          <t>tianpeng_dijiao_1</t>
        </is>
      </c>
      <c r="B69" s="2" t="inlineStr">
        <is>
          <t>天蓬元帅的地窖（第一层）</t>
        </is>
      </c>
      <c r="C69" s="2" t="inlineStr">
        <is>
          <t>个人任务</t>
        </is>
      </c>
      <c r="D69" s="2" t="inlineStr">
        <is>
          <t>门客</t>
        </is>
      </c>
      <c r="E69" s="2" t="inlineStr">
        <is>
          <t>task_cellar_guard</t>
        </is>
      </c>
      <c r="F69" s="2" t="n">
        <v>1</v>
      </c>
      <c r="G69" s="2" t="inlineStr">
        <is>
          <t>守卫</t>
        </is>
      </c>
      <c r="H69" s="2" t="inlineStr">
        <is>
          <t>使用模板默认技能</t>
        </is>
      </c>
      <c r="I69" s="2" t="n">
        <v>8</v>
      </c>
      <c r="J69" s="2" t="n">
        <v>50</v>
      </c>
      <c r="K69" s="4" t="n">
        <v>0.12</v>
      </c>
      <c r="L69" s="2" t="inlineStr">
        <is>
          <t>data/mission_templates.yaml:L731:enemy_guests</t>
        </is>
      </c>
      <c r="M69" s="2" t="inlineStr">
        <is>
          <t>{"key":"task_cellar_guard","label":"守卫"}</t>
        </is>
      </c>
    </row>
    <row r="70">
      <c r="A70" s="2" t="inlineStr">
        <is>
          <t>tianpeng_dijiao_1</t>
        </is>
      </c>
      <c r="B70" s="2" t="inlineStr">
        <is>
          <t>天蓬元帅的地窖（第一层）</t>
        </is>
      </c>
      <c r="C70" s="2" t="inlineStr">
        <is>
          <t>个人任务</t>
        </is>
      </c>
      <c r="D70" s="2" t="inlineStr">
        <is>
          <t>门客</t>
        </is>
      </c>
      <c r="E70" s="2" t="inlineStr">
        <is>
          <t>task_cellar_guard</t>
        </is>
      </c>
      <c r="F70" s="2" t="n">
        <v>1</v>
      </c>
      <c r="G70" s="2" t="inlineStr">
        <is>
          <t>守卫</t>
        </is>
      </c>
      <c r="H70" s="2" t="inlineStr">
        <is>
          <t>使用模板默认技能</t>
        </is>
      </c>
      <c r="I70" s="2" t="n">
        <v>8</v>
      </c>
      <c r="J70" s="2" t="n">
        <v>50</v>
      </c>
      <c r="K70" s="4" t="n">
        <v>0.12</v>
      </c>
      <c r="L70" s="2" t="inlineStr">
        <is>
          <t>data/mission_templates.yaml:L731:enemy_guests</t>
        </is>
      </c>
      <c r="M70" s="2" t="inlineStr">
        <is>
          <t>{"key":"task_cellar_guard","label":"守卫"}</t>
        </is>
      </c>
    </row>
    <row r="71">
      <c r="A71" s="2" t="inlineStr">
        <is>
          <t>tianpeng_dijiao_1</t>
        </is>
      </c>
      <c r="B71" s="2" t="inlineStr">
        <is>
          <t>天蓬元帅的地窖（第一层）</t>
        </is>
      </c>
      <c r="C71" s="2" t="inlineStr">
        <is>
          <t>个人任务</t>
        </is>
      </c>
      <c r="D71" s="2" t="inlineStr">
        <is>
          <t>门客</t>
        </is>
      </c>
      <c r="E71" s="2" t="inlineStr">
        <is>
          <t>task_cellar_guard</t>
        </is>
      </c>
      <c r="F71" s="2" t="n">
        <v>1</v>
      </c>
      <c r="G71" s="2" t="inlineStr">
        <is>
          <t>守卫</t>
        </is>
      </c>
      <c r="H71" s="2" t="inlineStr">
        <is>
          <t>使用模板默认技能</t>
        </is>
      </c>
      <c r="I71" s="2" t="n">
        <v>8</v>
      </c>
      <c r="J71" s="2" t="n">
        <v>50</v>
      </c>
      <c r="K71" s="4" t="n">
        <v>0.12</v>
      </c>
      <c r="L71" s="2" t="inlineStr">
        <is>
          <t>data/mission_templates.yaml:L731:enemy_guests</t>
        </is>
      </c>
      <c r="M71" s="2" t="inlineStr">
        <is>
          <t>{"key":"task_cellar_guard","label":"守卫"}</t>
        </is>
      </c>
    </row>
    <row r="72">
      <c r="A72" s="2" t="inlineStr">
        <is>
          <t>tianpeng_dijiao_1</t>
        </is>
      </c>
      <c r="B72" s="2" t="inlineStr">
        <is>
          <t>天蓬元帅的地窖（第一层）</t>
        </is>
      </c>
      <c r="C72" s="2" t="inlineStr">
        <is>
          <t>个人任务</t>
        </is>
      </c>
      <c r="D72" s="2" t="inlineStr">
        <is>
          <t>门客</t>
        </is>
      </c>
      <c r="E72" s="2" t="inlineStr">
        <is>
          <t>task_cellar_guard</t>
        </is>
      </c>
      <c r="F72" s="2" t="n">
        <v>1</v>
      </c>
      <c r="G72" s="2" t="inlineStr">
        <is>
          <t>守卫</t>
        </is>
      </c>
      <c r="H72" s="2" t="inlineStr">
        <is>
          <t>使用模板默认技能</t>
        </is>
      </c>
      <c r="I72" s="2" t="n">
        <v>8</v>
      </c>
      <c r="J72" s="2" t="n">
        <v>50</v>
      </c>
      <c r="K72" s="4" t="n">
        <v>0.12</v>
      </c>
      <c r="L72" s="2" t="inlineStr">
        <is>
          <t>data/mission_templates.yaml:L731:enemy_guests</t>
        </is>
      </c>
      <c r="M72" s="2" t="inlineStr">
        <is>
          <t>{"key":"task_cellar_guard","label":"守卫"}</t>
        </is>
      </c>
    </row>
    <row r="73">
      <c r="A73" s="2" t="inlineStr">
        <is>
          <t>tianpeng_dijiao_1</t>
        </is>
      </c>
      <c r="B73" s="2" t="inlineStr">
        <is>
          <t>天蓬元帅的地窖（第一层）</t>
        </is>
      </c>
      <c r="C73" s="2" t="inlineStr">
        <is>
          <t>个人任务</t>
        </is>
      </c>
      <c r="D73" s="2" t="inlineStr">
        <is>
          <t>门客</t>
        </is>
      </c>
      <c r="E73" s="2" t="inlineStr">
        <is>
          <t>task_cellar_guard</t>
        </is>
      </c>
      <c r="F73" s="2" t="n">
        <v>1</v>
      </c>
      <c r="G73" s="2" t="inlineStr">
        <is>
          <t>守卫</t>
        </is>
      </c>
      <c r="H73" s="2" t="inlineStr">
        <is>
          <t>使用模板默认技能</t>
        </is>
      </c>
      <c r="I73" s="2" t="n">
        <v>8</v>
      </c>
      <c r="J73" s="2" t="n">
        <v>50</v>
      </c>
      <c r="K73" s="4" t="n">
        <v>0.12</v>
      </c>
      <c r="L73" s="2" t="inlineStr">
        <is>
          <t>data/mission_templates.yaml:L731:enemy_guests</t>
        </is>
      </c>
      <c r="M73" s="2" t="inlineStr">
        <is>
          <t>{"key":"task_cellar_guard","label":"守卫"}</t>
        </is>
      </c>
    </row>
    <row r="74">
      <c r="A74" s="2" t="inlineStr">
        <is>
          <t>tianpeng_dijiao_2</t>
        </is>
      </c>
      <c r="B74" s="2" t="inlineStr">
        <is>
          <t>天蓬元帅的地窖（第二层）</t>
        </is>
      </c>
      <c r="C74" s="2" t="inlineStr">
        <is>
          <t>个人任务</t>
        </is>
      </c>
      <c r="D74" s="2" t="inlineStr">
        <is>
          <t>门客</t>
        </is>
      </c>
      <c r="E74" s="2" t="inlineStr">
        <is>
          <t>task_fox_spirit_keeper</t>
        </is>
      </c>
      <c r="F74" s="2" t="n">
        <v>1</v>
      </c>
      <c r="G74" s="2" t="inlineStr">
        <is>
          <t>小狐仙</t>
        </is>
      </c>
      <c r="H74" s="2" t="inlineStr">
        <is>
          <t>使用模板默认技能</t>
        </is>
      </c>
      <c r="I74" s="2" t="n">
        <v>9</v>
      </c>
      <c r="J74" s="2" t="n">
        <v>80</v>
      </c>
      <c r="K74" s="4" t="n">
        <v>0.2</v>
      </c>
      <c r="L74" s="2" t="inlineStr">
        <is>
          <t>data/mission_templates.yaml:L777:enemy_guests</t>
        </is>
      </c>
      <c r="M74" s="2" t="inlineStr">
        <is>
          <t>{"key":"task_fox_spirit_keeper","label":"小狐仙"}</t>
        </is>
      </c>
    </row>
    <row r="75">
      <c r="A75" s="2" t="inlineStr">
        <is>
          <t>tianpeng_dijiao_2</t>
        </is>
      </c>
      <c r="B75" s="2" t="inlineStr">
        <is>
          <t>天蓬元帅的地窖（第二层）</t>
        </is>
      </c>
      <c r="C75" s="2" t="inlineStr">
        <is>
          <t>个人任务</t>
        </is>
      </c>
      <c r="D75" s="2" t="inlineStr">
        <is>
          <t>门客</t>
        </is>
      </c>
      <c r="E75" s="2" t="inlineStr">
        <is>
          <t>task_fox_spirit_keeper</t>
        </is>
      </c>
      <c r="F75" s="2" t="n">
        <v>1</v>
      </c>
      <c r="G75" s="2" t="inlineStr">
        <is>
          <t>小狐仙</t>
        </is>
      </c>
      <c r="H75" s="2" t="inlineStr">
        <is>
          <t>使用模板默认技能</t>
        </is>
      </c>
      <c r="I75" s="2" t="n">
        <v>9</v>
      </c>
      <c r="J75" s="2" t="n">
        <v>80</v>
      </c>
      <c r="K75" s="4" t="n">
        <v>0.2</v>
      </c>
      <c r="L75" s="2" t="inlineStr">
        <is>
          <t>data/mission_templates.yaml:L777:enemy_guests</t>
        </is>
      </c>
      <c r="M75" s="2" t="inlineStr">
        <is>
          <t>{"key":"task_fox_spirit_keeper","label":"小狐仙"}</t>
        </is>
      </c>
    </row>
    <row r="76">
      <c r="A76" s="2" t="inlineStr">
        <is>
          <t>tianpeng_dijiao_2</t>
        </is>
      </c>
      <c r="B76" s="2" t="inlineStr">
        <is>
          <t>天蓬元帅的地窖（第二层）</t>
        </is>
      </c>
      <c r="C76" s="2" t="inlineStr">
        <is>
          <t>个人任务</t>
        </is>
      </c>
      <c r="D76" s="2" t="inlineStr">
        <is>
          <t>门客</t>
        </is>
      </c>
      <c r="E76" s="2" t="inlineStr">
        <is>
          <t>task_fox_spirit_keeper</t>
        </is>
      </c>
      <c r="F76" s="2" t="n">
        <v>1</v>
      </c>
      <c r="G76" s="2" t="inlineStr">
        <is>
          <t>小狐仙</t>
        </is>
      </c>
      <c r="H76" s="2" t="inlineStr">
        <is>
          <t>使用模板默认技能</t>
        </is>
      </c>
      <c r="I76" s="2" t="n">
        <v>9</v>
      </c>
      <c r="J76" s="2" t="n">
        <v>80</v>
      </c>
      <c r="K76" s="4" t="n">
        <v>0.2</v>
      </c>
      <c r="L76" s="2" t="inlineStr">
        <is>
          <t>data/mission_templates.yaml:L777:enemy_guests</t>
        </is>
      </c>
      <c r="M76" s="2" t="inlineStr">
        <is>
          <t>{"key":"task_fox_spirit_keeper","label":"小狐仙"}</t>
        </is>
      </c>
    </row>
    <row r="77">
      <c r="A77" s="2" t="inlineStr">
        <is>
          <t>tianpeng_dijiao_2</t>
        </is>
      </c>
      <c r="B77" s="2" t="inlineStr">
        <is>
          <t>天蓬元帅的地窖（第二层）</t>
        </is>
      </c>
      <c r="C77" s="2" t="inlineStr">
        <is>
          <t>个人任务</t>
        </is>
      </c>
      <c r="D77" s="2" t="inlineStr">
        <is>
          <t>门客</t>
        </is>
      </c>
      <c r="E77" s="2" t="inlineStr">
        <is>
          <t>task_fox_spirit_keeper</t>
        </is>
      </c>
      <c r="F77" s="2" t="n">
        <v>1</v>
      </c>
      <c r="G77" s="2" t="inlineStr">
        <is>
          <t>小狐仙</t>
        </is>
      </c>
      <c r="H77" s="2" t="inlineStr">
        <is>
          <t>使用模板默认技能</t>
        </is>
      </c>
      <c r="I77" s="2" t="n">
        <v>9</v>
      </c>
      <c r="J77" s="2" t="n">
        <v>80</v>
      </c>
      <c r="K77" s="4" t="n">
        <v>0.2</v>
      </c>
      <c r="L77" s="2" t="inlineStr">
        <is>
          <t>data/mission_templates.yaml:L777:enemy_guests</t>
        </is>
      </c>
      <c r="M77" s="2" t="inlineStr">
        <is>
          <t>{"key":"task_fox_spirit_keeper","label":"小狐仙"}</t>
        </is>
      </c>
    </row>
    <row r="78">
      <c r="A78" s="2" t="inlineStr">
        <is>
          <t>tianpeng_dijiao_2</t>
        </is>
      </c>
      <c r="B78" s="2" t="inlineStr">
        <is>
          <t>天蓬元帅的地窖（第二层）</t>
        </is>
      </c>
      <c r="C78" s="2" t="inlineStr">
        <is>
          <t>个人任务</t>
        </is>
      </c>
      <c r="D78" s="2" t="inlineStr">
        <is>
          <t>门客</t>
        </is>
      </c>
      <c r="E78" s="2" t="inlineStr">
        <is>
          <t>task_fox_spirit_keeper</t>
        </is>
      </c>
      <c r="F78" s="2" t="n">
        <v>1</v>
      </c>
      <c r="G78" s="2" t="inlineStr">
        <is>
          <t>小狐仙</t>
        </is>
      </c>
      <c r="H78" s="2" t="inlineStr">
        <is>
          <t>使用模板默认技能</t>
        </is>
      </c>
      <c r="I78" s="2" t="n">
        <v>9</v>
      </c>
      <c r="J78" s="2" t="n">
        <v>80</v>
      </c>
      <c r="K78" s="4" t="n">
        <v>0.2</v>
      </c>
      <c r="L78" s="2" t="inlineStr">
        <is>
          <t>data/mission_templates.yaml:L777:enemy_guests</t>
        </is>
      </c>
      <c r="M78" s="2" t="inlineStr">
        <is>
          <t>{"key":"task_fox_spirit_keeper","label":"小狐仙"}</t>
        </is>
      </c>
    </row>
    <row r="79">
      <c r="A79" s="2" t="inlineStr">
        <is>
          <t>tianpeng_dijiao_2</t>
        </is>
      </c>
      <c r="B79" s="2" t="inlineStr">
        <is>
          <t>天蓬元帅的地窖（第二层）</t>
        </is>
      </c>
      <c r="C79" s="2" t="inlineStr">
        <is>
          <t>个人任务</t>
        </is>
      </c>
      <c r="D79" s="2" t="inlineStr">
        <is>
          <t>门客</t>
        </is>
      </c>
      <c r="E79" s="2" t="inlineStr">
        <is>
          <t>task_fox_spirit_keeper</t>
        </is>
      </c>
      <c r="F79" s="2" t="n">
        <v>1</v>
      </c>
      <c r="G79" s="2" t="inlineStr">
        <is>
          <t>小狐仙</t>
        </is>
      </c>
      <c r="H79" s="2" t="inlineStr">
        <is>
          <t>使用模板默认技能</t>
        </is>
      </c>
      <c r="I79" s="2" t="n">
        <v>9</v>
      </c>
      <c r="J79" s="2" t="n">
        <v>80</v>
      </c>
      <c r="K79" s="4" t="n">
        <v>0.2</v>
      </c>
      <c r="L79" s="2" t="inlineStr">
        <is>
          <t>data/mission_templates.yaml:L777:enemy_guests</t>
        </is>
      </c>
      <c r="M79" s="2" t="inlineStr">
        <is>
          <t>{"key":"task_fox_spirit_keeper","label":"小狐仙"}</t>
        </is>
      </c>
    </row>
    <row r="80">
      <c r="A80" s="2" t="inlineStr">
        <is>
          <t>tianpeng_dijiao_2</t>
        </is>
      </c>
      <c r="B80" s="2" t="inlineStr">
        <is>
          <t>天蓬元帅的地窖（第二层）</t>
        </is>
      </c>
      <c r="C80" s="2" t="inlineStr">
        <is>
          <t>个人任务</t>
        </is>
      </c>
      <c r="D80" s="2" t="inlineStr">
        <is>
          <t>门客</t>
        </is>
      </c>
      <c r="E80" s="2" t="inlineStr">
        <is>
          <t>task_fox_spirit_keeper</t>
        </is>
      </c>
      <c r="F80" s="2" t="n">
        <v>1</v>
      </c>
      <c r="G80" s="2" t="inlineStr">
        <is>
          <t>小狐仙</t>
        </is>
      </c>
      <c r="H80" s="2" t="inlineStr">
        <is>
          <t>使用模板默认技能</t>
        </is>
      </c>
      <c r="I80" s="2" t="n">
        <v>9</v>
      </c>
      <c r="J80" s="2" t="n">
        <v>80</v>
      </c>
      <c r="K80" s="4" t="n">
        <v>0.2</v>
      </c>
      <c r="L80" s="2" t="inlineStr">
        <is>
          <t>data/mission_templates.yaml:L777:enemy_guests</t>
        </is>
      </c>
      <c r="M80" s="2" t="inlineStr">
        <is>
          <t>{"key":"task_fox_spirit_keeper","label":"小狐仙"}</t>
        </is>
      </c>
    </row>
    <row r="81">
      <c r="A81" s="2" t="inlineStr">
        <is>
          <t>tianpeng_dijiao_2</t>
        </is>
      </c>
      <c r="B81" s="2" t="inlineStr">
        <is>
          <t>天蓬元帅的地窖（第二层）</t>
        </is>
      </c>
      <c r="C81" s="2" t="inlineStr">
        <is>
          <t>个人任务</t>
        </is>
      </c>
      <c r="D81" s="2" t="inlineStr">
        <is>
          <t>门客</t>
        </is>
      </c>
      <c r="E81" s="2" t="inlineStr">
        <is>
          <t>task_fox_spirit_keeper</t>
        </is>
      </c>
      <c r="F81" s="2" t="n">
        <v>1</v>
      </c>
      <c r="G81" s="2" t="inlineStr">
        <is>
          <t>小狐仙</t>
        </is>
      </c>
      <c r="H81" s="2" t="inlineStr">
        <is>
          <t>使用模板默认技能</t>
        </is>
      </c>
      <c r="I81" s="2" t="n">
        <v>9</v>
      </c>
      <c r="J81" s="2" t="n">
        <v>80</v>
      </c>
      <c r="K81" s="4" t="n">
        <v>0.2</v>
      </c>
      <c r="L81" s="2" t="inlineStr">
        <is>
          <t>data/mission_templates.yaml:L777:enemy_guests</t>
        </is>
      </c>
      <c r="M81" s="2" t="inlineStr">
        <is>
          <t>{"key":"task_fox_spirit_keeper","label":"小狐仙"}</t>
        </is>
      </c>
    </row>
    <row r="82">
      <c r="A82" s="2" t="inlineStr">
        <is>
          <t>jiguan_chuniao</t>
        </is>
      </c>
      <c r="B82" s="2" t="inlineStr">
        <is>
          <t>机关雏鸟</t>
        </is>
      </c>
      <c r="C82" s="2" t="inlineStr">
        <is>
          <t>个人任务</t>
        </is>
      </c>
      <c r="D82" s="2" t="inlineStr">
        <is>
          <t>门客</t>
        </is>
      </c>
      <c r="E82" s="2" t="inlineStr">
        <is>
          <t>task_mechanism_bird</t>
        </is>
      </c>
      <c r="F82" s="2" t="n">
        <v>1</v>
      </c>
      <c r="G82" s="2" t="inlineStr">
        <is>
          <t>黑衣人</t>
        </is>
      </c>
      <c r="H82" s="2" t="inlineStr">
        <is>
          <t>使用模板默认技能</t>
        </is>
      </c>
      <c r="I82" s="2" t="n">
        <v>7</v>
      </c>
      <c r="J82" s="2" t="n">
        <v>60</v>
      </c>
      <c r="K82" s="4" t="n">
        <v>0.1</v>
      </c>
      <c r="L82" s="2" t="inlineStr">
        <is>
          <t>data/mission_templates.yaml:L830:enemy_guests</t>
        </is>
      </c>
      <c r="M82" s="2" t="inlineStr">
        <is>
          <t>{"key":"task_mechanism_bird","label":"黑衣人"}</t>
        </is>
      </c>
    </row>
    <row r="83">
      <c r="A83" s="2" t="inlineStr">
        <is>
          <t>jiguan_chuniao</t>
        </is>
      </c>
      <c r="B83" s="2" t="inlineStr">
        <is>
          <t>机关雏鸟</t>
        </is>
      </c>
      <c r="C83" s="2" t="inlineStr">
        <is>
          <t>个人任务</t>
        </is>
      </c>
      <c r="D83" s="2" t="inlineStr">
        <is>
          <t>门客</t>
        </is>
      </c>
      <c r="E83" s="2" t="inlineStr">
        <is>
          <t>task_mechanism_bird</t>
        </is>
      </c>
      <c r="F83" s="2" t="n">
        <v>1</v>
      </c>
      <c r="G83" s="2" t="inlineStr">
        <is>
          <t>黑衣人</t>
        </is>
      </c>
      <c r="H83" s="2" t="inlineStr">
        <is>
          <t>使用模板默认技能</t>
        </is>
      </c>
      <c r="I83" s="2" t="n">
        <v>7</v>
      </c>
      <c r="J83" s="2" t="n">
        <v>60</v>
      </c>
      <c r="K83" s="4" t="n">
        <v>0.1</v>
      </c>
      <c r="L83" s="2" t="inlineStr">
        <is>
          <t>data/mission_templates.yaml:L830:enemy_guests</t>
        </is>
      </c>
      <c r="M83" s="2" t="inlineStr">
        <is>
          <t>{"key":"task_mechanism_bird","label":"黑衣人"}</t>
        </is>
      </c>
    </row>
    <row r="84">
      <c r="A84" s="2" t="inlineStr">
        <is>
          <t>jiguan_chuniao</t>
        </is>
      </c>
      <c r="B84" s="2" t="inlineStr">
        <is>
          <t>机关雏鸟</t>
        </is>
      </c>
      <c r="C84" s="2" t="inlineStr">
        <is>
          <t>个人任务</t>
        </is>
      </c>
      <c r="D84" s="2" t="inlineStr">
        <is>
          <t>门客</t>
        </is>
      </c>
      <c r="E84" s="2" t="inlineStr">
        <is>
          <t>task_mechanism_bird</t>
        </is>
      </c>
      <c r="F84" s="2" t="n">
        <v>1</v>
      </c>
      <c r="G84" s="2" t="inlineStr">
        <is>
          <t>黑衣人</t>
        </is>
      </c>
      <c r="H84" s="2" t="inlineStr">
        <is>
          <t>使用模板默认技能</t>
        </is>
      </c>
      <c r="I84" s="2" t="n">
        <v>7</v>
      </c>
      <c r="J84" s="2" t="n">
        <v>60</v>
      </c>
      <c r="K84" s="4" t="n">
        <v>0.1</v>
      </c>
      <c r="L84" s="2" t="inlineStr">
        <is>
          <t>data/mission_templates.yaml:L830:enemy_guests</t>
        </is>
      </c>
      <c r="M84" s="2" t="inlineStr">
        <is>
          <t>{"key":"task_mechanism_bird","label":"黑衣人"}</t>
        </is>
      </c>
    </row>
    <row r="85">
      <c r="A85" s="2" t="inlineStr">
        <is>
          <t>jiguan_chuniao</t>
        </is>
      </c>
      <c r="B85" s="2" t="inlineStr">
        <is>
          <t>机关雏鸟</t>
        </is>
      </c>
      <c r="C85" s="2" t="inlineStr">
        <is>
          <t>个人任务</t>
        </is>
      </c>
      <c r="D85" s="2" t="inlineStr">
        <is>
          <t>门客</t>
        </is>
      </c>
      <c r="E85" s="2" t="inlineStr">
        <is>
          <t>task_mechanism_bird</t>
        </is>
      </c>
      <c r="F85" s="2" t="n">
        <v>1</v>
      </c>
      <c r="G85" s="2" t="inlineStr">
        <is>
          <t>黑衣人</t>
        </is>
      </c>
      <c r="H85" s="2" t="inlineStr">
        <is>
          <t>使用模板默认技能</t>
        </is>
      </c>
      <c r="I85" s="2" t="n">
        <v>7</v>
      </c>
      <c r="J85" s="2" t="n">
        <v>60</v>
      </c>
      <c r="K85" s="4" t="n">
        <v>0.1</v>
      </c>
      <c r="L85" s="2" t="inlineStr">
        <is>
          <t>data/mission_templates.yaml:L830:enemy_guests</t>
        </is>
      </c>
      <c r="M85" s="2" t="inlineStr">
        <is>
          <t>{"key":"task_mechanism_bird","label":"黑衣人"}</t>
        </is>
      </c>
    </row>
    <row r="86">
      <c r="A86" s="2" t="inlineStr">
        <is>
          <t>jiguan_chuniao</t>
        </is>
      </c>
      <c r="B86" s="2" t="inlineStr">
        <is>
          <t>机关雏鸟</t>
        </is>
      </c>
      <c r="C86" s="2" t="inlineStr">
        <is>
          <t>个人任务</t>
        </is>
      </c>
      <c r="D86" s="2" t="inlineStr">
        <is>
          <t>护院</t>
        </is>
      </c>
      <c r="E86" s="2" t="inlineStr">
        <is>
          <t>qiang_wang</t>
        </is>
      </c>
      <c r="F86" s="2" t="n">
        <v>300</v>
      </c>
      <c r="G86" s="2" t="inlineStr">
        <is>
          <t>枪王</t>
        </is>
      </c>
      <c r="H86" s="2" t="inlineStr"/>
      <c r="I86" s="2" t="n">
        <v>7</v>
      </c>
      <c r="J86" s="2" t="n"/>
      <c r="K86" s="4" t="n"/>
      <c r="L86" s="2" t="inlineStr">
        <is>
          <t>data/mission_templates.yaml:L830:enemy_troops</t>
        </is>
      </c>
      <c r="M86" s="2" t="inlineStr">
        <is>
          <t>{"qiang_wang":300}</t>
        </is>
      </c>
    </row>
    <row r="87">
      <c r="A87" s="2" t="inlineStr">
        <is>
          <t>jiguan_chuniao</t>
        </is>
      </c>
      <c r="B87" s="2" t="inlineStr">
        <is>
          <t>机关雏鸟</t>
        </is>
      </c>
      <c r="C87" s="2" t="inlineStr">
        <is>
          <t>个人任务</t>
        </is>
      </c>
      <c r="D87" s="2" t="inlineStr">
        <is>
          <t>护院</t>
        </is>
      </c>
      <c r="E87" s="2" t="inlineStr">
        <is>
          <t>jian_sheng</t>
        </is>
      </c>
      <c r="F87" s="2" t="n">
        <v>300</v>
      </c>
      <c r="G87" s="2" t="inlineStr">
        <is>
          <t>剑圣</t>
        </is>
      </c>
      <c r="H87" s="2" t="inlineStr"/>
      <c r="I87" s="2" t="n">
        <v>7</v>
      </c>
      <c r="J87" s="2" t="n"/>
      <c r="K87" s="4" t="n"/>
      <c r="L87" s="2" t="inlineStr">
        <is>
          <t>data/mission_templates.yaml:L830:enemy_troops</t>
        </is>
      </c>
      <c r="M87" s="2" t="inlineStr">
        <is>
          <t>{"jian_sheng":300}</t>
        </is>
      </c>
    </row>
    <row r="88">
      <c r="A88" s="2" t="inlineStr">
        <is>
          <t>dongtian_fudi</t>
        </is>
      </c>
      <c r="B88" s="2" t="inlineStr">
        <is>
          <t>洞天福地</t>
        </is>
      </c>
      <c r="C88" s="2" t="inlineStr">
        <is>
          <t>个人任务</t>
        </is>
      </c>
      <c r="D88" s="2" t="inlineStr">
        <is>
          <t>门客</t>
        </is>
      </c>
      <c r="E88" s="2" t="inlineStr">
        <is>
          <t>task_heaven_cave_sentinel</t>
        </is>
      </c>
      <c r="F88" s="2" t="n">
        <v>1</v>
      </c>
      <c r="G88" s="2" t="inlineStr">
        <is>
          <t>金甲神兵</t>
        </is>
      </c>
      <c r="H88" s="2" t="inlineStr">
        <is>
          <t>使用模板默认技能</t>
        </is>
      </c>
      <c r="I88" s="2" t="n">
        <v>9</v>
      </c>
      <c r="J88" s="2" t="n">
        <v>80</v>
      </c>
      <c r="K88" s="4" t="n">
        <v>0.26</v>
      </c>
      <c r="L88" s="2" t="inlineStr">
        <is>
          <t>data/mission_templates.yaml:L873:enemy_guests</t>
        </is>
      </c>
      <c r="M88" s="2" t="inlineStr">
        <is>
          <t>{"key":"task_heaven_cave_sentinel","label":"金甲神兵"}</t>
        </is>
      </c>
    </row>
    <row r="89">
      <c r="A89" s="2" t="inlineStr">
        <is>
          <t>dongtian_fudi</t>
        </is>
      </c>
      <c r="B89" s="2" t="inlineStr">
        <is>
          <t>洞天福地</t>
        </is>
      </c>
      <c r="C89" s="2" t="inlineStr">
        <is>
          <t>个人任务</t>
        </is>
      </c>
      <c r="D89" s="2" t="inlineStr">
        <is>
          <t>门客</t>
        </is>
      </c>
      <c r="E89" s="2" t="inlineStr">
        <is>
          <t>task_heaven_cave_sentinel</t>
        </is>
      </c>
      <c r="F89" s="2" t="n">
        <v>1</v>
      </c>
      <c r="G89" s="2" t="inlineStr">
        <is>
          <t>金甲神兵</t>
        </is>
      </c>
      <c r="H89" s="2" t="inlineStr">
        <is>
          <t>使用模板默认技能</t>
        </is>
      </c>
      <c r="I89" s="2" t="n">
        <v>9</v>
      </c>
      <c r="J89" s="2" t="n">
        <v>80</v>
      </c>
      <c r="K89" s="4" t="n">
        <v>0.26</v>
      </c>
      <c r="L89" s="2" t="inlineStr">
        <is>
          <t>data/mission_templates.yaml:L873:enemy_guests</t>
        </is>
      </c>
      <c r="M89" s="2" t="inlineStr">
        <is>
          <t>{"key":"task_heaven_cave_sentinel","label":"金甲神兵"}</t>
        </is>
      </c>
    </row>
    <row r="90">
      <c r="A90" s="2" t="inlineStr">
        <is>
          <t>dongtian_fudi</t>
        </is>
      </c>
      <c r="B90" s="2" t="inlineStr">
        <is>
          <t>洞天福地</t>
        </is>
      </c>
      <c r="C90" s="2" t="inlineStr">
        <is>
          <t>个人任务</t>
        </is>
      </c>
      <c r="D90" s="2" t="inlineStr">
        <is>
          <t>护院</t>
        </is>
      </c>
      <c r="E90" s="2" t="inlineStr">
        <is>
          <t>arrow_god</t>
        </is>
      </c>
      <c r="F90" s="2" t="n">
        <v>300</v>
      </c>
      <c r="G90" s="2" t="inlineStr">
        <is>
          <t>箭神</t>
        </is>
      </c>
      <c r="H90" s="2" t="inlineStr"/>
      <c r="I90" s="2" t="n">
        <v>9</v>
      </c>
      <c r="J90" s="2" t="n"/>
      <c r="K90" s="4" t="n"/>
      <c r="L90" s="2" t="inlineStr">
        <is>
          <t>data/mission_templates.yaml:L873:enemy_troops</t>
        </is>
      </c>
      <c r="M90" s="2" t="inlineStr">
        <is>
          <t>{"arrow_god":300}</t>
        </is>
      </c>
    </row>
    <row r="91">
      <c r="A91" s="2" t="inlineStr">
        <is>
          <t>dongtian_fudi</t>
        </is>
      </c>
      <c r="B91" s="2" t="inlineStr">
        <is>
          <t>洞天福地</t>
        </is>
      </c>
      <c r="C91" s="2" t="inlineStr">
        <is>
          <t>个人任务</t>
        </is>
      </c>
      <c r="D91" s="2" t="inlineStr">
        <is>
          <t>护院</t>
        </is>
      </c>
      <c r="E91" s="2" t="inlineStr">
        <is>
          <t>quan_sheng</t>
        </is>
      </c>
      <c r="F91" s="2" t="n">
        <v>700</v>
      </c>
      <c r="G91" s="2" t="inlineStr">
        <is>
          <t>拳圣</t>
        </is>
      </c>
      <c r="H91" s="2" t="inlineStr"/>
      <c r="I91" s="2" t="n">
        <v>9</v>
      </c>
      <c r="J91" s="2" t="n"/>
      <c r="K91" s="4" t="n"/>
      <c r="L91" s="2" t="inlineStr">
        <is>
          <t>data/mission_templates.yaml:L873:enemy_troops</t>
        </is>
      </c>
      <c r="M91" s="2" t="inlineStr">
        <is>
          <t>{"quan_sheng":700}</t>
        </is>
      </c>
    </row>
    <row r="92">
      <c r="A92" s="2" t="inlineStr">
        <is>
          <t>jiufeng_feihuan</t>
        </is>
      </c>
      <c r="B92" s="2" t="inlineStr">
        <is>
          <t>九峰匪患</t>
        </is>
      </c>
      <c r="C92" s="2" t="inlineStr">
        <is>
          <t>个人任务</t>
        </is>
      </c>
      <c r="D92" s="2" t="inlineStr">
        <is>
          <t>门客</t>
        </is>
      </c>
      <c r="E92" s="2" t="inlineStr">
        <is>
          <t>task_nine_peaks_bandit</t>
        </is>
      </c>
      <c r="F92" s="2" t="n">
        <v>1</v>
      </c>
      <c r="G92" s="2" t="inlineStr">
        <is>
          <t>土匪</t>
        </is>
      </c>
      <c r="H92" s="2" t="inlineStr">
        <is>
          <t>使用模板默认技能</t>
        </is>
      </c>
      <c r="I92" s="2" t="n">
        <v>6</v>
      </c>
      <c r="J92" s="2" t="n">
        <v>58</v>
      </c>
      <c r="K92" s="4" t="n">
        <v>0.12</v>
      </c>
      <c r="L92" s="2" t="inlineStr">
        <is>
          <t>data/mission_templates.yaml:L908:enemy_guests</t>
        </is>
      </c>
      <c r="M92" s="2" t="inlineStr">
        <is>
          <t>{"key":"task_nine_peaks_bandit","label":"土匪"}</t>
        </is>
      </c>
    </row>
    <row r="93">
      <c r="A93" s="2" t="inlineStr">
        <is>
          <t>jiufeng_feihuan</t>
        </is>
      </c>
      <c r="B93" s="2" t="inlineStr">
        <is>
          <t>九峰匪患</t>
        </is>
      </c>
      <c r="C93" s="2" t="inlineStr">
        <is>
          <t>个人任务</t>
        </is>
      </c>
      <c r="D93" s="2" t="inlineStr">
        <is>
          <t>门客</t>
        </is>
      </c>
      <c r="E93" s="2" t="inlineStr">
        <is>
          <t>task_nine_peaks_bandit</t>
        </is>
      </c>
      <c r="F93" s="2" t="n">
        <v>1</v>
      </c>
      <c r="G93" s="2" t="inlineStr">
        <is>
          <t>土匪</t>
        </is>
      </c>
      <c r="H93" s="2" t="inlineStr">
        <is>
          <t>使用模板默认技能</t>
        </is>
      </c>
      <c r="I93" s="2" t="n">
        <v>6</v>
      </c>
      <c r="J93" s="2" t="n">
        <v>58</v>
      </c>
      <c r="K93" s="4" t="n">
        <v>0.12</v>
      </c>
      <c r="L93" s="2" t="inlineStr">
        <is>
          <t>data/mission_templates.yaml:L908:enemy_guests</t>
        </is>
      </c>
      <c r="M93" s="2" t="inlineStr">
        <is>
          <t>{"key":"task_nine_peaks_bandit","label":"土匪"}</t>
        </is>
      </c>
    </row>
    <row r="94">
      <c r="A94" s="2" t="inlineStr">
        <is>
          <t>jiufeng_feihuan</t>
        </is>
      </c>
      <c r="B94" s="2" t="inlineStr">
        <is>
          <t>九峰匪患</t>
        </is>
      </c>
      <c r="C94" s="2" t="inlineStr">
        <is>
          <t>个人任务</t>
        </is>
      </c>
      <c r="D94" s="2" t="inlineStr">
        <is>
          <t>门客</t>
        </is>
      </c>
      <c r="E94" s="2" t="inlineStr">
        <is>
          <t>task_nine_peaks_bandit</t>
        </is>
      </c>
      <c r="F94" s="2" t="n">
        <v>1</v>
      </c>
      <c r="G94" s="2" t="inlineStr">
        <is>
          <t>土匪</t>
        </is>
      </c>
      <c r="H94" s="2" t="inlineStr">
        <is>
          <t>使用模板默认技能</t>
        </is>
      </c>
      <c r="I94" s="2" t="n">
        <v>6</v>
      </c>
      <c r="J94" s="2" t="n">
        <v>58</v>
      </c>
      <c r="K94" s="4" t="n">
        <v>0.12</v>
      </c>
      <c r="L94" s="2" t="inlineStr">
        <is>
          <t>data/mission_templates.yaml:L908:enemy_guests</t>
        </is>
      </c>
      <c r="M94" s="2" t="inlineStr">
        <is>
          <t>{"key":"task_nine_peaks_bandit","label":"土匪"}</t>
        </is>
      </c>
    </row>
    <row r="95">
      <c r="A95" s="2" t="inlineStr">
        <is>
          <t>jiufeng_feihuan</t>
        </is>
      </c>
      <c r="B95" s="2" t="inlineStr">
        <is>
          <t>九峰匪患</t>
        </is>
      </c>
      <c r="C95" s="2" t="inlineStr">
        <is>
          <t>个人任务</t>
        </is>
      </c>
      <c r="D95" s="2" t="inlineStr">
        <is>
          <t>护院</t>
        </is>
      </c>
      <c r="E95" s="2" t="inlineStr">
        <is>
          <t>quan_sheng</t>
        </is>
      </c>
      <c r="F95" s="2" t="n">
        <v>500</v>
      </c>
      <c r="G95" s="2" t="inlineStr">
        <is>
          <t>拳圣</t>
        </is>
      </c>
      <c r="H95" s="2" t="inlineStr"/>
      <c r="I95" s="2" t="n">
        <v>6</v>
      </c>
      <c r="J95" s="2" t="n"/>
      <c r="K95" s="4" t="n"/>
      <c r="L95" s="2" t="inlineStr">
        <is>
          <t>data/mission_templates.yaml:L908:enemy_troops</t>
        </is>
      </c>
      <c r="M95" s="2" t="inlineStr">
        <is>
          <t>{"quan_sheng":500}</t>
        </is>
      </c>
    </row>
    <row r="96">
      <c r="A96" s="2" t="inlineStr">
        <is>
          <t>jiufeng_feihuan</t>
        </is>
      </c>
      <c r="B96" s="2" t="inlineStr">
        <is>
          <t>九峰匪患</t>
        </is>
      </c>
      <c r="C96" s="2" t="inlineStr">
        <is>
          <t>个人任务</t>
        </is>
      </c>
      <c r="D96" s="2" t="inlineStr">
        <is>
          <t>护院</t>
        </is>
      </c>
      <c r="E96" s="2" t="inlineStr">
        <is>
          <t>arrow_god</t>
        </is>
      </c>
      <c r="F96" s="2" t="n">
        <v>100</v>
      </c>
      <c r="G96" s="2" t="inlineStr">
        <is>
          <t>箭神</t>
        </is>
      </c>
      <c r="H96" s="2" t="inlineStr"/>
      <c r="I96" s="2" t="n">
        <v>6</v>
      </c>
      <c r="J96" s="2" t="n"/>
      <c r="K96" s="4" t="n"/>
      <c r="L96" s="2" t="inlineStr">
        <is>
          <t>data/mission_templates.yaml:L908:enemy_troops</t>
        </is>
      </c>
      <c r="M96" s="2" t="inlineStr">
        <is>
          <t>{"arrow_god":100}</t>
        </is>
      </c>
    </row>
    <row r="97">
      <c r="A97" s="2" t="inlineStr">
        <is>
          <t>taozi_fenban</t>
        </is>
      </c>
      <c r="B97" s="2" t="inlineStr">
        <is>
          <t>我的桃子分你一半</t>
        </is>
      </c>
      <c r="C97" s="2" t="inlineStr">
        <is>
          <t>个人任务</t>
        </is>
      </c>
      <c r="D97" s="2" t="inlineStr">
        <is>
          <t>门客</t>
        </is>
      </c>
      <c r="E97" s="2" t="inlineStr">
        <is>
          <t>task_orchard_wraith</t>
        </is>
      </c>
      <c r="F97" s="2" t="n">
        <v>1</v>
      </c>
      <c r="G97" s="2" t="inlineStr">
        <is>
          <t>孤魂野鬼</t>
        </is>
      </c>
      <c r="H97" s="2" t="inlineStr">
        <is>
          <t>使用模板默认技能</t>
        </is>
      </c>
      <c r="I97" s="2" t="n">
        <v>3</v>
      </c>
      <c r="J97" s="2" t="n">
        <v>40</v>
      </c>
      <c r="K97" s="4" t="n">
        <v>0.06</v>
      </c>
      <c r="L97" s="2" t="inlineStr">
        <is>
          <t>data/mission_templates.yaml:L951:enemy_guests</t>
        </is>
      </c>
      <c r="M97" s="2" t="inlineStr">
        <is>
          <t>{"key":"task_orchard_wraith","label":"孤魂野鬼"}</t>
        </is>
      </c>
    </row>
    <row r="98">
      <c r="A98" s="2" t="inlineStr">
        <is>
          <t>taozi_fenban</t>
        </is>
      </c>
      <c r="B98" s="2" t="inlineStr">
        <is>
          <t>我的桃子分你一半</t>
        </is>
      </c>
      <c r="C98" s="2" t="inlineStr">
        <is>
          <t>个人任务</t>
        </is>
      </c>
      <c r="D98" s="2" t="inlineStr">
        <is>
          <t>门客</t>
        </is>
      </c>
      <c r="E98" s="2" t="inlineStr">
        <is>
          <t>task_orchard_wraith</t>
        </is>
      </c>
      <c r="F98" s="2" t="n">
        <v>1</v>
      </c>
      <c r="G98" s="2" t="inlineStr">
        <is>
          <t>孤魂野鬼</t>
        </is>
      </c>
      <c r="H98" s="2" t="inlineStr">
        <is>
          <t>使用模板默认技能</t>
        </is>
      </c>
      <c r="I98" s="2" t="n">
        <v>3</v>
      </c>
      <c r="J98" s="2" t="n">
        <v>40</v>
      </c>
      <c r="K98" s="4" t="n">
        <v>0.06</v>
      </c>
      <c r="L98" s="2" t="inlineStr">
        <is>
          <t>data/mission_templates.yaml:L951:enemy_guests</t>
        </is>
      </c>
      <c r="M98" s="2" t="inlineStr">
        <is>
          <t>{"key":"task_orchard_wraith","label":"孤魂野鬼"}</t>
        </is>
      </c>
    </row>
    <row r="99">
      <c r="A99" s="2" t="inlineStr">
        <is>
          <t>taozi_fenban</t>
        </is>
      </c>
      <c r="B99" s="2" t="inlineStr">
        <is>
          <t>我的桃子分你一半</t>
        </is>
      </c>
      <c r="C99" s="2" t="inlineStr">
        <is>
          <t>个人任务</t>
        </is>
      </c>
      <c r="D99" s="2" t="inlineStr">
        <is>
          <t>门客</t>
        </is>
      </c>
      <c r="E99" s="2" t="inlineStr">
        <is>
          <t>task_orchard_wraith</t>
        </is>
      </c>
      <c r="F99" s="2" t="n">
        <v>1</v>
      </c>
      <c r="G99" s="2" t="inlineStr">
        <is>
          <t>孤魂野鬼</t>
        </is>
      </c>
      <c r="H99" s="2" t="inlineStr">
        <is>
          <t>使用模板默认技能</t>
        </is>
      </c>
      <c r="I99" s="2" t="n">
        <v>3</v>
      </c>
      <c r="J99" s="2" t="n">
        <v>40</v>
      </c>
      <c r="K99" s="4" t="n">
        <v>0.06</v>
      </c>
      <c r="L99" s="2" t="inlineStr">
        <is>
          <t>data/mission_templates.yaml:L951:enemy_guests</t>
        </is>
      </c>
      <c r="M99" s="2" t="inlineStr">
        <is>
          <t>{"key":"task_orchard_wraith","label":"孤魂野鬼"}</t>
        </is>
      </c>
    </row>
    <row r="100">
      <c r="A100" s="2" t="inlineStr">
        <is>
          <t>taozi_fenban</t>
        </is>
      </c>
      <c r="B100" s="2" t="inlineStr">
        <is>
          <t>我的桃子分你一半</t>
        </is>
      </c>
      <c r="C100" s="2" t="inlineStr">
        <is>
          <t>个人任务</t>
        </is>
      </c>
      <c r="D100" s="2" t="inlineStr">
        <is>
          <t>门客</t>
        </is>
      </c>
      <c r="E100" s="2" t="inlineStr">
        <is>
          <t>task_orchard_wraith</t>
        </is>
      </c>
      <c r="F100" s="2" t="n">
        <v>1</v>
      </c>
      <c r="G100" s="2" t="inlineStr">
        <is>
          <t>孤魂野鬼</t>
        </is>
      </c>
      <c r="H100" s="2" t="inlineStr">
        <is>
          <t>使用模板默认技能</t>
        </is>
      </c>
      <c r="I100" s="2" t="n">
        <v>3</v>
      </c>
      <c r="J100" s="2" t="n">
        <v>40</v>
      </c>
      <c r="K100" s="4" t="n">
        <v>0.06</v>
      </c>
      <c r="L100" s="2" t="inlineStr">
        <is>
          <t>data/mission_templates.yaml:L951:enemy_guests</t>
        </is>
      </c>
      <c r="M100" s="2" t="inlineStr">
        <is>
          <t>{"key":"task_orchard_wraith","label":"孤魂野鬼"}</t>
        </is>
      </c>
    </row>
    <row r="101">
      <c r="A101" s="2" t="inlineStr">
        <is>
          <t>taozi_fenban</t>
        </is>
      </c>
      <c r="B101" s="2" t="inlineStr">
        <is>
          <t>我的桃子分你一半</t>
        </is>
      </c>
      <c r="C101" s="2" t="inlineStr">
        <is>
          <t>个人任务</t>
        </is>
      </c>
      <c r="D101" s="2" t="inlineStr">
        <is>
          <t>门客</t>
        </is>
      </c>
      <c r="E101" s="2" t="inlineStr">
        <is>
          <t>task_orchard_wraith</t>
        </is>
      </c>
      <c r="F101" s="2" t="n">
        <v>1</v>
      </c>
      <c r="G101" s="2" t="inlineStr">
        <is>
          <t>孤魂野鬼</t>
        </is>
      </c>
      <c r="H101" s="2" t="inlineStr">
        <is>
          <t>使用模板默认技能</t>
        </is>
      </c>
      <c r="I101" s="2" t="n">
        <v>3</v>
      </c>
      <c r="J101" s="2" t="n">
        <v>40</v>
      </c>
      <c r="K101" s="4" t="n">
        <v>0.06</v>
      </c>
      <c r="L101" s="2" t="inlineStr">
        <is>
          <t>data/mission_templates.yaml:L951:enemy_guests</t>
        </is>
      </c>
      <c r="M101" s="2" t="inlineStr">
        <is>
          <t>{"key":"task_orchard_wraith","label":"孤魂野鬼"}</t>
        </is>
      </c>
    </row>
    <row r="102">
      <c r="A102" s="2" t="inlineStr">
        <is>
          <t>taozi_fenban</t>
        </is>
      </c>
      <c r="B102" s="2" t="inlineStr">
        <is>
          <t>我的桃子分你一半</t>
        </is>
      </c>
      <c r="C102" s="2" t="inlineStr">
        <is>
          <t>个人任务</t>
        </is>
      </c>
      <c r="D102" s="2" t="inlineStr">
        <is>
          <t>门客</t>
        </is>
      </c>
      <c r="E102" s="2" t="inlineStr">
        <is>
          <t>task_orchard_wraith</t>
        </is>
      </c>
      <c r="F102" s="2" t="n">
        <v>1</v>
      </c>
      <c r="G102" s="2" t="inlineStr">
        <is>
          <t>孤魂野鬼</t>
        </is>
      </c>
      <c r="H102" s="2" t="inlineStr">
        <is>
          <t>使用模板默认技能</t>
        </is>
      </c>
      <c r="I102" s="2" t="n">
        <v>3</v>
      </c>
      <c r="J102" s="2" t="n">
        <v>40</v>
      </c>
      <c r="K102" s="4" t="n">
        <v>0.06</v>
      </c>
      <c r="L102" s="2" t="inlineStr">
        <is>
          <t>data/mission_templates.yaml:L951:enemy_guests</t>
        </is>
      </c>
      <c r="M102" s="2" t="inlineStr">
        <is>
          <t>{"key":"task_orchard_wraith","label":"孤魂野鬼"}</t>
        </is>
      </c>
    </row>
    <row r="103">
      <c r="A103" s="2" t="inlineStr">
        <is>
          <t>taozi_fenban</t>
        </is>
      </c>
      <c r="B103" s="2" t="inlineStr">
        <is>
          <t>我的桃子分你一半</t>
        </is>
      </c>
      <c r="C103" s="2" t="inlineStr">
        <is>
          <t>个人任务</t>
        </is>
      </c>
      <c r="D103" s="2" t="inlineStr">
        <is>
          <t>门客</t>
        </is>
      </c>
      <c r="E103" s="2" t="inlineStr">
        <is>
          <t>task_orchard_wraith</t>
        </is>
      </c>
      <c r="F103" s="2" t="n">
        <v>1</v>
      </c>
      <c r="G103" s="2" t="inlineStr">
        <is>
          <t>孤魂野鬼</t>
        </is>
      </c>
      <c r="H103" s="2" t="inlineStr">
        <is>
          <t>使用模板默认技能</t>
        </is>
      </c>
      <c r="I103" s="2" t="n">
        <v>3</v>
      </c>
      <c r="J103" s="2" t="n">
        <v>40</v>
      </c>
      <c r="K103" s="4" t="n">
        <v>0.06</v>
      </c>
      <c r="L103" s="2" t="inlineStr">
        <is>
          <t>data/mission_templates.yaml:L951:enemy_guests</t>
        </is>
      </c>
      <c r="M103" s="2" t="inlineStr">
        <is>
          <t>{"key":"task_orchard_wraith","label":"孤魂野鬼"}</t>
        </is>
      </c>
    </row>
    <row r="104">
      <c r="A104" s="2" t="inlineStr">
        <is>
          <t>taozi_fenban</t>
        </is>
      </c>
      <c r="B104" s="2" t="inlineStr">
        <is>
          <t>我的桃子分你一半</t>
        </is>
      </c>
      <c r="C104" s="2" t="inlineStr">
        <is>
          <t>个人任务</t>
        </is>
      </c>
      <c r="D104" s="2" t="inlineStr">
        <is>
          <t>门客</t>
        </is>
      </c>
      <c r="E104" s="2" t="inlineStr">
        <is>
          <t>task_orchard_wraith</t>
        </is>
      </c>
      <c r="F104" s="2" t="n">
        <v>1</v>
      </c>
      <c r="G104" s="2" t="inlineStr">
        <is>
          <t>孤魂野鬼</t>
        </is>
      </c>
      <c r="H104" s="2" t="inlineStr">
        <is>
          <t>使用模板默认技能</t>
        </is>
      </c>
      <c r="I104" s="2" t="n">
        <v>3</v>
      </c>
      <c r="J104" s="2" t="n">
        <v>40</v>
      </c>
      <c r="K104" s="4" t="n">
        <v>0.06</v>
      </c>
      <c r="L104" s="2" t="inlineStr">
        <is>
          <t>data/mission_templates.yaml:L951:enemy_guests</t>
        </is>
      </c>
      <c r="M104" s="2" t="inlineStr">
        <is>
          <t>{"key":"task_orchard_wraith","label":"孤魂野鬼"}</t>
        </is>
      </c>
    </row>
    <row r="105">
      <c r="A105" s="2" t="inlineStr">
        <is>
          <t>simian_chuge</t>
        </is>
      </c>
      <c r="B105" s="2" t="inlineStr">
        <is>
          <t>四面楚歌</t>
        </is>
      </c>
      <c r="C105" s="2" t="inlineStr">
        <is>
          <t>个人任务</t>
        </is>
      </c>
      <c r="D105" s="2" t="inlineStr">
        <is>
          <t>门客</t>
        </is>
      </c>
      <c r="E105" s="2" t="inlineStr">
        <is>
          <t>task_simian_chuge_hanxin_boss</t>
        </is>
      </c>
      <c r="F105" s="2" t="n">
        <v>1</v>
      </c>
      <c r="G105" s="2" t="inlineStr">
        <is>
          <t>韩信</t>
        </is>
      </c>
      <c r="H105" s="2" t="inlineStr">
        <is>
          <t>奇策突袭</t>
        </is>
      </c>
      <c r="I105" s="2" t="n">
        <v>10</v>
      </c>
      <c r="J105" s="2" t="n">
        <v>100</v>
      </c>
      <c r="K105" s="4" t="n">
        <v>0.28</v>
      </c>
      <c r="L105" s="2" t="inlineStr">
        <is>
          <t>data/mission_templates.yaml:L1007:enemy_guests</t>
        </is>
      </c>
      <c r="M105" s="2" t="inlineStr">
        <is>
          <t>{"key":"task_simian_chuge_hanxin_boss","label":"韩信","skills":["stratagem_burst"]}</t>
        </is>
      </c>
    </row>
    <row r="106">
      <c r="A106" s="2" t="inlineStr">
        <is>
          <t>simian_chuge</t>
        </is>
      </c>
      <c r="B106" s="2" t="inlineStr">
        <is>
          <t>四面楚歌</t>
        </is>
      </c>
      <c r="C106" s="2" t="inlineStr">
        <is>
          <t>个人任务</t>
        </is>
      </c>
      <c r="D106" s="2" t="inlineStr">
        <is>
          <t>门客</t>
        </is>
      </c>
      <c r="E106" s="2" t="inlineStr">
        <is>
          <t>task_simian_chuge_pengyue_boss</t>
        </is>
      </c>
      <c r="F106" s="2" t="n">
        <v>1</v>
      </c>
      <c r="G106" s="2" t="inlineStr">
        <is>
          <t>彭越·垓下</t>
        </is>
      </c>
      <c r="H106" s="2" t="inlineStr">
        <is>
          <t>倾城一击</t>
        </is>
      </c>
      <c r="I106" s="2" t="n">
        <v>10</v>
      </c>
      <c r="J106" s="2" t="n">
        <v>100</v>
      </c>
      <c r="K106" s="4" t="n">
        <v>0.28</v>
      </c>
      <c r="L106" s="2" t="inlineStr">
        <is>
          <t>data/mission_templates.yaml:L1007:enemy_guests</t>
        </is>
      </c>
      <c r="M106" s="2" t="inlineStr">
        <is>
          <t>{"key":"task_simian_chuge_pengyue_boss","skills":["city_felling_strike"]}</t>
        </is>
      </c>
    </row>
    <row r="107">
      <c r="A107" s="2" t="inlineStr">
        <is>
          <t>simian_chuge</t>
        </is>
      </c>
      <c r="B107" s="2" t="inlineStr">
        <is>
          <t>四面楚歌</t>
        </is>
      </c>
      <c r="C107" s="2" t="inlineStr">
        <is>
          <t>个人任务</t>
        </is>
      </c>
      <c r="D107" s="2" t="inlineStr">
        <is>
          <t>门客</t>
        </is>
      </c>
      <c r="E107" s="2" t="inlineStr">
        <is>
          <t>task_simian_chuge_yingbu_boss</t>
        </is>
      </c>
      <c r="F107" s="2" t="n">
        <v>1</v>
      </c>
      <c r="G107" s="2" t="inlineStr">
        <is>
          <t>英布·垓下</t>
        </is>
      </c>
      <c r="H107" s="2" t="inlineStr">
        <is>
          <t>倾城一击</t>
        </is>
      </c>
      <c r="I107" s="2" t="n">
        <v>10</v>
      </c>
      <c r="J107" s="2" t="n">
        <v>100</v>
      </c>
      <c r="K107" s="4" t="n">
        <v>0.28</v>
      </c>
      <c r="L107" s="2" t="inlineStr">
        <is>
          <t>data/mission_templates.yaml:L1007:enemy_guests</t>
        </is>
      </c>
      <c r="M107" s="2" t="inlineStr">
        <is>
          <t>{"key":"task_simian_chuge_yingbu_boss","skills":["city_felling_strike"]}</t>
        </is>
      </c>
    </row>
    <row r="108">
      <c r="A108" s="2" t="inlineStr">
        <is>
          <t>simian_chuge</t>
        </is>
      </c>
      <c r="B108" s="2" t="inlineStr">
        <is>
          <t>四面楚歌</t>
        </is>
      </c>
      <c r="C108" s="2" t="inlineStr">
        <is>
          <t>个人任务</t>
        </is>
      </c>
      <c r="D108" s="2" t="inlineStr">
        <is>
          <t>护院</t>
        </is>
      </c>
      <c r="E108" s="2" t="inlineStr">
        <is>
          <t>dao_sheng</t>
        </is>
      </c>
      <c r="F108" s="2" t="n">
        <v>500</v>
      </c>
      <c r="G108" s="2" t="inlineStr">
        <is>
          <t>刀圣</t>
        </is>
      </c>
      <c r="H108" s="2" t="inlineStr"/>
      <c r="I108" s="2" t="n">
        <v>10</v>
      </c>
      <c r="J108" s="2" t="n"/>
      <c r="K108" s="4" t="n"/>
      <c r="L108" s="2" t="inlineStr">
        <is>
          <t>data/mission_templates.yaml:L1007:enemy_troops</t>
        </is>
      </c>
      <c r="M108" s="2" t="inlineStr">
        <is>
          <t>{"dao_sheng":500}</t>
        </is>
      </c>
    </row>
    <row r="109">
      <c r="A109" s="2" t="inlineStr">
        <is>
          <t>simian_chuge</t>
        </is>
      </c>
      <c r="B109" s="2" t="inlineStr">
        <is>
          <t>四面楚歌</t>
        </is>
      </c>
      <c r="C109" s="2" t="inlineStr">
        <is>
          <t>个人任务</t>
        </is>
      </c>
      <c r="D109" s="2" t="inlineStr">
        <is>
          <t>护院</t>
        </is>
      </c>
      <c r="E109" s="2" t="inlineStr">
        <is>
          <t>qiang_wang</t>
        </is>
      </c>
      <c r="F109" s="2" t="n">
        <v>500</v>
      </c>
      <c r="G109" s="2" t="inlineStr">
        <is>
          <t>枪王</t>
        </is>
      </c>
      <c r="H109" s="2" t="inlineStr"/>
      <c r="I109" s="2" t="n">
        <v>10</v>
      </c>
      <c r="J109" s="2" t="n"/>
      <c r="K109" s="4" t="n"/>
      <c r="L109" s="2" t="inlineStr">
        <is>
          <t>data/mission_templates.yaml:L1007:enemy_troops</t>
        </is>
      </c>
      <c r="M109" s="2" t="inlineStr">
        <is>
          <t>{"qiang_wang":500}</t>
        </is>
      </c>
    </row>
    <row r="110">
      <c r="A110" s="2" t="inlineStr">
        <is>
          <t>manzu_ruqin</t>
        </is>
      </c>
      <c r="B110" s="2" t="inlineStr">
        <is>
          <t>蛮族入侵</t>
        </is>
      </c>
      <c r="C110" s="2" t="inlineStr">
        <is>
          <t>个人任务</t>
        </is>
      </c>
      <c r="D110" s="2" t="inlineStr">
        <is>
          <t>门客</t>
        </is>
      </c>
      <c r="E110" s="2" t="inlineStr">
        <is>
          <t>task_barbarian_chanyu</t>
        </is>
      </c>
      <c r="F110" s="2" t="n">
        <v>1</v>
      </c>
      <c r="G110" s="2" t="inlineStr">
        <is>
          <t>单于</t>
        </is>
      </c>
      <c r="H110" s="2" t="inlineStr">
        <is>
          <t>使用模板默认技能</t>
        </is>
      </c>
      <c r="I110" s="2" t="n">
        <v>10</v>
      </c>
      <c r="J110" s="2" t="n">
        <v>100</v>
      </c>
      <c r="K110" s="4" t="n">
        <v>0.5</v>
      </c>
      <c r="L110" s="2" t="inlineStr">
        <is>
          <t>data/mission_templates.yaml:L1046:enemy_guests</t>
        </is>
      </c>
      <c r="M110" s="2" t="inlineStr">
        <is>
          <t>{"key":"task_barbarian_chanyu","label":"单于"}</t>
        </is>
      </c>
    </row>
    <row r="111">
      <c r="A111" s="2" t="inlineStr">
        <is>
          <t>manzu_ruqin</t>
        </is>
      </c>
      <c r="B111" s="2" t="inlineStr">
        <is>
          <t>蛮族入侵</t>
        </is>
      </c>
      <c r="C111" s="2" t="inlineStr">
        <is>
          <t>个人任务</t>
        </is>
      </c>
      <c r="D111" s="2" t="inlineStr">
        <is>
          <t>护院</t>
        </is>
      </c>
      <c r="E111" s="2" t="inlineStr">
        <is>
          <t>qiang_wang</t>
        </is>
      </c>
      <c r="F111" s="2" t="n">
        <v>1500</v>
      </c>
      <c r="G111" s="2" t="inlineStr">
        <is>
          <t>枪王</t>
        </is>
      </c>
      <c r="H111" s="2" t="inlineStr"/>
      <c r="I111" s="2" t="n">
        <v>10</v>
      </c>
      <c r="J111" s="2" t="n"/>
      <c r="K111" s="4" t="n"/>
      <c r="L111" s="2" t="inlineStr">
        <is>
          <t>data/mission_templates.yaml:L1046:enemy_troops</t>
        </is>
      </c>
      <c r="M111" s="2" t="inlineStr">
        <is>
          <t>{"qiang_wang":1500}</t>
        </is>
      </c>
    </row>
    <row r="112">
      <c r="A112" s="2" t="inlineStr">
        <is>
          <t>zhuiji_manzu</t>
        </is>
      </c>
      <c r="B112" s="2" t="inlineStr">
        <is>
          <t>追击蛮族</t>
        </is>
      </c>
      <c r="C112" s="2" t="inlineStr">
        <is>
          <t>个人任务</t>
        </is>
      </c>
      <c r="D112" s="2" t="inlineStr">
        <is>
          <t>门客</t>
        </is>
      </c>
      <c r="E112" s="2" t="inlineStr">
        <is>
          <t>task_barbarian_chanyu</t>
        </is>
      </c>
      <c r="F112" s="2" t="n">
        <v>1</v>
      </c>
      <c r="G112" s="2" t="inlineStr">
        <is>
          <t>单于</t>
        </is>
      </c>
      <c r="H112" s="2" t="inlineStr">
        <is>
          <t>使用模板默认技能</t>
        </is>
      </c>
      <c r="I112" s="2" t="n">
        <v>10</v>
      </c>
      <c r="J112" s="2" t="n">
        <v>100</v>
      </c>
      <c r="K112" s="4" t="n">
        <v>0.26</v>
      </c>
      <c r="L112" s="2" t="inlineStr">
        <is>
          <t>data/mission_templates.yaml:L1075:enemy_guests</t>
        </is>
      </c>
      <c r="M112" s="2" t="inlineStr">
        <is>
          <t>{"key":"task_barbarian_chanyu","label":"单于"}</t>
        </is>
      </c>
    </row>
    <row r="113">
      <c r="A113" s="2" t="inlineStr">
        <is>
          <t>zhuiji_manzu</t>
        </is>
      </c>
      <c r="B113" s="2" t="inlineStr">
        <is>
          <t>追击蛮族</t>
        </is>
      </c>
      <c r="C113" s="2" t="inlineStr">
        <is>
          <t>个人任务</t>
        </is>
      </c>
      <c r="D113" s="2" t="inlineStr">
        <is>
          <t>护院</t>
        </is>
      </c>
      <c r="E113" s="2" t="inlineStr">
        <is>
          <t>qiang_wang</t>
        </is>
      </c>
      <c r="F113" s="2" t="n">
        <v>1000</v>
      </c>
      <c r="G113" s="2" t="inlineStr">
        <is>
          <t>枪王</t>
        </is>
      </c>
      <c r="H113" s="2" t="inlineStr"/>
      <c r="I113" s="2" t="n">
        <v>10</v>
      </c>
      <c r="J113" s="2" t="n"/>
      <c r="K113" s="4" t="n"/>
      <c r="L113" s="2" t="inlineStr">
        <is>
          <t>data/mission_templates.yaml:L1075:enemy_troops</t>
        </is>
      </c>
      <c r="M113" s="2" t="inlineStr">
        <is>
          <t>{"qiang_wang":1000}</t>
        </is>
      </c>
    </row>
    <row r="114">
      <c r="A114" s="2" t="inlineStr">
        <is>
          <t>liangshanbo_zhuyingtai</t>
        </is>
      </c>
      <c r="B114" s="2" t="inlineStr">
        <is>
          <t>梁山伯与祝英台</t>
        </is>
      </c>
      <c r="C114" s="2" t="inlineStr">
        <is>
          <t>个人任务</t>
        </is>
      </c>
      <c r="D114" s="2" t="inlineStr">
        <is>
          <t>门客</t>
        </is>
      </c>
      <c r="E114" s="2" t="inlineStr">
        <is>
          <t>orig_ma_wencai</t>
        </is>
      </c>
      <c r="F114" s="2" t="n">
        <v>1</v>
      </c>
      <c r="G114" s="2" t="inlineStr">
        <is>
          <t>马文才</t>
        </is>
      </c>
      <c r="H114" s="2" t="inlineStr">
        <is>
          <t>奇策突袭</t>
        </is>
      </c>
      <c r="I114" s="2" t="n">
        <v>5</v>
      </c>
      <c r="J114" s="2" t="n">
        <v>60</v>
      </c>
      <c r="K114" s="4" t="n">
        <v>0.16</v>
      </c>
      <c r="L114" s="2" t="inlineStr">
        <is>
          <t>data/mission_templates.yaml:L1108:enemy_guests</t>
        </is>
      </c>
      <c r="M114" s="2" t="inlineStr">
        <is>
          <t>{"key":"orig_ma_wencai","label":"马文才","skills":["stratagem_burst"]}</t>
        </is>
      </c>
    </row>
    <row r="115">
      <c r="A115" s="2" t="inlineStr">
        <is>
          <t>liangshanbo_zhuyingtai</t>
        </is>
      </c>
      <c r="B115" s="2" t="inlineStr">
        <is>
          <t>梁山伯与祝英台</t>
        </is>
      </c>
      <c r="C115" s="2" t="inlineStr">
        <is>
          <t>个人任务</t>
        </is>
      </c>
      <c r="D115" s="2" t="inlineStr">
        <is>
          <t>护院</t>
        </is>
      </c>
      <c r="E115" s="2" t="inlineStr">
        <is>
          <t>qiang_wang</t>
        </is>
      </c>
      <c r="F115" s="2" t="n">
        <v>200</v>
      </c>
      <c r="G115" s="2" t="inlineStr">
        <is>
          <t>枪王</t>
        </is>
      </c>
      <c r="H115" s="2" t="inlineStr"/>
      <c r="I115" s="2" t="n">
        <v>5</v>
      </c>
      <c r="J115" s="2" t="n"/>
      <c r="K115" s="4" t="n"/>
      <c r="L115" s="2" t="inlineStr">
        <is>
          <t>data/mission_templates.yaml:L1108:enemy_troops</t>
        </is>
      </c>
      <c r="M115" s="2" t="inlineStr">
        <is>
          <t>{"qiang_wang":200}</t>
        </is>
      </c>
    </row>
    <row r="116">
      <c r="A116" s="2" t="inlineStr">
        <is>
          <t>liangshanbo_zhuyingtai</t>
        </is>
      </c>
      <c r="B116" s="2" t="inlineStr">
        <is>
          <t>梁山伯与祝英台</t>
        </is>
      </c>
      <c r="C116" s="2" t="inlineStr">
        <is>
          <t>个人任务</t>
        </is>
      </c>
      <c r="D116" s="2" t="inlineStr">
        <is>
          <t>护院</t>
        </is>
      </c>
      <c r="E116" s="2" t="inlineStr">
        <is>
          <t>arrow_god</t>
        </is>
      </c>
      <c r="F116" s="2" t="n">
        <v>200</v>
      </c>
      <c r="G116" s="2" t="inlineStr">
        <is>
          <t>箭神</t>
        </is>
      </c>
      <c r="H116" s="2" t="inlineStr"/>
      <c r="I116" s="2" t="n">
        <v>5</v>
      </c>
      <c r="J116" s="2" t="n"/>
      <c r="K116" s="4" t="n"/>
      <c r="L116" s="2" t="inlineStr">
        <is>
          <t>data/mission_templates.yaml:L1108:enemy_troops</t>
        </is>
      </c>
      <c r="M116" s="2" t="inlineStr">
        <is>
          <t>{"arrow_god":200}</t>
        </is>
      </c>
    </row>
    <row r="117">
      <c r="A117" s="2" t="inlineStr">
        <is>
          <t>liangshanbo_zhuyingtai</t>
        </is>
      </c>
      <c r="B117" s="2" t="inlineStr">
        <is>
          <t>梁山伯与祝英台</t>
        </is>
      </c>
      <c r="C117" s="2" t="inlineStr">
        <is>
          <t>个人任务</t>
        </is>
      </c>
      <c r="D117" s="2" t="inlineStr">
        <is>
          <t>护院</t>
        </is>
      </c>
      <c r="E117" s="2" t="inlineStr">
        <is>
          <t>dao_sheng</t>
        </is>
      </c>
      <c r="F117" s="2" t="n">
        <v>200</v>
      </c>
      <c r="G117" s="2" t="inlineStr">
        <is>
          <t>刀圣</t>
        </is>
      </c>
      <c r="H117" s="2" t="inlineStr"/>
      <c r="I117" s="2" t="n">
        <v>5</v>
      </c>
      <c r="J117" s="2" t="n"/>
      <c r="K117" s="4" t="n"/>
      <c r="L117" s="2" t="inlineStr">
        <is>
          <t>data/mission_templates.yaml:L1108:enemy_troops</t>
        </is>
      </c>
      <c r="M117" s="2" t="inlineStr">
        <is>
          <t>{"dao_sheng":200}</t>
        </is>
      </c>
    </row>
    <row r="118">
      <c r="A118" s="2" t="inlineStr">
        <is>
          <t>biyou_candeng</t>
        </is>
      </c>
      <c r="B118" s="2" t="inlineStr">
        <is>
          <t>封神之战：碧游残灯</t>
        </is>
      </c>
      <c r="C118" s="2" t="inlineStr">
        <is>
          <t>个人任务</t>
        </is>
      </c>
      <c r="D118" s="2" t="inlineStr">
        <is>
          <t>门客</t>
        </is>
      </c>
      <c r="E118" s="2" t="inlineStr">
        <is>
          <t>task_wanxian_nangong_lie</t>
        </is>
      </c>
      <c r="F118" s="2" t="n">
        <v>1</v>
      </c>
      <c r="G118" s="2" t="inlineStr">
        <is>
          <t>南宫烈</t>
        </is>
      </c>
      <c r="H118" s="2" t="inlineStr">
        <is>
          <t>使用模板默认技能</t>
        </is>
      </c>
      <c r="I118" s="2" t="n">
        <v>10</v>
      </c>
      <c r="J118" s="2" t="n">
        <v>88</v>
      </c>
      <c r="K118" s="4" t="n">
        <v>0.34</v>
      </c>
      <c r="L118" s="2" t="inlineStr">
        <is>
          <t>data/mission_templates.yaml:L1158:enemy_guests</t>
        </is>
      </c>
      <c r="M118" s="2" t="inlineStr">
        <is>
          <t>"task_wanxian_nangong_lie"</t>
        </is>
      </c>
    </row>
    <row r="119">
      <c r="A119" s="2" t="inlineStr">
        <is>
          <t>biyou_candeng</t>
        </is>
      </c>
      <c r="B119" s="2" t="inlineStr">
        <is>
          <t>封神之战：碧游残灯</t>
        </is>
      </c>
      <c r="C119" s="2" t="inlineStr">
        <is>
          <t>个人任务</t>
        </is>
      </c>
      <c r="D119" s="2" t="inlineStr">
        <is>
          <t>门客</t>
        </is>
      </c>
      <c r="E119" s="2" t="inlineStr">
        <is>
          <t>task_wanxian_lu_xuanqing</t>
        </is>
      </c>
      <c r="F119" s="2" t="n">
        <v>1</v>
      </c>
      <c r="G119" s="2" t="inlineStr">
        <is>
          <t>陆玄清</t>
        </is>
      </c>
      <c r="H119" s="2" t="inlineStr">
        <is>
          <t>使用模板默认技能</t>
        </is>
      </c>
      <c r="I119" s="2" t="n">
        <v>10</v>
      </c>
      <c r="J119" s="2" t="n">
        <v>88</v>
      </c>
      <c r="K119" s="4" t="n">
        <v>0.34</v>
      </c>
      <c r="L119" s="2" t="inlineStr">
        <is>
          <t>data/mission_templates.yaml:L1158:enemy_guests</t>
        </is>
      </c>
      <c r="M119" s="2" t="inlineStr">
        <is>
          <t>"task_wanxian_lu_xuanqing"</t>
        </is>
      </c>
    </row>
    <row r="120">
      <c r="A120" s="2" t="inlineStr">
        <is>
          <t>biyou_candeng</t>
        </is>
      </c>
      <c r="B120" s="2" t="inlineStr">
        <is>
          <t>封神之战：碧游残灯</t>
        </is>
      </c>
      <c r="C120" s="2" t="inlineStr">
        <is>
          <t>个人任务</t>
        </is>
      </c>
      <c r="D120" s="2" t="inlineStr">
        <is>
          <t>门客</t>
        </is>
      </c>
      <c r="E120" s="2" t="inlineStr">
        <is>
          <t>task_wanxian_baihe_fushi</t>
        </is>
      </c>
      <c r="F120" s="2" t="n">
        <v>1</v>
      </c>
      <c r="G120" s="2" t="inlineStr">
        <is>
          <t>白鹤符使</t>
        </is>
      </c>
      <c r="H120" s="2" t="inlineStr">
        <is>
          <t>使用模板默认技能</t>
        </is>
      </c>
      <c r="I120" s="2" t="n">
        <v>10</v>
      </c>
      <c r="J120" s="2" t="n">
        <v>88</v>
      </c>
      <c r="K120" s="4" t="n">
        <v>0.34</v>
      </c>
      <c r="L120" s="2" t="inlineStr">
        <is>
          <t>data/mission_templates.yaml:L1158:enemy_guests</t>
        </is>
      </c>
      <c r="M120" s="2" t="inlineStr">
        <is>
          <t>"task_wanxian_baihe_fushi"</t>
        </is>
      </c>
    </row>
    <row r="121">
      <c r="A121" s="2" t="inlineStr">
        <is>
          <t>biyou_candeng</t>
        </is>
      </c>
      <c r="B121" s="2" t="inlineStr">
        <is>
          <t>封神之战：碧游残灯</t>
        </is>
      </c>
      <c r="C121" s="2" t="inlineStr">
        <is>
          <t>个人任务</t>
        </is>
      </c>
      <c r="D121" s="2" t="inlineStr">
        <is>
          <t>门客</t>
        </is>
      </c>
      <c r="E121" s="2" t="inlineStr">
        <is>
          <t>task_wanxian_zhuxian_canfeng</t>
        </is>
      </c>
      <c r="F121" s="2" t="n">
        <v>1</v>
      </c>
      <c r="G121" s="2" t="inlineStr">
        <is>
          <t>诛仙残锋</t>
        </is>
      </c>
      <c r="H121" s="2" t="inlineStr">
        <is>
          <t>使用模板默认技能</t>
        </is>
      </c>
      <c r="I121" s="2" t="n">
        <v>10</v>
      </c>
      <c r="J121" s="2" t="n">
        <v>88</v>
      </c>
      <c r="K121" s="4" t="n">
        <v>0.34</v>
      </c>
      <c r="L121" s="2" t="inlineStr">
        <is>
          <t>data/mission_templates.yaml:L1158:enemy_guests</t>
        </is>
      </c>
      <c r="M121" s="2" t="inlineStr">
        <is>
          <t>"task_wanxian_zhuxian_canfeng"</t>
        </is>
      </c>
    </row>
    <row r="122">
      <c r="A122" s="2" t="inlineStr">
        <is>
          <t>biyou_candeng</t>
        </is>
      </c>
      <c r="B122" s="2" t="inlineStr">
        <is>
          <t>封神之战：碧游残灯</t>
        </is>
      </c>
      <c r="C122" s="2" t="inlineStr">
        <is>
          <t>个人任务</t>
        </is>
      </c>
      <c r="D122" s="2" t="inlineStr">
        <is>
          <t>门客</t>
        </is>
      </c>
      <c r="E122" s="2" t="inlineStr">
        <is>
          <t>task_wanxian_yuzhu</t>
        </is>
      </c>
      <c r="F122" s="2" t="n">
        <v>1</v>
      </c>
      <c r="G122" s="2" t="inlineStr">
        <is>
          <t>余烛</t>
        </is>
      </c>
      <c r="H122" s="2" t="inlineStr">
        <is>
          <t>使用模板默认技能</t>
        </is>
      </c>
      <c r="I122" s="2" t="n">
        <v>10</v>
      </c>
      <c r="J122" s="2" t="n">
        <v>88</v>
      </c>
      <c r="K122" s="4" t="n">
        <v>0.34</v>
      </c>
      <c r="L122" s="2" t="inlineStr">
        <is>
          <t>data/mission_templates.yaml:L1158:enemy_guests</t>
        </is>
      </c>
      <c r="M122" s="2" t="inlineStr">
        <is>
          <t>"task_wanxian_yuzhu"</t>
        </is>
      </c>
    </row>
    <row r="123">
      <c r="A123" s="2" t="inlineStr">
        <is>
          <t>biyou_candeng</t>
        </is>
      </c>
      <c r="B123" s="2" t="inlineStr">
        <is>
          <t>封神之战：碧游残灯</t>
        </is>
      </c>
      <c r="C123" s="2" t="inlineStr">
        <is>
          <t>个人任务</t>
        </is>
      </c>
      <c r="D123" s="2" t="inlineStr">
        <is>
          <t>门客</t>
        </is>
      </c>
      <c r="E123" s="2" t="inlineStr">
        <is>
          <t>task_wanxian_qingsuan_fuzhao</t>
        </is>
      </c>
      <c r="F123" s="2" t="n">
        <v>1</v>
      </c>
      <c r="G123" s="2" t="inlineStr">
        <is>
          <t>清算符诏</t>
        </is>
      </c>
      <c r="H123" s="2" t="inlineStr">
        <is>
          <t>使用模板默认技能</t>
        </is>
      </c>
      <c r="I123" s="2" t="n">
        <v>10</v>
      </c>
      <c r="J123" s="2" t="n">
        <v>88</v>
      </c>
      <c r="K123" s="4" t="n">
        <v>0.34</v>
      </c>
      <c r="L123" s="2" t="inlineStr">
        <is>
          <t>data/mission_templates.yaml:L1158:enemy_guests</t>
        </is>
      </c>
      <c r="M123" s="2" t="inlineStr">
        <is>
          <t>"task_wanxian_qingsuan_fuzhao"</t>
        </is>
      </c>
    </row>
    <row r="124">
      <c r="A124" s="2" t="inlineStr">
        <is>
          <t>biyou_candeng</t>
        </is>
      </c>
      <c r="B124" s="2" t="inlineStr">
        <is>
          <t>封神之战：碧游残灯</t>
        </is>
      </c>
      <c r="C124" s="2" t="inlineStr">
        <is>
          <t>个人任务</t>
        </is>
      </c>
      <c r="D124" s="2" t="inlineStr">
        <is>
          <t>护院</t>
        </is>
      </c>
      <c r="E124" s="2" t="inlineStr">
        <is>
          <t>dao_sheng</t>
        </is>
      </c>
      <c r="F124" s="2" t="n">
        <v>700</v>
      </c>
      <c r="G124" s="2" t="inlineStr">
        <is>
          <t>刀圣</t>
        </is>
      </c>
      <c r="H124" s="2" t="inlineStr"/>
      <c r="I124" s="2" t="n">
        <v>10</v>
      </c>
      <c r="J124" s="2" t="n"/>
      <c r="K124" s="4" t="n"/>
      <c r="L124" s="2" t="inlineStr">
        <is>
          <t>data/mission_templates.yaml:L1158:enemy_troops</t>
        </is>
      </c>
      <c r="M124" s="2" t="inlineStr">
        <is>
          <t>{"dao_sheng":700}</t>
        </is>
      </c>
    </row>
    <row r="125">
      <c r="A125" s="2" t="inlineStr">
        <is>
          <t>biyou_candeng</t>
        </is>
      </c>
      <c r="B125" s="2" t="inlineStr">
        <is>
          <t>封神之战：碧游残灯</t>
        </is>
      </c>
      <c r="C125" s="2" t="inlineStr">
        <is>
          <t>个人任务</t>
        </is>
      </c>
      <c r="D125" s="2" t="inlineStr">
        <is>
          <t>护院</t>
        </is>
      </c>
      <c r="E125" s="2" t="inlineStr">
        <is>
          <t>qiang_wang</t>
        </is>
      </c>
      <c r="F125" s="2" t="n">
        <v>650</v>
      </c>
      <c r="G125" s="2" t="inlineStr">
        <is>
          <t>枪王</t>
        </is>
      </c>
      <c r="H125" s="2" t="inlineStr"/>
      <c r="I125" s="2" t="n">
        <v>10</v>
      </c>
      <c r="J125" s="2" t="n"/>
      <c r="K125" s="4" t="n"/>
      <c r="L125" s="2" t="inlineStr">
        <is>
          <t>data/mission_templates.yaml:L1158:enemy_troops</t>
        </is>
      </c>
      <c r="M125" s="2" t="inlineStr">
        <is>
          <t>{"qiang_wang":650}</t>
        </is>
      </c>
    </row>
    <row r="126">
      <c r="A126" s="2" t="inlineStr">
        <is>
          <t>biyou_candeng</t>
        </is>
      </c>
      <c r="B126" s="2" t="inlineStr">
        <is>
          <t>封神之战：碧游残灯</t>
        </is>
      </c>
      <c r="C126" s="2" t="inlineStr">
        <is>
          <t>个人任务</t>
        </is>
      </c>
      <c r="D126" s="2" t="inlineStr">
        <is>
          <t>护院</t>
        </is>
      </c>
      <c r="E126" s="2" t="inlineStr">
        <is>
          <t>arrow_god</t>
        </is>
      </c>
      <c r="F126" s="2" t="n">
        <v>500</v>
      </c>
      <c r="G126" s="2" t="inlineStr">
        <is>
          <t>箭神</t>
        </is>
      </c>
      <c r="H126" s="2" t="inlineStr"/>
      <c r="I126" s="2" t="n">
        <v>10</v>
      </c>
      <c r="J126" s="2" t="n"/>
      <c r="K126" s="4" t="n"/>
      <c r="L126" s="2" t="inlineStr">
        <is>
          <t>data/mission_templates.yaml:L1158:enemy_troops</t>
        </is>
      </c>
      <c r="M126" s="2" t="inlineStr">
        <is>
          <t>{"arrow_god":500}</t>
        </is>
      </c>
    </row>
    <row r="127">
      <c r="A127" s="2" t="inlineStr">
        <is>
          <t>shier_xianyin</t>
        </is>
      </c>
      <c r="B127" s="2" t="inlineStr">
        <is>
          <t>封神之战：十二仙印</t>
        </is>
      </c>
      <c r="C127" s="2" t="inlineStr">
        <is>
          <t>个人任务</t>
        </is>
      </c>
      <c r="D127" s="2" t="inlineStr">
        <is>
          <t>门客</t>
        </is>
      </c>
      <c r="E127" s="2" t="inlineStr">
        <is>
          <t>task_wanxian_nezha</t>
        </is>
      </c>
      <c r="F127" s="2" t="n">
        <v>1</v>
      </c>
      <c r="G127" s="2" t="inlineStr">
        <is>
          <t>哪吒</t>
        </is>
      </c>
      <c r="H127" s="2" t="inlineStr">
        <is>
          <t>使用模板默认技能</t>
        </is>
      </c>
      <c r="I127" s="2" t="n">
        <v>10</v>
      </c>
      <c r="J127" s="2" t="n">
        <v>94</v>
      </c>
      <c r="K127" s="4" t="n">
        <v>0.46</v>
      </c>
      <c r="L127" s="2" t="inlineStr">
        <is>
          <t>data/mission_templates.yaml:L1212:enemy_guests</t>
        </is>
      </c>
      <c r="M127" s="2" t="inlineStr">
        <is>
          <t>"task_wanxian_nezha"</t>
        </is>
      </c>
    </row>
    <row r="128">
      <c r="A128" s="2" t="inlineStr">
        <is>
          <t>shier_xianyin</t>
        </is>
      </c>
      <c r="B128" s="2" t="inlineStr">
        <is>
          <t>封神之战：十二仙印</t>
        </is>
      </c>
      <c r="C128" s="2" t="inlineStr">
        <is>
          <t>个人任务</t>
        </is>
      </c>
      <c r="D128" s="2" t="inlineStr">
        <is>
          <t>门客</t>
        </is>
      </c>
      <c r="E128" s="2" t="inlineStr">
        <is>
          <t>task_wanxian_yangjian</t>
        </is>
      </c>
      <c r="F128" s="2" t="n">
        <v>1</v>
      </c>
      <c r="G128" s="2" t="inlineStr">
        <is>
          <t>杨戬</t>
        </is>
      </c>
      <c r="H128" s="2" t="inlineStr">
        <is>
          <t>使用模板默认技能</t>
        </is>
      </c>
      <c r="I128" s="2" t="n">
        <v>10</v>
      </c>
      <c r="J128" s="2" t="n">
        <v>94</v>
      </c>
      <c r="K128" s="4" t="n">
        <v>0.46</v>
      </c>
      <c r="L128" s="2" t="inlineStr">
        <is>
          <t>data/mission_templates.yaml:L1212:enemy_guests</t>
        </is>
      </c>
      <c r="M128" s="2" t="inlineStr">
        <is>
          <t>"task_wanxian_yangjian"</t>
        </is>
      </c>
    </row>
    <row r="129">
      <c r="A129" s="2" t="inlineStr">
        <is>
          <t>shier_xianyin</t>
        </is>
      </c>
      <c r="B129" s="2" t="inlineStr">
        <is>
          <t>封神之战：十二仙印</t>
        </is>
      </c>
      <c r="C129" s="2" t="inlineStr">
        <is>
          <t>个人任务</t>
        </is>
      </c>
      <c r="D129" s="2" t="inlineStr">
        <is>
          <t>门客</t>
        </is>
      </c>
      <c r="E129" s="2" t="inlineStr">
        <is>
          <t>task_wanxian_taiyi</t>
        </is>
      </c>
      <c r="F129" s="2" t="n">
        <v>1</v>
      </c>
      <c r="G129" s="2" t="inlineStr">
        <is>
          <t>太乙</t>
        </is>
      </c>
      <c r="H129" s="2" t="inlineStr">
        <is>
          <t>使用模板默认技能</t>
        </is>
      </c>
      <c r="I129" s="2" t="n">
        <v>10</v>
      </c>
      <c r="J129" s="2" t="n">
        <v>94</v>
      </c>
      <c r="K129" s="4" t="n">
        <v>0.46</v>
      </c>
      <c r="L129" s="2" t="inlineStr">
        <is>
          <t>data/mission_templates.yaml:L1212:enemy_guests</t>
        </is>
      </c>
      <c r="M129" s="2" t="inlineStr">
        <is>
          <t>"task_wanxian_taiyi"</t>
        </is>
      </c>
    </row>
    <row r="130">
      <c r="A130" s="2" t="inlineStr">
        <is>
          <t>shier_xianyin</t>
        </is>
      </c>
      <c r="B130" s="2" t="inlineStr">
        <is>
          <t>封神之战：十二仙印</t>
        </is>
      </c>
      <c r="C130" s="2" t="inlineStr">
        <is>
          <t>个人任务</t>
        </is>
      </c>
      <c r="D130" s="2" t="inlineStr">
        <is>
          <t>门客</t>
        </is>
      </c>
      <c r="E130" s="2" t="inlineStr">
        <is>
          <t>task_wanxian_guangchengzi</t>
        </is>
      </c>
      <c r="F130" s="2" t="n">
        <v>1</v>
      </c>
      <c r="G130" s="2" t="inlineStr">
        <is>
          <t>广成子</t>
        </is>
      </c>
      <c r="H130" s="2" t="inlineStr">
        <is>
          <t>使用模板默认技能</t>
        </is>
      </c>
      <c r="I130" s="2" t="n">
        <v>10</v>
      </c>
      <c r="J130" s="2" t="n">
        <v>94</v>
      </c>
      <c r="K130" s="4" t="n">
        <v>0.46</v>
      </c>
      <c r="L130" s="2" t="inlineStr">
        <is>
          <t>data/mission_templates.yaml:L1212:enemy_guests</t>
        </is>
      </c>
      <c r="M130" s="2" t="inlineStr">
        <is>
          <t>"task_wanxian_guangchengzi"</t>
        </is>
      </c>
    </row>
    <row r="131">
      <c r="A131" s="2" t="inlineStr">
        <is>
          <t>shier_xianyin</t>
        </is>
      </c>
      <c r="B131" s="2" t="inlineStr">
        <is>
          <t>封神之战：十二仙印</t>
        </is>
      </c>
      <c r="C131" s="2" t="inlineStr">
        <is>
          <t>个人任务</t>
        </is>
      </c>
      <c r="D131" s="2" t="inlineStr">
        <is>
          <t>门客</t>
        </is>
      </c>
      <c r="E131" s="2" t="inlineStr">
        <is>
          <t>task_wanxian_chijingzi</t>
        </is>
      </c>
      <c r="F131" s="2" t="n">
        <v>1</v>
      </c>
      <c r="G131" s="2" t="inlineStr">
        <is>
          <t>赤精子</t>
        </is>
      </c>
      <c r="H131" s="2" t="inlineStr">
        <is>
          <t>使用模板默认技能</t>
        </is>
      </c>
      <c r="I131" s="2" t="n">
        <v>10</v>
      </c>
      <c r="J131" s="2" t="n">
        <v>94</v>
      </c>
      <c r="K131" s="4" t="n">
        <v>0.46</v>
      </c>
      <c r="L131" s="2" t="inlineStr">
        <is>
          <t>data/mission_templates.yaml:L1212:enemy_guests</t>
        </is>
      </c>
      <c r="M131" s="2" t="inlineStr">
        <is>
          <t>"task_wanxian_chijingzi"</t>
        </is>
      </c>
    </row>
    <row r="132">
      <c r="A132" s="2" t="inlineStr">
        <is>
          <t>shier_xianyin</t>
        </is>
      </c>
      <c r="B132" s="2" t="inlineStr">
        <is>
          <t>封神之战：十二仙印</t>
        </is>
      </c>
      <c r="C132" s="2" t="inlineStr">
        <is>
          <t>个人任务</t>
        </is>
      </c>
      <c r="D132" s="2" t="inlineStr">
        <is>
          <t>门客</t>
        </is>
      </c>
      <c r="E132" s="2" t="inlineStr">
        <is>
          <t>task_wanxian_cihang</t>
        </is>
      </c>
      <c r="F132" s="2" t="n">
        <v>1</v>
      </c>
      <c r="G132" s="2" t="inlineStr">
        <is>
          <t>慈航</t>
        </is>
      </c>
      <c r="H132" s="2" t="inlineStr">
        <is>
          <t>使用模板默认技能</t>
        </is>
      </c>
      <c r="I132" s="2" t="n">
        <v>10</v>
      </c>
      <c r="J132" s="2" t="n">
        <v>94</v>
      </c>
      <c r="K132" s="4" t="n">
        <v>0.46</v>
      </c>
      <c r="L132" s="2" t="inlineStr">
        <is>
          <t>data/mission_templates.yaml:L1212:enemy_guests</t>
        </is>
      </c>
      <c r="M132" s="2" t="inlineStr">
        <is>
          <t>"task_wanxian_cihang"</t>
        </is>
      </c>
    </row>
    <row r="133">
      <c r="A133" s="2" t="inlineStr">
        <is>
          <t>shier_xianyin</t>
        </is>
      </c>
      <c r="B133" s="2" t="inlineStr">
        <is>
          <t>封神之战：十二仙印</t>
        </is>
      </c>
      <c r="C133" s="2" t="inlineStr">
        <is>
          <t>个人任务</t>
        </is>
      </c>
      <c r="D133" s="2" t="inlineStr">
        <is>
          <t>门客</t>
        </is>
      </c>
      <c r="E133" s="2" t="inlineStr">
        <is>
          <t>task_wanxian_juliusun</t>
        </is>
      </c>
      <c r="F133" s="2" t="n">
        <v>1</v>
      </c>
      <c r="G133" s="2" t="inlineStr">
        <is>
          <t>惧留孙</t>
        </is>
      </c>
      <c r="H133" s="2" t="inlineStr">
        <is>
          <t>使用模板默认技能</t>
        </is>
      </c>
      <c r="I133" s="2" t="n">
        <v>10</v>
      </c>
      <c r="J133" s="2" t="n">
        <v>94</v>
      </c>
      <c r="K133" s="4" t="n">
        <v>0.46</v>
      </c>
      <c r="L133" s="2" t="inlineStr">
        <is>
          <t>data/mission_templates.yaml:L1212:enemy_guests</t>
        </is>
      </c>
      <c r="M133" s="2" t="inlineStr">
        <is>
          <t>"task_wanxian_juliusun"</t>
        </is>
      </c>
    </row>
    <row r="134">
      <c r="A134" s="2" t="inlineStr">
        <is>
          <t>shier_xianyin</t>
        </is>
      </c>
      <c r="B134" s="2" t="inlineStr">
        <is>
          <t>封神之战：十二仙印</t>
        </is>
      </c>
      <c r="C134" s="2" t="inlineStr">
        <is>
          <t>个人任务</t>
        </is>
      </c>
      <c r="D134" s="2" t="inlineStr">
        <is>
          <t>门客</t>
        </is>
      </c>
      <c r="E134" s="2" t="inlineStr">
        <is>
          <t>task_wanxian_shier_xianyin</t>
        </is>
      </c>
      <c r="F134" s="2" t="n">
        <v>1</v>
      </c>
      <c r="G134" s="2" t="inlineStr">
        <is>
          <t>十二仙印</t>
        </is>
      </c>
      <c r="H134" s="2" t="inlineStr">
        <is>
          <t>使用模板默认技能</t>
        </is>
      </c>
      <c r="I134" s="2" t="n">
        <v>10</v>
      </c>
      <c r="J134" s="2" t="n">
        <v>94</v>
      </c>
      <c r="K134" s="4" t="n">
        <v>0.46</v>
      </c>
      <c r="L134" s="2" t="inlineStr">
        <is>
          <t>data/mission_templates.yaml:L1212:enemy_guests</t>
        </is>
      </c>
      <c r="M134" s="2" t="inlineStr">
        <is>
          <t>"task_wanxian_shier_xianyin"</t>
        </is>
      </c>
    </row>
    <row r="135">
      <c r="A135" s="2" t="inlineStr">
        <is>
          <t>shier_xianyin</t>
        </is>
      </c>
      <c r="B135" s="2" t="inlineStr">
        <is>
          <t>封神之战：十二仙印</t>
        </is>
      </c>
      <c r="C135" s="2" t="inlineStr">
        <is>
          <t>个人任务</t>
        </is>
      </c>
      <c r="D135" s="2" t="inlineStr">
        <is>
          <t>护院</t>
        </is>
      </c>
      <c r="E135" s="2" t="inlineStr">
        <is>
          <t>jian_sheng</t>
        </is>
      </c>
      <c r="F135" s="2" t="n">
        <v>850</v>
      </c>
      <c r="G135" s="2" t="inlineStr">
        <is>
          <t>剑圣</t>
        </is>
      </c>
      <c r="H135" s="2" t="inlineStr"/>
      <c r="I135" s="2" t="n">
        <v>10</v>
      </c>
      <c r="J135" s="2" t="n"/>
      <c r="K135" s="4" t="n"/>
      <c r="L135" s="2" t="inlineStr">
        <is>
          <t>data/mission_templates.yaml:L1212:enemy_troops</t>
        </is>
      </c>
      <c r="M135" s="2" t="inlineStr">
        <is>
          <t>{"jian_sheng":850}</t>
        </is>
      </c>
    </row>
    <row r="136">
      <c r="A136" s="2" t="inlineStr">
        <is>
          <t>shier_xianyin</t>
        </is>
      </c>
      <c r="B136" s="2" t="inlineStr">
        <is>
          <t>封神之战：十二仙印</t>
        </is>
      </c>
      <c r="C136" s="2" t="inlineStr">
        <is>
          <t>个人任务</t>
        </is>
      </c>
      <c r="D136" s="2" t="inlineStr">
        <is>
          <t>护院</t>
        </is>
      </c>
      <c r="E136" s="2" t="inlineStr">
        <is>
          <t>arrow_god</t>
        </is>
      </c>
      <c r="F136" s="2" t="n">
        <v>800</v>
      </c>
      <c r="G136" s="2" t="inlineStr">
        <is>
          <t>箭神</t>
        </is>
      </c>
      <c r="H136" s="2" t="inlineStr"/>
      <c r="I136" s="2" t="n">
        <v>10</v>
      </c>
      <c r="J136" s="2" t="n"/>
      <c r="K136" s="4" t="n"/>
      <c r="L136" s="2" t="inlineStr">
        <is>
          <t>data/mission_templates.yaml:L1212:enemy_troops</t>
        </is>
      </c>
      <c r="M136" s="2" t="inlineStr">
        <is>
          <t>{"arrow_god":800}</t>
        </is>
      </c>
    </row>
    <row r="137">
      <c r="A137" s="2" t="inlineStr">
        <is>
          <t>shier_xianyin</t>
        </is>
      </c>
      <c r="B137" s="2" t="inlineStr">
        <is>
          <t>封神之战：十二仙印</t>
        </is>
      </c>
      <c r="C137" s="2" t="inlineStr">
        <is>
          <t>个人任务</t>
        </is>
      </c>
      <c r="D137" s="2" t="inlineStr">
        <is>
          <t>护院</t>
        </is>
      </c>
      <c r="E137" s="2" t="inlineStr">
        <is>
          <t>qiang_wang</t>
        </is>
      </c>
      <c r="F137" s="2" t="n">
        <v>750</v>
      </c>
      <c r="G137" s="2" t="inlineStr">
        <is>
          <t>枪王</t>
        </is>
      </c>
      <c r="H137" s="2" t="inlineStr"/>
      <c r="I137" s="2" t="n">
        <v>10</v>
      </c>
      <c r="J137" s="2" t="n"/>
      <c r="K137" s="4" t="n"/>
      <c r="L137" s="2" t="inlineStr">
        <is>
          <t>data/mission_templates.yaml:L1212:enemy_troops</t>
        </is>
      </c>
      <c r="M137" s="2" t="inlineStr">
        <is>
          <t>{"qiang_wang":750}</t>
        </is>
      </c>
    </row>
    <row r="138">
      <c r="A138" s="2" t="inlineStr">
        <is>
          <t>shier_xianyin</t>
        </is>
      </c>
      <c r="B138" s="2" t="inlineStr">
        <is>
          <t>封神之战：十二仙印</t>
        </is>
      </c>
      <c r="C138" s="2" t="inlineStr">
        <is>
          <t>个人任务</t>
        </is>
      </c>
      <c r="D138" s="2" t="inlineStr">
        <is>
          <t>护院</t>
        </is>
      </c>
      <c r="E138" s="2" t="inlineStr">
        <is>
          <t>quan_sheng</t>
        </is>
      </c>
      <c r="F138" s="2" t="n">
        <v>500</v>
      </c>
      <c r="G138" s="2" t="inlineStr">
        <is>
          <t>拳圣</t>
        </is>
      </c>
      <c r="H138" s="2" t="inlineStr"/>
      <c r="I138" s="2" t="n">
        <v>10</v>
      </c>
      <c r="J138" s="2" t="n"/>
      <c r="K138" s="4" t="n"/>
      <c r="L138" s="2" t="inlineStr">
        <is>
          <t>data/mission_templates.yaml:L1212:enemy_troops</t>
        </is>
      </c>
      <c r="M138" s="2" t="inlineStr">
        <is>
          <t>{"quan_sheng":500}</t>
        </is>
      </c>
    </row>
    <row r="139">
      <c r="A139" s="2" t="inlineStr">
        <is>
          <t>fengbang_tianmen</t>
        </is>
      </c>
      <c r="B139" s="2" t="inlineStr">
        <is>
          <t>封神之战：封榜天门</t>
        </is>
      </c>
      <c r="C139" s="2" t="inlineStr">
        <is>
          <t>个人任务</t>
        </is>
      </c>
      <c r="D139" s="2" t="inlineStr">
        <is>
          <t>门客</t>
        </is>
      </c>
      <c r="E139" s="2" t="inlineStr">
        <is>
          <t>task_wanxian_randeng</t>
        </is>
      </c>
      <c r="F139" s="2" t="n">
        <v>1</v>
      </c>
      <c r="G139" s="2" t="inlineStr">
        <is>
          <t>燃灯</t>
        </is>
      </c>
      <c r="H139" s="2" t="inlineStr">
        <is>
          <t>使用模板默认技能</t>
        </is>
      </c>
      <c r="I139" s="2" t="n">
        <v>10</v>
      </c>
      <c r="J139" s="2" t="n">
        <v>100</v>
      </c>
      <c r="K139" s="4" t="n">
        <v>0.62</v>
      </c>
      <c r="L139" s="2" t="inlineStr">
        <is>
          <t>data/mission_templates.yaml:L1259:enemy_guests</t>
        </is>
      </c>
      <c r="M139" s="2" t="inlineStr">
        <is>
          <t>"task_wanxian_randeng"</t>
        </is>
      </c>
    </row>
    <row r="140">
      <c r="A140" s="2" t="inlineStr">
        <is>
          <t>fengbang_tianmen</t>
        </is>
      </c>
      <c r="B140" s="2" t="inlineStr">
        <is>
          <t>封神之战：封榜天门</t>
        </is>
      </c>
      <c r="C140" s="2" t="inlineStr">
        <is>
          <t>个人任务</t>
        </is>
      </c>
      <c r="D140" s="2" t="inlineStr">
        <is>
          <t>门客</t>
        </is>
      </c>
      <c r="E140" s="2" t="inlineStr">
        <is>
          <t>task_wanxian_nanji_xianweng</t>
        </is>
      </c>
      <c r="F140" s="2" t="n">
        <v>1</v>
      </c>
      <c r="G140" s="2" t="inlineStr">
        <is>
          <t>南极仙翁</t>
        </is>
      </c>
      <c r="H140" s="2" t="inlineStr">
        <is>
          <t>使用模板默认技能</t>
        </is>
      </c>
      <c r="I140" s="2" t="n">
        <v>10</v>
      </c>
      <c r="J140" s="2" t="n">
        <v>100</v>
      </c>
      <c r="K140" s="4" t="n">
        <v>0.62</v>
      </c>
      <c r="L140" s="2" t="inlineStr">
        <is>
          <t>data/mission_templates.yaml:L1259:enemy_guests</t>
        </is>
      </c>
      <c r="M140" s="2" t="inlineStr">
        <is>
          <t>"task_wanxian_nanji_xianweng"</t>
        </is>
      </c>
    </row>
    <row r="141">
      <c r="A141" s="2" t="inlineStr">
        <is>
          <t>fengbang_tianmen</t>
        </is>
      </c>
      <c r="B141" s="2" t="inlineStr">
        <is>
          <t>封神之战：封榜天门</t>
        </is>
      </c>
      <c r="C141" s="2" t="inlineStr">
        <is>
          <t>个人任务</t>
        </is>
      </c>
      <c r="D141" s="2" t="inlineStr">
        <is>
          <t>门客</t>
        </is>
      </c>
      <c r="E141" s="2" t="inlineStr">
        <is>
          <t>task_wanxian_jiang_ziya</t>
        </is>
      </c>
      <c r="F141" s="2" t="n">
        <v>1</v>
      </c>
      <c r="G141" s="2" t="inlineStr">
        <is>
          <t>姜子牙</t>
        </is>
      </c>
      <c r="H141" s="2" t="inlineStr">
        <is>
          <t>使用模板默认技能</t>
        </is>
      </c>
      <c r="I141" s="2" t="n">
        <v>10</v>
      </c>
      <c r="J141" s="2" t="n">
        <v>100</v>
      </c>
      <c r="K141" s="4" t="n">
        <v>0.62</v>
      </c>
      <c r="L141" s="2" t="inlineStr">
        <is>
          <t>data/mission_templates.yaml:L1259:enemy_guests</t>
        </is>
      </c>
      <c r="M141" s="2" t="inlineStr">
        <is>
          <t>"task_wanxian_jiang_ziya"</t>
        </is>
      </c>
    </row>
    <row r="142">
      <c r="A142" s="2" t="inlineStr">
        <is>
          <t>fengbang_tianmen</t>
        </is>
      </c>
      <c r="B142" s="2" t="inlineStr">
        <is>
          <t>封神之战：封榜天门</t>
        </is>
      </c>
      <c r="C142" s="2" t="inlineStr">
        <is>
          <t>个人任务</t>
        </is>
      </c>
      <c r="D142" s="2" t="inlineStr">
        <is>
          <t>门客</t>
        </is>
      </c>
      <c r="E142" s="2" t="inlineStr">
        <is>
          <t>task_wanxian_dashenbian</t>
        </is>
      </c>
      <c r="F142" s="2" t="n">
        <v>1</v>
      </c>
      <c r="G142" s="2" t="inlineStr">
        <is>
          <t>打神鞭</t>
        </is>
      </c>
      <c r="H142" s="2" t="inlineStr">
        <is>
          <t>使用模板默认技能</t>
        </is>
      </c>
      <c r="I142" s="2" t="n">
        <v>10</v>
      </c>
      <c r="J142" s="2" t="n">
        <v>100</v>
      </c>
      <c r="K142" s="4" t="n">
        <v>0.62</v>
      </c>
      <c r="L142" s="2" t="inlineStr">
        <is>
          <t>data/mission_templates.yaml:L1259:enemy_guests</t>
        </is>
      </c>
      <c r="M142" s="2" t="inlineStr">
        <is>
          <t>"task_wanxian_dashenbian"</t>
        </is>
      </c>
    </row>
    <row r="143">
      <c r="A143" s="2" t="inlineStr">
        <is>
          <t>fengbang_tianmen</t>
        </is>
      </c>
      <c r="B143" s="2" t="inlineStr">
        <is>
          <t>封神之战：封榜天门</t>
        </is>
      </c>
      <c r="C143" s="2" t="inlineStr">
        <is>
          <t>个人任务</t>
        </is>
      </c>
      <c r="D143" s="2" t="inlineStr">
        <is>
          <t>门客</t>
        </is>
      </c>
      <c r="E143" s="2" t="inlineStr">
        <is>
          <t>task_wanxian_bangshangming</t>
        </is>
      </c>
      <c r="F143" s="2" t="n">
        <v>1</v>
      </c>
      <c r="G143" s="2" t="inlineStr">
        <is>
          <t>榜上名</t>
        </is>
      </c>
      <c r="H143" s="2" t="inlineStr">
        <is>
          <t>使用模板默认技能</t>
        </is>
      </c>
      <c r="I143" s="2" t="n">
        <v>10</v>
      </c>
      <c r="J143" s="2" t="n">
        <v>100</v>
      </c>
      <c r="K143" s="4" t="n">
        <v>0.62</v>
      </c>
      <c r="L143" s="2" t="inlineStr">
        <is>
          <t>data/mission_templates.yaml:L1259:enemy_guests</t>
        </is>
      </c>
      <c r="M143" s="2" t="inlineStr">
        <is>
          <t>"task_wanxian_bangshangming"</t>
        </is>
      </c>
    </row>
    <row r="144">
      <c r="A144" s="2" t="inlineStr">
        <is>
          <t>fengbang_tianmen</t>
        </is>
      </c>
      <c r="B144" s="2" t="inlineStr">
        <is>
          <t>封神之战：封榜天门</t>
        </is>
      </c>
      <c r="C144" s="2" t="inlineStr">
        <is>
          <t>个人任务</t>
        </is>
      </c>
      <c r="D144" s="2" t="inlineStr">
        <is>
          <t>门客</t>
        </is>
      </c>
      <c r="E144" s="2" t="inlineStr">
        <is>
          <t>task_wanxian_yuxu_tianfa</t>
        </is>
      </c>
      <c r="F144" s="2" t="n">
        <v>1</v>
      </c>
      <c r="G144" s="2" t="inlineStr">
        <is>
          <t>玉虚天罚</t>
        </is>
      </c>
      <c r="H144" s="2" t="inlineStr">
        <is>
          <t>使用模板默认技能</t>
        </is>
      </c>
      <c r="I144" s="2" t="n">
        <v>10</v>
      </c>
      <c r="J144" s="2" t="n">
        <v>100</v>
      </c>
      <c r="K144" s="4" t="n">
        <v>0.62</v>
      </c>
      <c r="L144" s="2" t="inlineStr">
        <is>
          <t>data/mission_templates.yaml:L1259:enemy_guests</t>
        </is>
      </c>
      <c r="M144" s="2" t="inlineStr">
        <is>
          <t>"task_wanxian_yuxu_tianfa"</t>
        </is>
      </c>
    </row>
    <row r="145">
      <c r="A145" s="2" t="inlineStr">
        <is>
          <t>fengbang_tianmen</t>
        </is>
      </c>
      <c r="B145" s="2" t="inlineStr">
        <is>
          <t>封神之战：封榜天门</t>
        </is>
      </c>
      <c r="C145" s="2" t="inlineStr">
        <is>
          <t>个人任务</t>
        </is>
      </c>
      <c r="D145" s="2" t="inlineStr">
        <is>
          <t>护院</t>
        </is>
      </c>
      <c r="E145" s="2" t="inlineStr">
        <is>
          <t>dao_sheng</t>
        </is>
      </c>
      <c r="F145" s="2" t="n">
        <v>1000</v>
      </c>
      <c r="G145" s="2" t="inlineStr">
        <is>
          <t>刀圣</t>
        </is>
      </c>
      <c r="H145" s="2" t="inlineStr"/>
      <c r="I145" s="2" t="n">
        <v>10</v>
      </c>
      <c r="J145" s="2" t="n"/>
      <c r="K145" s="4" t="n"/>
      <c r="L145" s="2" t="inlineStr">
        <is>
          <t>data/mission_templates.yaml:L1259:enemy_troops</t>
        </is>
      </c>
      <c r="M145" s="2" t="inlineStr">
        <is>
          <t>{"dao_sheng":1000}</t>
        </is>
      </c>
    </row>
    <row r="146">
      <c r="A146" s="2" t="inlineStr">
        <is>
          <t>fengbang_tianmen</t>
        </is>
      </c>
      <c r="B146" s="2" t="inlineStr">
        <is>
          <t>封神之战：封榜天门</t>
        </is>
      </c>
      <c r="C146" s="2" t="inlineStr">
        <is>
          <t>个人任务</t>
        </is>
      </c>
      <c r="D146" s="2" t="inlineStr">
        <is>
          <t>护院</t>
        </is>
      </c>
      <c r="E146" s="2" t="inlineStr">
        <is>
          <t>jian_sheng</t>
        </is>
      </c>
      <c r="F146" s="2" t="n">
        <v>1000</v>
      </c>
      <c r="G146" s="2" t="inlineStr">
        <is>
          <t>剑圣</t>
        </is>
      </c>
      <c r="H146" s="2" t="inlineStr"/>
      <c r="I146" s="2" t="n">
        <v>10</v>
      </c>
      <c r="J146" s="2" t="n"/>
      <c r="K146" s="4" t="n"/>
      <c r="L146" s="2" t="inlineStr">
        <is>
          <t>data/mission_templates.yaml:L1259:enemy_troops</t>
        </is>
      </c>
      <c r="M146" s="2" t="inlineStr">
        <is>
          <t>{"jian_sheng":1000}</t>
        </is>
      </c>
    </row>
    <row r="147">
      <c r="A147" s="2" t="inlineStr">
        <is>
          <t>fengbang_tianmen</t>
        </is>
      </c>
      <c r="B147" s="2" t="inlineStr">
        <is>
          <t>封神之战：封榜天门</t>
        </is>
      </c>
      <c r="C147" s="2" t="inlineStr">
        <is>
          <t>个人任务</t>
        </is>
      </c>
      <c r="D147" s="2" t="inlineStr">
        <is>
          <t>护院</t>
        </is>
      </c>
      <c r="E147" s="2" t="inlineStr">
        <is>
          <t>arrow_god</t>
        </is>
      </c>
      <c r="F147" s="2" t="n">
        <v>900</v>
      </c>
      <c r="G147" s="2" t="inlineStr">
        <is>
          <t>箭神</t>
        </is>
      </c>
      <c r="H147" s="2" t="inlineStr"/>
      <c r="I147" s="2" t="n">
        <v>10</v>
      </c>
      <c r="J147" s="2" t="n"/>
      <c r="K147" s="4" t="n"/>
      <c r="L147" s="2" t="inlineStr">
        <is>
          <t>data/mission_templates.yaml:L1259:enemy_troops</t>
        </is>
      </c>
      <c r="M147" s="2" t="inlineStr">
        <is>
          <t>{"arrow_god":900}</t>
        </is>
      </c>
    </row>
    <row r="148">
      <c r="A148" s="2" t="inlineStr">
        <is>
          <t>fengbang_tianmen</t>
        </is>
      </c>
      <c r="B148" s="2" t="inlineStr">
        <is>
          <t>封神之战：封榜天门</t>
        </is>
      </c>
      <c r="C148" s="2" t="inlineStr">
        <is>
          <t>个人任务</t>
        </is>
      </c>
      <c r="D148" s="2" t="inlineStr">
        <is>
          <t>护院</t>
        </is>
      </c>
      <c r="E148" s="2" t="inlineStr">
        <is>
          <t>qiang_wang</t>
        </is>
      </c>
      <c r="F148" s="2" t="n">
        <v>900</v>
      </c>
      <c r="G148" s="2" t="inlineStr">
        <is>
          <t>枪王</t>
        </is>
      </c>
      <c r="H148" s="2" t="inlineStr"/>
      <c r="I148" s="2" t="n">
        <v>10</v>
      </c>
      <c r="J148" s="2" t="n"/>
      <c r="K148" s="4" t="n"/>
      <c r="L148" s="2" t="inlineStr">
        <is>
          <t>data/mission_templates.yaml:L1259:enemy_troops</t>
        </is>
      </c>
      <c r="M148" s="2" t="inlineStr">
        <is>
          <t>{"qiang_wang":900}</t>
        </is>
      </c>
    </row>
    <row r="149">
      <c r="A149" s="2" t="inlineStr">
        <is>
          <t>fengbang_tianmen</t>
        </is>
      </c>
      <c r="B149" s="2" t="inlineStr">
        <is>
          <t>封神之战：封榜天门</t>
        </is>
      </c>
      <c r="C149" s="2" t="inlineStr">
        <is>
          <t>个人任务</t>
        </is>
      </c>
      <c r="D149" s="2" t="inlineStr">
        <is>
          <t>护院</t>
        </is>
      </c>
      <c r="E149" s="2" t="inlineStr">
        <is>
          <t>quan_sheng</t>
        </is>
      </c>
      <c r="F149" s="2" t="n">
        <v>700</v>
      </c>
      <c r="G149" s="2" t="inlineStr">
        <is>
          <t>拳圣</t>
        </is>
      </c>
      <c r="H149" s="2" t="inlineStr"/>
      <c r="I149" s="2" t="n">
        <v>10</v>
      </c>
      <c r="J149" s="2" t="n"/>
      <c r="K149" s="4" t="n"/>
      <c r="L149" s="2" t="inlineStr">
        <is>
          <t>data/mission_templates.yaml:L1259:enemy_troops</t>
        </is>
      </c>
      <c r="M149" s="2" t="inlineStr">
        <is>
          <t>{"quan_sheng":700}</t>
        </is>
      </c>
    </row>
    <row r="150">
      <c r="A150" s="2" t="inlineStr">
        <is>
          <t>zhuolu_zhongyuan</t>
        </is>
      </c>
      <c r="B150" s="2" t="inlineStr">
        <is>
          <t>逐鹿中原</t>
        </is>
      </c>
      <c r="C150" s="2" t="inlineStr">
        <is>
          <t>个人任务</t>
        </is>
      </c>
      <c r="D150" s="2" t="inlineStr">
        <is>
          <t>门客</t>
        </is>
      </c>
      <c r="E150" s="2" t="inlineStr">
        <is>
          <t>task_zhuolu_chiyou</t>
        </is>
      </c>
      <c r="F150" s="2" t="n">
        <v>1</v>
      </c>
      <c r="G150" s="2" t="inlineStr">
        <is>
          <t>蚩尤</t>
        </is>
      </c>
      <c r="H150" s="2" t="inlineStr">
        <is>
          <t>使用模板默认技能</t>
        </is>
      </c>
      <c r="I150" s="2" t="n">
        <v>10</v>
      </c>
      <c r="J150" s="2" t="n">
        <v>100</v>
      </c>
      <c r="K150" s="4" t="n">
        <v>0.62</v>
      </c>
      <c r="L150" s="2" t="inlineStr">
        <is>
          <t>data/mission_templates.yaml:L1326:enemy_guests</t>
        </is>
      </c>
      <c r="M150" s="2" t="inlineStr">
        <is>
          <t>"task_zhuolu_chiyou"</t>
        </is>
      </c>
    </row>
    <row r="151">
      <c r="A151" s="2" t="inlineStr">
        <is>
          <t>zhuolu_zhongyuan</t>
        </is>
      </c>
      <c r="B151" s="2" t="inlineStr">
        <is>
          <t>逐鹿中原</t>
        </is>
      </c>
      <c r="C151" s="2" t="inlineStr">
        <is>
          <t>个人任务</t>
        </is>
      </c>
      <c r="D151" s="2" t="inlineStr">
        <is>
          <t>门客</t>
        </is>
      </c>
      <c r="E151" s="2" t="inlineStr">
        <is>
          <t>task_zhuolu_fengbo</t>
        </is>
      </c>
      <c r="F151" s="2" t="n">
        <v>1</v>
      </c>
      <c r="G151" s="2" t="inlineStr">
        <is>
          <t>风伯</t>
        </is>
      </c>
      <c r="H151" s="2" t="inlineStr">
        <is>
          <t>使用模板默认技能</t>
        </is>
      </c>
      <c r="I151" s="2" t="n">
        <v>10</v>
      </c>
      <c r="J151" s="2" t="n">
        <v>100</v>
      </c>
      <c r="K151" s="4" t="n">
        <v>0.62</v>
      </c>
      <c r="L151" s="2" t="inlineStr">
        <is>
          <t>data/mission_templates.yaml:L1326:enemy_guests</t>
        </is>
      </c>
      <c r="M151" s="2" t="inlineStr">
        <is>
          <t>"task_zhuolu_fengbo"</t>
        </is>
      </c>
    </row>
    <row r="152">
      <c r="A152" s="2" t="inlineStr">
        <is>
          <t>zhuolu_zhongyuan</t>
        </is>
      </c>
      <c r="B152" s="2" t="inlineStr">
        <is>
          <t>逐鹿中原</t>
        </is>
      </c>
      <c r="C152" s="2" t="inlineStr">
        <is>
          <t>个人任务</t>
        </is>
      </c>
      <c r="D152" s="2" t="inlineStr">
        <is>
          <t>门客</t>
        </is>
      </c>
      <c r="E152" s="2" t="inlineStr">
        <is>
          <t>task_zhuolu_yushi</t>
        </is>
      </c>
      <c r="F152" s="2" t="n">
        <v>1</v>
      </c>
      <c r="G152" s="2" t="inlineStr">
        <is>
          <t>雨师</t>
        </is>
      </c>
      <c r="H152" s="2" t="inlineStr">
        <is>
          <t>使用模板默认技能</t>
        </is>
      </c>
      <c r="I152" s="2" t="n">
        <v>10</v>
      </c>
      <c r="J152" s="2" t="n">
        <v>100</v>
      </c>
      <c r="K152" s="4" t="n">
        <v>0.62</v>
      </c>
      <c r="L152" s="2" t="inlineStr">
        <is>
          <t>data/mission_templates.yaml:L1326:enemy_guests</t>
        </is>
      </c>
      <c r="M152" s="2" t="inlineStr">
        <is>
          <t>"task_zhuolu_yushi"</t>
        </is>
      </c>
    </row>
    <row r="153">
      <c r="A153" s="2" t="inlineStr">
        <is>
          <t>zhuolu_zhongyuan</t>
        </is>
      </c>
      <c r="B153" s="2" t="inlineStr">
        <is>
          <t>逐鹿中原</t>
        </is>
      </c>
      <c r="C153" s="2" t="inlineStr">
        <is>
          <t>个人任务</t>
        </is>
      </c>
      <c r="D153" s="2" t="inlineStr">
        <is>
          <t>门客</t>
        </is>
      </c>
      <c r="E153" s="2" t="inlineStr">
        <is>
          <t>task_zhuolu_shitieshou</t>
        </is>
      </c>
      <c r="F153" s="2" t="n">
        <v>1</v>
      </c>
      <c r="G153" s="2" t="inlineStr">
        <is>
          <t>食铁兽</t>
        </is>
      </c>
      <c r="H153" s="2" t="inlineStr">
        <is>
          <t>使用模板默认技能</t>
        </is>
      </c>
      <c r="I153" s="2" t="n">
        <v>10</v>
      </c>
      <c r="J153" s="2" t="n">
        <v>100</v>
      </c>
      <c r="K153" s="4" t="n">
        <v>0.62</v>
      </c>
      <c r="L153" s="2" t="inlineStr">
        <is>
          <t>data/mission_templates.yaml:L1326:enemy_guests</t>
        </is>
      </c>
      <c r="M153" s="2" t="inlineStr">
        <is>
          <t>"task_zhuolu_shitieshou"</t>
        </is>
      </c>
    </row>
    <row r="154">
      <c r="A154" s="2" t="inlineStr">
        <is>
          <t>zhuolu_zhongyuan</t>
        </is>
      </c>
      <c r="B154" s="2" t="inlineStr">
        <is>
          <t>逐鹿中原</t>
        </is>
      </c>
      <c r="C154" s="2" t="inlineStr">
        <is>
          <t>个人任务</t>
        </is>
      </c>
      <c r="D154" s="2" t="inlineStr">
        <is>
          <t>门客</t>
        </is>
      </c>
      <c r="E154" s="2" t="inlineStr">
        <is>
          <t>task_zhuolu_shitieshou</t>
        </is>
      </c>
      <c r="F154" s="2" t="n">
        <v>1</v>
      </c>
      <c r="G154" s="2" t="inlineStr">
        <is>
          <t>食铁兽</t>
        </is>
      </c>
      <c r="H154" s="2" t="inlineStr">
        <is>
          <t>使用模板默认技能</t>
        </is>
      </c>
      <c r="I154" s="2" t="n">
        <v>10</v>
      </c>
      <c r="J154" s="2" t="n">
        <v>100</v>
      </c>
      <c r="K154" s="4" t="n">
        <v>0.62</v>
      </c>
      <c r="L154" s="2" t="inlineStr">
        <is>
          <t>data/mission_templates.yaml:L1326:enemy_guests</t>
        </is>
      </c>
      <c r="M154" s="2" t="inlineStr">
        <is>
          <t>"task_zhuolu_shitieshou"</t>
        </is>
      </c>
    </row>
    <row r="155">
      <c r="A155" s="2" t="inlineStr">
        <is>
          <t>zhuolu_zhongyuan</t>
        </is>
      </c>
      <c r="B155" s="2" t="inlineStr">
        <is>
          <t>逐鹿中原</t>
        </is>
      </c>
      <c r="C155" s="2" t="inlineStr">
        <is>
          <t>个人任务</t>
        </is>
      </c>
      <c r="D155" s="2" t="inlineStr">
        <is>
          <t>门客</t>
        </is>
      </c>
      <c r="E155" s="2" t="inlineStr">
        <is>
          <t>task_zhuolu_shitieshou</t>
        </is>
      </c>
      <c r="F155" s="2" t="n">
        <v>1</v>
      </c>
      <c r="G155" s="2" t="inlineStr">
        <is>
          <t>食铁兽</t>
        </is>
      </c>
      <c r="H155" s="2" t="inlineStr">
        <is>
          <t>使用模板默认技能</t>
        </is>
      </c>
      <c r="I155" s="2" t="n">
        <v>10</v>
      </c>
      <c r="J155" s="2" t="n">
        <v>100</v>
      </c>
      <c r="K155" s="4" t="n">
        <v>0.62</v>
      </c>
      <c r="L155" s="2" t="inlineStr">
        <is>
          <t>data/mission_templates.yaml:L1326:enemy_guests</t>
        </is>
      </c>
      <c r="M155" s="2" t="inlineStr">
        <is>
          <t>"task_zhuolu_shitieshou"</t>
        </is>
      </c>
    </row>
    <row r="156">
      <c r="A156" s="2" t="inlineStr">
        <is>
          <t>zhuolu_zhongyuan</t>
        </is>
      </c>
      <c r="B156" s="2" t="inlineStr">
        <is>
          <t>逐鹿中原</t>
        </is>
      </c>
      <c r="C156" s="2" t="inlineStr">
        <is>
          <t>个人任务</t>
        </is>
      </c>
      <c r="D156" s="2" t="inlineStr">
        <is>
          <t>护院</t>
        </is>
      </c>
      <c r="E156" s="2" t="inlineStr">
        <is>
          <t>dao_sheng</t>
        </is>
      </c>
      <c r="F156" s="2" t="n">
        <v>1000</v>
      </c>
      <c r="G156" s="2" t="inlineStr">
        <is>
          <t>刀圣</t>
        </is>
      </c>
      <c r="H156" s="2" t="inlineStr"/>
      <c r="I156" s="2" t="n">
        <v>10</v>
      </c>
      <c r="J156" s="2" t="n"/>
      <c r="K156" s="4" t="n"/>
      <c r="L156" s="2" t="inlineStr">
        <is>
          <t>data/mission_templates.yaml:L1326:enemy_troops</t>
        </is>
      </c>
      <c r="M156" s="2" t="inlineStr">
        <is>
          <t>{"dao_sheng":1000}</t>
        </is>
      </c>
    </row>
    <row r="157">
      <c r="A157" s="2" t="inlineStr">
        <is>
          <t>zhuolu_zhongyuan</t>
        </is>
      </c>
      <c r="B157" s="2" t="inlineStr">
        <is>
          <t>逐鹿中原</t>
        </is>
      </c>
      <c r="C157" s="2" t="inlineStr">
        <is>
          <t>个人任务</t>
        </is>
      </c>
      <c r="D157" s="2" t="inlineStr">
        <is>
          <t>护院</t>
        </is>
      </c>
      <c r="E157" s="2" t="inlineStr">
        <is>
          <t>qiang_wang</t>
        </is>
      </c>
      <c r="F157" s="2" t="n">
        <v>1000</v>
      </c>
      <c r="G157" s="2" t="inlineStr">
        <is>
          <t>枪王</t>
        </is>
      </c>
      <c r="H157" s="2" t="inlineStr"/>
      <c r="I157" s="2" t="n">
        <v>10</v>
      </c>
      <c r="J157" s="2" t="n"/>
      <c r="K157" s="4" t="n"/>
      <c r="L157" s="2" t="inlineStr">
        <is>
          <t>data/mission_templates.yaml:L1326:enemy_troops</t>
        </is>
      </c>
      <c r="M157" s="2" t="inlineStr">
        <is>
          <t>{"qiang_wang":1000}</t>
        </is>
      </c>
    </row>
    <row r="158">
      <c r="A158" s="2" t="inlineStr">
        <is>
          <t>zhuolu_zhongyuan</t>
        </is>
      </c>
      <c r="B158" s="2" t="inlineStr">
        <is>
          <t>逐鹿中原</t>
        </is>
      </c>
      <c r="C158" s="2" t="inlineStr">
        <is>
          <t>个人任务</t>
        </is>
      </c>
      <c r="D158" s="2" t="inlineStr">
        <is>
          <t>护院</t>
        </is>
      </c>
      <c r="E158" s="2" t="inlineStr">
        <is>
          <t>jian_sheng</t>
        </is>
      </c>
      <c r="F158" s="2" t="n">
        <v>1000</v>
      </c>
      <c r="G158" s="2" t="inlineStr">
        <is>
          <t>剑圣</t>
        </is>
      </c>
      <c r="H158" s="2" t="inlineStr"/>
      <c r="I158" s="2" t="n">
        <v>10</v>
      </c>
      <c r="J158" s="2" t="n"/>
      <c r="K158" s="4" t="n"/>
      <c r="L158" s="2" t="inlineStr">
        <is>
          <t>data/mission_templates.yaml:L1326:enemy_troops</t>
        </is>
      </c>
      <c r="M158" s="2" t="inlineStr">
        <is>
          <t>{"jian_sheng":1000}</t>
        </is>
      </c>
    </row>
    <row r="159">
      <c r="A159" s="2" t="inlineStr">
        <is>
          <t>zhuolu_zhongyuan</t>
        </is>
      </c>
      <c r="B159" s="2" t="inlineStr">
        <is>
          <t>逐鹿中原</t>
        </is>
      </c>
      <c r="C159" s="2" t="inlineStr">
        <is>
          <t>个人任务</t>
        </is>
      </c>
      <c r="D159" s="2" t="inlineStr">
        <is>
          <t>护院</t>
        </is>
      </c>
      <c r="E159" s="2" t="inlineStr">
        <is>
          <t>quan_sheng</t>
        </is>
      </c>
      <c r="F159" s="2" t="n">
        <v>900</v>
      </c>
      <c r="G159" s="2" t="inlineStr">
        <is>
          <t>拳圣</t>
        </is>
      </c>
      <c r="H159" s="2" t="inlineStr"/>
      <c r="I159" s="2" t="n">
        <v>10</v>
      </c>
      <c r="J159" s="2" t="n"/>
      <c r="K159" s="4" t="n"/>
      <c r="L159" s="2" t="inlineStr">
        <is>
          <t>data/mission_templates.yaml:L1326:enemy_troops</t>
        </is>
      </c>
      <c r="M159" s="2" t="inlineStr">
        <is>
          <t>{"quan_sheng":900}</t>
        </is>
      </c>
    </row>
    <row r="160">
      <c r="A160" s="2" t="inlineStr">
        <is>
          <t>zhuolu_zhongyuan</t>
        </is>
      </c>
      <c r="B160" s="2" t="inlineStr">
        <is>
          <t>逐鹿中原</t>
        </is>
      </c>
      <c r="C160" s="2" t="inlineStr">
        <is>
          <t>个人任务</t>
        </is>
      </c>
      <c r="D160" s="2" t="inlineStr">
        <is>
          <t>护院</t>
        </is>
      </c>
      <c r="E160" s="2" t="inlineStr">
        <is>
          <t>arrow_god</t>
        </is>
      </c>
      <c r="F160" s="2" t="n">
        <v>900</v>
      </c>
      <c r="G160" s="2" t="inlineStr">
        <is>
          <t>箭神</t>
        </is>
      </c>
      <c r="H160" s="2" t="inlineStr"/>
      <c r="I160" s="2" t="n">
        <v>10</v>
      </c>
      <c r="J160" s="2" t="n"/>
      <c r="K160" s="4" t="n"/>
      <c r="L160" s="2" t="inlineStr">
        <is>
          <t>data/mission_templates.yaml:L1326:enemy_troops</t>
        </is>
      </c>
      <c r="M160" s="2" t="inlineStr">
        <is>
          <t>{"arrow_god":900}</t>
        </is>
      </c>
    </row>
    <row r="161">
      <c r="A161" s="2" t="inlineStr">
        <is>
          <t>guandu_zhizhan</t>
        </is>
      </c>
      <c r="B161" s="2" t="inlineStr">
        <is>
          <t>官渡之战</t>
        </is>
      </c>
      <c r="C161" s="2" t="inlineStr">
        <is>
          <t>个人任务</t>
        </is>
      </c>
      <c r="D161" s="2" t="inlineStr">
        <is>
          <t>门客</t>
        </is>
      </c>
      <c r="E161" s="2" t="inlineStr">
        <is>
          <t>task_guandu_yuanshao</t>
        </is>
      </c>
      <c r="F161" s="2" t="n">
        <v>1</v>
      </c>
      <c r="G161" s="2" t="inlineStr">
        <is>
          <t>袁绍</t>
        </is>
      </c>
      <c r="H161" s="2" t="inlineStr">
        <is>
          <t>奇策突袭</t>
        </is>
      </c>
      <c r="I161" s="2" t="n">
        <v>10</v>
      </c>
      <c r="J161" s="2" t="n">
        <v>100</v>
      </c>
      <c r="K161" s="4" t="n">
        <v>0.68</v>
      </c>
      <c r="L161" s="2" t="inlineStr">
        <is>
          <t>data/mission_templates.yaml:L1391:enemy_guests</t>
        </is>
      </c>
      <c r="M161" s="2" t="inlineStr">
        <is>
          <t>{"key":"task_guandu_yuanshao","label":"袁绍"}</t>
        </is>
      </c>
    </row>
    <row r="162">
      <c r="A162" s="2" t="inlineStr">
        <is>
          <t>guandu_zhizhan</t>
        </is>
      </c>
      <c r="B162" s="2" t="inlineStr">
        <is>
          <t>官渡之战</t>
        </is>
      </c>
      <c r="C162" s="2" t="inlineStr">
        <is>
          <t>个人任务</t>
        </is>
      </c>
      <c r="D162" s="2" t="inlineStr">
        <is>
          <t>护院</t>
        </is>
      </c>
      <c r="E162" s="2" t="inlineStr">
        <is>
          <t>dao_sheng</t>
        </is>
      </c>
      <c r="F162" s="2" t="n">
        <v>1400</v>
      </c>
      <c r="G162" s="2" t="inlineStr">
        <is>
          <t>刀圣</t>
        </is>
      </c>
      <c r="H162" s="2" t="inlineStr"/>
      <c r="I162" s="2" t="n">
        <v>10</v>
      </c>
      <c r="J162" s="2" t="n"/>
      <c r="K162" s="4" t="n"/>
      <c r="L162" s="2" t="inlineStr">
        <is>
          <t>data/mission_templates.yaml:L1391:enemy_troops</t>
        </is>
      </c>
      <c r="M162" s="2" t="inlineStr">
        <is>
          <t>{"dao_sheng":1400}</t>
        </is>
      </c>
    </row>
    <row r="163">
      <c r="A163" s="2" t="inlineStr">
        <is>
          <t>guandu_zhizhan</t>
        </is>
      </c>
      <c r="B163" s="2" t="inlineStr">
        <is>
          <t>官渡之战</t>
        </is>
      </c>
      <c r="C163" s="2" t="inlineStr">
        <is>
          <t>个人任务</t>
        </is>
      </c>
      <c r="D163" s="2" t="inlineStr">
        <is>
          <t>护院</t>
        </is>
      </c>
      <c r="E163" s="2" t="inlineStr">
        <is>
          <t>qiang_wang</t>
        </is>
      </c>
      <c r="F163" s="2" t="n">
        <v>1400</v>
      </c>
      <c r="G163" s="2" t="inlineStr">
        <is>
          <t>枪王</t>
        </is>
      </c>
      <c r="H163" s="2" t="inlineStr"/>
      <c r="I163" s="2" t="n">
        <v>10</v>
      </c>
      <c r="J163" s="2" t="n"/>
      <c r="K163" s="4" t="n"/>
      <c r="L163" s="2" t="inlineStr">
        <is>
          <t>data/mission_templates.yaml:L1391:enemy_troops</t>
        </is>
      </c>
      <c r="M163" s="2" t="inlineStr">
        <is>
          <t>{"qiang_wang":1400}</t>
        </is>
      </c>
    </row>
    <row r="164">
      <c r="A164" s="2" t="inlineStr">
        <is>
          <t>guandu_zhizhan</t>
        </is>
      </c>
      <c r="B164" s="2" t="inlineStr">
        <is>
          <t>官渡之战</t>
        </is>
      </c>
      <c r="C164" s="2" t="inlineStr">
        <is>
          <t>个人任务</t>
        </is>
      </c>
      <c r="D164" s="2" t="inlineStr">
        <is>
          <t>护院</t>
        </is>
      </c>
      <c r="E164" s="2" t="inlineStr">
        <is>
          <t>jian_sheng</t>
        </is>
      </c>
      <c r="F164" s="2" t="n">
        <v>1200</v>
      </c>
      <c r="G164" s="2" t="inlineStr">
        <is>
          <t>剑圣</t>
        </is>
      </c>
      <c r="H164" s="2" t="inlineStr"/>
      <c r="I164" s="2" t="n">
        <v>10</v>
      </c>
      <c r="J164" s="2" t="n"/>
      <c r="K164" s="4" t="n"/>
      <c r="L164" s="2" t="inlineStr">
        <is>
          <t>data/mission_templates.yaml:L1391:enemy_troops</t>
        </is>
      </c>
      <c r="M164" s="2" t="inlineStr">
        <is>
          <t>{"jian_sheng":1200}</t>
        </is>
      </c>
    </row>
    <row r="165">
      <c r="A165" s="2" t="inlineStr">
        <is>
          <t>guandu_zhizhan</t>
        </is>
      </c>
      <c r="B165" s="2" t="inlineStr">
        <is>
          <t>官渡之战</t>
        </is>
      </c>
      <c r="C165" s="2" t="inlineStr">
        <is>
          <t>个人任务</t>
        </is>
      </c>
      <c r="D165" s="2" t="inlineStr">
        <is>
          <t>护院</t>
        </is>
      </c>
      <c r="E165" s="2" t="inlineStr">
        <is>
          <t>quan_sheng</t>
        </is>
      </c>
      <c r="F165" s="2" t="n">
        <v>1000</v>
      </c>
      <c r="G165" s="2" t="inlineStr">
        <is>
          <t>拳圣</t>
        </is>
      </c>
      <c r="H165" s="2" t="inlineStr"/>
      <c r="I165" s="2" t="n">
        <v>10</v>
      </c>
      <c r="J165" s="2" t="n"/>
      <c r="K165" s="4" t="n"/>
      <c r="L165" s="2" t="inlineStr">
        <is>
          <t>data/mission_templates.yaml:L1391:enemy_troops</t>
        </is>
      </c>
      <c r="M165" s="2" t="inlineStr">
        <is>
          <t>{"quan_sheng":1000}</t>
        </is>
      </c>
    </row>
    <row r="166">
      <c r="A166" s="2" t="inlineStr">
        <is>
          <t>guandu_zhizhan</t>
        </is>
      </c>
      <c r="B166" s="2" t="inlineStr">
        <is>
          <t>官渡之战</t>
        </is>
      </c>
      <c r="C166" s="2" t="inlineStr">
        <is>
          <t>个人任务</t>
        </is>
      </c>
      <c r="D166" s="2" t="inlineStr">
        <is>
          <t>护院</t>
        </is>
      </c>
      <c r="E166" s="2" t="inlineStr">
        <is>
          <t>arrow_god</t>
        </is>
      </c>
      <c r="F166" s="2" t="n">
        <v>1200</v>
      </c>
      <c r="G166" s="2" t="inlineStr">
        <is>
          <t>箭神</t>
        </is>
      </c>
      <c r="H166" s="2" t="inlineStr"/>
      <c r="I166" s="2" t="n">
        <v>10</v>
      </c>
      <c r="J166" s="2" t="n"/>
      <c r="K166" s="4" t="n"/>
      <c r="L166" s="2" t="inlineStr">
        <is>
          <t>data/mission_templates.yaml:L1391:enemy_troops</t>
        </is>
      </c>
      <c r="M166" s="2" t="inlineStr">
        <is>
          <t>{"arrow_god":1200}</t>
        </is>
      </c>
    </row>
    <row r="167">
      <c r="A167" s="2" t="inlineStr">
        <is>
          <t>huashan_lunjian_advanced</t>
        </is>
      </c>
      <c r="B167" s="2" t="inlineStr">
        <is>
          <t>华山论剑</t>
        </is>
      </c>
      <c r="C167" s="2" t="inlineStr">
        <is>
          <t>个人任务</t>
        </is>
      </c>
      <c r="D167" s="2" t="inlineStr">
        <is>
          <t>门客</t>
        </is>
      </c>
      <c r="E167" s="2" t="inlineStr">
        <is>
          <t>hero_sao_di_seng</t>
        </is>
      </c>
      <c r="F167" s="2" t="n">
        <v>1</v>
      </c>
      <c r="G167" s="2" t="inlineStr">
        <is>
          <t>扫地僧</t>
        </is>
      </c>
      <c r="H167" s="2" t="inlineStr">
        <is>
          <t>铁壁心法、绝处逢生</t>
        </is>
      </c>
      <c r="I167" s="2" t="n">
        <v>10</v>
      </c>
      <c r="J167" s="2" t="n">
        <v>100</v>
      </c>
      <c r="K167" s="4" t="n">
        <v>0.68</v>
      </c>
      <c r="L167" s="2" t="inlineStr">
        <is>
          <t>data/mission_templates.yaml:L1437:enemy_guests</t>
        </is>
      </c>
      <c r="M167" s="2" t="inlineStr">
        <is>
          <t>{"key":"hero_sao_di_seng","label":"扫地僧","skills":["iron_wall_heart","last_chance_revival"]}</t>
        </is>
      </c>
    </row>
    <row r="168">
      <c r="A168" s="2" t="inlineStr">
        <is>
          <t>huashan_lunjian_advanced</t>
        </is>
      </c>
      <c r="B168" s="2" t="inlineStr">
        <is>
          <t>华山论剑</t>
        </is>
      </c>
      <c r="C168" s="2" t="inlineStr">
        <is>
          <t>个人任务</t>
        </is>
      </c>
      <c r="D168" s="2" t="inlineStr">
        <is>
          <t>门客</t>
        </is>
      </c>
      <c r="E168" s="2" t="inlineStr">
        <is>
          <t>hero_zhang_sanfeng</t>
        </is>
      </c>
      <c r="F168" s="2" t="n">
        <v>1</v>
      </c>
      <c r="G168" s="2" t="inlineStr">
        <is>
          <t>张三丰</t>
        </is>
      </c>
      <c r="H168" s="2" t="inlineStr">
        <is>
          <t>太乙生风、招锋引敌</t>
        </is>
      </c>
      <c r="I168" s="2" t="n">
        <v>10</v>
      </c>
      <c r="J168" s="2" t="n">
        <v>100</v>
      </c>
      <c r="K168" s="4" t="n">
        <v>0.68</v>
      </c>
      <c r="L168" s="2" t="inlineStr">
        <is>
          <t>data/mission_templates.yaml:L1437:enemy_guests</t>
        </is>
      </c>
      <c r="M168" s="2" t="inlineStr">
        <is>
          <t>{"key":"hero_zhang_sanfeng","label":"张三丰","skills":["taiyi_wind","draw_enemy_blades"]}</t>
        </is>
      </c>
    </row>
    <row r="169">
      <c r="A169" s="2" t="inlineStr">
        <is>
          <t>huashan_lunjian_advanced</t>
        </is>
      </c>
      <c r="B169" s="2" t="inlineStr">
        <is>
          <t>华山论剑</t>
        </is>
      </c>
      <c r="C169" s="2" t="inlineStr">
        <is>
          <t>个人任务</t>
        </is>
      </c>
      <c r="D169" s="2" t="inlineStr">
        <is>
          <t>门客</t>
        </is>
      </c>
      <c r="E169" s="2" t="inlineStr">
        <is>
          <t>hero_dugu_qiubai</t>
        </is>
      </c>
      <c r="F169" s="2" t="n">
        <v>1</v>
      </c>
      <c r="G169" s="2" t="inlineStr">
        <is>
          <t>独孤求败</t>
        </is>
      </c>
      <c r="H169" s="2" t="inlineStr">
        <is>
          <t>夺命连环剑、破狱狂刀</t>
        </is>
      </c>
      <c r="I169" s="2" t="n">
        <v>10</v>
      </c>
      <c r="J169" s="2" t="n">
        <v>100</v>
      </c>
      <c r="K169" s="4" t="n">
        <v>0.68</v>
      </c>
      <c r="L169" s="2" t="inlineStr">
        <is>
          <t>data/mission_templates.yaml:L1437:enemy_guests</t>
        </is>
      </c>
      <c r="M169" s="2" t="inlineStr">
        <is>
          <t>{"key":"hero_dugu_qiubai","label":"独孤求败","skills":["fatal_chain_sword","prison_break_blade"]}</t>
        </is>
      </c>
    </row>
    <row r="170">
      <c r="A170" s="2" t="inlineStr">
        <is>
          <t>huashan_lunjian_advanced</t>
        </is>
      </c>
      <c r="B170" s="2" t="inlineStr">
        <is>
          <t>华山论剑</t>
        </is>
      </c>
      <c r="C170" s="2" t="inlineStr">
        <is>
          <t>个人任务</t>
        </is>
      </c>
      <c r="D170" s="2" t="inlineStr">
        <is>
          <t>门客</t>
        </is>
      </c>
      <c r="E170" s="2" t="inlineStr">
        <is>
          <t>hero_dongfang_bubai</t>
        </is>
      </c>
      <c r="F170" s="2" t="n">
        <v>1</v>
      </c>
      <c r="G170" s="2" t="inlineStr">
        <is>
          <t>东方不败</t>
        </is>
      </c>
      <c r="H170" s="2" t="inlineStr">
        <is>
          <t>天花乱坠、流星贯月</t>
        </is>
      </c>
      <c r="I170" s="2" t="n">
        <v>10</v>
      </c>
      <c r="J170" s="2" t="n">
        <v>100</v>
      </c>
      <c r="K170" s="4" t="n">
        <v>0.68</v>
      </c>
      <c r="L170" s="2" t="inlineStr">
        <is>
          <t>data/mission_templates.yaml:L1437:enemy_guests</t>
        </is>
      </c>
      <c r="M170" s="2" t="inlineStr">
        <is>
          <t>{"key":"hero_dongfang_bubai","label":"东方不败","skills":["flower_rain","meteor_pierce_moon"]}</t>
        </is>
      </c>
    </row>
    <row r="171">
      <c r="A171" s="2" t="inlineStr">
        <is>
          <t>huashan_lunjian_advanced</t>
        </is>
      </c>
      <c r="B171" s="2" t="inlineStr">
        <is>
          <t>华山论剑</t>
        </is>
      </c>
      <c r="C171" s="2" t="inlineStr">
        <is>
          <t>个人任务</t>
        </is>
      </c>
      <c r="D171" s="2" t="inlineStr">
        <is>
          <t>门客</t>
        </is>
      </c>
      <c r="E171" s="2" t="inlineStr">
        <is>
          <t>hero_shi_zhongjian</t>
        </is>
      </c>
      <c r="F171" s="2" t="n">
        <v>1</v>
      </c>
      <c r="G171" s="2" t="inlineStr">
        <is>
          <t>石破天</t>
        </is>
      </c>
      <c r="H171" s="2" t="inlineStr">
        <is>
          <t>龙吟破阵、困兽犹斗</t>
        </is>
      </c>
      <c r="I171" s="2" t="n">
        <v>10</v>
      </c>
      <c r="J171" s="2" t="n">
        <v>100</v>
      </c>
      <c r="K171" s="4" t="n">
        <v>0.68</v>
      </c>
      <c r="L171" s="2" t="inlineStr">
        <is>
          <t>data/mission_templates.yaml:L1437:enemy_guests</t>
        </is>
      </c>
      <c r="M171" s="2" t="inlineStr">
        <is>
          <t>{"key":"hero_shi_zhongjian","label":"石破天","skills":["dragon_roar","desperate_beast"]}</t>
        </is>
      </c>
    </row>
    <row r="172">
      <c r="A172" s="2" t="inlineStr">
        <is>
          <t>huashan_lunjian_advanced</t>
        </is>
      </c>
      <c r="B172" s="2" t="inlineStr">
        <is>
          <t>华山论剑</t>
        </is>
      </c>
      <c r="C172" s="2" t="inlineStr">
        <is>
          <t>个人任务</t>
        </is>
      </c>
      <c r="D172" s="2" t="inlineStr">
        <is>
          <t>门客</t>
        </is>
      </c>
      <c r="E172" s="2" t="inlineStr">
        <is>
          <t>task_huashan_huang_shang</t>
        </is>
      </c>
      <c r="F172" s="2" t="n">
        <v>1</v>
      </c>
      <c r="G172" s="2" t="inlineStr">
        <is>
          <t>黄裳</t>
        </is>
      </c>
      <c r="H172" s="2" t="inlineStr">
        <is>
          <t>使用模板默认技能</t>
        </is>
      </c>
      <c r="I172" s="2" t="n">
        <v>10</v>
      </c>
      <c r="J172" s="2" t="n">
        <v>100</v>
      </c>
      <c r="K172" s="4" t="n">
        <v>0.68</v>
      </c>
      <c r="L172" s="2" t="inlineStr">
        <is>
          <t>data/mission_templates.yaml:L1437:enemy_guests</t>
        </is>
      </c>
      <c r="M172" s="2" t="inlineStr">
        <is>
          <t>{"key":"task_huashan_huang_shang","label":"黄裳"}</t>
        </is>
      </c>
    </row>
    <row r="173">
      <c r="A173" s="2" t="inlineStr">
        <is>
          <t>huashan_lunjian_advanced</t>
        </is>
      </c>
      <c r="B173" s="2" t="inlineStr">
        <is>
          <t>华山论剑</t>
        </is>
      </c>
      <c r="C173" s="2" t="inlineStr">
        <is>
          <t>个人任务</t>
        </is>
      </c>
      <c r="D173" s="2" t="inlineStr">
        <is>
          <t>门客</t>
        </is>
      </c>
      <c r="E173" s="2" t="inlineStr">
        <is>
          <t>hero_a_qing</t>
        </is>
      </c>
      <c r="F173" s="2" t="n">
        <v>1</v>
      </c>
      <c r="G173" s="2" t="inlineStr">
        <is>
          <t>阿青</t>
        </is>
      </c>
      <c r="H173" s="2" t="inlineStr">
        <is>
          <t>倾城一击、流星贯月</t>
        </is>
      </c>
      <c r="I173" s="2" t="n">
        <v>10</v>
      </c>
      <c r="J173" s="2" t="n">
        <v>100</v>
      </c>
      <c r="K173" s="4" t="n">
        <v>0.68</v>
      </c>
      <c r="L173" s="2" t="inlineStr">
        <is>
          <t>data/mission_templates.yaml:L1437:enemy_guests</t>
        </is>
      </c>
      <c r="M173" s="2" t="inlineStr">
        <is>
          <t>{"key":"hero_a_qing","label":"阿青","skills":["city_felling_strike","meteor_pierce_moon"]}</t>
        </is>
      </c>
    </row>
    <row r="174">
      <c r="A174" s="2" t="inlineStr">
        <is>
          <t>huashan_lunjian_advanced</t>
        </is>
      </c>
      <c r="B174" s="2" t="inlineStr">
        <is>
          <t>华山论剑</t>
        </is>
      </c>
      <c r="C174" s="2" t="inlineStr">
        <is>
          <t>个人任务</t>
        </is>
      </c>
      <c r="D174" s="2" t="inlineStr">
        <is>
          <t>门客</t>
        </is>
      </c>
      <c r="E174" s="2" t="inlineStr">
        <is>
          <t>hero_xiaoyao_zi</t>
        </is>
      </c>
      <c r="F174" s="2" t="n">
        <v>1</v>
      </c>
      <c r="G174" s="2" t="inlineStr">
        <is>
          <t>逍遥子</t>
        </is>
      </c>
      <c r="H174" s="2" t="inlineStr">
        <is>
          <t>太乙生风、销魂蚀骨</t>
        </is>
      </c>
      <c r="I174" s="2" t="n">
        <v>10</v>
      </c>
      <c r="J174" s="2" t="n">
        <v>100</v>
      </c>
      <c r="K174" s="4" t="n">
        <v>0.68</v>
      </c>
      <c r="L174" s="2" t="inlineStr">
        <is>
          <t>data/mission_templates.yaml:L1437:enemy_guests</t>
        </is>
      </c>
      <c r="M174" s="2" t="inlineStr">
        <is>
          <t>{"key":"hero_xiaoyao_zi","label":"逍遥子","skills":["taiyi_wind","soul_erode"]}</t>
        </is>
      </c>
    </row>
    <row r="175">
      <c r="A175" s="2" t="inlineStr">
        <is>
          <t>huashan_lunjian_advanced</t>
        </is>
      </c>
      <c r="B175" s="2" t="inlineStr">
        <is>
          <t>华山论剑</t>
        </is>
      </c>
      <c r="C175" s="2" t="inlineStr">
        <is>
          <t>个人任务</t>
        </is>
      </c>
      <c r="D175" s="2" t="inlineStr">
        <is>
          <t>门客</t>
        </is>
      </c>
      <c r="E175" s="2" t="inlineStr">
        <is>
          <t>hero_wang_chongyang</t>
        </is>
      </c>
      <c r="F175" s="2" t="n">
        <v>1</v>
      </c>
      <c r="G175" s="2" t="inlineStr">
        <is>
          <t>王重阳</t>
        </is>
      </c>
      <c r="H175" s="2" t="inlineStr">
        <is>
          <t>雷动九天、同袍号令</t>
        </is>
      </c>
      <c r="I175" s="2" t="n">
        <v>10</v>
      </c>
      <c r="J175" s="2" t="n">
        <v>100</v>
      </c>
      <c r="K175" s="4" t="n">
        <v>0.68</v>
      </c>
      <c r="L175" s="2" t="inlineStr">
        <is>
          <t>data/mission_templates.yaml:L1437:enemy_guests</t>
        </is>
      </c>
      <c r="M175" s="2" t="inlineStr">
        <is>
          <t>{"key":"hero_wang_chongyang","label":"王重阳","skills":["thunder_nine_heavens","comrade_command"]}</t>
        </is>
      </c>
    </row>
    <row r="176">
      <c r="A176" s="2" t="inlineStr">
        <is>
          <t>sishui_huaxiong_chengwei</t>
        </is>
      </c>
      <c r="B176" s="2" t="inlineStr">
        <is>
          <t>飞将浮沉录：汜水关华雄逞威</t>
        </is>
      </c>
      <c r="C176" s="2" t="inlineStr">
        <is>
          <t>个人任务</t>
        </is>
      </c>
      <c r="D176" s="2" t="inlineStr">
        <is>
          <t>门客</t>
        </is>
      </c>
      <c r="E176" s="2" t="inlineStr">
        <is>
          <t>task_sishui_huaxiong</t>
        </is>
      </c>
      <c r="F176" s="2" t="n">
        <v>1</v>
      </c>
      <c r="G176" s="2" t="inlineStr">
        <is>
          <t>华雄</t>
        </is>
      </c>
      <c r="H176" s="2" t="inlineStr">
        <is>
          <t>使用模板默认技能</t>
        </is>
      </c>
      <c r="I176" s="2" t="n">
        <v>10</v>
      </c>
      <c r="J176" s="2" t="n">
        <v>92</v>
      </c>
      <c r="K176" s="4" t="n">
        <v>0.58</v>
      </c>
      <c r="L176" s="2" t="inlineStr">
        <is>
          <t>data/mission_templates.yaml:L1511:enemy_guests</t>
        </is>
      </c>
      <c r="M176" s="2" t="inlineStr">
        <is>
          <t>{"key":"task_sishui_huaxiong","label":"华雄"}</t>
        </is>
      </c>
    </row>
    <row r="177">
      <c r="A177" s="2" t="inlineStr">
        <is>
          <t>sishui_huaxiong_chengwei</t>
        </is>
      </c>
      <c r="B177" s="2" t="inlineStr">
        <is>
          <t>飞将浮沉录：汜水关华雄逞威</t>
        </is>
      </c>
      <c r="C177" s="2" t="inlineStr">
        <is>
          <t>个人任务</t>
        </is>
      </c>
      <c r="D177" s="2" t="inlineStr">
        <is>
          <t>护院</t>
        </is>
      </c>
      <c r="E177" s="2" t="inlineStr">
        <is>
          <t>dao_sheng</t>
        </is>
      </c>
      <c r="F177" s="2" t="n">
        <v>1200</v>
      </c>
      <c r="G177" s="2" t="inlineStr">
        <is>
          <t>刀圣</t>
        </is>
      </c>
      <c r="H177" s="2" t="inlineStr"/>
      <c r="I177" s="2" t="n">
        <v>10</v>
      </c>
      <c r="J177" s="2" t="n"/>
      <c r="K177" s="4" t="n"/>
      <c r="L177" s="2" t="inlineStr">
        <is>
          <t>data/mission_templates.yaml:L1511:enemy_troops</t>
        </is>
      </c>
      <c r="M177" s="2" t="inlineStr">
        <is>
          <t>{"dao_sheng":1200}</t>
        </is>
      </c>
    </row>
    <row r="178">
      <c r="A178" s="2" t="inlineStr">
        <is>
          <t>sishui_huaxiong_chengwei</t>
        </is>
      </c>
      <c r="B178" s="2" t="inlineStr">
        <is>
          <t>飞将浮沉录：汜水关华雄逞威</t>
        </is>
      </c>
      <c r="C178" s="2" t="inlineStr">
        <is>
          <t>个人任务</t>
        </is>
      </c>
      <c r="D178" s="2" t="inlineStr">
        <is>
          <t>护院</t>
        </is>
      </c>
      <c r="E178" s="2" t="inlineStr">
        <is>
          <t>qiang_wang</t>
        </is>
      </c>
      <c r="F178" s="2" t="n">
        <v>1100</v>
      </c>
      <c r="G178" s="2" t="inlineStr">
        <is>
          <t>枪王</t>
        </is>
      </c>
      <c r="H178" s="2" t="inlineStr"/>
      <c r="I178" s="2" t="n">
        <v>10</v>
      </c>
      <c r="J178" s="2" t="n"/>
      <c r="K178" s="4" t="n"/>
      <c r="L178" s="2" t="inlineStr">
        <is>
          <t>data/mission_templates.yaml:L1511:enemy_troops</t>
        </is>
      </c>
      <c r="M178" s="2" t="inlineStr">
        <is>
          <t>{"qiang_wang":1100}</t>
        </is>
      </c>
    </row>
    <row r="179">
      <c r="A179" s="2" t="inlineStr">
        <is>
          <t>sishui_huaxiong_chengwei</t>
        </is>
      </c>
      <c r="B179" s="2" t="inlineStr">
        <is>
          <t>飞将浮沉录：汜水关华雄逞威</t>
        </is>
      </c>
      <c r="C179" s="2" t="inlineStr">
        <is>
          <t>个人任务</t>
        </is>
      </c>
      <c r="D179" s="2" t="inlineStr">
        <is>
          <t>护院</t>
        </is>
      </c>
      <c r="E179" s="2" t="inlineStr">
        <is>
          <t>arrow_god</t>
        </is>
      </c>
      <c r="F179" s="2" t="n">
        <v>900</v>
      </c>
      <c r="G179" s="2" t="inlineStr">
        <is>
          <t>箭神</t>
        </is>
      </c>
      <c r="H179" s="2" t="inlineStr"/>
      <c r="I179" s="2" t="n">
        <v>10</v>
      </c>
      <c r="J179" s="2" t="n"/>
      <c r="K179" s="4" t="n"/>
      <c r="L179" s="2" t="inlineStr">
        <is>
          <t>data/mission_templates.yaml:L1511:enemy_troops</t>
        </is>
      </c>
      <c r="M179" s="2" t="inlineStr">
        <is>
          <t>{"arrow_god":900}</t>
        </is>
      </c>
    </row>
    <row r="180">
      <c r="A180" s="2" t="inlineStr">
        <is>
          <t>hulao_qunying_zhan_lvbu</t>
        </is>
      </c>
      <c r="B180" s="2" t="inlineStr">
        <is>
          <t>飞将浮沉录：虎牢关群英战吕布</t>
        </is>
      </c>
      <c r="C180" s="2" t="inlineStr">
        <is>
          <t>个人任务</t>
        </is>
      </c>
      <c r="D180" s="2" t="inlineStr">
        <is>
          <t>门客</t>
        </is>
      </c>
      <c r="E180" s="2" t="inlineStr">
        <is>
          <t>task_hulao_lvbu</t>
        </is>
      </c>
      <c r="F180" s="2" t="n">
        <v>1</v>
      </c>
      <c r="G180" s="2" t="inlineStr">
        <is>
          <t>吕布</t>
        </is>
      </c>
      <c r="H180" s="2" t="inlineStr">
        <is>
          <t>龙吟破阵</t>
        </is>
      </c>
      <c r="I180" s="2" t="n">
        <v>10</v>
      </c>
      <c r="J180" s="2" t="n">
        <v>100</v>
      </c>
      <c r="K180" s="4" t="n">
        <v>0.72</v>
      </c>
      <c r="L180" s="2" t="inlineStr">
        <is>
          <t>data/mission_templates.yaml:L1556:enemy_guests</t>
        </is>
      </c>
      <c r="M180" s="2" t="inlineStr">
        <is>
          <t>{"key":"task_hulao_lvbu","label":"吕布"}</t>
        </is>
      </c>
    </row>
    <row r="181">
      <c r="A181" s="2" t="inlineStr">
        <is>
          <t>hulao_qunying_zhan_lvbu</t>
        </is>
      </c>
      <c r="B181" s="2" t="inlineStr">
        <is>
          <t>飞将浮沉录：虎牢关群英战吕布</t>
        </is>
      </c>
      <c r="C181" s="2" t="inlineStr">
        <is>
          <t>个人任务</t>
        </is>
      </c>
      <c r="D181" s="2" t="inlineStr">
        <is>
          <t>护院</t>
        </is>
      </c>
      <c r="E181" s="2" t="inlineStr">
        <is>
          <t>dao_sheng</t>
        </is>
      </c>
      <c r="F181" s="2" t="n">
        <v>1500</v>
      </c>
      <c r="G181" s="2" t="inlineStr">
        <is>
          <t>刀圣</t>
        </is>
      </c>
      <c r="H181" s="2" t="inlineStr"/>
      <c r="I181" s="2" t="n">
        <v>10</v>
      </c>
      <c r="J181" s="2" t="n"/>
      <c r="K181" s="4" t="n"/>
      <c r="L181" s="2" t="inlineStr">
        <is>
          <t>data/mission_templates.yaml:L1556:enemy_troops</t>
        </is>
      </c>
      <c r="M181" s="2" t="inlineStr">
        <is>
          <t>{"dao_sheng":1500}</t>
        </is>
      </c>
    </row>
    <row r="182">
      <c r="A182" s="2" t="inlineStr">
        <is>
          <t>hulao_qunying_zhan_lvbu</t>
        </is>
      </c>
      <c r="B182" s="2" t="inlineStr">
        <is>
          <t>飞将浮沉录：虎牢关群英战吕布</t>
        </is>
      </c>
      <c r="C182" s="2" t="inlineStr">
        <is>
          <t>个人任务</t>
        </is>
      </c>
      <c r="D182" s="2" t="inlineStr">
        <is>
          <t>护院</t>
        </is>
      </c>
      <c r="E182" s="2" t="inlineStr">
        <is>
          <t>qiang_wang</t>
        </is>
      </c>
      <c r="F182" s="2" t="n">
        <v>1500</v>
      </c>
      <c r="G182" s="2" t="inlineStr">
        <is>
          <t>枪王</t>
        </is>
      </c>
      <c r="H182" s="2" t="inlineStr"/>
      <c r="I182" s="2" t="n">
        <v>10</v>
      </c>
      <c r="J182" s="2" t="n"/>
      <c r="K182" s="4" t="n"/>
      <c r="L182" s="2" t="inlineStr">
        <is>
          <t>data/mission_templates.yaml:L1556:enemy_troops</t>
        </is>
      </c>
      <c r="M182" s="2" t="inlineStr">
        <is>
          <t>{"qiang_wang":1500}</t>
        </is>
      </c>
    </row>
    <row r="183">
      <c r="A183" s="2" t="inlineStr">
        <is>
          <t>hulao_qunying_zhan_lvbu</t>
        </is>
      </c>
      <c r="B183" s="2" t="inlineStr">
        <is>
          <t>飞将浮沉录：虎牢关群英战吕布</t>
        </is>
      </c>
      <c r="C183" s="2" t="inlineStr">
        <is>
          <t>个人任务</t>
        </is>
      </c>
      <c r="D183" s="2" t="inlineStr">
        <is>
          <t>护院</t>
        </is>
      </c>
      <c r="E183" s="2" t="inlineStr">
        <is>
          <t>jian_sheng</t>
        </is>
      </c>
      <c r="F183" s="2" t="n">
        <v>1300</v>
      </c>
      <c r="G183" s="2" t="inlineStr">
        <is>
          <t>剑圣</t>
        </is>
      </c>
      <c r="H183" s="2" t="inlineStr"/>
      <c r="I183" s="2" t="n">
        <v>10</v>
      </c>
      <c r="J183" s="2" t="n"/>
      <c r="K183" s="4" t="n"/>
      <c r="L183" s="2" t="inlineStr">
        <is>
          <t>data/mission_templates.yaml:L1556:enemy_troops</t>
        </is>
      </c>
      <c r="M183" s="2" t="inlineStr">
        <is>
          <t>{"jian_sheng":1300}</t>
        </is>
      </c>
    </row>
    <row r="184">
      <c r="A184" s="2" t="inlineStr">
        <is>
          <t>hulao_qunying_zhan_lvbu</t>
        </is>
      </c>
      <c r="B184" s="2" t="inlineStr">
        <is>
          <t>飞将浮沉录：虎牢关群英战吕布</t>
        </is>
      </c>
      <c r="C184" s="2" t="inlineStr">
        <is>
          <t>个人任务</t>
        </is>
      </c>
      <c r="D184" s="2" t="inlineStr">
        <is>
          <t>护院</t>
        </is>
      </c>
      <c r="E184" s="2" t="inlineStr">
        <is>
          <t>quan_sheng</t>
        </is>
      </c>
      <c r="F184" s="2" t="n">
        <v>1000</v>
      </c>
      <c r="G184" s="2" t="inlineStr">
        <is>
          <t>拳圣</t>
        </is>
      </c>
      <c r="H184" s="2" t="inlineStr"/>
      <c r="I184" s="2" t="n">
        <v>10</v>
      </c>
      <c r="J184" s="2" t="n"/>
      <c r="K184" s="4" t="n"/>
      <c r="L184" s="2" t="inlineStr">
        <is>
          <t>data/mission_templates.yaml:L1556:enemy_troops</t>
        </is>
      </c>
      <c r="M184" s="2" t="inlineStr">
        <is>
          <t>{"quan_sheng":1000}</t>
        </is>
      </c>
    </row>
    <row r="185">
      <c r="A185" s="2" t="inlineStr">
        <is>
          <t>hulao_qunying_zhan_lvbu</t>
        </is>
      </c>
      <c r="B185" s="2" t="inlineStr">
        <is>
          <t>飞将浮沉录：虎牢关群英战吕布</t>
        </is>
      </c>
      <c r="C185" s="2" t="inlineStr">
        <is>
          <t>个人任务</t>
        </is>
      </c>
      <c r="D185" s="2" t="inlineStr">
        <is>
          <t>护院</t>
        </is>
      </c>
      <c r="E185" s="2" t="inlineStr">
        <is>
          <t>arrow_god</t>
        </is>
      </c>
      <c r="F185" s="2" t="n">
        <v>1300</v>
      </c>
      <c r="G185" s="2" t="inlineStr">
        <is>
          <t>箭神</t>
        </is>
      </c>
      <c r="H185" s="2" t="inlineStr"/>
      <c r="I185" s="2" t="n">
        <v>10</v>
      </c>
      <c r="J185" s="2" t="n"/>
      <c r="K185" s="4" t="n"/>
      <c r="L185" s="2" t="inlineStr">
        <is>
          <t>data/mission_templates.yaml:L1556:enemy_troops</t>
        </is>
      </c>
      <c r="M185" s="2" t="inlineStr">
        <is>
          <t>{"arrow_god":1300}</t>
        </is>
      </c>
    </row>
    <row r="186">
      <c r="A186" s="2" t="inlineStr">
        <is>
          <t>baimenlou_mingyun_jueze</t>
        </is>
      </c>
      <c r="B186" s="2" t="inlineStr">
        <is>
          <t>飞将浮沉录：白门楼命运抉择</t>
        </is>
      </c>
      <c r="C186" s="2" t="inlineStr">
        <is>
          <t>个人任务</t>
        </is>
      </c>
      <c r="D186" s="2" t="inlineStr">
        <is>
          <t>门客</t>
        </is>
      </c>
      <c r="E186" s="2" t="inlineStr">
        <is>
          <t>task_baimenlou_lvbu</t>
        </is>
      </c>
      <c r="F186" s="2" t="n">
        <v>1</v>
      </c>
      <c r="G186" s="2" t="inlineStr">
        <is>
          <t>吕布</t>
        </is>
      </c>
      <c r="H186" s="2" t="inlineStr">
        <is>
          <t>使用模板默认技能</t>
        </is>
      </c>
      <c r="I186" s="2" t="n">
        <v>10</v>
      </c>
      <c r="J186" s="2" t="n">
        <v>100</v>
      </c>
      <c r="K186" s="4" t="n">
        <v>0.8</v>
      </c>
      <c r="L186" s="2" t="inlineStr">
        <is>
          <t>data/mission_templates.yaml:L1602:enemy_guests</t>
        </is>
      </c>
      <c r="M186" s="2" t="inlineStr">
        <is>
          <t>{"key":"task_baimenlou_lvbu","label":"吕布"}</t>
        </is>
      </c>
    </row>
    <row r="187">
      <c r="A187" s="2" t="inlineStr">
        <is>
          <t>baimenlou_mingyun_jueze</t>
        </is>
      </c>
      <c r="B187" s="2" t="inlineStr">
        <is>
          <t>飞将浮沉录：白门楼命运抉择</t>
        </is>
      </c>
      <c r="C187" s="2" t="inlineStr">
        <is>
          <t>个人任务</t>
        </is>
      </c>
      <c r="D187" s="2" t="inlineStr">
        <is>
          <t>门客</t>
        </is>
      </c>
      <c r="E187" s="2" t="inlineStr">
        <is>
          <t>task_baimenlou_gaoshun</t>
        </is>
      </c>
      <c r="F187" s="2" t="n">
        <v>1</v>
      </c>
      <c r="G187" s="2" t="inlineStr">
        <is>
          <t>高顺</t>
        </is>
      </c>
      <c r="H187" s="2" t="inlineStr">
        <is>
          <t>使用模板默认技能</t>
        </is>
      </c>
      <c r="I187" s="2" t="n">
        <v>10</v>
      </c>
      <c r="J187" s="2" t="n">
        <v>100</v>
      </c>
      <c r="K187" s="4" t="n">
        <v>0.8</v>
      </c>
      <c r="L187" s="2" t="inlineStr">
        <is>
          <t>data/mission_templates.yaml:L1602:enemy_guests</t>
        </is>
      </c>
      <c r="M187" s="2" t="inlineStr">
        <is>
          <t>{"key":"task_baimenlou_gaoshun","label":"高顺"}</t>
        </is>
      </c>
    </row>
    <row r="188">
      <c r="A188" s="2" t="inlineStr">
        <is>
          <t>baimenlou_mingyun_jueze</t>
        </is>
      </c>
      <c r="B188" s="2" t="inlineStr">
        <is>
          <t>飞将浮沉录：白门楼命运抉择</t>
        </is>
      </c>
      <c r="C188" s="2" t="inlineStr">
        <is>
          <t>个人任务</t>
        </is>
      </c>
      <c r="D188" s="2" t="inlineStr">
        <is>
          <t>门客</t>
        </is>
      </c>
      <c r="E188" s="2" t="inlineStr">
        <is>
          <t>task_baimenlou_zhangliao</t>
        </is>
      </c>
      <c r="F188" s="2" t="n">
        <v>1</v>
      </c>
      <c r="G188" s="2" t="inlineStr">
        <is>
          <t>张辽</t>
        </is>
      </c>
      <c r="H188" s="2" t="inlineStr">
        <is>
          <t>使用模板默认技能</t>
        </is>
      </c>
      <c r="I188" s="2" t="n">
        <v>10</v>
      </c>
      <c r="J188" s="2" t="n">
        <v>100</v>
      </c>
      <c r="K188" s="4" t="n">
        <v>0.8</v>
      </c>
      <c r="L188" s="2" t="inlineStr">
        <is>
          <t>data/mission_templates.yaml:L1602:enemy_guests</t>
        </is>
      </c>
      <c r="M188" s="2" t="inlineStr">
        <is>
          <t>{"key":"task_baimenlou_zhangliao","label":"张辽"}</t>
        </is>
      </c>
    </row>
    <row r="189">
      <c r="A189" s="2" t="inlineStr">
        <is>
          <t>baimenlou_mingyun_jueze</t>
        </is>
      </c>
      <c r="B189" s="2" t="inlineStr">
        <is>
          <t>飞将浮沉录：白门楼命运抉择</t>
        </is>
      </c>
      <c r="C189" s="2" t="inlineStr">
        <is>
          <t>个人任务</t>
        </is>
      </c>
      <c r="D189" s="2" t="inlineStr">
        <is>
          <t>门客</t>
        </is>
      </c>
      <c r="E189" s="2" t="inlineStr">
        <is>
          <t>task_baimenlou_chengong</t>
        </is>
      </c>
      <c r="F189" s="2" t="n">
        <v>1</v>
      </c>
      <c r="G189" s="2" t="inlineStr">
        <is>
          <t>陈宫</t>
        </is>
      </c>
      <c r="H189" s="2" t="inlineStr">
        <is>
          <t>使用模板默认技能</t>
        </is>
      </c>
      <c r="I189" s="2" t="n">
        <v>10</v>
      </c>
      <c r="J189" s="2" t="n">
        <v>100</v>
      </c>
      <c r="K189" s="4" t="n">
        <v>0.8</v>
      </c>
      <c r="L189" s="2" t="inlineStr">
        <is>
          <t>data/mission_templates.yaml:L1602:enemy_guests</t>
        </is>
      </c>
      <c r="M189" s="2" t="inlineStr">
        <is>
          <t>{"key":"task_baimenlou_chengong","label":"陈宫"}</t>
        </is>
      </c>
    </row>
    <row r="190">
      <c r="A190" s="2" t="inlineStr">
        <is>
          <t>baimenlou_mingyun_jueze</t>
        </is>
      </c>
      <c r="B190" s="2" t="inlineStr">
        <is>
          <t>飞将浮沉录：白门楼命运抉择</t>
        </is>
      </c>
      <c r="C190" s="2" t="inlineStr">
        <is>
          <t>个人任务</t>
        </is>
      </c>
      <c r="D190" s="2" t="inlineStr">
        <is>
          <t>门客</t>
        </is>
      </c>
      <c r="E190" s="2" t="inlineStr">
        <is>
          <t>task_baimenlou_zangba</t>
        </is>
      </c>
      <c r="F190" s="2" t="n">
        <v>1</v>
      </c>
      <c r="G190" s="2" t="inlineStr">
        <is>
          <t>臧霸</t>
        </is>
      </c>
      <c r="H190" s="2" t="inlineStr">
        <is>
          <t>使用模板默认技能</t>
        </is>
      </c>
      <c r="I190" s="2" t="n">
        <v>10</v>
      </c>
      <c r="J190" s="2" t="n">
        <v>100</v>
      </c>
      <c r="K190" s="4" t="n">
        <v>0.8</v>
      </c>
      <c r="L190" s="2" t="inlineStr">
        <is>
          <t>data/mission_templates.yaml:L1602:enemy_guests</t>
        </is>
      </c>
      <c r="M190" s="2" t="inlineStr">
        <is>
          <t>{"key":"task_baimenlou_zangba","label":"臧霸"}</t>
        </is>
      </c>
    </row>
    <row r="191">
      <c r="A191" s="2" t="inlineStr">
        <is>
          <t>baimenlou_mingyun_jueze</t>
        </is>
      </c>
      <c r="B191" s="2" t="inlineStr">
        <is>
          <t>飞将浮沉录：白门楼命运抉择</t>
        </is>
      </c>
      <c r="C191" s="2" t="inlineStr">
        <is>
          <t>个人任务</t>
        </is>
      </c>
      <c r="D191" s="2" t="inlineStr">
        <is>
          <t>护院</t>
        </is>
      </c>
      <c r="E191" s="2" t="inlineStr">
        <is>
          <t>dao_sheng</t>
        </is>
      </c>
      <c r="F191" s="2" t="n">
        <v>1800</v>
      </c>
      <c r="G191" s="2" t="inlineStr">
        <is>
          <t>刀圣</t>
        </is>
      </c>
      <c r="H191" s="2" t="inlineStr"/>
      <c r="I191" s="2" t="n">
        <v>10</v>
      </c>
      <c r="J191" s="2" t="n"/>
      <c r="K191" s="4" t="n"/>
      <c r="L191" s="2" t="inlineStr">
        <is>
          <t>data/mission_templates.yaml:L1602:enemy_troops</t>
        </is>
      </c>
      <c r="M191" s="2" t="inlineStr">
        <is>
          <t>{"dao_sheng":1800}</t>
        </is>
      </c>
    </row>
    <row r="192">
      <c r="A192" s="2" t="inlineStr">
        <is>
          <t>baimenlou_mingyun_jueze</t>
        </is>
      </c>
      <c r="B192" s="2" t="inlineStr">
        <is>
          <t>飞将浮沉录：白门楼命运抉择</t>
        </is>
      </c>
      <c r="C192" s="2" t="inlineStr">
        <is>
          <t>个人任务</t>
        </is>
      </c>
      <c r="D192" s="2" t="inlineStr">
        <is>
          <t>护院</t>
        </is>
      </c>
      <c r="E192" s="2" t="inlineStr">
        <is>
          <t>qiang_wang</t>
        </is>
      </c>
      <c r="F192" s="2" t="n">
        <v>1700</v>
      </c>
      <c r="G192" s="2" t="inlineStr">
        <is>
          <t>枪王</t>
        </is>
      </c>
      <c r="H192" s="2" t="inlineStr"/>
      <c r="I192" s="2" t="n">
        <v>10</v>
      </c>
      <c r="J192" s="2" t="n"/>
      <c r="K192" s="4" t="n"/>
      <c r="L192" s="2" t="inlineStr">
        <is>
          <t>data/mission_templates.yaml:L1602:enemy_troops</t>
        </is>
      </c>
      <c r="M192" s="2" t="inlineStr">
        <is>
          <t>{"qiang_wang":1700}</t>
        </is>
      </c>
    </row>
    <row r="193">
      <c r="A193" s="2" t="inlineStr">
        <is>
          <t>baimenlou_mingyun_jueze</t>
        </is>
      </c>
      <c r="B193" s="2" t="inlineStr">
        <is>
          <t>飞将浮沉录：白门楼命运抉择</t>
        </is>
      </c>
      <c r="C193" s="2" t="inlineStr">
        <is>
          <t>个人任务</t>
        </is>
      </c>
      <c r="D193" s="2" t="inlineStr">
        <is>
          <t>护院</t>
        </is>
      </c>
      <c r="E193" s="2" t="inlineStr">
        <is>
          <t>jian_sheng</t>
        </is>
      </c>
      <c r="F193" s="2" t="n">
        <v>1600</v>
      </c>
      <c r="G193" s="2" t="inlineStr">
        <is>
          <t>剑圣</t>
        </is>
      </c>
      <c r="H193" s="2" t="inlineStr"/>
      <c r="I193" s="2" t="n">
        <v>10</v>
      </c>
      <c r="J193" s="2" t="n"/>
      <c r="K193" s="4" t="n"/>
      <c r="L193" s="2" t="inlineStr">
        <is>
          <t>data/mission_templates.yaml:L1602:enemy_troops</t>
        </is>
      </c>
      <c r="M193" s="2" t="inlineStr">
        <is>
          <t>{"jian_sheng":1600}</t>
        </is>
      </c>
    </row>
    <row r="194">
      <c r="A194" s="2" t="inlineStr">
        <is>
          <t>baimenlou_mingyun_jueze</t>
        </is>
      </c>
      <c r="B194" s="2" t="inlineStr">
        <is>
          <t>飞将浮沉录：白门楼命运抉择</t>
        </is>
      </c>
      <c r="C194" s="2" t="inlineStr">
        <is>
          <t>个人任务</t>
        </is>
      </c>
      <c r="D194" s="2" t="inlineStr">
        <is>
          <t>护院</t>
        </is>
      </c>
      <c r="E194" s="2" t="inlineStr">
        <is>
          <t>quan_sheng</t>
        </is>
      </c>
      <c r="F194" s="2" t="n">
        <v>1200</v>
      </c>
      <c r="G194" s="2" t="inlineStr">
        <is>
          <t>拳圣</t>
        </is>
      </c>
      <c r="H194" s="2" t="inlineStr"/>
      <c r="I194" s="2" t="n">
        <v>10</v>
      </c>
      <c r="J194" s="2" t="n"/>
      <c r="K194" s="4" t="n"/>
      <c r="L194" s="2" t="inlineStr">
        <is>
          <t>data/mission_templates.yaml:L1602:enemy_troops</t>
        </is>
      </c>
      <c r="M194" s="2" t="inlineStr">
        <is>
          <t>{"quan_sheng":1200}</t>
        </is>
      </c>
    </row>
    <row r="195">
      <c r="A195" s="2" t="inlineStr">
        <is>
          <t>baimenlou_mingyun_jueze</t>
        </is>
      </c>
      <c r="B195" s="2" t="inlineStr">
        <is>
          <t>飞将浮沉录：白门楼命运抉择</t>
        </is>
      </c>
      <c r="C195" s="2" t="inlineStr">
        <is>
          <t>个人任务</t>
        </is>
      </c>
      <c r="D195" s="2" t="inlineStr">
        <is>
          <t>护院</t>
        </is>
      </c>
      <c r="E195" s="2" t="inlineStr">
        <is>
          <t>arrow_god</t>
        </is>
      </c>
      <c r="F195" s="2" t="n">
        <v>1500</v>
      </c>
      <c r="G195" s="2" t="inlineStr">
        <is>
          <t>箭神</t>
        </is>
      </c>
      <c r="H195" s="2" t="inlineStr"/>
      <c r="I195" s="2" t="n">
        <v>10</v>
      </c>
      <c r="J195" s="2" t="n"/>
      <c r="K195" s="4" t="n"/>
      <c r="L195" s="2" t="inlineStr">
        <is>
          <t>data/mission_templates.yaml:L1602:enemy_troops</t>
        </is>
      </c>
      <c r="M195" s="2" t="inlineStr">
        <is>
          <t>{"arrow_god":1500}</t>
        </is>
      </c>
    </row>
    <row r="196">
      <c r="A196" s="2" t="inlineStr">
        <is>
          <t>guild_patrol_alpha</t>
        </is>
      </c>
      <c r="B196" s="2" t="inlineStr">
        <is>
          <t>夜袭乌鳞寨</t>
        </is>
      </c>
      <c r="C196" s="2" t="inlineStr">
        <is>
          <t>帮会任务</t>
        </is>
      </c>
      <c r="D196" s="2" t="inlineStr">
        <is>
          <t>门客</t>
        </is>
      </c>
      <c r="E196" s="2" t="inlineStr">
        <is>
          <t>guild_wulinzhai_zhai_zhu</t>
        </is>
      </c>
      <c r="F196" s="2" t="n">
        <v>1</v>
      </c>
      <c r="G196" s="2" t="inlineStr">
        <is>
          <t>乌鳞寨寨主</t>
        </is>
      </c>
      <c r="H196" s="2" t="inlineStr">
        <is>
          <t>使用模板默认技能</t>
        </is>
      </c>
      <c r="I196" s="2" t="n">
        <v>7</v>
      </c>
      <c r="J196" s="2" t="n">
        <v>88</v>
      </c>
      <c r="K196" s="4" t="n">
        <v>0.36</v>
      </c>
      <c r="L196" s="2" t="inlineStr">
        <is>
          <t>data/guild_mission_templates.yaml:L9:enemy_guests</t>
        </is>
      </c>
      <c r="M196" s="2" t="inlineStr">
        <is>
          <t>{"template_key":"guild_wulinzhai_zhai_zhu"}</t>
        </is>
      </c>
    </row>
    <row r="197">
      <c r="A197" s="2" t="inlineStr">
        <is>
          <t>guild_patrol_alpha</t>
        </is>
      </c>
      <c r="B197" s="2" t="inlineStr">
        <is>
          <t>夜袭乌鳞寨</t>
        </is>
      </c>
      <c r="C197" s="2" t="inlineStr">
        <is>
          <t>帮会任务</t>
        </is>
      </c>
      <c r="D197" s="2" t="inlineStr">
        <is>
          <t>门客</t>
        </is>
      </c>
      <c r="E197" s="2" t="inlineStr">
        <is>
          <t>guild_wulinzhai_junshi</t>
        </is>
      </c>
      <c r="F197" s="2" t="n">
        <v>1</v>
      </c>
      <c r="G197" s="2" t="inlineStr">
        <is>
          <t>乌鳞寨军师</t>
        </is>
      </c>
      <c r="H197" s="2" t="inlineStr">
        <is>
          <t>使用模板默认技能</t>
        </is>
      </c>
      <c r="I197" s="2" t="n">
        <v>7</v>
      </c>
      <c r="J197" s="2" t="n">
        <v>88</v>
      </c>
      <c r="K197" s="4" t="n">
        <v>0.36</v>
      </c>
      <c r="L197" s="2" t="inlineStr">
        <is>
          <t>data/guild_mission_templates.yaml:L9:enemy_guests</t>
        </is>
      </c>
      <c r="M197" s="2" t="inlineStr">
        <is>
          <t>{"template_key":"guild_wulinzhai_junshi"}</t>
        </is>
      </c>
    </row>
    <row r="198">
      <c r="A198" s="2" t="inlineStr">
        <is>
          <t>guild_patrol_alpha</t>
        </is>
      </c>
      <c r="B198" s="2" t="inlineStr">
        <is>
          <t>夜袭乌鳞寨</t>
        </is>
      </c>
      <c r="C198" s="2" t="inlineStr">
        <is>
          <t>帮会任务</t>
        </is>
      </c>
      <c r="D198" s="2" t="inlineStr">
        <is>
          <t>门客</t>
        </is>
      </c>
      <c r="E198" s="2" t="inlineStr">
        <is>
          <t>guild_wulinzhai_night_watch</t>
        </is>
      </c>
      <c r="F198" s="2" t="n">
        <v>1</v>
      </c>
      <c r="G198" s="2" t="inlineStr">
        <is>
          <t>乌鳞夜哨</t>
        </is>
      </c>
      <c r="H198" s="2" t="inlineStr">
        <is>
          <t>使用模板默认技能</t>
        </is>
      </c>
      <c r="I198" s="2" t="n">
        <v>7</v>
      </c>
      <c r="J198" s="2" t="n">
        <v>88</v>
      </c>
      <c r="K198" s="4" t="n">
        <v>0.36</v>
      </c>
      <c r="L198" s="2" t="inlineStr">
        <is>
          <t>data/guild_mission_templates.yaml:L9:enemy_guests</t>
        </is>
      </c>
      <c r="M198" s="2" t="inlineStr">
        <is>
          <t>{"template_key":"guild_wulinzhai_night_watch"}</t>
        </is>
      </c>
    </row>
    <row r="199">
      <c r="A199" s="2" t="inlineStr">
        <is>
          <t>guild_patrol_alpha</t>
        </is>
      </c>
      <c r="B199" s="2" t="inlineStr">
        <is>
          <t>夜袭乌鳞寨</t>
        </is>
      </c>
      <c r="C199" s="2" t="inlineStr">
        <is>
          <t>帮会任务</t>
        </is>
      </c>
      <c r="D199" s="2" t="inlineStr">
        <is>
          <t>门客</t>
        </is>
      </c>
      <c r="E199" s="2" t="inlineStr">
        <is>
          <t>guild_wulinzhai_blade_ambusher</t>
        </is>
      </c>
      <c r="F199" s="2" t="n">
        <v>1</v>
      </c>
      <c r="G199" s="2" t="inlineStr">
        <is>
          <t>乌鳞伏刀手</t>
        </is>
      </c>
      <c r="H199" s="2" t="inlineStr">
        <is>
          <t>使用模板默认技能</t>
        </is>
      </c>
      <c r="I199" s="2" t="n">
        <v>7</v>
      </c>
      <c r="J199" s="2" t="n">
        <v>88</v>
      </c>
      <c r="K199" s="4" t="n">
        <v>0.36</v>
      </c>
      <c r="L199" s="2" t="inlineStr">
        <is>
          <t>data/guild_mission_templates.yaml:L9:enemy_guests</t>
        </is>
      </c>
      <c r="M199" s="2" t="inlineStr">
        <is>
          <t>{"template_key":"guild_wulinzhai_blade_ambusher"}</t>
        </is>
      </c>
    </row>
    <row r="200">
      <c r="A200" s="2" t="inlineStr">
        <is>
          <t>guild_patrol_alpha</t>
        </is>
      </c>
      <c r="B200" s="2" t="inlineStr">
        <is>
          <t>夜袭乌鳞寨</t>
        </is>
      </c>
      <c r="C200" s="2" t="inlineStr">
        <is>
          <t>帮会任务</t>
        </is>
      </c>
      <c r="D200" s="2" t="inlineStr">
        <is>
          <t>门客</t>
        </is>
      </c>
      <c r="E200" s="2" t="inlineStr">
        <is>
          <t>guild_wulinzhai_blade_ambusher</t>
        </is>
      </c>
      <c r="F200" s="2" t="n">
        <v>1</v>
      </c>
      <c r="G200" s="2" t="inlineStr">
        <is>
          <t>乌鳞伏刀手</t>
        </is>
      </c>
      <c r="H200" s="2" t="inlineStr">
        <is>
          <t>使用模板默认技能</t>
        </is>
      </c>
      <c r="I200" s="2" t="n">
        <v>7</v>
      </c>
      <c r="J200" s="2" t="n">
        <v>88</v>
      </c>
      <c r="K200" s="4" t="n">
        <v>0.36</v>
      </c>
      <c r="L200" s="2" t="inlineStr">
        <is>
          <t>data/guild_mission_templates.yaml:L9:enemy_guests</t>
        </is>
      </c>
      <c r="M200" s="2" t="inlineStr">
        <is>
          <t>{"template_key":"guild_wulinzhai_blade_ambusher"}</t>
        </is>
      </c>
    </row>
    <row r="201">
      <c r="A201" s="2" t="inlineStr">
        <is>
          <t>guild_patrol_alpha</t>
        </is>
      </c>
      <c r="B201" s="2" t="inlineStr">
        <is>
          <t>夜袭乌鳞寨</t>
        </is>
      </c>
      <c r="C201" s="2" t="inlineStr">
        <is>
          <t>帮会任务</t>
        </is>
      </c>
      <c r="D201" s="2" t="inlineStr">
        <is>
          <t>门客</t>
        </is>
      </c>
      <c r="E201" s="2" t="inlineStr">
        <is>
          <t>guild_wulinzhai_blade_ambusher</t>
        </is>
      </c>
      <c r="F201" s="2" t="n">
        <v>1</v>
      </c>
      <c r="G201" s="2" t="inlineStr">
        <is>
          <t>乌鳞伏刀手</t>
        </is>
      </c>
      <c r="H201" s="2" t="inlineStr">
        <is>
          <t>使用模板默认技能</t>
        </is>
      </c>
      <c r="I201" s="2" t="n">
        <v>7</v>
      </c>
      <c r="J201" s="2" t="n">
        <v>88</v>
      </c>
      <c r="K201" s="4" t="n">
        <v>0.36</v>
      </c>
      <c r="L201" s="2" t="inlineStr">
        <is>
          <t>data/guild_mission_templates.yaml:L9:enemy_guests</t>
        </is>
      </c>
      <c r="M201" s="2" t="inlineStr">
        <is>
          <t>{"template_key":"guild_wulinzhai_blade_ambusher"}</t>
        </is>
      </c>
    </row>
    <row r="202">
      <c r="A202" s="2" t="inlineStr">
        <is>
          <t>guild_patrol_alpha</t>
        </is>
      </c>
      <c r="B202" s="2" t="inlineStr">
        <is>
          <t>夜袭乌鳞寨</t>
        </is>
      </c>
      <c r="C202" s="2" t="inlineStr">
        <is>
          <t>帮会任务</t>
        </is>
      </c>
      <c r="D202" s="2" t="inlineStr">
        <is>
          <t>门客</t>
        </is>
      </c>
      <c r="E202" s="2" t="inlineStr">
        <is>
          <t>guild_wulinzhai_torch_archer</t>
        </is>
      </c>
      <c r="F202" s="2" t="n">
        <v>1</v>
      </c>
      <c r="G202" s="2" t="inlineStr">
        <is>
          <t>乌鳞火把弓手</t>
        </is>
      </c>
      <c r="H202" s="2" t="inlineStr">
        <is>
          <t>使用模板默认技能</t>
        </is>
      </c>
      <c r="I202" s="2" t="n">
        <v>7</v>
      </c>
      <c r="J202" s="2" t="n">
        <v>88</v>
      </c>
      <c r="K202" s="4" t="n">
        <v>0.36</v>
      </c>
      <c r="L202" s="2" t="inlineStr">
        <is>
          <t>data/guild_mission_templates.yaml:L9:enemy_guests</t>
        </is>
      </c>
      <c r="M202" s="2" t="inlineStr">
        <is>
          <t>{"template_key":"guild_wulinzhai_torch_archer"}</t>
        </is>
      </c>
    </row>
    <row r="203">
      <c r="A203" s="2" t="inlineStr">
        <is>
          <t>guild_patrol_alpha</t>
        </is>
      </c>
      <c r="B203" s="2" t="inlineStr">
        <is>
          <t>夜袭乌鳞寨</t>
        </is>
      </c>
      <c r="C203" s="2" t="inlineStr">
        <is>
          <t>帮会任务</t>
        </is>
      </c>
      <c r="D203" s="2" t="inlineStr">
        <is>
          <t>门客</t>
        </is>
      </c>
      <c r="E203" s="2" t="inlineStr">
        <is>
          <t>guild_wulinzhai_torch_archer</t>
        </is>
      </c>
      <c r="F203" s="2" t="n">
        <v>1</v>
      </c>
      <c r="G203" s="2" t="inlineStr">
        <is>
          <t>乌鳞火把弓手</t>
        </is>
      </c>
      <c r="H203" s="2" t="inlineStr">
        <is>
          <t>使用模板默认技能</t>
        </is>
      </c>
      <c r="I203" s="2" t="n">
        <v>7</v>
      </c>
      <c r="J203" s="2" t="n">
        <v>88</v>
      </c>
      <c r="K203" s="4" t="n">
        <v>0.36</v>
      </c>
      <c r="L203" s="2" t="inlineStr">
        <is>
          <t>data/guild_mission_templates.yaml:L9:enemy_guests</t>
        </is>
      </c>
      <c r="M203" s="2" t="inlineStr">
        <is>
          <t>{"template_key":"guild_wulinzhai_torch_archer"}</t>
        </is>
      </c>
    </row>
    <row r="204">
      <c r="A204" s="2" t="inlineStr">
        <is>
          <t>guild_patrol_alpha</t>
        </is>
      </c>
      <c r="B204" s="2" t="inlineStr">
        <is>
          <t>夜袭乌鳞寨</t>
        </is>
      </c>
      <c r="C204" s="2" t="inlineStr">
        <is>
          <t>帮会任务</t>
        </is>
      </c>
      <c r="D204" s="2" t="inlineStr">
        <is>
          <t>门客</t>
        </is>
      </c>
      <c r="E204" s="2" t="inlineStr">
        <is>
          <t>guild_wulinzhai_torch_archer</t>
        </is>
      </c>
      <c r="F204" s="2" t="n">
        <v>1</v>
      </c>
      <c r="G204" s="2" t="inlineStr">
        <is>
          <t>乌鳞火把弓手</t>
        </is>
      </c>
      <c r="H204" s="2" t="inlineStr">
        <is>
          <t>使用模板默认技能</t>
        </is>
      </c>
      <c r="I204" s="2" t="n">
        <v>7</v>
      </c>
      <c r="J204" s="2" t="n">
        <v>88</v>
      </c>
      <c r="K204" s="4" t="n">
        <v>0.36</v>
      </c>
      <c r="L204" s="2" t="inlineStr">
        <is>
          <t>data/guild_mission_templates.yaml:L9:enemy_guests</t>
        </is>
      </c>
      <c r="M204" s="2" t="inlineStr">
        <is>
          <t>{"template_key":"guild_wulinzhai_torch_archer"}</t>
        </is>
      </c>
    </row>
    <row r="205">
      <c r="A205" s="2" t="inlineStr">
        <is>
          <t>guild_patrol_alpha</t>
        </is>
      </c>
      <c r="B205" s="2" t="inlineStr">
        <is>
          <t>夜袭乌鳞寨</t>
        </is>
      </c>
      <c r="C205" s="2" t="inlineStr">
        <is>
          <t>帮会任务</t>
        </is>
      </c>
      <c r="D205" s="2" t="inlineStr">
        <is>
          <t>门客</t>
        </is>
      </c>
      <c r="E205" s="2" t="inlineStr">
        <is>
          <t>guild_wulinzhai_path_scout</t>
        </is>
      </c>
      <c r="F205" s="2" t="n">
        <v>1</v>
      </c>
      <c r="G205" s="2" t="inlineStr">
        <is>
          <t>乌鳞探路哨</t>
        </is>
      </c>
      <c r="H205" s="2" t="inlineStr">
        <is>
          <t>使用模板默认技能</t>
        </is>
      </c>
      <c r="I205" s="2" t="n">
        <v>7</v>
      </c>
      <c r="J205" s="2" t="n">
        <v>88</v>
      </c>
      <c r="K205" s="4" t="n">
        <v>0.36</v>
      </c>
      <c r="L205" s="2" t="inlineStr">
        <is>
          <t>data/guild_mission_templates.yaml:L9:enemy_guests</t>
        </is>
      </c>
      <c r="M205" s="2" t="inlineStr">
        <is>
          <t>{"template_key":"guild_wulinzhai_path_scout"}</t>
        </is>
      </c>
    </row>
    <row r="206">
      <c r="A206" s="2" t="inlineStr">
        <is>
          <t>guild_patrol_alpha</t>
        </is>
      </c>
      <c r="B206" s="2" t="inlineStr">
        <is>
          <t>夜袭乌鳞寨</t>
        </is>
      </c>
      <c r="C206" s="2" t="inlineStr">
        <is>
          <t>帮会任务</t>
        </is>
      </c>
      <c r="D206" s="2" t="inlineStr">
        <is>
          <t>门客</t>
        </is>
      </c>
      <c r="E206" s="2" t="inlineStr">
        <is>
          <t>guild_wulinzhai_minion</t>
        </is>
      </c>
      <c r="F206" s="2" t="n">
        <v>1</v>
      </c>
      <c r="G206" s="2" t="inlineStr">
        <is>
          <t>乌鳞寨喽啰</t>
        </is>
      </c>
      <c r="H206" s="2" t="inlineStr">
        <is>
          <t>使用模板默认技能</t>
        </is>
      </c>
      <c r="I206" s="2" t="n">
        <v>7</v>
      </c>
      <c r="J206" s="2" t="n">
        <v>88</v>
      </c>
      <c r="K206" s="4" t="n">
        <v>0.36</v>
      </c>
      <c r="L206" s="2" t="inlineStr">
        <is>
          <t>data/guild_mission_templates.yaml:L9:enemy_guests</t>
        </is>
      </c>
      <c r="M206" s="2" t="inlineStr">
        <is>
          <t>{"template_key":"guild_wulinzhai_minion"}</t>
        </is>
      </c>
    </row>
    <row r="207">
      <c r="A207" s="2" t="inlineStr">
        <is>
          <t>guild_patrol_alpha</t>
        </is>
      </c>
      <c r="B207" s="2" t="inlineStr">
        <is>
          <t>夜袭乌鳞寨</t>
        </is>
      </c>
      <c r="C207" s="2" t="inlineStr">
        <is>
          <t>帮会任务</t>
        </is>
      </c>
      <c r="D207" s="2" t="inlineStr">
        <is>
          <t>门客</t>
        </is>
      </c>
      <c r="E207" s="2" t="inlineStr">
        <is>
          <t>guild_wulinzhai_minion</t>
        </is>
      </c>
      <c r="F207" s="2" t="n">
        <v>1</v>
      </c>
      <c r="G207" s="2" t="inlineStr">
        <is>
          <t>乌鳞寨喽啰</t>
        </is>
      </c>
      <c r="H207" s="2" t="inlineStr">
        <is>
          <t>使用模板默认技能</t>
        </is>
      </c>
      <c r="I207" s="2" t="n">
        <v>7</v>
      </c>
      <c r="J207" s="2" t="n">
        <v>88</v>
      </c>
      <c r="K207" s="4" t="n">
        <v>0.36</v>
      </c>
      <c r="L207" s="2" t="inlineStr">
        <is>
          <t>data/guild_mission_templates.yaml:L9:enemy_guests</t>
        </is>
      </c>
      <c r="M207" s="2" t="inlineStr">
        <is>
          <t>{"template_key":"guild_wulinzhai_minion"}</t>
        </is>
      </c>
    </row>
    <row r="208">
      <c r="A208" s="2" t="inlineStr">
        <is>
          <t>guild_patrol_alpha</t>
        </is>
      </c>
      <c r="B208" s="2" t="inlineStr">
        <is>
          <t>夜袭乌鳞寨</t>
        </is>
      </c>
      <c r="C208" s="2" t="inlineStr">
        <is>
          <t>帮会任务</t>
        </is>
      </c>
      <c r="D208" s="2" t="inlineStr">
        <is>
          <t>护院</t>
        </is>
      </c>
      <c r="E208" s="2" t="inlineStr">
        <is>
          <t>qiang_hao</t>
        </is>
      </c>
      <c r="F208" s="2" t="n">
        <v>760</v>
      </c>
      <c r="G208" s="2" t="inlineStr">
        <is>
          <t>枪豪</t>
        </is>
      </c>
      <c r="H208" s="2" t="inlineStr"/>
      <c r="I208" s="2" t="n">
        <v>7</v>
      </c>
      <c r="J208" s="2" t="n"/>
      <c r="K208" s="4" t="n"/>
      <c r="L208" s="2" t="inlineStr">
        <is>
          <t>data/guild_mission_templates.yaml:L9:enemy_troops</t>
        </is>
      </c>
      <c r="M208" s="2" t="inlineStr">
        <is>
          <t>{"qiang_hao":760}</t>
        </is>
      </c>
    </row>
    <row r="209">
      <c r="A209" s="2" t="inlineStr">
        <is>
          <t>guild_patrol_alpha</t>
        </is>
      </c>
      <c r="B209" s="2" t="inlineStr">
        <is>
          <t>夜袭乌鳞寨</t>
        </is>
      </c>
      <c r="C209" s="2" t="inlineStr">
        <is>
          <t>帮会任务</t>
        </is>
      </c>
      <c r="D209" s="2" t="inlineStr">
        <is>
          <t>护院</t>
        </is>
      </c>
      <c r="E209" s="2" t="inlineStr">
        <is>
          <t>jian_hao</t>
        </is>
      </c>
      <c r="F209" s="2" t="n">
        <v>700</v>
      </c>
      <c r="G209" s="2" t="inlineStr">
        <is>
          <t>剑豪</t>
        </is>
      </c>
      <c r="H209" s="2" t="inlineStr"/>
      <c r="I209" s="2" t="n">
        <v>7</v>
      </c>
      <c r="J209" s="2" t="n"/>
      <c r="K209" s="4" t="n"/>
      <c r="L209" s="2" t="inlineStr">
        <is>
          <t>data/guild_mission_templates.yaml:L9:enemy_troops</t>
        </is>
      </c>
      <c r="M209" s="2" t="inlineStr">
        <is>
          <t>{"jian_hao":700}</t>
        </is>
      </c>
    </row>
    <row r="210">
      <c r="A210" s="2" t="inlineStr">
        <is>
          <t>guild_patrol_alpha</t>
        </is>
      </c>
      <c r="B210" s="2" t="inlineStr">
        <is>
          <t>夜袭乌鳞寨</t>
        </is>
      </c>
      <c r="C210" s="2" t="inlineStr">
        <is>
          <t>帮会任务</t>
        </is>
      </c>
      <c r="D210" s="2" t="inlineStr">
        <is>
          <t>护院</t>
        </is>
      </c>
      <c r="E210" s="2" t="inlineStr">
        <is>
          <t>fast_archer</t>
        </is>
      </c>
      <c r="F210" s="2" t="n">
        <v>650</v>
      </c>
      <c r="G210" s="2" t="inlineStr">
        <is>
          <t>快箭手</t>
        </is>
      </c>
      <c r="H210" s="2" t="inlineStr"/>
      <c r="I210" s="2" t="n">
        <v>7</v>
      </c>
      <c r="J210" s="2" t="n"/>
      <c r="K210" s="4" t="n"/>
      <c r="L210" s="2" t="inlineStr">
        <is>
          <t>data/guild_mission_templates.yaml:L9:enemy_troops</t>
        </is>
      </c>
      <c r="M210" s="2" t="inlineStr">
        <is>
          <t>{"fast_archer":650}</t>
        </is>
      </c>
    </row>
    <row r="211">
      <c r="A211" s="2" t="inlineStr">
        <is>
          <t>guild_patrol_alpha</t>
        </is>
      </c>
      <c r="B211" s="2" t="inlineStr">
        <is>
          <t>夜袭乌鳞寨</t>
        </is>
      </c>
      <c r="C211" s="2" t="inlineStr">
        <is>
          <t>帮会任务</t>
        </is>
      </c>
      <c r="D211" s="2" t="inlineStr">
        <is>
          <t>护院</t>
        </is>
      </c>
      <c r="E211" s="2" t="inlineStr">
        <is>
          <t>dao_jie</t>
        </is>
      </c>
      <c r="F211" s="2" t="n">
        <v>500</v>
      </c>
      <c r="G211" s="2" t="inlineStr">
        <is>
          <t>刀杰</t>
        </is>
      </c>
      <c r="H211" s="2" t="inlineStr"/>
      <c r="I211" s="2" t="n">
        <v>7</v>
      </c>
      <c r="J211" s="2" t="n"/>
      <c r="K211" s="4" t="n"/>
      <c r="L211" s="2" t="inlineStr">
        <is>
          <t>data/guild_mission_templates.yaml:L9:enemy_troops</t>
        </is>
      </c>
      <c r="M211" s="2" t="inlineStr">
        <is>
          <t>{"dao_jie":500}</t>
        </is>
      </c>
    </row>
    <row r="212">
      <c r="A212" s="2" t="inlineStr">
        <is>
          <t>guild_supply_escort</t>
        </is>
      </c>
      <c r="B212" s="2" t="inlineStr">
        <is>
          <t>血旗镖局风云</t>
        </is>
      </c>
      <c r="C212" s="2" t="inlineStr">
        <is>
          <t>帮会任务</t>
        </is>
      </c>
      <c r="D212" s="2" t="inlineStr">
        <is>
          <t>门客</t>
        </is>
      </c>
      <c r="E212" s="2" t="inlineStr">
        <is>
          <t>guild_bloodflag_head_escort</t>
        </is>
      </c>
      <c r="F212" s="2" t="n">
        <v>1</v>
      </c>
      <c r="G212" s="2" t="inlineStr">
        <is>
          <t>血旗总镖头</t>
        </is>
      </c>
      <c r="H212" s="2" t="inlineStr">
        <is>
          <t>使用模板默认技能</t>
        </is>
      </c>
      <c r="I212" s="2" t="n">
        <v>10</v>
      </c>
      <c r="J212" s="2" t="n">
        <v>102</v>
      </c>
      <c r="K212" s="4" t="n">
        <v>0.62</v>
      </c>
      <c r="L212" s="2" t="inlineStr">
        <is>
          <t>data/guild_mission_templates.yaml:L47:enemy_guests</t>
        </is>
      </c>
      <c r="M212" s="2" t="inlineStr">
        <is>
          <t>{"template_key":"guild_bloodflag_head_escort"}</t>
        </is>
      </c>
    </row>
    <row r="213">
      <c r="A213" s="2" t="inlineStr">
        <is>
          <t>guild_supply_escort</t>
        </is>
      </c>
      <c r="B213" s="2" t="inlineStr">
        <is>
          <t>血旗镖局风云</t>
        </is>
      </c>
      <c r="C213" s="2" t="inlineStr">
        <is>
          <t>帮会任务</t>
        </is>
      </c>
      <c r="D213" s="2" t="inlineStr">
        <is>
          <t>门客</t>
        </is>
      </c>
      <c r="E213" s="2" t="inlineStr">
        <is>
          <t>guild_bloodflag_deputy_escort</t>
        </is>
      </c>
      <c r="F213" s="2" t="n">
        <v>1</v>
      </c>
      <c r="G213" s="2" t="inlineStr">
        <is>
          <t>血旗副镖头</t>
        </is>
      </c>
      <c r="H213" s="2" t="inlineStr">
        <is>
          <t>使用模板默认技能</t>
        </is>
      </c>
      <c r="I213" s="2" t="n">
        <v>10</v>
      </c>
      <c r="J213" s="2" t="n">
        <v>102</v>
      </c>
      <c r="K213" s="4" t="n">
        <v>0.62</v>
      </c>
      <c r="L213" s="2" t="inlineStr">
        <is>
          <t>data/guild_mission_templates.yaml:L47:enemy_guests</t>
        </is>
      </c>
      <c r="M213" s="2" t="inlineStr">
        <is>
          <t>{"template_key":"guild_bloodflag_deputy_escort"}</t>
        </is>
      </c>
    </row>
    <row r="214">
      <c r="A214" s="2" t="inlineStr">
        <is>
          <t>guild_supply_escort</t>
        </is>
      </c>
      <c r="B214" s="2" t="inlineStr">
        <is>
          <t>血旗镖局风云</t>
        </is>
      </c>
      <c r="C214" s="2" t="inlineStr">
        <is>
          <t>帮会任务</t>
        </is>
      </c>
      <c r="D214" s="2" t="inlineStr">
        <is>
          <t>门客</t>
        </is>
      </c>
      <c r="E214" s="2" t="inlineStr">
        <is>
          <t>guild_bloodflag_rearguard_veteran</t>
        </is>
      </c>
      <c r="F214" s="2" t="n">
        <v>1</v>
      </c>
      <c r="G214" s="2" t="inlineStr">
        <is>
          <t>血旗断后老手</t>
        </is>
      </c>
      <c r="H214" s="2" t="inlineStr">
        <is>
          <t>使用模板默认技能</t>
        </is>
      </c>
      <c r="I214" s="2" t="n">
        <v>10</v>
      </c>
      <c r="J214" s="2" t="n">
        <v>102</v>
      </c>
      <c r="K214" s="4" t="n">
        <v>0.62</v>
      </c>
      <c r="L214" s="2" t="inlineStr">
        <is>
          <t>data/guild_mission_templates.yaml:L47:enemy_guests</t>
        </is>
      </c>
      <c r="M214" s="2" t="inlineStr">
        <is>
          <t>{"template_key":"guild_bloodflag_rearguard_veteran"}</t>
        </is>
      </c>
    </row>
    <row r="215">
      <c r="A215" s="2" t="inlineStr">
        <is>
          <t>guild_supply_escort</t>
        </is>
      </c>
      <c r="B215" s="2" t="inlineStr">
        <is>
          <t>血旗镖局风云</t>
        </is>
      </c>
      <c r="C215" s="2" t="inlineStr">
        <is>
          <t>帮会任务</t>
        </is>
      </c>
      <c r="D215" s="2" t="inlineStr">
        <is>
          <t>门客</t>
        </is>
      </c>
      <c r="E215" s="2" t="inlineStr">
        <is>
          <t>guild_bloodflag_blade_guard</t>
        </is>
      </c>
      <c r="F215" s="2" t="n">
        <v>1</v>
      </c>
      <c r="G215" s="2" t="inlineStr">
        <is>
          <t>血旗刀镖手</t>
        </is>
      </c>
      <c r="H215" s="2" t="inlineStr">
        <is>
          <t>使用模板默认技能</t>
        </is>
      </c>
      <c r="I215" s="2" t="n">
        <v>10</v>
      </c>
      <c r="J215" s="2" t="n">
        <v>102</v>
      </c>
      <c r="K215" s="4" t="n">
        <v>0.62</v>
      </c>
      <c r="L215" s="2" t="inlineStr">
        <is>
          <t>data/guild_mission_templates.yaml:L47:enemy_guests</t>
        </is>
      </c>
      <c r="M215" s="2" t="inlineStr">
        <is>
          <t>{"template_key":"guild_bloodflag_blade_guard"}</t>
        </is>
      </c>
    </row>
    <row r="216">
      <c r="A216" s="2" t="inlineStr">
        <is>
          <t>guild_supply_escort</t>
        </is>
      </c>
      <c r="B216" s="2" t="inlineStr">
        <is>
          <t>血旗镖局风云</t>
        </is>
      </c>
      <c r="C216" s="2" t="inlineStr">
        <is>
          <t>帮会任务</t>
        </is>
      </c>
      <c r="D216" s="2" t="inlineStr">
        <is>
          <t>门客</t>
        </is>
      </c>
      <c r="E216" s="2" t="inlineStr">
        <is>
          <t>guild_bloodflag_blade_guard</t>
        </is>
      </c>
      <c r="F216" s="2" t="n">
        <v>1</v>
      </c>
      <c r="G216" s="2" t="inlineStr">
        <is>
          <t>血旗刀镖手</t>
        </is>
      </c>
      <c r="H216" s="2" t="inlineStr">
        <is>
          <t>使用模板默认技能</t>
        </is>
      </c>
      <c r="I216" s="2" t="n">
        <v>10</v>
      </c>
      <c r="J216" s="2" t="n">
        <v>102</v>
      </c>
      <c r="K216" s="4" t="n">
        <v>0.62</v>
      </c>
      <c r="L216" s="2" t="inlineStr">
        <is>
          <t>data/guild_mission_templates.yaml:L47:enemy_guests</t>
        </is>
      </c>
      <c r="M216" s="2" t="inlineStr">
        <is>
          <t>{"template_key":"guild_bloodflag_blade_guard"}</t>
        </is>
      </c>
    </row>
    <row r="217">
      <c r="A217" s="2" t="inlineStr">
        <is>
          <t>guild_supply_escort</t>
        </is>
      </c>
      <c r="B217" s="2" t="inlineStr">
        <is>
          <t>血旗镖局风云</t>
        </is>
      </c>
      <c r="C217" s="2" t="inlineStr">
        <is>
          <t>帮会任务</t>
        </is>
      </c>
      <c r="D217" s="2" t="inlineStr">
        <is>
          <t>门客</t>
        </is>
      </c>
      <c r="E217" s="2" t="inlineStr">
        <is>
          <t>guild_bloodflag_blade_guard</t>
        </is>
      </c>
      <c r="F217" s="2" t="n">
        <v>1</v>
      </c>
      <c r="G217" s="2" t="inlineStr">
        <is>
          <t>血旗刀镖手</t>
        </is>
      </c>
      <c r="H217" s="2" t="inlineStr">
        <is>
          <t>使用模板默认技能</t>
        </is>
      </c>
      <c r="I217" s="2" t="n">
        <v>10</v>
      </c>
      <c r="J217" s="2" t="n">
        <v>102</v>
      </c>
      <c r="K217" s="4" t="n">
        <v>0.62</v>
      </c>
      <c r="L217" s="2" t="inlineStr">
        <is>
          <t>data/guild_mission_templates.yaml:L47:enemy_guests</t>
        </is>
      </c>
      <c r="M217" s="2" t="inlineStr">
        <is>
          <t>{"template_key":"guild_bloodflag_blade_guard"}</t>
        </is>
      </c>
    </row>
    <row r="218">
      <c r="A218" s="2" t="inlineStr">
        <is>
          <t>guild_supply_escort</t>
        </is>
      </c>
      <c r="B218" s="2" t="inlineStr">
        <is>
          <t>血旗镖局风云</t>
        </is>
      </c>
      <c r="C218" s="2" t="inlineStr">
        <is>
          <t>帮会任务</t>
        </is>
      </c>
      <c r="D218" s="2" t="inlineStr">
        <is>
          <t>门客</t>
        </is>
      </c>
      <c r="E218" s="2" t="inlineStr">
        <is>
          <t>guild_bloodflag_blade_guard</t>
        </is>
      </c>
      <c r="F218" s="2" t="n">
        <v>1</v>
      </c>
      <c r="G218" s="2" t="inlineStr">
        <is>
          <t>血旗刀镖手</t>
        </is>
      </c>
      <c r="H218" s="2" t="inlineStr">
        <is>
          <t>使用模板默认技能</t>
        </is>
      </c>
      <c r="I218" s="2" t="n">
        <v>10</v>
      </c>
      <c r="J218" s="2" t="n">
        <v>102</v>
      </c>
      <c r="K218" s="4" t="n">
        <v>0.62</v>
      </c>
      <c r="L218" s="2" t="inlineStr">
        <is>
          <t>data/guild_mission_templates.yaml:L47:enemy_guests</t>
        </is>
      </c>
      <c r="M218" s="2" t="inlineStr">
        <is>
          <t>{"template_key":"guild_bloodflag_blade_guard"}</t>
        </is>
      </c>
    </row>
    <row r="219">
      <c r="A219" s="2" t="inlineStr">
        <is>
          <t>guild_supply_escort</t>
        </is>
      </c>
      <c r="B219" s="2" t="inlineStr">
        <is>
          <t>血旗镖局风云</t>
        </is>
      </c>
      <c r="C219" s="2" t="inlineStr">
        <is>
          <t>帮会任务</t>
        </is>
      </c>
      <c r="D219" s="2" t="inlineStr">
        <is>
          <t>门客</t>
        </is>
      </c>
      <c r="E219" s="2" t="inlineStr">
        <is>
          <t>guild_bloodflag_bow_guard</t>
        </is>
      </c>
      <c r="F219" s="2" t="n">
        <v>1</v>
      </c>
      <c r="G219" s="2" t="inlineStr">
        <is>
          <t>血旗弓镖手</t>
        </is>
      </c>
      <c r="H219" s="2" t="inlineStr">
        <is>
          <t>使用模板默认技能</t>
        </is>
      </c>
      <c r="I219" s="2" t="n">
        <v>10</v>
      </c>
      <c r="J219" s="2" t="n">
        <v>102</v>
      </c>
      <c r="K219" s="4" t="n">
        <v>0.62</v>
      </c>
      <c r="L219" s="2" t="inlineStr">
        <is>
          <t>data/guild_mission_templates.yaml:L47:enemy_guests</t>
        </is>
      </c>
      <c r="M219" s="2" t="inlineStr">
        <is>
          <t>{"template_key":"guild_bloodflag_bow_guard"}</t>
        </is>
      </c>
    </row>
    <row r="220">
      <c r="A220" s="2" t="inlineStr">
        <is>
          <t>guild_supply_escort</t>
        </is>
      </c>
      <c r="B220" s="2" t="inlineStr">
        <is>
          <t>血旗镖局风云</t>
        </is>
      </c>
      <c r="C220" s="2" t="inlineStr">
        <is>
          <t>帮会任务</t>
        </is>
      </c>
      <c r="D220" s="2" t="inlineStr">
        <is>
          <t>门客</t>
        </is>
      </c>
      <c r="E220" s="2" t="inlineStr">
        <is>
          <t>guild_bloodflag_bow_guard</t>
        </is>
      </c>
      <c r="F220" s="2" t="n">
        <v>1</v>
      </c>
      <c r="G220" s="2" t="inlineStr">
        <is>
          <t>血旗弓镖手</t>
        </is>
      </c>
      <c r="H220" s="2" t="inlineStr">
        <is>
          <t>使用模板默认技能</t>
        </is>
      </c>
      <c r="I220" s="2" t="n">
        <v>10</v>
      </c>
      <c r="J220" s="2" t="n">
        <v>102</v>
      </c>
      <c r="K220" s="4" t="n">
        <v>0.62</v>
      </c>
      <c r="L220" s="2" t="inlineStr">
        <is>
          <t>data/guild_mission_templates.yaml:L47:enemy_guests</t>
        </is>
      </c>
      <c r="M220" s="2" t="inlineStr">
        <is>
          <t>{"template_key":"guild_bloodflag_bow_guard"}</t>
        </is>
      </c>
    </row>
    <row r="221">
      <c r="A221" s="2" t="inlineStr">
        <is>
          <t>guild_supply_escort</t>
        </is>
      </c>
      <c r="B221" s="2" t="inlineStr">
        <is>
          <t>血旗镖局风云</t>
        </is>
      </c>
      <c r="C221" s="2" t="inlineStr">
        <is>
          <t>帮会任务</t>
        </is>
      </c>
      <c r="D221" s="2" t="inlineStr">
        <is>
          <t>门客</t>
        </is>
      </c>
      <c r="E221" s="2" t="inlineStr">
        <is>
          <t>guild_bloodflag_bow_guard</t>
        </is>
      </c>
      <c r="F221" s="2" t="n">
        <v>1</v>
      </c>
      <c r="G221" s="2" t="inlineStr">
        <is>
          <t>血旗弓镖手</t>
        </is>
      </c>
      <c r="H221" s="2" t="inlineStr">
        <is>
          <t>使用模板默认技能</t>
        </is>
      </c>
      <c r="I221" s="2" t="n">
        <v>10</v>
      </c>
      <c r="J221" s="2" t="n">
        <v>102</v>
      </c>
      <c r="K221" s="4" t="n">
        <v>0.62</v>
      </c>
      <c r="L221" s="2" t="inlineStr">
        <is>
          <t>data/guild_mission_templates.yaml:L47:enemy_guests</t>
        </is>
      </c>
      <c r="M221" s="2" t="inlineStr">
        <is>
          <t>{"template_key":"guild_bloodflag_bow_guard"}</t>
        </is>
      </c>
    </row>
    <row r="222">
      <c r="A222" s="2" t="inlineStr">
        <is>
          <t>guild_supply_escort</t>
        </is>
      </c>
      <c r="B222" s="2" t="inlineStr">
        <is>
          <t>血旗镖局风云</t>
        </is>
      </c>
      <c r="C222" s="2" t="inlineStr">
        <is>
          <t>帮会任务</t>
        </is>
      </c>
      <c r="D222" s="2" t="inlineStr">
        <is>
          <t>门客</t>
        </is>
      </c>
      <c r="E222" s="2" t="inlineStr">
        <is>
          <t>guild_bloodflag_bow_guard</t>
        </is>
      </c>
      <c r="F222" s="2" t="n">
        <v>1</v>
      </c>
      <c r="G222" s="2" t="inlineStr">
        <is>
          <t>血旗弓镖手</t>
        </is>
      </c>
      <c r="H222" s="2" t="inlineStr">
        <is>
          <t>使用模板默认技能</t>
        </is>
      </c>
      <c r="I222" s="2" t="n">
        <v>10</v>
      </c>
      <c r="J222" s="2" t="n">
        <v>102</v>
      </c>
      <c r="K222" s="4" t="n">
        <v>0.62</v>
      </c>
      <c r="L222" s="2" t="inlineStr">
        <is>
          <t>data/guild_mission_templates.yaml:L47:enemy_guests</t>
        </is>
      </c>
      <c r="M222" s="2" t="inlineStr">
        <is>
          <t>{"template_key":"guild_bloodflag_bow_guard"}</t>
        </is>
      </c>
    </row>
    <row r="223">
      <c r="A223" s="2" t="inlineStr">
        <is>
          <t>guild_supply_escort</t>
        </is>
      </c>
      <c r="B223" s="2" t="inlineStr">
        <is>
          <t>血旗镖局风云</t>
        </is>
      </c>
      <c r="C223" s="2" t="inlineStr">
        <is>
          <t>帮会任务</t>
        </is>
      </c>
      <c r="D223" s="2" t="inlineStr">
        <is>
          <t>门客</t>
        </is>
      </c>
      <c r="E223" s="2" t="inlineStr">
        <is>
          <t>guild_bloodflag_pathfinder</t>
        </is>
      </c>
      <c r="F223" s="2" t="n">
        <v>1</v>
      </c>
      <c r="G223" s="2" t="inlineStr">
        <is>
          <t>血旗趟子手</t>
        </is>
      </c>
      <c r="H223" s="2" t="inlineStr">
        <is>
          <t>使用模板默认技能</t>
        </is>
      </c>
      <c r="I223" s="2" t="n">
        <v>10</v>
      </c>
      <c r="J223" s="2" t="n">
        <v>102</v>
      </c>
      <c r="K223" s="4" t="n">
        <v>0.62</v>
      </c>
      <c r="L223" s="2" t="inlineStr">
        <is>
          <t>data/guild_mission_templates.yaml:L47:enemy_guests</t>
        </is>
      </c>
      <c r="M223" s="2" t="inlineStr">
        <is>
          <t>{"template_key":"guild_bloodflag_pathfinder"}</t>
        </is>
      </c>
    </row>
    <row r="224">
      <c r="A224" s="2" t="inlineStr">
        <is>
          <t>guild_supply_escort</t>
        </is>
      </c>
      <c r="B224" s="2" t="inlineStr">
        <is>
          <t>血旗镖局风云</t>
        </is>
      </c>
      <c r="C224" s="2" t="inlineStr">
        <is>
          <t>帮会任务</t>
        </is>
      </c>
      <c r="D224" s="2" t="inlineStr">
        <is>
          <t>门客</t>
        </is>
      </c>
      <c r="E224" s="2" t="inlineStr">
        <is>
          <t>guild_bloodflag_pathfinder</t>
        </is>
      </c>
      <c r="F224" s="2" t="n">
        <v>1</v>
      </c>
      <c r="G224" s="2" t="inlineStr">
        <is>
          <t>血旗趟子手</t>
        </is>
      </c>
      <c r="H224" s="2" t="inlineStr">
        <is>
          <t>使用模板默认技能</t>
        </is>
      </c>
      <c r="I224" s="2" t="n">
        <v>10</v>
      </c>
      <c r="J224" s="2" t="n">
        <v>102</v>
      </c>
      <c r="K224" s="4" t="n">
        <v>0.62</v>
      </c>
      <c r="L224" s="2" t="inlineStr">
        <is>
          <t>data/guild_mission_templates.yaml:L47:enemy_guests</t>
        </is>
      </c>
      <c r="M224" s="2" t="inlineStr">
        <is>
          <t>{"template_key":"guild_bloodflag_pathfinder"}</t>
        </is>
      </c>
    </row>
    <row r="225">
      <c r="A225" s="2" t="inlineStr">
        <is>
          <t>guild_supply_escort</t>
        </is>
      </c>
      <c r="B225" s="2" t="inlineStr">
        <is>
          <t>血旗镖局风云</t>
        </is>
      </c>
      <c r="C225" s="2" t="inlineStr">
        <is>
          <t>帮会任务</t>
        </is>
      </c>
      <c r="D225" s="2" t="inlineStr">
        <is>
          <t>门客</t>
        </is>
      </c>
      <c r="E225" s="2" t="inlineStr">
        <is>
          <t>guild_bloodflag_escort_master</t>
        </is>
      </c>
      <c r="F225" s="2" t="n">
        <v>1</v>
      </c>
      <c r="G225" s="2" t="inlineStr">
        <is>
          <t>血旗押阵师</t>
        </is>
      </c>
      <c r="H225" s="2" t="inlineStr">
        <is>
          <t>使用模板默认技能</t>
        </is>
      </c>
      <c r="I225" s="2" t="n">
        <v>10</v>
      </c>
      <c r="J225" s="2" t="n">
        <v>102</v>
      </c>
      <c r="K225" s="4" t="n">
        <v>0.62</v>
      </c>
      <c r="L225" s="2" t="inlineStr">
        <is>
          <t>data/guild_mission_templates.yaml:L47:enemy_guests</t>
        </is>
      </c>
      <c r="M225" s="2" t="inlineStr">
        <is>
          <t>{"template_key":"guild_bloodflag_escort_master"}</t>
        </is>
      </c>
    </row>
    <row r="226">
      <c r="A226" s="2" t="inlineStr">
        <is>
          <t>guild_supply_escort</t>
        </is>
      </c>
      <c r="B226" s="2" t="inlineStr">
        <is>
          <t>血旗镖局风云</t>
        </is>
      </c>
      <c r="C226" s="2" t="inlineStr">
        <is>
          <t>帮会任务</t>
        </is>
      </c>
      <c r="D226" s="2" t="inlineStr">
        <is>
          <t>门客</t>
        </is>
      </c>
      <c r="E226" s="2" t="inlineStr">
        <is>
          <t>guild_bloodflag_escort_master</t>
        </is>
      </c>
      <c r="F226" s="2" t="n">
        <v>1</v>
      </c>
      <c r="G226" s="2" t="inlineStr">
        <is>
          <t>血旗押阵师</t>
        </is>
      </c>
      <c r="H226" s="2" t="inlineStr">
        <is>
          <t>使用模板默认技能</t>
        </is>
      </c>
      <c r="I226" s="2" t="n">
        <v>10</v>
      </c>
      <c r="J226" s="2" t="n">
        <v>102</v>
      </c>
      <c r="K226" s="4" t="n">
        <v>0.62</v>
      </c>
      <c r="L226" s="2" t="inlineStr">
        <is>
          <t>data/guild_mission_templates.yaml:L47:enemy_guests</t>
        </is>
      </c>
      <c r="M226" s="2" t="inlineStr">
        <is>
          <t>{"template_key":"guild_bloodflag_escort_master"}</t>
        </is>
      </c>
    </row>
    <row r="227">
      <c r="A227" s="2" t="inlineStr">
        <is>
          <t>guild_supply_escort</t>
        </is>
      </c>
      <c r="B227" s="2" t="inlineStr">
        <is>
          <t>血旗镖局风云</t>
        </is>
      </c>
      <c r="C227" s="2" t="inlineStr">
        <is>
          <t>帮会任务</t>
        </is>
      </c>
      <c r="D227" s="2" t="inlineStr">
        <is>
          <t>门客</t>
        </is>
      </c>
      <c r="E227" s="2" t="inlineStr">
        <is>
          <t>guild_bloodflag_escort_master</t>
        </is>
      </c>
      <c r="F227" s="2" t="n">
        <v>1</v>
      </c>
      <c r="G227" s="2" t="inlineStr">
        <is>
          <t>血旗押阵师</t>
        </is>
      </c>
      <c r="H227" s="2" t="inlineStr">
        <is>
          <t>使用模板默认技能</t>
        </is>
      </c>
      <c r="I227" s="2" t="n">
        <v>10</v>
      </c>
      <c r="J227" s="2" t="n">
        <v>102</v>
      </c>
      <c r="K227" s="4" t="n">
        <v>0.62</v>
      </c>
      <c r="L227" s="2" t="inlineStr">
        <is>
          <t>data/guild_mission_templates.yaml:L47:enemy_guests</t>
        </is>
      </c>
      <c r="M227" s="2" t="inlineStr">
        <is>
          <t>{"template_key":"guild_bloodflag_escort_master"}</t>
        </is>
      </c>
    </row>
    <row r="228">
      <c r="A228" s="2" t="inlineStr">
        <is>
          <t>guild_supply_escort</t>
        </is>
      </c>
      <c r="B228" s="2" t="inlineStr">
        <is>
          <t>血旗镖局风云</t>
        </is>
      </c>
      <c r="C228" s="2" t="inlineStr">
        <is>
          <t>帮会任务</t>
        </is>
      </c>
      <c r="D228" s="2" t="inlineStr">
        <is>
          <t>护院</t>
        </is>
      </c>
      <c r="E228" s="2" t="inlineStr">
        <is>
          <t>qiang_ba</t>
        </is>
      </c>
      <c r="F228" s="2" t="n">
        <v>1180</v>
      </c>
      <c r="G228" s="2" t="inlineStr">
        <is>
          <t>枪霸</t>
        </is>
      </c>
      <c r="H228" s="2" t="inlineStr"/>
      <c r="I228" s="2" t="n">
        <v>10</v>
      </c>
      <c r="J228" s="2" t="n"/>
      <c r="K228" s="4" t="n"/>
      <c r="L228" s="2" t="inlineStr">
        <is>
          <t>data/guild_mission_templates.yaml:L47:enemy_troops</t>
        </is>
      </c>
      <c r="M228" s="2" t="inlineStr">
        <is>
          <t>{"qiang_ba":1180}</t>
        </is>
      </c>
    </row>
    <row r="229">
      <c r="A229" s="2" t="inlineStr">
        <is>
          <t>guild_supply_escort</t>
        </is>
      </c>
      <c r="B229" s="2" t="inlineStr">
        <is>
          <t>血旗镖局风云</t>
        </is>
      </c>
      <c r="C229" s="2" t="inlineStr">
        <is>
          <t>帮会任务</t>
        </is>
      </c>
      <c r="D229" s="2" t="inlineStr">
        <is>
          <t>护院</t>
        </is>
      </c>
      <c r="E229" s="2" t="inlineStr">
        <is>
          <t>jian_hao</t>
        </is>
      </c>
      <c r="F229" s="2" t="n">
        <v>980</v>
      </c>
      <c r="G229" s="2" t="inlineStr">
        <is>
          <t>剑豪</t>
        </is>
      </c>
      <c r="H229" s="2" t="inlineStr"/>
      <c r="I229" s="2" t="n">
        <v>10</v>
      </c>
      <c r="J229" s="2" t="n"/>
      <c r="K229" s="4" t="n"/>
      <c r="L229" s="2" t="inlineStr">
        <is>
          <t>data/guild_mission_templates.yaml:L47:enemy_troops</t>
        </is>
      </c>
      <c r="M229" s="2" t="inlineStr">
        <is>
          <t>{"jian_hao":980}</t>
        </is>
      </c>
    </row>
    <row r="230">
      <c r="A230" s="2" t="inlineStr">
        <is>
          <t>guild_supply_escort</t>
        </is>
      </c>
      <c r="B230" s="2" t="inlineStr">
        <is>
          <t>血旗镖局风云</t>
        </is>
      </c>
      <c r="C230" s="2" t="inlineStr">
        <is>
          <t>帮会任务</t>
        </is>
      </c>
      <c r="D230" s="2" t="inlineStr">
        <is>
          <t>护院</t>
        </is>
      </c>
      <c r="E230" s="2" t="inlineStr">
        <is>
          <t>divine_archer</t>
        </is>
      </c>
      <c r="F230" s="2" t="n">
        <v>1080</v>
      </c>
      <c r="G230" s="2" t="inlineStr">
        <is>
          <t>神箭手</t>
        </is>
      </c>
      <c r="H230" s="2" t="inlineStr"/>
      <c r="I230" s="2" t="n">
        <v>10</v>
      </c>
      <c r="J230" s="2" t="n"/>
      <c r="K230" s="4" t="n"/>
      <c r="L230" s="2" t="inlineStr">
        <is>
          <t>data/guild_mission_templates.yaml:L47:enemy_troops</t>
        </is>
      </c>
      <c r="M230" s="2" t="inlineStr">
        <is>
          <t>{"divine_archer":1080}</t>
        </is>
      </c>
    </row>
    <row r="231">
      <c r="A231" s="2" t="inlineStr">
        <is>
          <t>guild_supply_escort</t>
        </is>
      </c>
      <c r="B231" s="2" t="inlineStr">
        <is>
          <t>血旗镖局风云</t>
        </is>
      </c>
      <c r="C231" s="2" t="inlineStr">
        <is>
          <t>帮会任务</t>
        </is>
      </c>
      <c r="D231" s="2" t="inlineStr">
        <is>
          <t>护院</t>
        </is>
      </c>
      <c r="E231" s="2" t="inlineStr">
        <is>
          <t>quan_wang</t>
        </is>
      </c>
      <c r="F231" s="2" t="n">
        <v>860</v>
      </c>
      <c r="G231" s="2" t="inlineStr">
        <is>
          <t>拳王</t>
        </is>
      </c>
      <c r="H231" s="2" t="inlineStr"/>
      <c r="I231" s="2" t="n">
        <v>10</v>
      </c>
      <c r="J231" s="2" t="n"/>
      <c r="K231" s="4" t="n"/>
      <c r="L231" s="2" t="inlineStr">
        <is>
          <t>data/guild_mission_templates.yaml:L47:enemy_troops</t>
        </is>
      </c>
      <c r="M231" s="2" t="inlineStr">
        <is>
          <t>{"quan_wang":860}</t>
        </is>
      </c>
    </row>
    <row r="232">
      <c r="A232" s="2" t="inlineStr">
        <is>
          <t>guild_blackwind_assault</t>
        </is>
      </c>
      <c r="B232" s="2" t="inlineStr">
        <is>
          <t>黑风关总攻</t>
        </is>
      </c>
      <c r="C232" s="2" t="inlineStr">
        <is>
          <t>帮会任务</t>
        </is>
      </c>
      <c r="D232" s="2" t="inlineStr">
        <is>
          <t>门客</t>
        </is>
      </c>
      <c r="E232" s="2" t="inlineStr">
        <is>
          <t>guild_blackwind_gate_general</t>
        </is>
      </c>
      <c r="F232" s="2" t="n">
        <v>1</v>
      </c>
      <c r="G232" s="2" t="inlineStr">
        <is>
          <t>黑风关守将</t>
        </is>
      </c>
      <c r="H232" s="2" t="inlineStr">
        <is>
          <t>使用模板默认技能</t>
        </is>
      </c>
      <c r="I232" s="2" t="n">
        <v>12</v>
      </c>
      <c r="J232" s="2" t="n">
        <v>108</v>
      </c>
      <c r="K232" s="4" t="n">
        <v>0.96</v>
      </c>
      <c r="L232" s="2" t="inlineStr">
        <is>
          <t>data/guild_mission_templates.yaml:L89:enemy_guests</t>
        </is>
      </c>
      <c r="M232" s="2" t="inlineStr">
        <is>
          <t>{"template_key":"guild_blackwind_gate_general"}</t>
        </is>
      </c>
    </row>
    <row r="233">
      <c r="A233" s="2" t="inlineStr">
        <is>
          <t>guild_blackwind_assault</t>
        </is>
      </c>
      <c r="B233" s="2" t="inlineStr">
        <is>
          <t>黑风关总攻</t>
        </is>
      </c>
      <c r="C233" s="2" t="inlineStr">
        <is>
          <t>帮会任务</t>
        </is>
      </c>
      <c r="D233" s="2" t="inlineStr">
        <is>
          <t>门客</t>
        </is>
      </c>
      <c r="E233" s="2" t="inlineStr">
        <is>
          <t>guild_blackwind_gate_overseer</t>
        </is>
      </c>
      <c r="F233" s="2" t="n">
        <v>1</v>
      </c>
      <c r="G233" s="2" t="inlineStr">
        <is>
          <t>黑风关监军</t>
        </is>
      </c>
      <c r="H233" s="2" t="inlineStr">
        <is>
          <t>使用模板默认技能</t>
        </is>
      </c>
      <c r="I233" s="2" t="n">
        <v>12</v>
      </c>
      <c r="J233" s="2" t="n">
        <v>108</v>
      </c>
      <c r="K233" s="4" t="n">
        <v>0.96</v>
      </c>
      <c r="L233" s="2" t="inlineStr">
        <is>
          <t>data/guild_mission_templates.yaml:L89:enemy_guests</t>
        </is>
      </c>
      <c r="M233" s="2" t="inlineStr">
        <is>
          <t>{"template_key":"guild_blackwind_gate_overseer"}</t>
        </is>
      </c>
    </row>
    <row r="234">
      <c r="A234" s="2" t="inlineStr">
        <is>
          <t>guild_blackwind_assault</t>
        </is>
      </c>
      <c r="B234" s="2" t="inlineStr">
        <is>
          <t>黑风关总攻</t>
        </is>
      </c>
      <c r="C234" s="2" t="inlineStr">
        <is>
          <t>帮会任务</t>
        </is>
      </c>
      <c r="D234" s="2" t="inlineStr">
        <is>
          <t>门客</t>
        </is>
      </c>
      <c r="E234" s="2" t="inlineStr">
        <is>
          <t>guild_blackwind_iron_guard</t>
        </is>
      </c>
      <c r="F234" s="2" t="n">
        <v>1</v>
      </c>
      <c r="G234" s="2" t="inlineStr">
        <is>
          <t>黑风铁卫</t>
        </is>
      </c>
      <c r="H234" s="2" t="inlineStr">
        <is>
          <t>使用模板默认技能</t>
        </is>
      </c>
      <c r="I234" s="2" t="n">
        <v>12</v>
      </c>
      <c r="J234" s="2" t="n">
        <v>108</v>
      </c>
      <c r="K234" s="4" t="n">
        <v>0.96</v>
      </c>
      <c r="L234" s="2" t="inlineStr">
        <is>
          <t>data/guild_mission_templates.yaml:L89:enemy_guests</t>
        </is>
      </c>
      <c r="M234" s="2" t="inlineStr">
        <is>
          <t>{"template_key":"guild_blackwind_iron_guard"}</t>
        </is>
      </c>
    </row>
    <row r="235">
      <c r="A235" s="2" t="inlineStr">
        <is>
          <t>guild_blackwind_assault</t>
        </is>
      </c>
      <c r="B235" s="2" t="inlineStr">
        <is>
          <t>黑风关总攻</t>
        </is>
      </c>
      <c r="C235" s="2" t="inlineStr">
        <is>
          <t>帮会任务</t>
        </is>
      </c>
      <c r="D235" s="2" t="inlineStr">
        <is>
          <t>门客</t>
        </is>
      </c>
      <c r="E235" s="2" t="inlineStr">
        <is>
          <t>guild_blackwind_iron_guard</t>
        </is>
      </c>
      <c r="F235" s="2" t="n">
        <v>1</v>
      </c>
      <c r="G235" s="2" t="inlineStr">
        <is>
          <t>黑风铁卫</t>
        </is>
      </c>
      <c r="H235" s="2" t="inlineStr">
        <is>
          <t>使用模板默认技能</t>
        </is>
      </c>
      <c r="I235" s="2" t="n">
        <v>12</v>
      </c>
      <c r="J235" s="2" t="n">
        <v>108</v>
      </c>
      <c r="K235" s="4" t="n">
        <v>0.96</v>
      </c>
      <c r="L235" s="2" t="inlineStr">
        <is>
          <t>data/guild_mission_templates.yaml:L89:enemy_guests</t>
        </is>
      </c>
      <c r="M235" s="2" t="inlineStr">
        <is>
          <t>{"template_key":"guild_blackwind_iron_guard"}</t>
        </is>
      </c>
    </row>
    <row r="236">
      <c r="A236" s="2" t="inlineStr">
        <is>
          <t>guild_blackwind_assault</t>
        </is>
      </c>
      <c r="B236" s="2" t="inlineStr">
        <is>
          <t>黑风关总攻</t>
        </is>
      </c>
      <c r="C236" s="2" t="inlineStr">
        <is>
          <t>帮会任务</t>
        </is>
      </c>
      <c r="D236" s="2" t="inlineStr">
        <is>
          <t>门客</t>
        </is>
      </c>
      <c r="E236" s="2" t="inlineStr">
        <is>
          <t>guild_blackwind_iron_guard</t>
        </is>
      </c>
      <c r="F236" s="2" t="n">
        <v>1</v>
      </c>
      <c r="G236" s="2" t="inlineStr">
        <is>
          <t>黑风铁卫</t>
        </is>
      </c>
      <c r="H236" s="2" t="inlineStr">
        <is>
          <t>使用模板默认技能</t>
        </is>
      </c>
      <c r="I236" s="2" t="n">
        <v>12</v>
      </c>
      <c r="J236" s="2" t="n">
        <v>108</v>
      </c>
      <c r="K236" s="4" t="n">
        <v>0.96</v>
      </c>
      <c r="L236" s="2" t="inlineStr">
        <is>
          <t>data/guild_mission_templates.yaml:L89:enemy_guests</t>
        </is>
      </c>
      <c r="M236" s="2" t="inlineStr">
        <is>
          <t>{"template_key":"guild_blackwind_iron_guard"}</t>
        </is>
      </c>
    </row>
    <row r="237">
      <c r="A237" s="2" t="inlineStr">
        <is>
          <t>guild_blackwind_assault</t>
        </is>
      </c>
      <c r="B237" s="2" t="inlineStr">
        <is>
          <t>黑风关总攻</t>
        </is>
      </c>
      <c r="C237" s="2" t="inlineStr">
        <is>
          <t>帮会任务</t>
        </is>
      </c>
      <c r="D237" s="2" t="inlineStr">
        <is>
          <t>门客</t>
        </is>
      </c>
      <c r="E237" s="2" t="inlineStr">
        <is>
          <t>guild_blackwind_bow_captain</t>
        </is>
      </c>
      <c r="F237" s="2" t="n">
        <v>1</v>
      </c>
      <c r="G237" s="2" t="inlineStr">
        <is>
          <t>黑风关弓队都头</t>
        </is>
      </c>
      <c r="H237" s="2" t="inlineStr">
        <is>
          <t>使用模板默认技能</t>
        </is>
      </c>
      <c r="I237" s="2" t="n">
        <v>12</v>
      </c>
      <c r="J237" s="2" t="n">
        <v>108</v>
      </c>
      <c r="K237" s="4" t="n">
        <v>0.96</v>
      </c>
      <c r="L237" s="2" t="inlineStr">
        <is>
          <t>data/guild_mission_templates.yaml:L89:enemy_guests</t>
        </is>
      </c>
      <c r="M237" s="2" t="inlineStr">
        <is>
          <t>{"template_key":"guild_blackwind_bow_captain"}</t>
        </is>
      </c>
    </row>
    <row r="238">
      <c r="A238" s="2" t="inlineStr">
        <is>
          <t>guild_blackwind_assault</t>
        </is>
      </c>
      <c r="B238" s="2" t="inlineStr">
        <is>
          <t>黑风关总攻</t>
        </is>
      </c>
      <c r="C238" s="2" t="inlineStr">
        <is>
          <t>帮会任务</t>
        </is>
      </c>
      <c r="D238" s="2" t="inlineStr">
        <is>
          <t>门客</t>
        </is>
      </c>
      <c r="E238" s="2" t="inlineStr">
        <is>
          <t>guild_blackwind_bow_captain</t>
        </is>
      </c>
      <c r="F238" s="2" t="n">
        <v>1</v>
      </c>
      <c r="G238" s="2" t="inlineStr">
        <is>
          <t>黑风关弓队都头</t>
        </is>
      </c>
      <c r="H238" s="2" t="inlineStr">
        <is>
          <t>使用模板默认技能</t>
        </is>
      </c>
      <c r="I238" s="2" t="n">
        <v>12</v>
      </c>
      <c r="J238" s="2" t="n">
        <v>108</v>
      </c>
      <c r="K238" s="4" t="n">
        <v>0.96</v>
      </c>
      <c r="L238" s="2" t="inlineStr">
        <is>
          <t>data/guild_mission_templates.yaml:L89:enemy_guests</t>
        </is>
      </c>
      <c r="M238" s="2" t="inlineStr">
        <is>
          <t>{"template_key":"guild_blackwind_bow_captain"}</t>
        </is>
      </c>
    </row>
    <row r="239">
      <c r="A239" s="2" t="inlineStr">
        <is>
          <t>guild_blackwind_assault</t>
        </is>
      </c>
      <c r="B239" s="2" t="inlineStr">
        <is>
          <t>黑风关总攻</t>
        </is>
      </c>
      <c r="C239" s="2" t="inlineStr">
        <is>
          <t>帮会任务</t>
        </is>
      </c>
      <c r="D239" s="2" t="inlineStr">
        <is>
          <t>门客</t>
        </is>
      </c>
      <c r="E239" s="2" t="inlineStr">
        <is>
          <t>guild_blackwind_bow_captain</t>
        </is>
      </c>
      <c r="F239" s="2" t="n">
        <v>1</v>
      </c>
      <c r="G239" s="2" t="inlineStr">
        <is>
          <t>黑风关弓队都头</t>
        </is>
      </c>
      <c r="H239" s="2" t="inlineStr">
        <is>
          <t>使用模板默认技能</t>
        </is>
      </c>
      <c r="I239" s="2" t="n">
        <v>12</v>
      </c>
      <c r="J239" s="2" t="n">
        <v>108</v>
      </c>
      <c r="K239" s="4" t="n">
        <v>0.96</v>
      </c>
      <c r="L239" s="2" t="inlineStr">
        <is>
          <t>data/guild_mission_templates.yaml:L89:enemy_guests</t>
        </is>
      </c>
      <c r="M239" s="2" t="inlineStr">
        <is>
          <t>{"template_key":"guild_blackwind_bow_captain"}</t>
        </is>
      </c>
    </row>
    <row r="240">
      <c r="A240" s="2" t="inlineStr">
        <is>
          <t>guild_blackwind_assault</t>
        </is>
      </c>
      <c r="B240" s="2" t="inlineStr">
        <is>
          <t>黑风关总攻</t>
        </is>
      </c>
      <c r="C240" s="2" t="inlineStr">
        <is>
          <t>帮会任务</t>
        </is>
      </c>
      <c r="D240" s="2" t="inlineStr">
        <is>
          <t>门客</t>
        </is>
      </c>
      <c r="E240" s="2" t="inlineStr">
        <is>
          <t>guild_blackwind_assault_blade</t>
        </is>
      </c>
      <c r="F240" s="2" t="n">
        <v>1</v>
      </c>
      <c r="G240" s="2" t="inlineStr">
        <is>
          <t>黑风破阵刀手</t>
        </is>
      </c>
      <c r="H240" s="2" t="inlineStr">
        <is>
          <t>使用模板默认技能</t>
        </is>
      </c>
      <c r="I240" s="2" t="n">
        <v>12</v>
      </c>
      <c r="J240" s="2" t="n">
        <v>108</v>
      </c>
      <c r="K240" s="4" t="n">
        <v>0.96</v>
      </c>
      <c r="L240" s="2" t="inlineStr">
        <is>
          <t>data/guild_mission_templates.yaml:L89:enemy_guests</t>
        </is>
      </c>
      <c r="M240" s="2" t="inlineStr">
        <is>
          <t>{"template_key":"guild_blackwind_assault_blade"}</t>
        </is>
      </c>
    </row>
    <row r="241">
      <c r="A241" s="2" t="inlineStr">
        <is>
          <t>guild_blackwind_assault</t>
        </is>
      </c>
      <c r="B241" s="2" t="inlineStr">
        <is>
          <t>黑风关总攻</t>
        </is>
      </c>
      <c r="C241" s="2" t="inlineStr">
        <is>
          <t>帮会任务</t>
        </is>
      </c>
      <c r="D241" s="2" t="inlineStr">
        <is>
          <t>门客</t>
        </is>
      </c>
      <c r="E241" s="2" t="inlineStr">
        <is>
          <t>guild_blackwind_assault_blade</t>
        </is>
      </c>
      <c r="F241" s="2" t="n">
        <v>1</v>
      </c>
      <c r="G241" s="2" t="inlineStr">
        <is>
          <t>黑风破阵刀手</t>
        </is>
      </c>
      <c r="H241" s="2" t="inlineStr">
        <is>
          <t>使用模板默认技能</t>
        </is>
      </c>
      <c r="I241" s="2" t="n">
        <v>12</v>
      </c>
      <c r="J241" s="2" t="n">
        <v>108</v>
      </c>
      <c r="K241" s="4" t="n">
        <v>0.96</v>
      </c>
      <c r="L241" s="2" t="inlineStr">
        <is>
          <t>data/guild_mission_templates.yaml:L89:enemy_guests</t>
        </is>
      </c>
      <c r="M241" s="2" t="inlineStr">
        <is>
          <t>{"template_key":"guild_blackwind_assault_blade"}</t>
        </is>
      </c>
    </row>
    <row r="242">
      <c r="A242" s="2" t="inlineStr">
        <is>
          <t>guild_blackwind_assault</t>
        </is>
      </c>
      <c r="B242" s="2" t="inlineStr">
        <is>
          <t>黑风关总攻</t>
        </is>
      </c>
      <c r="C242" s="2" t="inlineStr">
        <is>
          <t>帮会任务</t>
        </is>
      </c>
      <c r="D242" s="2" t="inlineStr">
        <is>
          <t>门客</t>
        </is>
      </c>
      <c r="E242" s="2" t="inlineStr">
        <is>
          <t>guild_blackwind_assault_blade</t>
        </is>
      </c>
      <c r="F242" s="2" t="n">
        <v>1</v>
      </c>
      <c r="G242" s="2" t="inlineStr">
        <is>
          <t>黑风破阵刀手</t>
        </is>
      </c>
      <c r="H242" s="2" t="inlineStr">
        <is>
          <t>使用模板默认技能</t>
        </is>
      </c>
      <c r="I242" s="2" t="n">
        <v>12</v>
      </c>
      <c r="J242" s="2" t="n">
        <v>108</v>
      </c>
      <c r="K242" s="4" t="n">
        <v>0.96</v>
      </c>
      <c r="L242" s="2" t="inlineStr">
        <is>
          <t>data/guild_mission_templates.yaml:L89:enemy_guests</t>
        </is>
      </c>
      <c r="M242" s="2" t="inlineStr">
        <is>
          <t>{"template_key":"guild_blackwind_assault_blade"}</t>
        </is>
      </c>
    </row>
    <row r="243">
      <c r="A243" s="2" t="inlineStr">
        <is>
          <t>guild_blackwind_assault</t>
        </is>
      </c>
      <c r="B243" s="2" t="inlineStr">
        <is>
          <t>黑风关总攻</t>
        </is>
      </c>
      <c r="C243" s="2" t="inlineStr">
        <is>
          <t>帮会任务</t>
        </is>
      </c>
      <c r="D243" s="2" t="inlineStr">
        <is>
          <t>门客</t>
        </is>
      </c>
      <c r="E243" s="2" t="inlineStr">
        <is>
          <t>guild_blackwind_assault_blade</t>
        </is>
      </c>
      <c r="F243" s="2" t="n">
        <v>1</v>
      </c>
      <c r="G243" s="2" t="inlineStr">
        <is>
          <t>黑风破阵刀手</t>
        </is>
      </c>
      <c r="H243" s="2" t="inlineStr">
        <is>
          <t>使用模板默认技能</t>
        </is>
      </c>
      <c r="I243" s="2" t="n">
        <v>12</v>
      </c>
      <c r="J243" s="2" t="n">
        <v>108</v>
      </c>
      <c r="K243" s="4" t="n">
        <v>0.96</v>
      </c>
      <c r="L243" s="2" t="inlineStr">
        <is>
          <t>data/guild_mission_templates.yaml:L89:enemy_guests</t>
        </is>
      </c>
      <c r="M243" s="2" t="inlineStr">
        <is>
          <t>{"template_key":"guild_blackwind_assault_blade"}</t>
        </is>
      </c>
    </row>
    <row r="244">
      <c r="A244" s="2" t="inlineStr">
        <is>
          <t>guild_blackwind_assault</t>
        </is>
      </c>
      <c r="B244" s="2" t="inlineStr">
        <is>
          <t>黑风关总攻</t>
        </is>
      </c>
      <c r="C244" s="2" t="inlineStr">
        <is>
          <t>帮会任务</t>
        </is>
      </c>
      <c r="D244" s="2" t="inlineStr">
        <is>
          <t>门客</t>
        </is>
      </c>
      <c r="E244" s="2" t="inlineStr">
        <is>
          <t>guild_blackwind_assault_blade</t>
        </is>
      </c>
      <c r="F244" s="2" t="n">
        <v>1</v>
      </c>
      <c r="G244" s="2" t="inlineStr">
        <is>
          <t>黑风破阵刀手</t>
        </is>
      </c>
      <c r="H244" s="2" t="inlineStr">
        <is>
          <t>使用模板默认技能</t>
        </is>
      </c>
      <c r="I244" s="2" t="n">
        <v>12</v>
      </c>
      <c r="J244" s="2" t="n">
        <v>108</v>
      </c>
      <c r="K244" s="4" t="n">
        <v>0.96</v>
      </c>
      <c r="L244" s="2" t="inlineStr">
        <is>
          <t>data/guild_mission_templates.yaml:L89:enemy_guests</t>
        </is>
      </c>
      <c r="M244" s="2" t="inlineStr">
        <is>
          <t>{"template_key":"guild_blackwind_assault_blade"}</t>
        </is>
      </c>
    </row>
    <row r="245">
      <c r="A245" s="2" t="inlineStr">
        <is>
          <t>guild_blackwind_assault</t>
        </is>
      </c>
      <c r="B245" s="2" t="inlineStr">
        <is>
          <t>黑风关总攻</t>
        </is>
      </c>
      <c r="C245" s="2" t="inlineStr">
        <is>
          <t>帮会任务</t>
        </is>
      </c>
      <c r="D245" s="2" t="inlineStr">
        <is>
          <t>门客</t>
        </is>
      </c>
      <c r="E245" s="2" t="inlineStr">
        <is>
          <t>guild_blackwind_patrol_captain</t>
        </is>
      </c>
      <c r="F245" s="2" t="n">
        <v>1</v>
      </c>
      <c r="G245" s="2" t="inlineStr">
        <is>
          <t>黑风巡关校尉</t>
        </is>
      </c>
      <c r="H245" s="2" t="inlineStr">
        <is>
          <t>使用模板默认技能</t>
        </is>
      </c>
      <c r="I245" s="2" t="n">
        <v>12</v>
      </c>
      <c r="J245" s="2" t="n">
        <v>108</v>
      </c>
      <c r="K245" s="4" t="n">
        <v>0.96</v>
      </c>
      <c r="L245" s="2" t="inlineStr">
        <is>
          <t>data/guild_mission_templates.yaml:L89:enemy_guests</t>
        </is>
      </c>
      <c r="M245" s="2" t="inlineStr">
        <is>
          <t>{"template_key":"guild_blackwind_patrol_captain"}</t>
        </is>
      </c>
    </row>
    <row r="246">
      <c r="A246" s="2" t="inlineStr">
        <is>
          <t>guild_blackwind_assault</t>
        </is>
      </c>
      <c r="B246" s="2" t="inlineStr">
        <is>
          <t>黑风关总攻</t>
        </is>
      </c>
      <c r="C246" s="2" t="inlineStr">
        <is>
          <t>帮会任务</t>
        </is>
      </c>
      <c r="D246" s="2" t="inlineStr">
        <is>
          <t>门客</t>
        </is>
      </c>
      <c r="E246" s="2" t="inlineStr">
        <is>
          <t>guild_blackwind_patrol_captain</t>
        </is>
      </c>
      <c r="F246" s="2" t="n">
        <v>1</v>
      </c>
      <c r="G246" s="2" t="inlineStr">
        <is>
          <t>黑风巡关校尉</t>
        </is>
      </c>
      <c r="H246" s="2" t="inlineStr">
        <is>
          <t>使用模板默认技能</t>
        </is>
      </c>
      <c r="I246" s="2" t="n">
        <v>12</v>
      </c>
      <c r="J246" s="2" t="n">
        <v>108</v>
      </c>
      <c r="K246" s="4" t="n">
        <v>0.96</v>
      </c>
      <c r="L246" s="2" t="inlineStr">
        <is>
          <t>data/guild_mission_templates.yaml:L89:enemy_guests</t>
        </is>
      </c>
      <c r="M246" s="2" t="inlineStr">
        <is>
          <t>{"template_key":"guild_blackwind_patrol_captain"}</t>
        </is>
      </c>
    </row>
    <row r="247">
      <c r="A247" s="2" t="inlineStr">
        <is>
          <t>guild_blackwind_assault</t>
        </is>
      </c>
      <c r="B247" s="2" t="inlineStr">
        <is>
          <t>黑风关总攻</t>
        </is>
      </c>
      <c r="C247" s="2" t="inlineStr">
        <is>
          <t>帮会任务</t>
        </is>
      </c>
      <c r="D247" s="2" t="inlineStr">
        <is>
          <t>门客</t>
        </is>
      </c>
      <c r="E247" s="2" t="inlineStr">
        <is>
          <t>guild_blackwind_guard_soldier</t>
        </is>
      </c>
      <c r="F247" s="2" t="n">
        <v>1</v>
      </c>
      <c r="G247" s="2" t="inlineStr">
        <is>
          <t>黑风关守卒</t>
        </is>
      </c>
      <c r="H247" s="2" t="inlineStr">
        <is>
          <t>使用模板默认技能</t>
        </is>
      </c>
      <c r="I247" s="2" t="n">
        <v>12</v>
      </c>
      <c r="J247" s="2" t="n">
        <v>108</v>
      </c>
      <c r="K247" s="4" t="n">
        <v>0.96</v>
      </c>
      <c r="L247" s="2" t="inlineStr">
        <is>
          <t>data/guild_mission_templates.yaml:L89:enemy_guests</t>
        </is>
      </c>
      <c r="M247" s="2" t="inlineStr">
        <is>
          <t>{"template_key":"guild_blackwind_guard_soldier"}</t>
        </is>
      </c>
    </row>
    <row r="248">
      <c r="A248" s="2" t="inlineStr">
        <is>
          <t>guild_blackwind_assault</t>
        </is>
      </c>
      <c r="B248" s="2" t="inlineStr">
        <is>
          <t>黑风关总攻</t>
        </is>
      </c>
      <c r="C248" s="2" t="inlineStr">
        <is>
          <t>帮会任务</t>
        </is>
      </c>
      <c r="D248" s="2" t="inlineStr">
        <is>
          <t>门客</t>
        </is>
      </c>
      <c r="E248" s="2" t="inlineStr">
        <is>
          <t>guild_blackwind_guard_soldier</t>
        </is>
      </c>
      <c r="F248" s="2" t="n">
        <v>1</v>
      </c>
      <c r="G248" s="2" t="inlineStr">
        <is>
          <t>黑风关守卒</t>
        </is>
      </c>
      <c r="H248" s="2" t="inlineStr">
        <is>
          <t>使用模板默认技能</t>
        </is>
      </c>
      <c r="I248" s="2" t="n">
        <v>12</v>
      </c>
      <c r="J248" s="2" t="n">
        <v>108</v>
      </c>
      <c r="K248" s="4" t="n">
        <v>0.96</v>
      </c>
      <c r="L248" s="2" t="inlineStr">
        <is>
          <t>data/guild_mission_templates.yaml:L89:enemy_guests</t>
        </is>
      </c>
      <c r="M248" s="2" t="inlineStr">
        <is>
          <t>{"template_key":"guild_blackwind_guard_soldier"}</t>
        </is>
      </c>
    </row>
    <row r="249">
      <c r="A249" s="2" t="inlineStr">
        <is>
          <t>guild_blackwind_assault</t>
        </is>
      </c>
      <c r="B249" s="2" t="inlineStr">
        <is>
          <t>黑风关总攻</t>
        </is>
      </c>
      <c r="C249" s="2" t="inlineStr">
        <is>
          <t>帮会任务</t>
        </is>
      </c>
      <c r="D249" s="2" t="inlineStr">
        <is>
          <t>门客</t>
        </is>
      </c>
      <c r="E249" s="2" t="inlineStr">
        <is>
          <t>guild_blackwind_guard_soldier</t>
        </is>
      </c>
      <c r="F249" s="2" t="n">
        <v>1</v>
      </c>
      <c r="G249" s="2" t="inlineStr">
        <is>
          <t>黑风关守卒</t>
        </is>
      </c>
      <c r="H249" s="2" t="inlineStr">
        <is>
          <t>使用模板默认技能</t>
        </is>
      </c>
      <c r="I249" s="2" t="n">
        <v>12</v>
      </c>
      <c r="J249" s="2" t="n">
        <v>108</v>
      </c>
      <c r="K249" s="4" t="n">
        <v>0.96</v>
      </c>
      <c r="L249" s="2" t="inlineStr">
        <is>
          <t>data/guild_mission_templates.yaml:L89:enemy_guests</t>
        </is>
      </c>
      <c r="M249" s="2" t="inlineStr">
        <is>
          <t>{"template_key":"guild_blackwind_guard_soldier"}</t>
        </is>
      </c>
    </row>
    <row r="250">
      <c r="A250" s="2" t="inlineStr">
        <is>
          <t>guild_blackwind_assault</t>
        </is>
      </c>
      <c r="B250" s="2" t="inlineStr">
        <is>
          <t>黑风关总攻</t>
        </is>
      </c>
      <c r="C250" s="2" t="inlineStr">
        <is>
          <t>帮会任务</t>
        </is>
      </c>
      <c r="D250" s="2" t="inlineStr">
        <is>
          <t>门客</t>
        </is>
      </c>
      <c r="E250" s="2" t="inlineStr">
        <is>
          <t>guild_blackwind_spear_soldier</t>
        </is>
      </c>
      <c r="F250" s="2" t="n">
        <v>1</v>
      </c>
      <c r="G250" s="2" t="inlineStr">
        <is>
          <t>黑风枪卒</t>
        </is>
      </c>
      <c r="H250" s="2" t="inlineStr">
        <is>
          <t>使用模板默认技能</t>
        </is>
      </c>
      <c r="I250" s="2" t="n">
        <v>12</v>
      </c>
      <c r="J250" s="2" t="n">
        <v>108</v>
      </c>
      <c r="K250" s="4" t="n">
        <v>0.96</v>
      </c>
      <c r="L250" s="2" t="inlineStr">
        <is>
          <t>data/guild_mission_templates.yaml:L89:enemy_guests</t>
        </is>
      </c>
      <c r="M250" s="2" t="inlineStr">
        <is>
          <t>{"template_key":"guild_blackwind_spear_soldier"}</t>
        </is>
      </c>
    </row>
    <row r="251">
      <c r="A251" s="2" t="inlineStr">
        <is>
          <t>guild_blackwind_assault</t>
        </is>
      </c>
      <c r="B251" s="2" t="inlineStr">
        <is>
          <t>黑风关总攻</t>
        </is>
      </c>
      <c r="C251" s="2" t="inlineStr">
        <is>
          <t>帮会任务</t>
        </is>
      </c>
      <c r="D251" s="2" t="inlineStr">
        <is>
          <t>门客</t>
        </is>
      </c>
      <c r="E251" s="2" t="inlineStr">
        <is>
          <t>guild_blackwind_spear_soldier</t>
        </is>
      </c>
      <c r="F251" s="2" t="n">
        <v>1</v>
      </c>
      <c r="G251" s="2" t="inlineStr">
        <is>
          <t>黑风枪卒</t>
        </is>
      </c>
      <c r="H251" s="2" t="inlineStr">
        <is>
          <t>使用模板默认技能</t>
        </is>
      </c>
      <c r="I251" s="2" t="n">
        <v>12</v>
      </c>
      <c r="J251" s="2" t="n">
        <v>108</v>
      </c>
      <c r="K251" s="4" t="n">
        <v>0.96</v>
      </c>
      <c r="L251" s="2" t="inlineStr">
        <is>
          <t>data/guild_mission_templates.yaml:L89:enemy_guests</t>
        </is>
      </c>
      <c r="M251" s="2" t="inlineStr">
        <is>
          <t>{"template_key":"guild_blackwind_spear_soldier"}</t>
        </is>
      </c>
    </row>
    <row r="252">
      <c r="A252" s="2" t="inlineStr">
        <is>
          <t>guild_blackwind_assault</t>
        </is>
      </c>
      <c r="B252" s="2" t="inlineStr">
        <is>
          <t>黑风关总攻</t>
        </is>
      </c>
      <c r="C252" s="2" t="inlineStr">
        <is>
          <t>帮会任务</t>
        </is>
      </c>
      <c r="D252" s="2" t="inlineStr">
        <is>
          <t>门客</t>
        </is>
      </c>
      <c r="E252" s="2" t="inlineStr">
        <is>
          <t>guild_blackwind_spear_soldier</t>
        </is>
      </c>
      <c r="F252" s="2" t="n">
        <v>1</v>
      </c>
      <c r="G252" s="2" t="inlineStr">
        <is>
          <t>黑风枪卒</t>
        </is>
      </c>
      <c r="H252" s="2" t="inlineStr">
        <is>
          <t>使用模板默认技能</t>
        </is>
      </c>
      <c r="I252" s="2" t="n">
        <v>12</v>
      </c>
      <c r="J252" s="2" t="n">
        <v>108</v>
      </c>
      <c r="K252" s="4" t="n">
        <v>0.96</v>
      </c>
      <c r="L252" s="2" t="inlineStr">
        <is>
          <t>data/guild_mission_templates.yaml:L89:enemy_guests</t>
        </is>
      </c>
      <c r="M252" s="2" t="inlineStr">
        <is>
          <t>{"template_key":"guild_blackwind_spear_soldier"}</t>
        </is>
      </c>
    </row>
    <row r="253">
      <c r="A253" s="2" t="inlineStr">
        <is>
          <t>guild_blackwind_assault</t>
        </is>
      </c>
      <c r="B253" s="2" t="inlineStr">
        <is>
          <t>黑风关总攻</t>
        </is>
      </c>
      <c r="C253" s="2" t="inlineStr">
        <is>
          <t>帮会任务</t>
        </is>
      </c>
      <c r="D253" s="2" t="inlineStr">
        <is>
          <t>门客</t>
        </is>
      </c>
      <c r="E253" s="2" t="inlineStr">
        <is>
          <t>guild_blackwind_spear_soldier</t>
        </is>
      </c>
      <c r="F253" s="2" t="n">
        <v>1</v>
      </c>
      <c r="G253" s="2" t="inlineStr">
        <is>
          <t>黑风枪卒</t>
        </is>
      </c>
      <c r="H253" s="2" t="inlineStr">
        <is>
          <t>使用模板默认技能</t>
        </is>
      </c>
      <c r="I253" s="2" t="n">
        <v>12</v>
      </c>
      <c r="J253" s="2" t="n">
        <v>108</v>
      </c>
      <c r="K253" s="4" t="n">
        <v>0.96</v>
      </c>
      <c r="L253" s="2" t="inlineStr">
        <is>
          <t>data/guild_mission_templates.yaml:L89:enemy_guests</t>
        </is>
      </c>
      <c r="M253" s="2" t="inlineStr">
        <is>
          <t>{"template_key":"guild_blackwind_spear_soldier"}</t>
        </is>
      </c>
    </row>
    <row r="254">
      <c r="A254" s="2" t="inlineStr">
        <is>
          <t>guild_blackwind_assault</t>
        </is>
      </c>
      <c r="B254" s="2" t="inlineStr">
        <is>
          <t>黑风关总攻</t>
        </is>
      </c>
      <c r="C254" s="2" t="inlineStr">
        <is>
          <t>帮会任务</t>
        </is>
      </c>
      <c r="D254" s="2" t="inlineStr">
        <is>
          <t>护院</t>
        </is>
      </c>
      <c r="E254" s="2" t="inlineStr">
        <is>
          <t>qiang_wang</t>
        </is>
      </c>
      <c r="F254" s="2" t="n">
        <v>1700</v>
      </c>
      <c r="G254" s="2" t="inlineStr">
        <is>
          <t>枪王</t>
        </is>
      </c>
      <c r="H254" s="2" t="inlineStr"/>
      <c r="I254" s="2" t="n">
        <v>12</v>
      </c>
      <c r="J254" s="2" t="n"/>
      <c r="K254" s="4" t="n"/>
      <c r="L254" s="2" t="inlineStr">
        <is>
          <t>data/guild_mission_templates.yaml:L89:enemy_troops</t>
        </is>
      </c>
      <c r="M254" s="2" t="inlineStr">
        <is>
          <t>{"qiang_wang":1700}</t>
        </is>
      </c>
    </row>
    <row r="255">
      <c r="A255" s="2" t="inlineStr">
        <is>
          <t>guild_blackwind_assault</t>
        </is>
      </c>
      <c r="B255" s="2" t="inlineStr">
        <is>
          <t>黑风关总攻</t>
        </is>
      </c>
      <c r="C255" s="2" t="inlineStr">
        <is>
          <t>帮会任务</t>
        </is>
      </c>
      <c r="D255" s="2" t="inlineStr">
        <is>
          <t>护院</t>
        </is>
      </c>
      <c r="E255" s="2" t="inlineStr">
        <is>
          <t>jian_sheng</t>
        </is>
      </c>
      <c r="F255" s="2" t="n">
        <v>1450</v>
      </c>
      <c r="G255" s="2" t="inlineStr">
        <is>
          <t>剑圣</t>
        </is>
      </c>
      <c r="H255" s="2" t="inlineStr"/>
      <c r="I255" s="2" t="n">
        <v>12</v>
      </c>
      <c r="J255" s="2" t="n"/>
      <c r="K255" s="4" t="n"/>
      <c r="L255" s="2" t="inlineStr">
        <is>
          <t>data/guild_mission_templates.yaml:L89:enemy_troops</t>
        </is>
      </c>
      <c r="M255" s="2" t="inlineStr">
        <is>
          <t>{"jian_sheng":1450}</t>
        </is>
      </c>
    </row>
    <row r="256">
      <c r="A256" s="2" t="inlineStr">
        <is>
          <t>guild_blackwind_assault</t>
        </is>
      </c>
      <c r="B256" s="2" t="inlineStr">
        <is>
          <t>黑风关总攻</t>
        </is>
      </c>
      <c r="C256" s="2" t="inlineStr">
        <is>
          <t>帮会任务</t>
        </is>
      </c>
      <c r="D256" s="2" t="inlineStr">
        <is>
          <t>护院</t>
        </is>
      </c>
      <c r="E256" s="2" t="inlineStr">
        <is>
          <t>arrow_god</t>
        </is>
      </c>
      <c r="F256" s="2" t="n">
        <v>1620</v>
      </c>
      <c r="G256" s="2" t="inlineStr">
        <is>
          <t>箭神</t>
        </is>
      </c>
      <c r="H256" s="2" t="inlineStr"/>
      <c r="I256" s="2" t="n">
        <v>12</v>
      </c>
      <c r="J256" s="2" t="n"/>
      <c r="K256" s="4" t="n"/>
      <c r="L256" s="2" t="inlineStr">
        <is>
          <t>data/guild_mission_templates.yaml:L89:enemy_troops</t>
        </is>
      </c>
      <c r="M256" s="2" t="inlineStr">
        <is>
          <t>{"arrow_god":1620}</t>
        </is>
      </c>
    </row>
    <row r="257">
      <c r="A257" s="2" t="inlineStr">
        <is>
          <t>guild_blackwind_assault</t>
        </is>
      </c>
      <c r="B257" s="2" t="inlineStr">
        <is>
          <t>黑风关总攻</t>
        </is>
      </c>
      <c r="C257" s="2" t="inlineStr">
        <is>
          <t>帮会任务</t>
        </is>
      </c>
      <c r="D257" s="2" t="inlineStr">
        <is>
          <t>护院</t>
        </is>
      </c>
      <c r="E257" s="2" t="inlineStr">
        <is>
          <t>quan_sheng</t>
        </is>
      </c>
      <c r="F257" s="2" t="n">
        <v>980</v>
      </c>
      <c r="G257" s="2" t="inlineStr">
        <is>
          <t>拳圣</t>
        </is>
      </c>
      <c r="H257" s="2" t="inlineStr"/>
      <c r="I257" s="2" t="n">
        <v>12</v>
      </c>
      <c r="J257" s="2" t="n"/>
      <c r="K257" s="4" t="n"/>
      <c r="L257" s="2" t="inlineStr">
        <is>
          <t>data/guild_mission_templates.yaml:L89:enemy_troops</t>
        </is>
      </c>
      <c r="M257" s="2" t="inlineStr">
        <is>
          <t>{"quan_sheng":980}</t>
        </is>
      </c>
    </row>
    <row r="258">
      <c r="A258" s="2" t="inlineStr">
        <is>
          <t>guild_blackwind_assault</t>
        </is>
      </c>
      <c r="B258" s="2" t="inlineStr">
        <is>
          <t>黑风关总攻</t>
        </is>
      </c>
      <c r="C258" s="2" t="inlineStr">
        <is>
          <t>帮会任务</t>
        </is>
      </c>
      <c r="D258" s="2" t="inlineStr">
        <is>
          <t>护院</t>
        </is>
      </c>
      <c r="E258" s="2" t="inlineStr">
        <is>
          <t>dao_sheng</t>
        </is>
      </c>
      <c r="F258" s="2" t="n">
        <v>930</v>
      </c>
      <c r="G258" s="2" t="inlineStr">
        <is>
          <t>刀圣</t>
        </is>
      </c>
      <c r="H258" s="2" t="inlineStr"/>
      <c r="I258" s="2" t="n">
        <v>12</v>
      </c>
      <c r="J258" s="2" t="n"/>
      <c r="K258" s="4" t="n"/>
      <c r="L258" s="2" t="inlineStr">
        <is>
          <t>data/guild_mission_templates.yaml:L89:enemy_troops</t>
        </is>
      </c>
      <c r="M258" s="2" t="inlineStr">
        <is>
          <t>{"dao_sheng":930}</t>
        </is>
      </c>
    </row>
  </sheetData>
  <autoFilter ref="A1:M2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34" customWidth="1" min="2" max="2"/>
    <col width="38" customWidth="1" min="3" max="3"/>
    <col width="32" customWidth="1" min="4" max="4"/>
    <col width="24" customWidth="1" min="5" max="5"/>
    <col width="95" customWidth="1" min="6" max="6"/>
    <col width="80" customWidth="1" min="7" max="7"/>
  </cols>
  <sheetData>
    <row r="1" ht="32" customHeight="1">
      <c r="A1" s="1" t="inlineStr">
        <is>
          <t>任务key</t>
        </is>
      </c>
      <c r="B1" s="1" t="inlineStr">
        <is>
          <t>任务名称</t>
        </is>
      </c>
      <c r="C1" s="1" t="inlineStr">
        <is>
          <t>物品key</t>
        </is>
      </c>
      <c r="D1" s="1" t="inlineStr">
        <is>
          <t>物品名称</t>
        </is>
      </c>
      <c r="E1" s="1" t="inlineStr">
        <is>
          <t>原始展示值(JSON)</t>
        </is>
      </c>
      <c r="F1" s="1" t="inlineStr">
        <is>
          <t>用途说明</t>
        </is>
      </c>
      <c r="G1" s="1" t="inlineStr">
        <is>
          <t>数据来源</t>
        </is>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2" customWidth="1" min="2" max="2"/>
    <col width="42" customWidth="1" min="3" max="3"/>
    <col width="30" customWidth="1" min="4" max="4"/>
    <col width="105" customWidth="1" min="5" max="5"/>
    <col width="100" customWidth="1" min="6" max="6"/>
    <col width="65" customWidth="1" min="7" max="7"/>
    <col width="130" customWidth="1" min="8" max="8"/>
  </cols>
  <sheetData>
    <row r="1" ht="32" customHeight="1">
      <c r="A1" s="1" t="inlineStr">
        <is>
          <t>适用范围</t>
        </is>
      </c>
      <c r="B1" s="1" t="inlineStr">
        <is>
          <t>奖励规则</t>
        </is>
      </c>
      <c r="C1" s="1" t="inlineStr">
        <is>
          <t>物品key/取值来源</t>
        </is>
      </c>
      <c r="D1" s="1" t="inlineStr">
        <is>
          <t>奖励物品</t>
        </is>
      </c>
      <c r="E1" s="1" t="inlineStr">
        <is>
          <t>计算口径</t>
        </is>
      </c>
      <c r="F1" s="1" t="inlineStr">
        <is>
          <t>数量说明</t>
        </is>
      </c>
      <c r="G1" s="1" t="inlineStr">
        <is>
          <t>发奖条件</t>
        </is>
      </c>
      <c r="H1" s="1" t="inlineStr">
        <is>
          <t>代码来源</t>
        </is>
      </c>
    </row>
    <row r="2">
      <c r="A2" s="2" t="inlineStr">
        <is>
          <t>改版前已有散装奖励战报（不含任务宝箱）</t>
        </is>
      </c>
      <c r="B2" s="2" t="inlineStr">
        <is>
          <t>经验果：阵亡护院</t>
        </is>
      </c>
      <c r="C2" s="2" t="inlineStr">
        <is>
          <t>experience_fruit</t>
        </is>
      </c>
      <c r="D2" s="2" t="inlineStr">
        <is>
          <t>经验果</t>
        </is>
      </c>
      <c r="E2" s="2" t="inlineStr">
        <is>
          <t>双方阵亡护院数量×该兵种招募基准秒数/3600×0.1求和；排除门客及城防单位</t>
        </is>
      </c>
      <c r="F2" s="2" t="inlineStr">
        <is>
          <t>与阵亡门客贡献合并后向下取整，无固定保底数量</t>
        </is>
      </c>
      <c r="G2" s="2" t="inlineStr">
        <is>
          <t>玩家一方胜利，非撤退，返程结算</t>
        </is>
      </c>
      <c r="H2" s="2" t="inlineStr">
        <is>
          <t>gameplay/services/battle_salvage.py:_calculate_troop_exp_fruit；gameplay/services/missions_impl/finalization_helpers.py:build_mission_drops_with_salvage</t>
        </is>
      </c>
    </row>
    <row r="3">
      <c r="A3" s="2" t="inlineStr">
        <is>
          <t>改版前已有散装奖励战报（不含任务宝箱）</t>
        </is>
      </c>
      <c r="B3" s="2" t="inlineStr">
        <is>
          <t>经验果：阵亡门客</t>
        </is>
      </c>
      <c r="C3" s="2" t="inlineStr">
        <is>
          <t>experience_fruit</t>
        </is>
      </c>
      <c r="D3" s="2" t="inlineStr">
        <is>
          <t>经验果</t>
        </is>
      </c>
      <c r="E3" s="2" t="inlineStr">
        <is>
          <t>双方remaining_hp=0的门客：等级×稀有度倍率×初始血量/最大血量×0.05求和</t>
        </is>
      </c>
      <c r="F3" s="2" t="inlineStr">
        <is>
          <t>与阵亡护院贡献合并后向下取整；稀有度倍率见PVPConstants.RARITY_EXP_MULTIPLIER</t>
        </is>
      </c>
      <c r="G3" s="2" t="inlineStr">
        <is>
          <t>玩家一方胜利，非撤退，返程结算</t>
        </is>
      </c>
      <c r="H3" s="2" t="inlineStr">
        <is>
          <t>gameplay/services/battle_salvage.py:_member_exp_fruit；gameplay/constants.py:PVPConstants.RARITY_EXP_MULTIPLIER</t>
        </is>
      </c>
    </row>
    <row r="4">
      <c r="A4" s="2" t="inlineStr">
        <is>
          <t>改版前已有散装奖励战报（不含任务宝箱）</t>
        </is>
      </c>
      <c r="B4" s="2" t="inlineStr">
        <is>
          <t>己方阵亡护院装备回收</t>
        </is>
      </c>
      <c r="C4" s="2" t="inlineStr">
        <is>
          <t>取己方兵种recruit.equipment</t>
        </is>
      </c>
      <c r="D4" s="2" t="inlineStr">
        <is>
          <t>己方兵种招募装备</t>
        </is>
      </c>
      <c r="E4" s="2" t="inlineStr">
        <is>
          <t>仅己方阵亡护院；每名阵亡护院、每件招募装备独立以20%概率回收1件</t>
        </is>
      </c>
      <c r="F4" s="2" t="inlineStr">
        <is>
          <t>依实际己方兵种、阵亡数量及战报种子计算；未作为固定配置池写入掉落明细</t>
        </is>
      </c>
      <c r="G4" s="2" t="inlineStr">
        <is>
          <t>玩家一方胜利，非撤退，返程结算</t>
        </is>
      </c>
      <c r="H4" s="2" t="inlineStr">
        <is>
          <t>gameplay/services/battle_salvage.py:_calculate_equipment_recovery；gameplay/constants.py:PVPConstants.EQUIPMENT_RECOVERY_CHANCE</t>
        </is>
      </c>
    </row>
    <row r="5">
      <c r="A5" s="2" t="inlineStr">
        <is>
          <t>全部帮会任务</t>
        </is>
      </c>
      <c r="B5" s="2" t="inlineStr">
        <is>
          <t>无个人战损回收奖励</t>
        </is>
      </c>
      <c r="C5" s="2" t="n"/>
      <c r="D5" s="2" t="n"/>
      <c r="E5" s="2" t="inlineStr">
        <is>
          <t>auto_reward=False，仅确定发放配置红宝石至帮会仓库</t>
        </is>
      </c>
      <c r="F5" s="2" t="inlineStr">
        <is>
          <t>不将战报预览掉落解释为参与者收益</t>
        </is>
      </c>
      <c r="G5" s="2" t="inlineStr">
        <is>
          <t>帮会胜利后结算</t>
        </is>
      </c>
      <c r="H5" s="2" t="inlineStr">
        <is>
          <t>guilds/services/guild_missions.py:finalize_guild_mission_run</t>
        </is>
      </c>
    </row>
    <row r="6">
      <c r="A6" t="inlineStr">
        <is>
          <t>32新版个人任务</t>
        </is>
      </c>
      <c r="B6" t="inlineStr">
        <is>
          <t>经验与装备统一收入宝箱</t>
        </is>
      </c>
      <c r="C6" t="inlineStr">
        <is>
          <t>对应mission_chest_*</t>
        </is>
      </c>
      <c r="D6" t="inlineStr">
        <is>
          <t>宝箱内容</t>
        </is>
      </c>
      <c r="E6" t="inlineStr">
        <is>
          <t>按每箱配置发奖；不再额外散发战损经验/装备</t>
        </is>
      </c>
      <c r="F6" t="inlineStr">
        <is>
          <t>见宝箱养成预算</t>
        </is>
      </c>
      <c r="G6" t="inlineStr">
        <is>
          <t>胜利非撤退得箱；玩家仓库开启</t>
        </is>
      </c>
      <c r="H6" t="inlineStr">
        <is>
          <t>gameplay/services/missions_impl/finalization_helpers.py；gameplay/services/inventory/use.py</t>
        </is>
      </c>
    </row>
  </sheetData>
  <autoFilter ref="A1:H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10" customWidth="1" min="2" max="2"/>
  </cols>
  <sheetData>
    <row r="1" ht="32" customHeight="1">
      <c r="A1" s="1" t="inlineStr">
        <is>
          <t>统计项</t>
        </is>
      </c>
      <c r="B1" s="1" t="inlineStr">
        <is>
          <t>值</t>
        </is>
      </c>
    </row>
    <row r="2">
      <c r="A2" s="2" t="inlineStr">
        <is>
          <t>个人任务数</t>
        </is>
      </c>
      <c r="B2" s="3">
        <f>COUNTIF(任务列表!$Q$2:$Q$36,"个人任务")</f>
        <v>32</v>
      </c>
    </row>
    <row r="3">
      <c r="A3" s="2" t="inlineStr">
        <is>
          <t>帮会任务数</t>
        </is>
      </c>
      <c r="B3" s="3">
        <f>COUNTIF(任务列表!$Q$2:$Q$36,"帮会任务")</f>
        <v>3</v>
      </c>
    </row>
    <row r="4">
      <c r="A4" s="2" t="inlineStr">
        <is>
          <t>任务总数</t>
        </is>
      </c>
      <c r="B4" s="3">
        <f>COUNTA(任务列表!B2:B36)</f>
        <v>35</v>
      </c>
    </row>
    <row r="5">
      <c r="A5" s="2" t="inlineStr">
        <is>
          <t>奖励掉落明细行数</t>
        </is>
      </c>
      <c r="B5" s="3">
        <f>COUNTA(任务掉落明细!B2:B66)</f>
        <v>65</v>
      </c>
    </row>
    <row r="6">
      <c r="A6" s="2" t="inlineStr">
        <is>
          <t>初级任务数</t>
        </is>
      </c>
      <c r="B6" s="3">
        <f>COUNTIF(任务列表!$D$2:$D$36,"初级")</f>
        <v>9</v>
      </c>
    </row>
    <row r="7">
      <c r="A7" s="2" t="inlineStr">
        <is>
          <t>中级任务数</t>
        </is>
      </c>
      <c r="B7" s="3">
        <f>COUNTIF(任务列表!$D$2:$D$36,"中级")</f>
        <v>11</v>
      </c>
    </row>
    <row r="8">
      <c r="A8" s="2" t="inlineStr">
        <is>
          <t>高级任务数</t>
        </is>
      </c>
      <c r="B8" s="3">
        <f>COUNTIF(任务列表!$D$2:$D$36,"高级")</f>
        <v>15</v>
      </c>
    </row>
    <row r="9">
      <c r="A9" s="2" t="inlineStr">
        <is>
          <t>生成时间</t>
        </is>
      </c>
      <c r="B9" s="2" t="inlineStr">
        <is>
          <t>2026-10-01</t>
        </is>
      </c>
    </row>
    <row r="10">
      <c r="A10" s="2" t="inlineStr">
        <is>
          <t>数据范围</t>
        </is>
      </c>
      <c r="B10" s="2" t="inlineStr">
        <is>
          <t>当前工作区配置，未读取运行中数据库；含全部个人任务及帮会任务。</t>
        </is>
      </c>
    </row>
  </sheetData>
  <autoFilter ref="A1:B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5" customWidth="1" min="2" max="2"/>
  </cols>
  <sheetData>
    <row r="1" ht="32" customHeight="1">
      <c r="A1" s="1" t="inlineStr">
        <is>
          <t>字段/Sheet</t>
        </is>
      </c>
      <c r="B1" s="1" t="inlineStr">
        <is>
          <t>说明</t>
        </is>
      </c>
    </row>
    <row r="2">
      <c r="A2" s="2" t="inlineStr">
        <is>
          <t>任务列表</t>
        </is>
      </c>
      <c r="B2" s="2" t="inlineStr">
        <is>
          <t>每行一个任务。每日次数适用于个人任务，每周次数适用于每帮会每个任务模板；空白表示不适用。</t>
        </is>
      </c>
    </row>
    <row r="3">
      <c r="A3" s="2" t="inlineStr">
        <is>
          <t>奖励掉落范围</t>
        </is>
      </c>
      <c r="B3" s="2" t="inlineStr">
        <is>
          <t>新版个人任务直接发银两与宝箱；内部奖励见新增宝箱奖励明细。旧战报回收见动态奖励规则。帮会公共红宝石机制保留。</t>
        </is>
      </c>
    </row>
    <row r="4">
      <c r="A4" s="2" t="inlineStr">
        <is>
          <t>发奖条件</t>
        </is>
      </c>
      <c r="B4" s="2" t="inlineStr">
        <is>
          <t>个人任务必须玩家一方胜利、非撤退，在返程结算发奖；防守玩家为defender，普通出征为attacker。</t>
        </is>
      </c>
    </row>
    <row r="5">
      <c r="A5" s="2" t="inlineStr">
        <is>
          <t>帮会奖励</t>
        </is>
      </c>
      <c r="B5" s="2" t="inlineStr">
        <is>
          <t>帮会任务胜利后红宝石进入帮会仓库，参与者不会因此直接获得同数量红宝石。当前任务结算未发现额外个人贡献度或个人物品奖励。</t>
        </is>
      </c>
    </row>
    <row r="6">
      <c r="A6" s="2" t="inlineStr">
        <is>
          <t>随机池</t>
        </is>
      </c>
      <c r="B6" s="2" t="inlineStr">
        <is>
          <t>一个池触发后按候选权重随机选一项；权重不是概率。明细将每个候选展开，实际概率及期望数量通过Excel公式计算。</t>
        </is>
      </c>
    </row>
    <row r="7">
      <c r="A7" s="2" t="inlineStr">
        <is>
          <t>同物品多条掉落</t>
        </is>
      </c>
      <c r="B7" s="2" t="inlineStr">
        <is>
          <t>每个drop_table条目独立判定并累加；例如广寒宫月饼存在保底与多个额外概率档，不应将这些档位当作互斥奖励。</t>
        </is>
      </c>
    </row>
    <row r="8">
      <c r="A8" s="2" t="inlineStr">
        <is>
          <t>页面展示配置</t>
        </is>
      </c>
      <c r="B8" s="2" t="inlineStr">
        <is>
          <t>probability_drop_table仅影响页面展示，单独列页保留原始值；不参与实际奖励或期望数量计算。guaranteed_drops是页面生成变量，非另一张发奖配置表。</t>
        </is>
      </c>
    </row>
    <row r="9">
      <c r="A9" s="2" t="inlineStr">
        <is>
          <t>实际概率</t>
        </is>
      </c>
      <c r="B9" s="2" t="inlineStr">
        <is>
          <t>仅表示一次胜利后对应条目的配置层发放概率，不包含挑战胜率或开放日期。不同条目的期望数量可相加，但至少获得一件的概率不能简单相加。</t>
        </is>
      </c>
    </row>
    <row r="10">
      <c r="A10" s="2" t="inlineStr">
        <is>
          <t>基础耗时</t>
        </is>
      </c>
      <c r="B10" s="2" t="inlineStr">
        <is>
          <t>个人base_travel_time未填按导入默认1800秒；进攻用于单程修正后再加返程，防守使用一次基准。实际受敏捷及时间倍率影响，不将配置秒数宣称实际耗时。帮会base_duration_seconds受时间倍率缩放，无额外返程。</t>
        </is>
      </c>
    </row>
    <row r="11">
      <c r="A11" s="2" t="inlineStr">
        <is>
          <t>发起消耗</t>
        </is>
      </c>
      <c r="B11" s="2" t="inlineStr">
        <is>
          <t>个人任务每次发起扣10行动点，另消耗entry_cost中的库存物品；行动点列与入场物品列分别展示。帮会任务行动点列为空，不套用个人任务规则。</t>
        </is>
      </c>
    </row>
    <row r="12">
      <c r="A12" s="2" t="inlineStr">
        <is>
          <t>个人任务默认值</t>
        </is>
      </c>
      <c r="B12" s="2" t="inlineStr">
        <is>
          <t>daily_limit=3，mission_card_daily_limit=5，display_order=1000，guest_only=False，is_defense=False；未填available_weekdays表示每日开放。</t>
        </is>
      </c>
    </row>
    <row r="13">
      <c r="A13" s="2" t="inlineStr">
        <is>
          <t>帮会任务次数</t>
        </is>
      </c>
      <c r="B13" s="2" t="inlineStr">
        <is>
          <t>每帮会每模板每自然周最多发起3次，周一开始计算；发起即占次数，撤退或失败不会返还次数。</t>
        </is>
      </c>
    </row>
    <row r="14">
      <c r="A14" s="2" t="inlineStr">
        <is>
          <t>敌方阵容</t>
        </is>
      </c>
      <c r="B14" s="2" t="inlineStr">
        <is>
          <t>门客逐个列出，重复门客保留数量；护院按兵种配置数量列出。敌方科技完整配置另存任务列表，精细levels覆盖统一level。</t>
        </is>
      </c>
    </row>
    <row r="15">
      <c r="A15" s="2" t="inlineStr">
        <is>
          <t>门客技能优先级</t>
        </is>
      </c>
      <c r="B15" s="2" t="inlineStr">
        <is>
          <t>个人门客单独skills优先，其次enemy_technology.guest_skills，再次模板initial_skills；无法解析时保留key或注明模板默认技能。</t>
        </is>
      </c>
    </row>
    <row r="16">
      <c r="A16" s="2" t="inlineStr">
        <is>
          <t>排序与开放</t>
        </is>
      </c>
      <c r="B16" s="2" t="inlineStr">
        <is>
          <t>任务列表沿配置文件顺序，另列显示排序字段；星期1~7为周一至周日，未从活动任务名称推断额外起止日期。</t>
        </is>
      </c>
    </row>
    <row r="17">
      <c r="A17" s="2" t="inlineStr">
        <is>
          <t>来源</t>
        </is>
      </c>
      <c r="B17" s="2" t="inlineStr">
        <is>
          <t>数据来自data/mission_templates.yaml、data/guild_mission_templates.yaml、data/item_templates.yaml及门客/护院模板。每条任务与奖励均附配置行号。</t>
        </is>
      </c>
    </row>
    <row r="18">
      <c r="A18" s="2" t="inlineStr">
        <is>
          <t>规则核对代码</t>
        </is>
      </c>
      <c r="B18" s="2" t="inlineStr">
        <is>
          <t>common/utils/loot.py；gameplay/management/commands/load_mission_templates.py；gameplay/services/missions_impl/finalize_command.py；guilds/services/guild_missions.py。</t>
        </is>
      </c>
    </row>
  </sheetData>
  <autoFilter ref="A1:B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696"/>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s>
  <sheetData>
    <row r="1" ht="32" customHeight="1">
      <c r="A1" s="7" t="inlineStr">
        <is>
          <t>任务key</t>
        </is>
      </c>
      <c r="B1" s="7" t="inlineStr">
        <is>
          <t>任务名称</t>
        </is>
      </c>
      <c r="C1" s="7" t="inlineStr">
        <is>
          <t>宝箱key</t>
        </is>
      </c>
      <c r="D1" s="7" t="inlineStr">
        <is>
          <t>宝箱名称</t>
        </is>
      </c>
      <c r="E1" s="7" t="inlineStr">
        <is>
          <t>奖励组</t>
        </is>
      </c>
      <c r="F1" s="7" t="inlineStr">
        <is>
          <t>物品key</t>
        </is>
      </c>
      <c r="G1" s="7" t="inlineStr">
        <is>
          <t>物品名称</t>
        </is>
      </c>
      <c r="H1" s="7" t="inlineStr">
        <is>
          <t>品质</t>
        </is>
      </c>
      <c r="I1" s="7" t="inlineStr">
        <is>
          <t>类型</t>
        </is>
      </c>
      <c r="J1" s="7" t="inlineStr">
        <is>
          <t>组命中概率</t>
        </is>
      </c>
      <c r="K1" s="7" t="inlineStr">
        <is>
          <t>池内权重</t>
        </is>
      </c>
      <c r="L1" s="7" t="inlineStr">
        <is>
          <t>权重合计</t>
        </is>
      </c>
      <c r="M1" s="7" t="inlineStr">
        <is>
          <t>最少数量</t>
        </is>
      </c>
      <c r="N1" s="7" t="inlineStr">
        <is>
          <t>最多数量</t>
        </is>
      </c>
      <c r="O1" s="7" t="inlineStr">
        <is>
          <t>单项实际概率</t>
        </is>
      </c>
      <c r="P1" s="7" t="inlineStr">
        <is>
          <t>平均数量</t>
        </is>
      </c>
      <c r="Q1" s="7" t="inlineStr">
        <is>
          <t>每箱期望数量</t>
        </is>
      </c>
      <c r="R1" s="7" t="inlineStr">
        <is>
          <t>单件经验(小时)</t>
        </is>
      </c>
      <c r="S1" s="7" t="inlineStr">
        <is>
          <t>每箱经验期望(小时)</t>
        </is>
      </c>
      <c r="T1" s="7" t="inlineStr">
        <is>
          <t>所需锻造等级</t>
        </is>
      </c>
      <c r="U1" s="7" t="inlineStr">
        <is>
          <t>图纸产物</t>
        </is>
      </c>
      <c r="V1" s="7" t="inlineStr">
        <is>
          <t>配置来源</t>
        </is>
      </c>
    </row>
    <row r="2" ht="36" customHeight="1">
      <c r="A2" s="8" t="inlineStr">
        <is>
          <t>mid_autumn_moon_palace_trial</t>
        </is>
      </c>
      <c r="B2" s="8" t="inlineStr">
        <is>
          <t>广寒宫试炼</t>
        </is>
      </c>
      <c r="C2" s="8" t="inlineStr">
        <is>
          <t>mission_chest_mid_autumn_moon_palace_trial</t>
        </is>
      </c>
      <c r="D2" s="8" t="inlineStr">
        <is>
          <t>广寒宫试炼宝箱</t>
        </is>
      </c>
      <c r="E2" s="8" t="inlineStr">
        <is>
          <t>必得</t>
        </is>
      </c>
      <c r="F2" s="8" t="inlineStr">
        <is>
          <t>experience_fruit</t>
        </is>
      </c>
      <c r="G2" s="8" t="inlineStr">
        <is>
          <t>经验果</t>
        </is>
      </c>
      <c r="H2" s="8" t="inlineStr">
        <is>
          <t>green</t>
        </is>
      </c>
      <c r="I2" s="8" t="inlineStr">
        <is>
          <t>experience_items</t>
        </is>
      </c>
      <c r="J2" s="8" t="n">
        <v>1</v>
      </c>
      <c r="K2" s="8" t="n">
        <v>1</v>
      </c>
      <c r="L2" s="8" t="n">
        <v>1</v>
      </c>
      <c r="M2" s="8" t="n">
        <v>20</v>
      </c>
      <c r="N2" s="8" t="n">
        <v>20</v>
      </c>
      <c r="O2" s="8">
        <f>J2*K2/L2</f>
        <v>1.0</v>
      </c>
      <c r="P2" s="8">
        <f>(M2+N2)/2</f>
        <v>20.0</v>
      </c>
      <c r="Q2" s="8">
        <f>O2*P2</f>
        <v>20.0</v>
      </c>
      <c r="R2" s="8" t="n">
        <v>1</v>
      </c>
      <c r="S2" s="8">
        <f>Q2*R2</f>
        <v>20.0</v>
      </c>
      <c r="T2" s="8" t="n"/>
      <c r="U2" s="8" t="inlineStr"/>
      <c r="V2" s="8" t="inlineStr">
        <is>
          <t>data/item_templates.yaml:mission_chest_mid_autumn_moon_palace_trial.effect_payload</t>
        </is>
      </c>
    </row>
    <row r="3" ht="36" customHeight="1">
      <c r="A3" s="8" t="inlineStr">
        <is>
          <t>mid_autumn_moon_palace_trial</t>
        </is>
      </c>
      <c r="B3" s="8" t="inlineStr">
        <is>
          <t>广寒宫试炼</t>
        </is>
      </c>
      <c r="C3" s="8" t="inlineStr">
        <is>
          <t>mission_chest_mid_autumn_moon_palace_trial</t>
        </is>
      </c>
      <c r="D3" s="8" t="inlineStr">
        <is>
          <t>广寒宫试炼宝箱</t>
        </is>
      </c>
      <c r="E3" s="8" t="inlineStr">
        <is>
          <t>必得</t>
        </is>
      </c>
      <c r="F3" s="8" t="inlineStr">
        <is>
          <t>mid_autumn_mooncake</t>
        </is>
      </c>
      <c r="G3" s="8" t="inlineStr">
        <is>
          <t>月饼</t>
        </is>
      </c>
      <c r="H3" s="8" t="inlineStr">
        <is>
          <t>green</t>
        </is>
      </c>
      <c r="I3" s="8" t="inlineStr">
        <is>
          <t>loot_box</t>
        </is>
      </c>
      <c r="J3" s="8" t="n">
        <v>1</v>
      </c>
      <c r="K3" s="8" t="n">
        <v>1</v>
      </c>
      <c r="L3" s="8" t="n">
        <v>1</v>
      </c>
      <c r="M3" s="8" t="n">
        <v>1</v>
      </c>
      <c r="N3" s="8" t="n">
        <v>1</v>
      </c>
      <c r="O3" s="8">
        <f>J3*K3/L3</f>
        <v>1.0</v>
      </c>
      <c r="P3" s="8">
        <f>(M3+N3)/2</f>
        <v>1.0</v>
      </c>
      <c r="Q3" s="8">
        <f>O3*P3</f>
        <v>1.0</v>
      </c>
      <c r="R3" s="8" t="n">
        <v>0</v>
      </c>
      <c r="S3" s="8">
        <f>Q3*R3</f>
        <v>0.0</v>
      </c>
      <c r="T3" s="8" t="n"/>
      <c r="U3" s="8" t="inlineStr"/>
      <c r="V3" s="8" t="inlineStr">
        <is>
          <t>data/item_templates.yaml:mission_chest_mid_autumn_moon_palace_trial.effect_payload</t>
        </is>
      </c>
    </row>
    <row r="4" ht="36" customHeight="1">
      <c r="A4" s="8" t="inlineStr">
        <is>
          <t>mid_autumn_moon_palace_trial</t>
        </is>
      </c>
      <c r="B4" s="8" t="inlineStr">
        <is>
          <t>广寒宫试炼</t>
        </is>
      </c>
      <c r="C4" s="8" t="inlineStr">
        <is>
          <t>mission_chest_mid_autumn_moon_palace_trial</t>
        </is>
      </c>
      <c r="D4" s="8" t="inlineStr">
        <is>
          <t>广寒宫试炼宝箱</t>
        </is>
      </c>
      <c r="E4" s="8" t="inlineStr">
        <is>
          <t>必得</t>
        </is>
      </c>
      <c r="F4" s="8" t="inlineStr">
        <is>
          <t>buxuedan</t>
        </is>
      </c>
      <c r="G4" s="8" t="inlineStr">
        <is>
          <t>补血丹</t>
        </is>
      </c>
      <c r="H4" s="8" t="inlineStr">
        <is>
          <t>black</t>
        </is>
      </c>
      <c r="I4" s="8" t="inlineStr">
        <is>
          <t>medicine</t>
        </is>
      </c>
      <c r="J4" s="8" t="n">
        <v>1</v>
      </c>
      <c r="K4" s="8" t="n">
        <v>1</v>
      </c>
      <c r="L4" s="8" t="n">
        <v>1</v>
      </c>
      <c r="M4" s="8" t="n">
        <v>2</v>
      </c>
      <c r="N4" s="8" t="n">
        <v>2</v>
      </c>
      <c r="O4" s="8">
        <f>J4*K4/L4</f>
        <v>1.0</v>
      </c>
      <c r="P4" s="8">
        <f>(M4+N4)/2</f>
        <v>2.0</v>
      </c>
      <c r="Q4" s="8">
        <f>O4*P4</f>
        <v>2.0</v>
      </c>
      <c r="R4" s="8" t="n">
        <v>0</v>
      </c>
      <c r="S4" s="8">
        <f>Q4*R4</f>
        <v>0.0</v>
      </c>
      <c r="T4" s="8" t="n"/>
      <c r="U4" s="8" t="inlineStr"/>
      <c r="V4" s="8" t="inlineStr">
        <is>
          <t>data/item_templates.yaml:mission_chest_mid_autumn_moon_palace_trial.effect_payload</t>
        </is>
      </c>
    </row>
    <row r="5" ht="36" customHeight="1">
      <c r="A5" s="8" t="inlineStr">
        <is>
          <t>mid_autumn_moon_palace_trial</t>
        </is>
      </c>
      <c r="B5" s="8" t="inlineStr">
        <is>
          <t>广寒宫试炼</t>
        </is>
      </c>
      <c r="C5" s="8" t="inlineStr">
        <is>
          <t>mission_chest_mid_autumn_moon_palace_trial</t>
        </is>
      </c>
      <c r="D5" s="8" t="inlineStr">
        <is>
          <t>广寒宫试炼宝箱</t>
        </is>
      </c>
      <c r="E5" s="8" t="inlineStr">
        <is>
          <t>mid_autumn_mooncake_bonus_1</t>
        </is>
      </c>
      <c r="F5" s="8" t="inlineStr">
        <is>
          <t>mid_autumn_mooncake</t>
        </is>
      </c>
      <c r="G5" s="8" t="inlineStr">
        <is>
          <t>月饼</t>
        </is>
      </c>
      <c r="H5" s="8" t="inlineStr">
        <is>
          <t>green</t>
        </is>
      </c>
      <c r="I5" s="8" t="inlineStr">
        <is>
          <t>loot_box</t>
        </is>
      </c>
      <c r="J5" s="8" t="n">
        <v>0.55</v>
      </c>
      <c r="K5" s="8" t="n">
        <v>1</v>
      </c>
      <c r="L5" s="8" t="n">
        <v>1</v>
      </c>
      <c r="M5" s="8" t="n">
        <v>1</v>
      </c>
      <c r="N5" s="8" t="n">
        <v>1</v>
      </c>
      <c r="O5" s="8">
        <f>J5*K5/L5</f>
        <v>0.55</v>
      </c>
      <c r="P5" s="8">
        <f>(M5+N5)/2</f>
        <v>1.0</v>
      </c>
      <c r="Q5" s="8">
        <f>O5*P5</f>
        <v>0.55</v>
      </c>
      <c r="R5" s="8" t="n">
        <v>0</v>
      </c>
      <c r="S5" s="8">
        <f>Q5*R5</f>
        <v>0.0</v>
      </c>
      <c r="T5" s="8" t="n"/>
      <c r="U5" s="8" t="inlineStr"/>
      <c r="V5" s="8" t="inlineStr">
        <is>
          <t>data/item_templates.yaml:mission_chest_mid_autumn_moon_palace_trial.effect_payload</t>
        </is>
      </c>
    </row>
    <row r="6" ht="36" customHeight="1">
      <c r="A6" s="8" t="inlineStr">
        <is>
          <t>mid_autumn_moon_palace_trial</t>
        </is>
      </c>
      <c r="B6" s="8" t="inlineStr">
        <is>
          <t>广寒宫试炼</t>
        </is>
      </c>
      <c r="C6" s="8" t="inlineStr">
        <is>
          <t>mission_chest_mid_autumn_moon_palace_trial</t>
        </is>
      </c>
      <c r="D6" s="8" t="inlineStr">
        <is>
          <t>广寒宫试炼宝箱</t>
        </is>
      </c>
      <c r="E6" s="8" t="inlineStr">
        <is>
          <t>mid_autumn_mooncake_bonus_2</t>
        </is>
      </c>
      <c r="F6" s="8" t="inlineStr">
        <is>
          <t>mid_autumn_mooncake</t>
        </is>
      </c>
      <c r="G6" s="8" t="inlineStr">
        <is>
          <t>月饼</t>
        </is>
      </c>
      <c r="H6" s="8" t="inlineStr">
        <is>
          <t>green</t>
        </is>
      </c>
      <c r="I6" s="8" t="inlineStr">
        <is>
          <t>loot_box</t>
        </is>
      </c>
      <c r="J6" s="8" t="n">
        <v>0.25</v>
      </c>
      <c r="K6" s="8" t="n">
        <v>1</v>
      </c>
      <c r="L6" s="8" t="n">
        <v>1</v>
      </c>
      <c r="M6" s="8" t="n">
        <v>2</v>
      </c>
      <c r="N6" s="8" t="n">
        <v>2</v>
      </c>
      <c r="O6" s="8">
        <f>J6*K6/L6</f>
        <v>0.25</v>
      </c>
      <c r="P6" s="8">
        <f>(M6+N6)/2</f>
        <v>2.0</v>
      </c>
      <c r="Q6" s="8">
        <f>O6*P6</f>
        <v>0.5</v>
      </c>
      <c r="R6" s="8" t="n">
        <v>0</v>
      </c>
      <c r="S6" s="8">
        <f>Q6*R6</f>
        <v>0.0</v>
      </c>
      <c r="T6" s="8" t="n"/>
      <c r="U6" s="8" t="inlineStr"/>
      <c r="V6" s="8" t="inlineStr">
        <is>
          <t>data/item_templates.yaml:mission_chest_mid_autumn_moon_palace_trial.effect_payload</t>
        </is>
      </c>
    </row>
    <row r="7" ht="36" customHeight="1">
      <c r="A7" s="8" t="inlineStr">
        <is>
          <t>mid_autumn_moon_palace_trial</t>
        </is>
      </c>
      <c r="B7" s="8" t="inlineStr">
        <is>
          <t>广寒宫试炼</t>
        </is>
      </c>
      <c r="C7" s="8" t="inlineStr">
        <is>
          <t>mission_chest_mid_autumn_moon_palace_trial</t>
        </is>
      </c>
      <c r="D7" s="8" t="inlineStr">
        <is>
          <t>广寒宫试炼宝箱</t>
        </is>
      </c>
      <c r="E7" s="8" t="inlineStr">
        <is>
          <t>mid_autumn_mooncake_bonus_4</t>
        </is>
      </c>
      <c r="F7" s="8" t="inlineStr">
        <is>
          <t>mid_autumn_mooncake</t>
        </is>
      </c>
      <c r="G7" s="8" t="inlineStr">
        <is>
          <t>月饼</t>
        </is>
      </c>
      <c r="H7" s="8" t="inlineStr">
        <is>
          <t>green</t>
        </is>
      </c>
      <c r="I7" s="8" t="inlineStr">
        <is>
          <t>loot_box</t>
        </is>
      </c>
      <c r="J7" s="8" t="n">
        <v>0.08</v>
      </c>
      <c r="K7" s="8" t="n">
        <v>1</v>
      </c>
      <c r="L7" s="8" t="n">
        <v>1</v>
      </c>
      <c r="M7" s="8" t="n">
        <v>4</v>
      </c>
      <c r="N7" s="8" t="n">
        <v>4</v>
      </c>
      <c r="O7" s="8">
        <f>J7*K7/L7</f>
        <v>0.08</v>
      </c>
      <c r="P7" s="8">
        <f>(M7+N7)/2</f>
        <v>4.0</v>
      </c>
      <c r="Q7" s="8">
        <f>O7*P7</f>
        <v>0.32</v>
      </c>
      <c r="R7" s="8" t="n">
        <v>0</v>
      </c>
      <c r="S7" s="8">
        <f>Q7*R7</f>
        <v>0.0</v>
      </c>
      <c r="T7" s="8" t="n"/>
      <c r="U7" s="8" t="inlineStr"/>
      <c r="V7" s="8" t="inlineStr">
        <is>
          <t>data/item_templates.yaml:mission_chest_mid_autumn_moon_palace_trial.effect_payload</t>
        </is>
      </c>
    </row>
    <row r="8" ht="36" customHeight="1">
      <c r="A8" s="8" t="inlineStr">
        <is>
          <t>mid_autumn_moon_palace_trial</t>
        </is>
      </c>
      <c r="B8" s="8" t="inlineStr">
        <is>
          <t>广寒宫试炼</t>
        </is>
      </c>
      <c r="C8" s="8" t="inlineStr">
        <is>
          <t>mission_chest_mid_autumn_moon_palace_trial</t>
        </is>
      </c>
      <c r="D8" s="8" t="inlineStr">
        <is>
          <t>广寒宫试炼宝箱</t>
        </is>
      </c>
      <c r="E8" s="8" t="inlineStr">
        <is>
          <t>mid_autumn_mooncake_bonus_10</t>
        </is>
      </c>
      <c r="F8" s="8" t="inlineStr">
        <is>
          <t>mid_autumn_mooncake</t>
        </is>
      </c>
      <c r="G8" s="8" t="inlineStr">
        <is>
          <t>月饼</t>
        </is>
      </c>
      <c r="H8" s="8" t="inlineStr">
        <is>
          <t>green</t>
        </is>
      </c>
      <c r="I8" s="8" t="inlineStr">
        <is>
          <t>loot_box</t>
        </is>
      </c>
      <c r="J8" s="8" t="n">
        <v>0.015</v>
      </c>
      <c r="K8" s="8" t="n">
        <v>1</v>
      </c>
      <c r="L8" s="8" t="n">
        <v>1</v>
      </c>
      <c r="M8" s="8" t="n">
        <v>10</v>
      </c>
      <c r="N8" s="8" t="n">
        <v>10</v>
      </c>
      <c r="O8" s="8">
        <f>J8*K8/L8</f>
        <v>0.015</v>
      </c>
      <c r="P8" s="8">
        <f>(M8+N8)/2</f>
        <v>10.0</v>
      </c>
      <c r="Q8" s="8">
        <f>O8*P8</f>
        <v>0.15</v>
      </c>
      <c r="R8" s="8" t="n">
        <v>0</v>
      </c>
      <c r="S8" s="8">
        <f>Q8*R8</f>
        <v>0.0</v>
      </c>
      <c r="T8" s="8" t="n"/>
      <c r="U8" s="8" t="inlineStr"/>
      <c r="V8" s="8" t="inlineStr">
        <is>
          <t>data/item_templates.yaml:mission_chest_mid_autumn_moon_palace_trial.effect_payload</t>
        </is>
      </c>
    </row>
    <row r="9" ht="36" customHeight="1">
      <c r="A9" s="8" t="inlineStr">
        <is>
          <t>mid_autumn_moon_palace_trial</t>
        </is>
      </c>
      <c r="B9" s="8" t="inlineStr">
        <is>
          <t>广寒宫试炼</t>
        </is>
      </c>
      <c r="C9" s="8" t="inlineStr">
        <is>
          <t>mission_chest_mid_autumn_moon_palace_trial</t>
        </is>
      </c>
      <c r="D9" s="8" t="inlineStr">
        <is>
          <t>广寒宫试炼宝箱</t>
        </is>
      </c>
      <c r="E9" s="8" t="inlineStr">
        <is>
          <t>jade_rabbit_summon_scroll</t>
        </is>
      </c>
      <c r="F9" s="8" t="inlineStr">
        <is>
          <t>jade_rabbit_summon_scroll</t>
        </is>
      </c>
      <c r="G9" s="8" t="inlineStr">
        <is>
          <t>玉兔召唤卷轴</t>
        </is>
      </c>
      <c r="H9" s="8" t="inlineStr">
        <is>
          <t>green</t>
        </is>
      </c>
      <c r="I9" s="8" t="inlineStr">
        <is>
          <t>tool</t>
        </is>
      </c>
      <c r="J9" s="8" t="n">
        <v>0.08</v>
      </c>
      <c r="K9" s="8" t="n">
        <v>1</v>
      </c>
      <c r="L9" s="8" t="n">
        <v>1</v>
      </c>
      <c r="M9" s="8" t="n">
        <v>1</v>
      </c>
      <c r="N9" s="8" t="n">
        <v>1</v>
      </c>
      <c r="O9" s="8">
        <f>J9*K9/L9</f>
        <v>0.08</v>
      </c>
      <c r="P9" s="8">
        <f>(M9+N9)/2</f>
        <v>1.0</v>
      </c>
      <c r="Q9" s="8">
        <f>O9*P9</f>
        <v>0.08</v>
      </c>
      <c r="R9" s="8" t="n">
        <v>0</v>
      </c>
      <c r="S9" s="8">
        <f>Q9*R9</f>
        <v>0.0</v>
      </c>
      <c r="T9" s="8" t="n"/>
      <c r="U9" s="8" t="inlineStr"/>
      <c r="V9" s="8" t="inlineStr">
        <is>
          <t>data/item_templates.yaml:mission_chest_mid_autumn_moon_palace_trial.effect_payload</t>
        </is>
      </c>
    </row>
    <row r="10" ht="36" customHeight="1">
      <c r="A10" s="8" t="inlineStr">
        <is>
          <t>mid_autumn_moon_palace_trial</t>
        </is>
      </c>
      <c r="B10" s="8" t="inlineStr">
        <is>
          <t>广寒宫试炼</t>
        </is>
      </c>
      <c r="C10" s="8" t="inlineStr">
        <is>
          <t>mission_chest_mid_autumn_moon_palace_trial</t>
        </is>
      </c>
      <c r="D10" s="8" t="inlineStr">
        <is>
          <t>广寒宫试炼宝箱</t>
        </is>
      </c>
      <c r="E10" s="8" t="inlineStr">
        <is>
          <t>wu_gang_summon_scroll</t>
        </is>
      </c>
      <c r="F10" s="8" t="inlineStr">
        <is>
          <t>wu_gang_summon_scroll</t>
        </is>
      </c>
      <c r="G10" s="8" t="inlineStr">
        <is>
          <t>吴刚召唤卷轴</t>
        </is>
      </c>
      <c r="H10" s="8" t="inlineStr">
        <is>
          <t>blue</t>
        </is>
      </c>
      <c r="I10" s="8" t="inlineStr">
        <is>
          <t>tool</t>
        </is>
      </c>
      <c r="J10" s="8" t="n">
        <v>0.05</v>
      </c>
      <c r="K10" s="8" t="n">
        <v>1</v>
      </c>
      <c r="L10" s="8" t="n">
        <v>1</v>
      </c>
      <c r="M10" s="8" t="n">
        <v>1</v>
      </c>
      <c r="N10" s="8" t="n">
        <v>1</v>
      </c>
      <c r="O10" s="8">
        <f>J10*K10/L10</f>
        <v>0.05</v>
      </c>
      <c r="P10" s="8">
        <f>(M10+N10)/2</f>
        <v>1.0</v>
      </c>
      <c r="Q10" s="8">
        <f>O10*P10</f>
        <v>0.05</v>
      </c>
      <c r="R10" s="8" t="n">
        <v>0</v>
      </c>
      <c r="S10" s="8">
        <f>Q10*R10</f>
        <v>0.0</v>
      </c>
      <c r="T10" s="8" t="n"/>
      <c r="U10" s="8" t="inlineStr"/>
      <c r="V10" s="8" t="inlineStr">
        <is>
          <t>data/item_templates.yaml:mission_chest_mid_autumn_moon_palace_trial.effect_payload</t>
        </is>
      </c>
    </row>
    <row r="11" ht="36" customHeight="1">
      <c r="A11" s="8" t="inlineStr">
        <is>
          <t>mid_autumn_moon_palace_trial</t>
        </is>
      </c>
      <c r="B11" s="8" t="inlineStr">
        <is>
          <t>广寒宫试炼</t>
        </is>
      </c>
      <c r="C11" s="8" t="inlineStr">
        <is>
          <t>mission_chest_mid_autumn_moon_palace_trial</t>
        </is>
      </c>
      <c r="D11" s="8" t="inlineStr">
        <is>
          <t>广寒宫试炼宝箱</t>
        </is>
      </c>
      <c r="E11" s="8" t="inlineStr">
        <is>
          <t>chang_e_summon_scroll</t>
        </is>
      </c>
      <c r="F11" s="8" t="inlineStr">
        <is>
          <t>chang_e_summon_scroll</t>
        </is>
      </c>
      <c r="G11" s="8" t="inlineStr">
        <is>
          <t>嫦娥召唤卷轴</t>
        </is>
      </c>
      <c r="H11" s="8" t="inlineStr">
        <is>
          <t>purple</t>
        </is>
      </c>
      <c r="I11" s="8" t="inlineStr">
        <is>
          <t>tool</t>
        </is>
      </c>
      <c r="J11" s="8" t="n">
        <v>0.03</v>
      </c>
      <c r="K11" s="8" t="n">
        <v>1</v>
      </c>
      <c r="L11" s="8" t="n">
        <v>1</v>
      </c>
      <c r="M11" s="8" t="n">
        <v>1</v>
      </c>
      <c r="N11" s="8" t="n">
        <v>1</v>
      </c>
      <c r="O11" s="8">
        <f>J11*K11/L11</f>
        <v>0.03</v>
      </c>
      <c r="P11" s="8">
        <f>(M11+N11)/2</f>
        <v>1.0</v>
      </c>
      <c r="Q11" s="8">
        <f>O11*P11</f>
        <v>0.03</v>
      </c>
      <c r="R11" s="8" t="n">
        <v>0</v>
      </c>
      <c r="S11" s="8">
        <f>Q11*R11</f>
        <v>0.0</v>
      </c>
      <c r="T11" s="8" t="n"/>
      <c r="U11" s="8" t="inlineStr"/>
      <c r="V11" s="8" t="inlineStr">
        <is>
          <t>data/item_templates.yaml:mission_chest_mid_autumn_moon_palace_trial.effect_payload</t>
        </is>
      </c>
    </row>
    <row r="12" ht="36" customHeight="1">
      <c r="A12" s="8" t="inlineStr">
        <is>
          <t>kasukabe_daisakusen</t>
        </is>
      </c>
      <c r="B12" s="8" t="inlineStr">
        <is>
          <t>春日部大作战</t>
        </is>
      </c>
      <c r="C12" s="8" t="inlineStr">
        <is>
          <t>mission_chest_kasukabe_daisakusen</t>
        </is>
      </c>
      <c r="D12" s="8" t="inlineStr">
        <is>
          <t>春日部大作战宝箱</t>
        </is>
      </c>
      <c r="E12" s="8" t="inlineStr">
        <is>
          <t>必得</t>
        </is>
      </c>
      <c r="F12" s="8" t="inlineStr">
        <is>
          <t>experience_fruit</t>
        </is>
      </c>
      <c r="G12" s="8" t="inlineStr">
        <is>
          <t>经验果</t>
        </is>
      </c>
      <c r="H12" s="8" t="inlineStr">
        <is>
          <t>green</t>
        </is>
      </c>
      <c r="I12" s="8" t="inlineStr">
        <is>
          <t>experience_items</t>
        </is>
      </c>
      <c r="J12" s="8" t="n">
        <v>1</v>
      </c>
      <c r="K12" s="8" t="n">
        <v>1</v>
      </c>
      <c r="L12" s="8" t="n">
        <v>1</v>
      </c>
      <c r="M12" s="8" t="n">
        <v>77</v>
      </c>
      <c r="N12" s="8" t="n">
        <v>77</v>
      </c>
      <c r="O12" s="8">
        <f>J12*K12/L12</f>
        <v>1.0</v>
      </c>
      <c r="P12" s="8">
        <f>(M12+N12)/2</f>
        <v>77.0</v>
      </c>
      <c r="Q12" s="8">
        <f>O12*P12</f>
        <v>77.0</v>
      </c>
      <c r="R12" s="8" t="n">
        <v>1</v>
      </c>
      <c r="S12" s="8">
        <f>Q12*R12</f>
        <v>77.0</v>
      </c>
      <c r="T12" s="8" t="n"/>
      <c r="U12" s="8" t="inlineStr"/>
      <c r="V12" s="8" t="inlineStr">
        <is>
          <t>data/item_templates.yaml:mission_chest_kasukabe_daisakusen.effect_payload</t>
        </is>
      </c>
    </row>
    <row r="13" ht="36" customHeight="1">
      <c r="A13" s="8" t="inlineStr">
        <is>
          <t>kasukabe_daisakusen</t>
        </is>
      </c>
      <c r="B13" s="8" t="inlineStr">
        <is>
          <t>春日部大作战</t>
        </is>
      </c>
      <c r="C13" s="8" t="inlineStr">
        <is>
          <t>mission_chest_kasukabe_daisakusen</t>
        </is>
      </c>
      <c r="D13" s="8" t="inlineStr">
        <is>
          <t>春日部大作战宝箱</t>
        </is>
      </c>
      <c r="E13" s="8" t="inlineStr">
        <is>
          <t>必得</t>
        </is>
      </c>
      <c r="F13" s="8" t="inlineStr">
        <is>
          <t>kasukabe_crayon</t>
        </is>
      </c>
      <c r="G13" s="8" t="inlineStr">
        <is>
          <t>小新的蜡笔</t>
        </is>
      </c>
      <c r="H13" s="8" t="inlineStr">
        <is>
          <t>blue</t>
        </is>
      </c>
      <c r="I13" s="8" t="inlineStr">
        <is>
          <t>tool</t>
        </is>
      </c>
      <c r="J13" s="8" t="n">
        <v>1</v>
      </c>
      <c r="K13" s="8" t="n">
        <v>1</v>
      </c>
      <c r="L13" s="8" t="n">
        <v>1</v>
      </c>
      <c r="M13" s="8" t="n">
        <v>1</v>
      </c>
      <c r="N13" s="8" t="n">
        <v>1</v>
      </c>
      <c r="O13" s="8">
        <f>J13*K13/L13</f>
        <v>1.0</v>
      </c>
      <c r="P13" s="8">
        <f>(M13+N13)/2</f>
        <v>1.0</v>
      </c>
      <c r="Q13" s="8">
        <f>O13*P13</f>
        <v>1.0</v>
      </c>
      <c r="R13" s="8" t="n">
        <v>0</v>
      </c>
      <c r="S13" s="8">
        <f>Q13*R13</f>
        <v>0.0</v>
      </c>
      <c r="T13" s="8" t="n"/>
      <c r="U13" s="8" t="inlineStr"/>
      <c r="V13" s="8" t="inlineStr">
        <is>
          <t>data/item_templates.yaml:mission_chest_kasukabe_daisakusen.effect_payload</t>
        </is>
      </c>
    </row>
    <row r="14" ht="36" customHeight="1">
      <c r="A14" s="8" t="inlineStr">
        <is>
          <t>kasukabe_daisakusen</t>
        </is>
      </c>
      <c r="B14" s="8" t="inlineStr">
        <is>
          <t>春日部大作战</t>
        </is>
      </c>
      <c r="C14" s="8" t="inlineStr">
        <is>
          <t>mission_chest_kasukabe_daisakusen</t>
        </is>
      </c>
      <c r="D14" s="8" t="inlineStr">
        <is>
          <t>春日部大作战宝箱</t>
        </is>
      </c>
      <c r="E14" s="8" t="inlineStr">
        <is>
          <t>必得</t>
        </is>
      </c>
      <c r="F14" s="8" t="inlineStr">
        <is>
          <t>buxuedan</t>
        </is>
      </c>
      <c r="G14" s="8" t="inlineStr">
        <is>
          <t>补血丹</t>
        </is>
      </c>
      <c r="H14" s="8" t="inlineStr">
        <is>
          <t>black</t>
        </is>
      </c>
      <c r="I14" s="8" t="inlineStr">
        <is>
          <t>medicine</t>
        </is>
      </c>
      <c r="J14" s="8" t="n">
        <v>1</v>
      </c>
      <c r="K14" s="8" t="n">
        <v>1</v>
      </c>
      <c r="L14" s="8" t="n">
        <v>1</v>
      </c>
      <c r="M14" s="8" t="n">
        <v>2</v>
      </c>
      <c r="N14" s="8" t="n">
        <v>2</v>
      </c>
      <c r="O14" s="8">
        <f>J14*K14/L14</f>
        <v>1.0</v>
      </c>
      <c r="P14" s="8">
        <f>(M14+N14)/2</f>
        <v>2.0</v>
      </c>
      <c r="Q14" s="8">
        <f>O14*P14</f>
        <v>2.0</v>
      </c>
      <c r="R14" s="8" t="n">
        <v>0</v>
      </c>
      <c r="S14" s="8">
        <f>Q14*R14</f>
        <v>0.0</v>
      </c>
      <c r="T14" s="8" t="n"/>
      <c r="U14" s="8" t="inlineStr"/>
      <c r="V14" s="8" t="inlineStr">
        <is>
          <t>data/item_templates.yaml:mission_chest_kasukabe_daisakusen.effect_payload</t>
        </is>
      </c>
    </row>
    <row r="15" ht="36" customHeight="1">
      <c r="A15" s="8" t="inlineStr">
        <is>
          <t>kasukabe_daisakusen</t>
        </is>
      </c>
      <c r="B15" s="8" t="inlineStr">
        <is>
          <t>春日部大作战</t>
        </is>
      </c>
      <c r="C15" s="8" t="inlineStr">
        <is>
          <t>mission_chest_kasukabe_daisakusen</t>
        </is>
      </c>
      <c r="D15" s="8" t="inlineStr">
        <is>
          <t>春日部大作战宝箱</t>
        </is>
      </c>
      <c r="E15" s="8" t="inlineStr">
        <is>
          <t>kasukabe_crayon_bonus_1</t>
        </is>
      </c>
      <c r="F15" s="8" t="inlineStr">
        <is>
          <t>kasukabe_crayon</t>
        </is>
      </c>
      <c r="G15" s="8" t="inlineStr">
        <is>
          <t>小新的蜡笔</t>
        </is>
      </c>
      <c r="H15" s="8" t="inlineStr">
        <is>
          <t>blue</t>
        </is>
      </c>
      <c r="I15" s="8" t="inlineStr">
        <is>
          <t>tool</t>
        </is>
      </c>
      <c r="J15" s="8" t="n">
        <v>0.55</v>
      </c>
      <c r="K15" s="8" t="n">
        <v>1</v>
      </c>
      <c r="L15" s="8" t="n">
        <v>1</v>
      </c>
      <c r="M15" s="8" t="n">
        <v>1</v>
      </c>
      <c r="N15" s="8" t="n">
        <v>1</v>
      </c>
      <c r="O15" s="8">
        <f>J15*K15/L15</f>
        <v>0.55</v>
      </c>
      <c r="P15" s="8">
        <f>(M15+N15)/2</f>
        <v>1.0</v>
      </c>
      <c r="Q15" s="8">
        <f>O15*P15</f>
        <v>0.55</v>
      </c>
      <c r="R15" s="8" t="n">
        <v>0</v>
      </c>
      <c r="S15" s="8">
        <f>Q15*R15</f>
        <v>0.0</v>
      </c>
      <c r="T15" s="8" t="n"/>
      <c r="U15" s="8" t="inlineStr"/>
      <c r="V15" s="8" t="inlineStr">
        <is>
          <t>data/item_templates.yaml:mission_chest_kasukabe_daisakusen.effect_payload</t>
        </is>
      </c>
    </row>
    <row r="16" ht="36" customHeight="1">
      <c r="A16" s="8" t="inlineStr">
        <is>
          <t>kasukabe_daisakusen</t>
        </is>
      </c>
      <c r="B16" s="8" t="inlineStr">
        <is>
          <t>春日部大作战</t>
        </is>
      </c>
      <c r="C16" s="8" t="inlineStr">
        <is>
          <t>mission_chest_kasukabe_daisakusen</t>
        </is>
      </c>
      <c r="D16" s="8" t="inlineStr">
        <is>
          <t>春日部大作战宝箱</t>
        </is>
      </c>
      <c r="E16" s="8" t="inlineStr">
        <is>
          <t>kasukabe_crayon_bonus_2</t>
        </is>
      </c>
      <c r="F16" s="8" t="inlineStr">
        <is>
          <t>kasukabe_crayon</t>
        </is>
      </c>
      <c r="G16" s="8" t="inlineStr">
        <is>
          <t>小新的蜡笔</t>
        </is>
      </c>
      <c r="H16" s="8" t="inlineStr">
        <is>
          <t>blue</t>
        </is>
      </c>
      <c r="I16" s="8" t="inlineStr">
        <is>
          <t>tool</t>
        </is>
      </c>
      <c r="J16" s="8" t="n">
        <v>0.25</v>
      </c>
      <c r="K16" s="8" t="n">
        <v>1</v>
      </c>
      <c r="L16" s="8" t="n">
        <v>1</v>
      </c>
      <c r="M16" s="8" t="n">
        <v>2</v>
      </c>
      <c r="N16" s="8" t="n">
        <v>2</v>
      </c>
      <c r="O16" s="8">
        <f>J16*K16/L16</f>
        <v>0.25</v>
      </c>
      <c r="P16" s="8">
        <f>(M16+N16)/2</f>
        <v>2.0</v>
      </c>
      <c r="Q16" s="8">
        <f>O16*P16</f>
        <v>0.5</v>
      </c>
      <c r="R16" s="8" t="n">
        <v>0</v>
      </c>
      <c r="S16" s="8">
        <f>Q16*R16</f>
        <v>0.0</v>
      </c>
      <c r="T16" s="8" t="n"/>
      <c r="U16" s="8" t="inlineStr"/>
      <c r="V16" s="8" t="inlineStr">
        <is>
          <t>data/item_templates.yaml:mission_chest_kasukabe_daisakusen.effect_payload</t>
        </is>
      </c>
    </row>
    <row r="17" ht="36" customHeight="1">
      <c r="A17" s="8" t="inlineStr">
        <is>
          <t>kasukabe_daisakusen</t>
        </is>
      </c>
      <c r="B17" s="8" t="inlineStr">
        <is>
          <t>春日部大作战</t>
        </is>
      </c>
      <c r="C17" s="8" t="inlineStr">
        <is>
          <t>mission_chest_kasukabe_daisakusen</t>
        </is>
      </c>
      <c r="D17" s="8" t="inlineStr">
        <is>
          <t>春日部大作战宝箱</t>
        </is>
      </c>
      <c r="E17" s="8" t="inlineStr">
        <is>
          <t>kasukabe_crayon_bonus_4</t>
        </is>
      </c>
      <c r="F17" s="8" t="inlineStr">
        <is>
          <t>kasukabe_crayon</t>
        </is>
      </c>
      <c r="G17" s="8" t="inlineStr">
        <is>
          <t>小新的蜡笔</t>
        </is>
      </c>
      <c r="H17" s="8" t="inlineStr">
        <is>
          <t>blue</t>
        </is>
      </c>
      <c r="I17" s="8" t="inlineStr">
        <is>
          <t>tool</t>
        </is>
      </c>
      <c r="J17" s="8" t="n">
        <v>0.08</v>
      </c>
      <c r="K17" s="8" t="n">
        <v>1</v>
      </c>
      <c r="L17" s="8" t="n">
        <v>1</v>
      </c>
      <c r="M17" s="8" t="n">
        <v>4</v>
      </c>
      <c r="N17" s="8" t="n">
        <v>4</v>
      </c>
      <c r="O17" s="8">
        <f>J17*K17/L17</f>
        <v>0.08</v>
      </c>
      <c r="P17" s="8">
        <f>(M17+N17)/2</f>
        <v>4.0</v>
      </c>
      <c r="Q17" s="8">
        <f>O17*P17</f>
        <v>0.32</v>
      </c>
      <c r="R17" s="8" t="n">
        <v>0</v>
      </c>
      <c r="S17" s="8">
        <f>Q17*R17</f>
        <v>0.0</v>
      </c>
      <c r="T17" s="8" t="n"/>
      <c r="U17" s="8" t="inlineStr"/>
      <c r="V17" s="8" t="inlineStr">
        <is>
          <t>data/item_templates.yaml:mission_chest_kasukabe_daisakusen.effect_payload</t>
        </is>
      </c>
    </row>
    <row r="18" ht="36" customHeight="1">
      <c r="A18" s="8" t="inlineStr">
        <is>
          <t>kasukabe_daisakusen</t>
        </is>
      </c>
      <c r="B18" s="8" t="inlineStr">
        <is>
          <t>春日部大作战</t>
        </is>
      </c>
      <c r="C18" s="8" t="inlineStr">
        <is>
          <t>mission_chest_kasukabe_daisakusen</t>
        </is>
      </c>
      <c r="D18" s="8" t="inlineStr">
        <is>
          <t>春日部大作战宝箱</t>
        </is>
      </c>
      <c r="E18" s="8" t="inlineStr">
        <is>
          <t>kasukabe_crayon_bonus_10</t>
        </is>
      </c>
      <c r="F18" s="8" t="inlineStr">
        <is>
          <t>kasukabe_crayon</t>
        </is>
      </c>
      <c r="G18" s="8" t="inlineStr">
        <is>
          <t>小新的蜡笔</t>
        </is>
      </c>
      <c r="H18" s="8" t="inlineStr">
        <is>
          <t>blue</t>
        </is>
      </c>
      <c r="I18" s="8" t="inlineStr">
        <is>
          <t>tool</t>
        </is>
      </c>
      <c r="J18" s="8" t="n">
        <v>0.015</v>
      </c>
      <c r="K18" s="8" t="n">
        <v>1</v>
      </c>
      <c r="L18" s="8" t="n">
        <v>1</v>
      </c>
      <c r="M18" s="8" t="n">
        <v>10</v>
      </c>
      <c r="N18" s="8" t="n">
        <v>10</v>
      </c>
      <c r="O18" s="8">
        <f>J18*K18/L18</f>
        <v>0.015</v>
      </c>
      <c r="P18" s="8">
        <f>(M18+N18)/2</f>
        <v>10.0</v>
      </c>
      <c r="Q18" s="8">
        <f>O18*P18</f>
        <v>0.15</v>
      </c>
      <c r="R18" s="8" t="n">
        <v>0</v>
      </c>
      <c r="S18" s="8">
        <f>Q18*R18</f>
        <v>0.0</v>
      </c>
      <c r="T18" s="8" t="n"/>
      <c r="U18" s="8" t="inlineStr"/>
      <c r="V18" s="8" t="inlineStr">
        <is>
          <t>data/item_templates.yaml:mission_chest_kasukabe_daisakusen.effect_payload</t>
        </is>
      </c>
    </row>
    <row r="19" ht="36" customHeight="1">
      <c r="A19" s="8" t="inlineStr">
        <is>
          <t>kasukabe_daisakusen</t>
        </is>
      </c>
      <c r="B19" s="8" t="inlineStr">
        <is>
          <t>春日部大作战</t>
        </is>
      </c>
      <c r="C19" s="8" t="inlineStr">
        <is>
          <t>mission_chest_kasukabe_daisakusen</t>
        </is>
      </c>
      <c r="D19" s="8" t="inlineStr">
        <is>
          <t>春日部大作战宝箱</t>
        </is>
      </c>
      <c r="E19" s="8" t="inlineStr">
        <is>
          <t>experience_pineapple</t>
        </is>
      </c>
      <c r="F19" s="8" t="inlineStr">
        <is>
          <t>experience_pineapple</t>
        </is>
      </c>
      <c r="G19" s="8" t="inlineStr">
        <is>
          <t>经验菠萝</t>
        </is>
      </c>
      <c r="H19" s="8" t="inlineStr">
        <is>
          <t>blue</t>
        </is>
      </c>
      <c r="I19" s="8" t="inlineStr">
        <is>
          <t>experience_items</t>
        </is>
      </c>
      <c r="J19" s="8" t="n">
        <v>0.35</v>
      </c>
      <c r="K19" s="8" t="n">
        <v>1</v>
      </c>
      <c r="L19" s="8" t="n">
        <v>1</v>
      </c>
      <c r="M19" s="8" t="n">
        <v>3</v>
      </c>
      <c r="N19" s="8" t="n">
        <v>3</v>
      </c>
      <c r="O19" s="8">
        <f>J19*K19/L19</f>
        <v>0.35</v>
      </c>
      <c r="P19" s="8">
        <f>(M19+N19)/2</f>
        <v>3.0</v>
      </c>
      <c r="Q19" s="8">
        <f>O19*P19</f>
        <v>1.0499999999999998</v>
      </c>
      <c r="R19" s="8" t="n">
        <v>16</v>
      </c>
      <c r="S19" s="8">
        <f>Q19*R19</f>
        <v>16.799999999999997</v>
      </c>
      <c r="T19" s="8" t="n"/>
      <c r="U19" s="8" t="inlineStr"/>
      <c r="V19" s="8" t="inlineStr">
        <is>
          <t>data/item_templates.yaml:mission_chest_kasukabe_daisakusen.effect_payload</t>
        </is>
      </c>
    </row>
    <row r="20" ht="36" customHeight="1">
      <c r="A20" s="8" t="inlineStr">
        <is>
          <t>kasukabe_daisakusen</t>
        </is>
      </c>
      <c r="B20" s="8" t="inlineStr">
        <is>
          <t>春日部大作战</t>
        </is>
      </c>
      <c r="C20" s="8" t="inlineStr">
        <is>
          <t>mission_chest_kasukabe_daisakusen</t>
        </is>
      </c>
      <c r="D20" s="8" t="inlineStr">
        <is>
          <t>春日部大作战宝箱</t>
        </is>
      </c>
      <c r="E20" s="8" t="inlineStr">
        <is>
          <t>experience_watermelon</t>
        </is>
      </c>
      <c r="F20" s="8" t="inlineStr">
        <is>
          <t>experience_watermelon</t>
        </is>
      </c>
      <c r="G20" s="8" t="inlineStr">
        <is>
          <t>经验西瓜</t>
        </is>
      </c>
      <c r="H20" s="8" t="inlineStr">
        <is>
          <t>purple</t>
        </is>
      </c>
      <c r="I20" s="8" t="inlineStr">
        <is>
          <t>experience_items</t>
        </is>
      </c>
      <c r="J20" s="8" t="n">
        <v>0.05</v>
      </c>
      <c r="K20" s="8" t="n">
        <v>1</v>
      </c>
      <c r="L20" s="8" t="n">
        <v>1</v>
      </c>
      <c r="M20" s="8" t="n">
        <v>1</v>
      </c>
      <c r="N20" s="8" t="n">
        <v>1</v>
      </c>
      <c r="O20" s="8">
        <f>J20*K20/L20</f>
        <v>0.05</v>
      </c>
      <c r="P20" s="8">
        <f>(M20+N20)/2</f>
        <v>1.0</v>
      </c>
      <c r="Q20" s="8">
        <f>O20*P20</f>
        <v>0.05</v>
      </c>
      <c r="R20" s="8" t="n">
        <v>24</v>
      </c>
      <c r="S20" s="8">
        <f>Q20*R20</f>
        <v>1.2000000000000002</v>
      </c>
      <c r="T20" s="8" t="n"/>
      <c r="U20" s="8" t="inlineStr"/>
      <c r="V20" s="8" t="inlineStr">
        <is>
          <t>data/item_templates.yaml:mission_chest_kasukabe_daisakusen.effect_payload</t>
        </is>
      </c>
    </row>
    <row r="21" ht="36" customHeight="1">
      <c r="A21" s="8" t="inlineStr">
        <is>
          <t>kasukabe_daisakusen</t>
        </is>
      </c>
      <c r="B21" s="8" t="inlineStr">
        <is>
          <t>春日部大作战</t>
        </is>
      </c>
      <c r="C21" s="8" t="inlineStr">
        <is>
          <t>mission_chest_kasukabe_daisakusen</t>
        </is>
      </c>
      <c r="D21" s="8" t="inlineStr">
        <is>
          <t>春日部大作战宝箱</t>
        </is>
      </c>
      <c r="E21" s="8" t="inlineStr">
        <is>
          <t>buxuedan</t>
        </is>
      </c>
      <c r="F21" s="8" t="inlineStr">
        <is>
          <t>buxuedan</t>
        </is>
      </c>
      <c r="G21" s="8" t="inlineStr">
        <is>
          <t>补血丹</t>
        </is>
      </c>
      <c r="H21" s="8" t="inlineStr">
        <is>
          <t>black</t>
        </is>
      </c>
      <c r="I21" s="8" t="inlineStr">
        <is>
          <t>medicine</t>
        </is>
      </c>
      <c r="J21" s="8" t="n">
        <v>0.45</v>
      </c>
      <c r="K21" s="8" t="n">
        <v>1</v>
      </c>
      <c r="L21" s="8" t="n">
        <v>1</v>
      </c>
      <c r="M21" s="8" t="n">
        <v>6</v>
      </c>
      <c r="N21" s="8" t="n">
        <v>6</v>
      </c>
      <c r="O21" s="8">
        <f>J21*K21/L21</f>
        <v>0.45</v>
      </c>
      <c r="P21" s="8">
        <f>(M21+N21)/2</f>
        <v>6.0</v>
      </c>
      <c r="Q21" s="8">
        <f>O21*P21</f>
        <v>2.7</v>
      </c>
      <c r="R21" s="8" t="n">
        <v>0</v>
      </c>
      <c r="S21" s="8">
        <f>Q21*R21</f>
        <v>0.0</v>
      </c>
      <c r="T21" s="8" t="n"/>
      <c r="U21" s="8" t="inlineStr"/>
      <c r="V21" s="8" t="inlineStr">
        <is>
          <t>data/item_templates.yaml:mission_chest_kasukabe_daisakusen.effect_payload</t>
        </is>
      </c>
    </row>
    <row r="22" ht="36" customHeight="1">
      <c r="A22" s="8" t="inlineStr">
        <is>
          <t>kasukabe_daisakusen</t>
        </is>
      </c>
      <c r="B22" s="8" t="inlineStr">
        <is>
          <t>春日部大作战</t>
        </is>
      </c>
      <c r="C22" s="8" t="inlineStr">
        <is>
          <t>mission_chest_kasukabe_daisakusen</t>
        </is>
      </c>
      <c r="D22" s="8" t="inlineStr">
        <is>
          <t>春日部大作战宝箱</t>
        </is>
      </c>
      <c r="E22" s="8" t="inlineStr">
        <is>
          <t>fangdajing</t>
        </is>
      </c>
      <c r="F22" s="8" t="inlineStr">
        <is>
          <t>fangdajing</t>
        </is>
      </c>
      <c r="G22" s="8" t="inlineStr">
        <is>
          <t>放大镜</t>
        </is>
      </c>
      <c r="H22" s="8" t="inlineStr">
        <is>
          <t>green</t>
        </is>
      </c>
      <c r="I22" s="8" t="inlineStr">
        <is>
          <t>tool</t>
        </is>
      </c>
      <c r="J22" s="8" t="n">
        <v>0.18</v>
      </c>
      <c r="K22" s="8" t="n">
        <v>1</v>
      </c>
      <c r="L22" s="8" t="n">
        <v>1</v>
      </c>
      <c r="M22" s="8" t="n">
        <v>2</v>
      </c>
      <c r="N22" s="8" t="n">
        <v>2</v>
      </c>
      <c r="O22" s="8">
        <f>J22*K22/L22</f>
        <v>0.18</v>
      </c>
      <c r="P22" s="8">
        <f>(M22+N22)/2</f>
        <v>2.0</v>
      </c>
      <c r="Q22" s="8">
        <f>O22*P22</f>
        <v>0.36</v>
      </c>
      <c r="R22" s="8" t="n">
        <v>0</v>
      </c>
      <c r="S22" s="8">
        <f>Q22*R22</f>
        <v>0.0</v>
      </c>
      <c r="T22" s="8" t="n"/>
      <c r="U22" s="8" t="inlineStr"/>
      <c r="V22" s="8" t="inlineStr">
        <is>
          <t>data/item_templates.yaml:mission_chest_kasukabe_daisakusen.effect_payload</t>
        </is>
      </c>
    </row>
    <row r="23" ht="36" customHeight="1">
      <c r="A23" s="8" t="inlineStr">
        <is>
          <t>kasukabe_daisakusen</t>
        </is>
      </c>
      <c r="B23" s="8" t="inlineStr">
        <is>
          <t>春日部大作战</t>
        </is>
      </c>
      <c r="C23" s="8" t="inlineStr">
        <is>
          <t>mission_chest_kasukabe_daisakusen</t>
        </is>
      </c>
      <c r="D23" s="8" t="inlineStr">
        <is>
          <t>春日部大作战宝箱</t>
        </is>
      </c>
      <c r="E23" s="8" t="inlineStr">
        <is>
          <t>mission_card</t>
        </is>
      </c>
      <c r="F23" s="8" t="inlineStr">
        <is>
          <t>mission_card</t>
        </is>
      </c>
      <c r="G23" s="8" t="inlineStr">
        <is>
          <t>任务卡</t>
        </is>
      </c>
      <c r="H23" s="8" t="inlineStr">
        <is>
          <t>blue</t>
        </is>
      </c>
      <c r="I23" s="8" t="inlineStr">
        <is>
          <t>tool</t>
        </is>
      </c>
      <c r="J23" s="8" t="n">
        <v>0.08</v>
      </c>
      <c r="K23" s="8" t="n">
        <v>1</v>
      </c>
      <c r="L23" s="8" t="n">
        <v>1</v>
      </c>
      <c r="M23" s="8" t="n">
        <v>1</v>
      </c>
      <c r="N23" s="8" t="n">
        <v>1</v>
      </c>
      <c r="O23" s="8">
        <f>J23*K23/L23</f>
        <v>0.08</v>
      </c>
      <c r="P23" s="8">
        <f>(M23+N23)/2</f>
        <v>1.0</v>
      </c>
      <c r="Q23" s="8">
        <f>O23*P23</f>
        <v>0.08</v>
      </c>
      <c r="R23" s="8" t="n">
        <v>0</v>
      </c>
      <c r="S23" s="8">
        <f>Q23*R23</f>
        <v>0.0</v>
      </c>
      <c r="T23" s="8" t="n"/>
      <c r="U23" s="8" t="inlineStr"/>
      <c r="V23" s="8" t="inlineStr">
        <is>
          <t>data/item_templates.yaml:mission_chest_kasukabe_daisakusen.effect_payload</t>
        </is>
      </c>
    </row>
    <row r="24" ht="36" customHeight="1">
      <c r="A24" s="8" t="inlineStr">
        <is>
          <t>kasukabe_daisakusen</t>
        </is>
      </c>
      <c r="B24" s="8" t="inlineStr">
        <is>
          <t>春日部大作战</t>
        </is>
      </c>
      <c r="C24" s="8" t="inlineStr">
        <is>
          <t>mission_chest_kasukabe_daisakusen</t>
        </is>
      </c>
      <c r="D24" s="8" t="inlineStr">
        <is>
          <t>春日部大作战宝箱</t>
        </is>
      </c>
      <c r="E24" s="8" t="inlineStr">
        <is>
          <t>主题装备</t>
        </is>
      </c>
      <c r="F24" s="8" t="inlineStr">
        <is>
          <t>equip_action_mask</t>
        </is>
      </c>
      <c r="G24" s="8" t="inlineStr">
        <is>
          <t>动感超人面具</t>
        </is>
      </c>
      <c r="H24" s="8" t="inlineStr">
        <is>
          <t>blue</t>
        </is>
      </c>
      <c r="I24" s="8" t="inlineStr">
        <is>
          <t>equip_helmet</t>
        </is>
      </c>
      <c r="J24" s="8" t="n">
        <v>0.39</v>
      </c>
      <c r="K24" s="8" t="n">
        <v>10000</v>
      </c>
      <c r="L24" s="8" t="n">
        <v>39000</v>
      </c>
      <c r="M24" s="8" t="n">
        <v>1</v>
      </c>
      <c r="N24" s="8" t="n">
        <v>1</v>
      </c>
      <c r="O24" s="8">
        <f>J24*K24/L24</f>
        <v>0.1</v>
      </c>
      <c r="P24" s="8">
        <f>(M24+N24)/2</f>
        <v>1.0</v>
      </c>
      <c r="Q24" s="8">
        <f>O24*P24</f>
        <v>0.1</v>
      </c>
      <c r="R24" s="8" t="n">
        <v>0</v>
      </c>
      <c r="S24" s="8">
        <f>Q24*R24</f>
        <v>0.0</v>
      </c>
      <c r="T24" s="8" t="n"/>
      <c r="U24" s="8" t="inlineStr"/>
      <c r="V24" s="8" t="inlineStr">
        <is>
          <t>data/item_templates.yaml:mission_chest_kasukabe_daisakusen.effect_payload</t>
        </is>
      </c>
    </row>
    <row r="25" ht="36" customHeight="1">
      <c r="A25" s="8" t="inlineStr">
        <is>
          <t>kasukabe_daisakusen</t>
        </is>
      </c>
      <c r="B25" s="8" t="inlineStr">
        <is>
          <t>春日部大作战</t>
        </is>
      </c>
      <c r="C25" s="8" t="inlineStr">
        <is>
          <t>mission_chest_kasukabe_daisakusen</t>
        </is>
      </c>
      <c r="D25" s="8" t="inlineStr">
        <is>
          <t>春日部大作战宝箱</t>
        </is>
      </c>
      <c r="E25" s="8" t="inlineStr">
        <is>
          <t>主题装备</t>
        </is>
      </c>
      <c r="F25" s="8" t="inlineStr">
        <is>
          <t>equip_shiro_leash</t>
        </is>
      </c>
      <c r="G25" s="8" t="inlineStr">
        <is>
          <t>小白的散步绳</t>
        </is>
      </c>
      <c r="H25" s="8" t="inlineStr">
        <is>
          <t>blue</t>
        </is>
      </c>
      <c r="I25" s="8" t="inlineStr">
        <is>
          <t>equip_ornament</t>
        </is>
      </c>
      <c r="J25" s="8" t="n">
        <v>0.39</v>
      </c>
      <c r="K25" s="8" t="n">
        <v>10000</v>
      </c>
      <c r="L25" s="8" t="n">
        <v>39000</v>
      </c>
      <c r="M25" s="8" t="n">
        <v>1</v>
      </c>
      <c r="N25" s="8" t="n">
        <v>1</v>
      </c>
      <c r="O25" s="8">
        <f>J25*K25/L25</f>
        <v>0.1</v>
      </c>
      <c r="P25" s="8">
        <f>(M25+N25)/2</f>
        <v>1.0</v>
      </c>
      <c r="Q25" s="8">
        <f>O25*P25</f>
        <v>0.1</v>
      </c>
      <c r="R25" s="8" t="n">
        <v>0</v>
      </c>
      <c r="S25" s="8">
        <f>Q25*R25</f>
        <v>0.0</v>
      </c>
      <c r="T25" s="8" t="n"/>
      <c r="U25" s="8" t="inlineStr"/>
      <c r="V25" s="8" t="inlineStr">
        <is>
          <t>data/item_templates.yaml:mission_chest_kasukabe_daisakusen.effect_payload</t>
        </is>
      </c>
    </row>
    <row r="26" ht="36" customHeight="1">
      <c r="A26" s="8" t="inlineStr">
        <is>
          <t>kasukabe_daisakusen</t>
        </is>
      </c>
      <c r="B26" s="8" t="inlineStr">
        <is>
          <t>春日部大作战</t>
        </is>
      </c>
      <c r="C26" s="8" t="inlineStr">
        <is>
          <t>mission_chest_kasukabe_daisakusen</t>
        </is>
      </c>
      <c r="D26" s="8" t="inlineStr">
        <is>
          <t>春日部大作战宝箱</t>
        </is>
      </c>
      <c r="E26" s="8" t="inlineStr">
        <is>
          <t>主题装备</t>
        </is>
      </c>
      <c r="F26" s="8" t="inlineStr">
        <is>
          <t>equip_kasukabe_satchel</t>
        </is>
      </c>
      <c r="G26" s="8" t="inlineStr">
        <is>
          <t>春日部小书包</t>
        </is>
      </c>
      <c r="H26" s="8" t="inlineStr">
        <is>
          <t>blue</t>
        </is>
      </c>
      <c r="I26" s="8" t="inlineStr">
        <is>
          <t>equip_armor</t>
        </is>
      </c>
      <c r="J26" s="8" t="n">
        <v>0.39</v>
      </c>
      <c r="K26" s="8" t="n">
        <v>8000</v>
      </c>
      <c r="L26" s="8" t="n">
        <v>39000</v>
      </c>
      <c r="M26" s="8" t="n">
        <v>1</v>
      </c>
      <c r="N26" s="8" t="n">
        <v>1</v>
      </c>
      <c r="O26" s="8">
        <f>J26*K26/L26</f>
        <v>0.08</v>
      </c>
      <c r="P26" s="8">
        <f>(M26+N26)/2</f>
        <v>1.0</v>
      </c>
      <c r="Q26" s="8">
        <f>O26*P26</f>
        <v>0.08</v>
      </c>
      <c r="R26" s="8" t="n">
        <v>0</v>
      </c>
      <c r="S26" s="8">
        <f>Q26*R26</f>
        <v>0.0</v>
      </c>
      <c r="T26" s="8" t="n"/>
      <c r="U26" s="8" t="inlineStr"/>
      <c r="V26" s="8" t="inlineStr">
        <is>
          <t>data/item_templates.yaml:mission_chest_kasukabe_daisakusen.effect_payload</t>
        </is>
      </c>
    </row>
    <row r="27" ht="36" customHeight="1">
      <c r="A27" s="8" t="inlineStr">
        <is>
          <t>kasukabe_daisakusen</t>
        </is>
      </c>
      <c r="B27" s="8" t="inlineStr">
        <is>
          <t>春日部大作战</t>
        </is>
      </c>
      <c r="C27" s="8" t="inlineStr">
        <is>
          <t>mission_chest_kasukabe_daisakusen</t>
        </is>
      </c>
      <c r="D27" s="8" t="inlineStr">
        <is>
          <t>春日部大作战宝箱</t>
        </is>
      </c>
      <c r="E27" s="8" t="inlineStr">
        <is>
          <t>主题装备</t>
        </is>
      </c>
      <c r="F27" s="8" t="inlineStr">
        <is>
          <t>equip_action_beam_glove</t>
        </is>
      </c>
      <c r="G27" s="8" t="inlineStr">
        <is>
          <t>动感光波手套</t>
        </is>
      </c>
      <c r="H27" s="8" t="inlineStr">
        <is>
          <t>blue</t>
        </is>
      </c>
      <c r="I27" s="8" t="inlineStr">
        <is>
          <t>equip_weapon</t>
        </is>
      </c>
      <c r="J27" s="8" t="n">
        <v>0.39</v>
      </c>
      <c r="K27" s="8" t="n">
        <v>6000</v>
      </c>
      <c r="L27" s="8" t="n">
        <v>39000</v>
      </c>
      <c r="M27" s="8" t="n">
        <v>1</v>
      </c>
      <c r="N27" s="8" t="n">
        <v>1</v>
      </c>
      <c r="O27" s="8">
        <f>J27*K27/L27</f>
        <v>0.06</v>
      </c>
      <c r="P27" s="8">
        <f>(M27+N27)/2</f>
        <v>1.0</v>
      </c>
      <c r="Q27" s="8">
        <f>O27*P27</f>
        <v>0.06</v>
      </c>
      <c r="R27" s="8" t="n">
        <v>0</v>
      </c>
      <c r="S27" s="8">
        <f>Q27*R27</f>
        <v>0.0</v>
      </c>
      <c r="T27" s="8" t="n"/>
      <c r="U27" s="8" t="inlineStr"/>
      <c r="V27" s="8" t="inlineStr">
        <is>
          <t>data/item_templates.yaml:mission_chest_kasukabe_daisakusen.effect_payload</t>
        </is>
      </c>
    </row>
    <row r="28" ht="36" customHeight="1">
      <c r="A28" s="8" t="inlineStr">
        <is>
          <t>kasukabe_daisakusen</t>
        </is>
      </c>
      <c r="B28" s="8" t="inlineStr">
        <is>
          <t>春日部大作战</t>
        </is>
      </c>
      <c r="C28" s="8" t="inlineStr">
        <is>
          <t>mission_chest_kasukabe_daisakusen</t>
        </is>
      </c>
      <c r="D28" s="8" t="inlineStr">
        <is>
          <t>春日部大作战宝箱</t>
        </is>
      </c>
      <c r="E28" s="8" t="inlineStr">
        <is>
          <t>主题装备</t>
        </is>
      </c>
      <c r="F28" s="8" t="inlineStr">
        <is>
          <t>equip_nohara_pan</t>
        </is>
      </c>
      <c r="G28" s="8" t="inlineStr">
        <is>
          <t>野原家的平底锅</t>
        </is>
      </c>
      <c r="H28" s="8" t="inlineStr">
        <is>
          <t>blue</t>
        </is>
      </c>
      <c r="I28" s="8" t="inlineStr">
        <is>
          <t>equip_weapon</t>
        </is>
      </c>
      <c r="J28" s="8" t="n">
        <v>0.39</v>
      </c>
      <c r="K28" s="8" t="n">
        <v>5000</v>
      </c>
      <c r="L28" s="8" t="n">
        <v>39000</v>
      </c>
      <c r="M28" s="8" t="n">
        <v>1</v>
      </c>
      <c r="N28" s="8" t="n">
        <v>1</v>
      </c>
      <c r="O28" s="8">
        <f>J28*K28/L28</f>
        <v>0.05</v>
      </c>
      <c r="P28" s="8">
        <f>(M28+N28)/2</f>
        <v>1.0</v>
      </c>
      <c r="Q28" s="8">
        <f>O28*P28</f>
        <v>0.05</v>
      </c>
      <c r="R28" s="8" t="n">
        <v>0</v>
      </c>
      <c r="S28" s="8">
        <f>Q28*R28</f>
        <v>0.0</v>
      </c>
      <c r="T28" s="8" t="n"/>
      <c r="U28" s="8" t="inlineStr"/>
      <c r="V28" s="8" t="inlineStr">
        <is>
          <t>data/item_templates.yaml:mission_chest_kasukabe_daisakusen.effect_payload</t>
        </is>
      </c>
    </row>
    <row r="29" ht="36" customHeight="1">
      <c r="A29" s="8" t="inlineStr">
        <is>
          <t>huashan_lunjian</t>
        </is>
      </c>
      <c r="B29" s="8" t="inlineStr">
        <is>
          <t>华山论贱</t>
        </is>
      </c>
      <c r="C29" s="8" t="inlineStr">
        <is>
          <t>mission_chest_huashan_lunjian</t>
        </is>
      </c>
      <c r="D29" s="8" t="inlineStr">
        <is>
          <t>华山论贱宝箱</t>
        </is>
      </c>
      <c r="E29" s="8" t="inlineStr">
        <is>
          <t>必得</t>
        </is>
      </c>
      <c r="F29" s="8" t="inlineStr">
        <is>
          <t>experience_fruit</t>
        </is>
      </c>
      <c r="G29" s="8" t="inlineStr">
        <is>
          <t>经验果</t>
        </is>
      </c>
      <c r="H29" s="8" t="inlineStr">
        <is>
          <t>green</t>
        </is>
      </c>
      <c r="I29" s="8" t="inlineStr">
        <is>
          <t>experience_items</t>
        </is>
      </c>
      <c r="J29" s="8" t="n">
        <v>1</v>
      </c>
      <c r="K29" s="8" t="n">
        <v>1</v>
      </c>
      <c r="L29" s="8" t="n">
        <v>1</v>
      </c>
      <c r="M29" s="8" t="n">
        <v>2</v>
      </c>
      <c r="N29" s="8" t="n">
        <v>2</v>
      </c>
      <c r="O29" s="8">
        <f>J29*K29/L29</f>
        <v>1.0</v>
      </c>
      <c r="P29" s="8">
        <f>(M29+N29)/2</f>
        <v>2.0</v>
      </c>
      <c r="Q29" s="8">
        <f>O29*P29</f>
        <v>2.0</v>
      </c>
      <c r="R29" s="8" t="n">
        <v>1</v>
      </c>
      <c r="S29" s="8">
        <f>Q29*R29</f>
        <v>2.0</v>
      </c>
      <c r="T29" s="8" t="n"/>
      <c r="U29" s="8" t="inlineStr"/>
      <c r="V29" s="8" t="inlineStr">
        <is>
          <t>data/item_templates.yaml:mission_chest_huashan_lunjian.effect_payload</t>
        </is>
      </c>
    </row>
    <row r="30" ht="36" customHeight="1">
      <c r="A30" s="8" t="inlineStr">
        <is>
          <t>huashan_lunjian</t>
        </is>
      </c>
      <c r="B30" s="8" t="inlineStr">
        <is>
          <t>华山论贱</t>
        </is>
      </c>
      <c r="C30" s="8" t="inlineStr">
        <is>
          <t>mission_chest_huashan_lunjian</t>
        </is>
      </c>
      <c r="D30" s="8" t="inlineStr">
        <is>
          <t>华山论贱宝箱</t>
        </is>
      </c>
      <c r="E30" s="8" t="inlineStr">
        <is>
          <t>必得</t>
        </is>
      </c>
      <c r="F30" s="8" t="inlineStr">
        <is>
          <t>zhixuesan</t>
        </is>
      </c>
      <c r="G30" s="8" t="inlineStr">
        <is>
          <t>止血散</t>
        </is>
      </c>
      <c r="H30" s="8" t="inlineStr">
        <is>
          <t>black</t>
        </is>
      </c>
      <c r="I30" s="8" t="inlineStr">
        <is>
          <t>medicine</t>
        </is>
      </c>
      <c r="J30" s="8" t="n">
        <v>1</v>
      </c>
      <c r="K30" s="8" t="n">
        <v>1</v>
      </c>
      <c r="L30" s="8" t="n">
        <v>1</v>
      </c>
      <c r="M30" s="8" t="n">
        <v>2</v>
      </c>
      <c r="N30" s="8" t="n">
        <v>2</v>
      </c>
      <c r="O30" s="8">
        <f>J30*K30/L30</f>
        <v>1.0</v>
      </c>
      <c r="P30" s="8">
        <f>(M30+N30)/2</f>
        <v>2.0</v>
      </c>
      <c r="Q30" s="8">
        <f>O30*P30</f>
        <v>2.0</v>
      </c>
      <c r="R30" s="8" t="n">
        <v>0</v>
      </c>
      <c r="S30" s="8">
        <f>Q30*R30</f>
        <v>0.0</v>
      </c>
      <c r="T30" s="8" t="n"/>
      <c r="U30" s="8" t="inlineStr"/>
      <c r="V30" s="8" t="inlineStr">
        <is>
          <t>data/item_templates.yaml:mission_chest_huashan_lunjian.effect_payload</t>
        </is>
      </c>
    </row>
    <row r="31" ht="36" customHeight="1">
      <c r="A31" s="8" t="inlineStr">
        <is>
          <t>huashan_lunjian</t>
        </is>
      </c>
      <c r="B31" s="8" t="inlineStr">
        <is>
          <t>华山论贱</t>
        </is>
      </c>
      <c r="C31" s="8" t="inlineStr">
        <is>
          <t>mission_chest_huashan_lunjian</t>
        </is>
      </c>
      <c r="D31" s="8" t="inlineStr">
        <is>
          <t>华山论贱宝箱</t>
        </is>
      </c>
      <c r="E31" s="8" t="inlineStr">
        <is>
          <t>必得</t>
        </is>
      </c>
      <c r="F31" s="8" t="inlineStr">
        <is>
          <t>tong</t>
        </is>
      </c>
      <c r="G31" s="8" t="inlineStr">
        <is>
          <t>铜</t>
        </is>
      </c>
      <c r="H31" s="8" t="inlineStr">
        <is>
          <t>black</t>
        </is>
      </c>
      <c r="I31" s="8" t="inlineStr">
        <is>
          <t>resource</t>
        </is>
      </c>
      <c r="J31" s="8" t="n">
        <v>1</v>
      </c>
      <c r="K31" s="8" t="n">
        <v>1</v>
      </c>
      <c r="L31" s="8" t="n">
        <v>1</v>
      </c>
      <c r="M31" s="8" t="n">
        <v>5</v>
      </c>
      <c r="N31" s="8" t="n">
        <v>5</v>
      </c>
      <c r="O31" s="8">
        <f>J31*K31/L31</f>
        <v>1.0</v>
      </c>
      <c r="P31" s="8">
        <f>(M31+N31)/2</f>
        <v>5.0</v>
      </c>
      <c r="Q31" s="8">
        <f>O31*P31</f>
        <v>5.0</v>
      </c>
      <c r="R31" s="8" t="n">
        <v>0</v>
      </c>
      <c r="S31" s="8">
        <f>Q31*R31</f>
        <v>0.0</v>
      </c>
      <c r="T31" s="8" t="n"/>
      <c r="U31" s="8" t="inlineStr"/>
      <c r="V31" s="8" t="inlineStr">
        <is>
          <t>data/item_templates.yaml:mission_chest_huashan_lunjian.effect_payload</t>
        </is>
      </c>
    </row>
    <row r="32" ht="36" customHeight="1">
      <c r="A32" s="8" t="inlineStr">
        <is>
          <t>huashan_lunjian</t>
        </is>
      </c>
      <c r="B32" s="8" t="inlineStr">
        <is>
          <t>华山论贱</t>
        </is>
      </c>
      <c r="C32" s="8" t="inlineStr">
        <is>
          <t>mission_chest_huashan_lunjian</t>
        </is>
      </c>
      <c r="D32" s="8" t="inlineStr">
        <is>
          <t>华山论贱宝箱</t>
        </is>
      </c>
      <c r="E32" s="8" t="inlineStr">
        <is>
          <t>必得</t>
        </is>
      </c>
      <c r="F32" s="8" t="inlineStr">
        <is>
          <t>xi</t>
        </is>
      </c>
      <c r="G32" s="8" t="inlineStr">
        <is>
          <t>锡</t>
        </is>
      </c>
      <c r="H32" s="8" t="inlineStr">
        <is>
          <t>black</t>
        </is>
      </c>
      <c r="I32" s="8" t="inlineStr">
        <is>
          <t>resource</t>
        </is>
      </c>
      <c r="J32" s="8" t="n">
        <v>1</v>
      </c>
      <c r="K32" s="8" t="n">
        <v>1</v>
      </c>
      <c r="L32" s="8" t="n">
        <v>1</v>
      </c>
      <c r="M32" s="8" t="n">
        <v>2</v>
      </c>
      <c r="N32" s="8" t="n">
        <v>2</v>
      </c>
      <c r="O32" s="8">
        <f>J32*K32/L32</f>
        <v>1.0</v>
      </c>
      <c r="P32" s="8">
        <f>(M32+N32)/2</f>
        <v>2.0</v>
      </c>
      <c r="Q32" s="8">
        <f>O32*P32</f>
        <v>2.0</v>
      </c>
      <c r="R32" s="8" t="n">
        <v>0</v>
      </c>
      <c r="S32" s="8">
        <f>Q32*R32</f>
        <v>0.0</v>
      </c>
      <c r="T32" s="8" t="n"/>
      <c r="U32" s="8" t="inlineStr"/>
      <c r="V32" s="8" t="inlineStr">
        <is>
          <t>data/item_templates.yaml:mission_chest_huashan_lunjian.effect_payload</t>
        </is>
      </c>
    </row>
    <row r="33" ht="36" customHeight="1">
      <c r="A33" s="8" t="inlineStr">
        <is>
          <t>huashan_lunjian</t>
        </is>
      </c>
      <c r="B33" s="8" t="inlineStr">
        <is>
          <t>华山论贱</t>
        </is>
      </c>
      <c r="C33" s="8" t="inlineStr">
        <is>
          <t>mission_chest_huashan_lunjian</t>
        </is>
      </c>
      <c r="D33" s="8" t="inlineStr">
        <is>
          <t>华山论贱宝箱</t>
        </is>
      </c>
      <c r="E33" s="8" t="inlineStr">
        <is>
          <t>必得</t>
        </is>
      </c>
      <c r="F33" s="8" t="inlineStr">
        <is>
          <t>tie</t>
        </is>
      </c>
      <c r="G33" s="8" t="inlineStr">
        <is>
          <t>铁</t>
        </is>
      </c>
      <c r="H33" s="8" t="inlineStr">
        <is>
          <t>black</t>
        </is>
      </c>
      <c r="I33" s="8" t="inlineStr">
        <is>
          <t>resource</t>
        </is>
      </c>
      <c r="J33" s="8" t="n">
        <v>1</v>
      </c>
      <c r="K33" s="8" t="n">
        <v>1</v>
      </c>
      <c r="L33" s="8" t="n">
        <v>1</v>
      </c>
      <c r="M33" s="8" t="n">
        <v>1</v>
      </c>
      <c r="N33" s="8" t="n">
        <v>1</v>
      </c>
      <c r="O33" s="8">
        <f>J33*K33/L33</f>
        <v>1.0</v>
      </c>
      <c r="P33" s="8">
        <f>(M33+N33)/2</f>
        <v>1.0</v>
      </c>
      <c r="Q33" s="8">
        <f>O33*P33</f>
        <v>1.0</v>
      </c>
      <c r="R33" s="8" t="n">
        <v>0</v>
      </c>
      <c r="S33" s="8">
        <f>Q33*R33</f>
        <v>0.0</v>
      </c>
      <c r="T33" s="8" t="n"/>
      <c r="U33" s="8" t="inlineStr"/>
      <c r="V33" s="8" t="inlineStr">
        <is>
          <t>data/item_templates.yaml:mission_chest_huashan_lunjian.effect_payload</t>
        </is>
      </c>
    </row>
    <row r="34" ht="36" customHeight="1">
      <c r="A34" s="8" t="inlineStr">
        <is>
          <t>huashan_lunjian</t>
        </is>
      </c>
      <c r="B34" s="8" t="inlineStr">
        <is>
          <t>华山论贱</t>
        </is>
      </c>
      <c r="C34" s="8" t="inlineStr">
        <is>
          <t>mission_chest_huashan_lunjian</t>
        </is>
      </c>
      <c r="D34" s="8" t="inlineStr">
        <is>
          <t>华山论贱宝箱</t>
        </is>
      </c>
      <c r="E34" s="8" t="inlineStr">
        <is>
          <t>book_thunder_control</t>
        </is>
      </c>
      <c r="F34" s="8" t="inlineStr">
        <is>
          <t>book_thunder_control</t>
        </is>
      </c>
      <c r="G34" s="8" t="inlineStr">
        <is>
          <t>《驭雷术》秘术</t>
        </is>
      </c>
      <c r="H34" s="8" t="inlineStr">
        <is>
          <t>green</t>
        </is>
      </c>
      <c r="I34" s="8" t="inlineStr">
        <is>
          <t>skill_book</t>
        </is>
      </c>
      <c r="J34" s="8" t="n">
        <v>0.05</v>
      </c>
      <c r="K34" s="8" t="n">
        <v>1</v>
      </c>
      <c r="L34" s="8" t="n">
        <v>1</v>
      </c>
      <c r="M34" s="8" t="n">
        <v>1</v>
      </c>
      <c r="N34" s="8" t="n">
        <v>1</v>
      </c>
      <c r="O34" s="8">
        <f>J34*K34/L34</f>
        <v>0.05</v>
      </c>
      <c r="P34" s="8">
        <f>(M34+N34)/2</f>
        <v>1.0</v>
      </c>
      <c r="Q34" s="8">
        <f>O34*P34</f>
        <v>0.05</v>
      </c>
      <c r="R34" s="8" t="n">
        <v>0</v>
      </c>
      <c r="S34" s="8">
        <f>Q34*R34</f>
        <v>0.0</v>
      </c>
      <c r="T34" s="8" t="n"/>
      <c r="U34" s="8" t="inlineStr"/>
      <c r="V34" s="8" t="inlineStr">
        <is>
          <t>data/item_templates.yaml:mission_chest_huashan_lunjian.effect_payload</t>
        </is>
      </c>
    </row>
    <row r="35" ht="36" customHeight="1">
      <c r="A35" s="8" t="inlineStr">
        <is>
          <t>huashan_lunjian</t>
        </is>
      </c>
      <c r="B35" s="8" t="inlineStr">
        <is>
          <t>华山论贱</t>
        </is>
      </c>
      <c r="C35" s="8" t="inlineStr">
        <is>
          <t>mission_chest_huashan_lunjian</t>
        </is>
      </c>
      <c r="D35" s="8" t="inlineStr">
        <is>
          <t>华山论贱宝箱</t>
        </is>
      </c>
      <c r="E35" s="8" t="inlineStr">
        <is>
          <t>huashan_equipment_pool</t>
        </is>
      </c>
      <c r="F35" s="8" t="inlineStr">
        <is>
          <t>equip_shushengzhesan</t>
        </is>
      </c>
      <c r="G35" s="8" t="inlineStr">
        <is>
          <t>书生折扇</t>
        </is>
      </c>
      <c r="H35" s="8" t="inlineStr">
        <is>
          <t>green</t>
        </is>
      </c>
      <c r="I35" s="8" t="inlineStr">
        <is>
          <t>equip_weapon</t>
        </is>
      </c>
      <c r="J35" s="8" t="n">
        <v>0.6</v>
      </c>
      <c r="K35" s="8" t="n">
        <v>1</v>
      </c>
      <c r="L35" s="8" t="n">
        <v>2</v>
      </c>
      <c r="M35" s="8" t="n">
        <v>1</v>
      </c>
      <c r="N35" s="8" t="n">
        <v>1</v>
      </c>
      <c r="O35" s="8">
        <f>J35*K35/L35</f>
        <v>0.3</v>
      </c>
      <c r="P35" s="8">
        <f>(M35+N35)/2</f>
        <v>1.0</v>
      </c>
      <c r="Q35" s="8">
        <f>O35*P35</f>
        <v>0.3</v>
      </c>
      <c r="R35" s="8" t="n">
        <v>0</v>
      </c>
      <c r="S35" s="8">
        <f>Q35*R35</f>
        <v>0.0</v>
      </c>
      <c r="T35" s="8" t="n"/>
      <c r="U35" s="8" t="inlineStr"/>
      <c r="V35" s="8" t="inlineStr">
        <is>
          <t>data/item_templates.yaml:mission_chest_huashan_lunjian.effect_payload</t>
        </is>
      </c>
    </row>
    <row r="36" ht="36" customHeight="1">
      <c r="A36" s="8" t="inlineStr">
        <is>
          <t>huashan_lunjian</t>
        </is>
      </c>
      <c r="B36" s="8" t="inlineStr">
        <is>
          <t>华山论贱</t>
        </is>
      </c>
      <c r="C36" s="8" t="inlineStr">
        <is>
          <t>mission_chest_huashan_lunjian</t>
        </is>
      </c>
      <c r="D36" s="8" t="inlineStr">
        <is>
          <t>华山论贱宝箱</t>
        </is>
      </c>
      <c r="E36" s="8" t="inlineStr">
        <is>
          <t>huashan_equipment_pool</t>
        </is>
      </c>
      <c r="F36" s="8" t="inlineStr">
        <is>
          <t>equip_yanlingmao</t>
        </is>
      </c>
      <c r="G36" s="8" t="inlineStr">
        <is>
          <t>雁翎帽</t>
        </is>
      </c>
      <c r="H36" s="8" t="inlineStr">
        <is>
          <t>green</t>
        </is>
      </c>
      <c r="I36" s="8" t="inlineStr">
        <is>
          <t>equip_helmet</t>
        </is>
      </c>
      <c r="J36" s="8" t="n">
        <v>0.6</v>
      </c>
      <c r="K36" s="8" t="n">
        <v>1</v>
      </c>
      <c r="L36" s="8" t="n">
        <v>2</v>
      </c>
      <c r="M36" s="8" t="n">
        <v>1</v>
      </c>
      <c r="N36" s="8" t="n">
        <v>1</v>
      </c>
      <c r="O36" s="8">
        <f>J36*K36/L36</f>
        <v>0.3</v>
      </c>
      <c r="P36" s="8">
        <f>(M36+N36)/2</f>
        <v>1.0</v>
      </c>
      <c r="Q36" s="8">
        <f>O36*P36</f>
        <v>0.3</v>
      </c>
      <c r="R36" s="8" t="n">
        <v>0</v>
      </c>
      <c r="S36" s="8">
        <f>Q36*R36</f>
        <v>0.0</v>
      </c>
      <c r="T36" s="8" t="n"/>
      <c r="U36" s="8" t="inlineStr"/>
      <c r="V36" s="8" t="inlineStr">
        <is>
          <t>data/item_templates.yaml:mission_chest_huashan_lunjian.effect_payload</t>
        </is>
      </c>
    </row>
    <row r="37" ht="36" customHeight="1">
      <c r="A37" s="8" t="inlineStr">
        <is>
          <t>wagangzhai_nixi</t>
        </is>
      </c>
      <c r="B37" s="8" t="inlineStr">
        <is>
          <t>瓦岗寨的逆袭</t>
        </is>
      </c>
      <c r="C37" s="8" t="inlineStr">
        <is>
          <t>mission_chest_wagangzhai_nixi</t>
        </is>
      </c>
      <c r="D37" s="8" t="inlineStr">
        <is>
          <t>瓦岗寨的逆袭宝箱</t>
        </is>
      </c>
      <c r="E37" s="8" t="inlineStr">
        <is>
          <t>必得</t>
        </is>
      </c>
      <c r="F37" s="8" t="inlineStr">
        <is>
          <t>experience_fruit</t>
        </is>
      </c>
      <c r="G37" s="8" t="inlineStr">
        <is>
          <t>经验果</t>
        </is>
      </c>
      <c r="H37" s="8" t="inlineStr">
        <is>
          <t>green</t>
        </is>
      </c>
      <c r="I37" s="8" t="inlineStr">
        <is>
          <t>experience_items</t>
        </is>
      </c>
      <c r="J37" s="8" t="n">
        <v>1</v>
      </c>
      <c r="K37" s="8" t="n">
        <v>1</v>
      </c>
      <c r="L37" s="8" t="n">
        <v>1</v>
      </c>
      <c r="M37" s="8" t="n">
        <v>81</v>
      </c>
      <c r="N37" s="8" t="n">
        <v>81</v>
      </c>
      <c r="O37" s="8">
        <f>J37*K37/L37</f>
        <v>1.0</v>
      </c>
      <c r="P37" s="8">
        <f>(M37+N37)/2</f>
        <v>81.0</v>
      </c>
      <c r="Q37" s="8">
        <f>O37*P37</f>
        <v>81.0</v>
      </c>
      <c r="R37" s="8" t="n">
        <v>1</v>
      </c>
      <c r="S37" s="8">
        <f>Q37*R37</f>
        <v>81.0</v>
      </c>
      <c r="T37" s="8" t="n"/>
      <c r="U37" s="8" t="inlineStr"/>
      <c r="V37" s="8" t="inlineStr">
        <is>
          <t>data/item_templates.yaml:mission_chest_wagangzhai_nixi.effect_payload</t>
        </is>
      </c>
    </row>
    <row r="38" ht="36" customHeight="1">
      <c r="A38" s="8" t="inlineStr">
        <is>
          <t>wagangzhai_nixi</t>
        </is>
      </c>
      <c r="B38" s="8" t="inlineStr">
        <is>
          <t>瓦岗寨的逆袭</t>
        </is>
      </c>
      <c r="C38" s="8" t="inlineStr">
        <is>
          <t>mission_chest_wagangzhai_nixi</t>
        </is>
      </c>
      <c r="D38" s="8" t="inlineStr">
        <is>
          <t>瓦岗寨的逆袭宝箱</t>
        </is>
      </c>
      <c r="E38" s="8" t="inlineStr">
        <is>
          <t>必得</t>
        </is>
      </c>
      <c r="F38" s="8" t="inlineStr">
        <is>
          <t>buxuedan</t>
        </is>
      </c>
      <c r="G38" s="8" t="inlineStr">
        <is>
          <t>补血丹</t>
        </is>
      </c>
      <c r="H38" s="8" t="inlineStr">
        <is>
          <t>black</t>
        </is>
      </c>
      <c r="I38" s="8" t="inlineStr">
        <is>
          <t>medicine</t>
        </is>
      </c>
      <c r="J38" s="8" t="n">
        <v>1</v>
      </c>
      <c r="K38" s="8" t="n">
        <v>1</v>
      </c>
      <c r="L38" s="8" t="n">
        <v>1</v>
      </c>
      <c r="M38" s="8" t="n">
        <v>2</v>
      </c>
      <c r="N38" s="8" t="n">
        <v>2</v>
      </c>
      <c r="O38" s="8">
        <f>J38*K38/L38</f>
        <v>1.0</v>
      </c>
      <c r="P38" s="8">
        <f>(M38+N38)/2</f>
        <v>2.0</v>
      </c>
      <c r="Q38" s="8">
        <f>O38*P38</f>
        <v>2.0</v>
      </c>
      <c r="R38" s="8" t="n">
        <v>0</v>
      </c>
      <c r="S38" s="8">
        <f>Q38*R38</f>
        <v>0.0</v>
      </c>
      <c r="T38" s="8" t="n"/>
      <c r="U38" s="8" t="inlineStr"/>
      <c r="V38" s="8" t="inlineStr">
        <is>
          <t>data/item_templates.yaml:mission_chest_wagangzhai_nixi.effect_payload</t>
        </is>
      </c>
    </row>
    <row r="39" ht="36" customHeight="1">
      <c r="A39" s="8" t="inlineStr">
        <is>
          <t>wagangzhai_nixi</t>
        </is>
      </c>
      <c r="B39" s="8" t="inlineStr">
        <is>
          <t>瓦岗寨的逆袭</t>
        </is>
      </c>
      <c r="C39" s="8" t="inlineStr">
        <is>
          <t>mission_chest_wagangzhai_nixi</t>
        </is>
      </c>
      <c r="D39" s="8" t="inlineStr">
        <is>
          <t>瓦岗寨的逆袭宝箱</t>
        </is>
      </c>
      <c r="E39" s="8" t="inlineStr">
        <is>
          <t>必得</t>
        </is>
      </c>
      <c r="F39" s="8" t="inlineStr">
        <is>
          <t>tong</t>
        </is>
      </c>
      <c r="G39" s="8" t="inlineStr">
        <is>
          <t>铜</t>
        </is>
      </c>
      <c r="H39" s="8" t="inlineStr">
        <is>
          <t>black</t>
        </is>
      </c>
      <c r="I39" s="8" t="inlineStr">
        <is>
          <t>resource</t>
        </is>
      </c>
      <c r="J39" s="8" t="n">
        <v>1</v>
      </c>
      <c r="K39" s="8" t="n">
        <v>1</v>
      </c>
      <c r="L39" s="8" t="n">
        <v>1</v>
      </c>
      <c r="M39" s="8" t="n">
        <v>8</v>
      </c>
      <c r="N39" s="8" t="n">
        <v>8</v>
      </c>
      <c r="O39" s="8">
        <f>J39*K39/L39</f>
        <v>1.0</v>
      </c>
      <c r="P39" s="8">
        <f>(M39+N39)/2</f>
        <v>8.0</v>
      </c>
      <c r="Q39" s="8">
        <f>O39*P39</f>
        <v>8.0</v>
      </c>
      <c r="R39" s="8" t="n">
        <v>0</v>
      </c>
      <c r="S39" s="8">
        <f>Q39*R39</f>
        <v>0.0</v>
      </c>
      <c r="T39" s="8" t="n"/>
      <c r="U39" s="8" t="inlineStr"/>
      <c r="V39" s="8" t="inlineStr">
        <is>
          <t>data/item_templates.yaml:mission_chest_wagangzhai_nixi.effect_payload</t>
        </is>
      </c>
    </row>
    <row r="40" ht="36" customHeight="1">
      <c r="A40" s="8" t="inlineStr">
        <is>
          <t>wagangzhai_nixi</t>
        </is>
      </c>
      <c r="B40" s="8" t="inlineStr">
        <is>
          <t>瓦岗寨的逆袭</t>
        </is>
      </c>
      <c r="C40" s="8" t="inlineStr">
        <is>
          <t>mission_chest_wagangzhai_nixi</t>
        </is>
      </c>
      <c r="D40" s="8" t="inlineStr">
        <is>
          <t>瓦岗寨的逆袭宝箱</t>
        </is>
      </c>
      <c r="E40" s="8" t="inlineStr">
        <is>
          <t>必得</t>
        </is>
      </c>
      <c r="F40" s="8" t="inlineStr">
        <is>
          <t>xi</t>
        </is>
      </c>
      <c r="G40" s="8" t="inlineStr">
        <is>
          <t>锡</t>
        </is>
      </c>
      <c r="H40" s="8" t="inlineStr">
        <is>
          <t>black</t>
        </is>
      </c>
      <c r="I40" s="8" t="inlineStr">
        <is>
          <t>resource</t>
        </is>
      </c>
      <c r="J40" s="8" t="n">
        <v>1</v>
      </c>
      <c r="K40" s="8" t="n">
        <v>1</v>
      </c>
      <c r="L40" s="8" t="n">
        <v>1</v>
      </c>
      <c r="M40" s="8" t="n">
        <v>5</v>
      </c>
      <c r="N40" s="8" t="n">
        <v>5</v>
      </c>
      <c r="O40" s="8">
        <f>J40*K40/L40</f>
        <v>1.0</v>
      </c>
      <c r="P40" s="8">
        <f>(M40+N40)/2</f>
        <v>5.0</v>
      </c>
      <c r="Q40" s="8">
        <f>O40*P40</f>
        <v>5.0</v>
      </c>
      <c r="R40" s="8" t="n">
        <v>0</v>
      </c>
      <c r="S40" s="8">
        <f>Q40*R40</f>
        <v>0.0</v>
      </c>
      <c r="T40" s="8" t="n"/>
      <c r="U40" s="8" t="inlineStr"/>
      <c r="V40" s="8" t="inlineStr">
        <is>
          <t>data/item_templates.yaml:mission_chest_wagangzhai_nixi.effect_payload</t>
        </is>
      </c>
    </row>
    <row r="41" ht="36" customHeight="1">
      <c r="A41" s="8" t="inlineStr">
        <is>
          <t>wagangzhai_nixi</t>
        </is>
      </c>
      <c r="B41" s="8" t="inlineStr">
        <is>
          <t>瓦岗寨的逆袭</t>
        </is>
      </c>
      <c r="C41" s="8" t="inlineStr">
        <is>
          <t>mission_chest_wagangzhai_nixi</t>
        </is>
      </c>
      <c r="D41" s="8" t="inlineStr">
        <is>
          <t>瓦岗寨的逆袭宝箱</t>
        </is>
      </c>
      <c r="E41" s="8" t="inlineStr">
        <is>
          <t>必得</t>
        </is>
      </c>
      <c r="F41" s="8" t="inlineStr">
        <is>
          <t>tie</t>
        </is>
      </c>
      <c r="G41" s="8" t="inlineStr">
        <is>
          <t>铁</t>
        </is>
      </c>
      <c r="H41" s="8" t="inlineStr">
        <is>
          <t>black</t>
        </is>
      </c>
      <c r="I41" s="8" t="inlineStr">
        <is>
          <t>resource</t>
        </is>
      </c>
      <c r="J41" s="8" t="n">
        <v>1</v>
      </c>
      <c r="K41" s="8" t="n">
        <v>1</v>
      </c>
      <c r="L41" s="8" t="n">
        <v>1</v>
      </c>
      <c r="M41" s="8" t="n">
        <v>3</v>
      </c>
      <c r="N41" s="8" t="n">
        <v>3</v>
      </c>
      <c r="O41" s="8">
        <f>J41*K41/L41</f>
        <v>1.0</v>
      </c>
      <c r="P41" s="8">
        <f>(M41+N41)/2</f>
        <v>3.0</v>
      </c>
      <c r="Q41" s="8">
        <f>O41*P41</f>
        <v>3.0</v>
      </c>
      <c r="R41" s="8" t="n">
        <v>0</v>
      </c>
      <c r="S41" s="8">
        <f>Q41*R41</f>
        <v>0.0</v>
      </c>
      <c r="T41" s="8" t="n"/>
      <c r="U41" s="8" t="inlineStr"/>
      <c r="V41" s="8" t="inlineStr">
        <is>
          <t>data/item_templates.yaml:mission_chest_wagangzhai_nixi.effect_payload</t>
        </is>
      </c>
    </row>
    <row r="42" ht="36" customHeight="1">
      <c r="A42" s="8" t="inlineStr">
        <is>
          <t>wagangzhai_nixi</t>
        </is>
      </c>
      <c r="B42" s="8" t="inlineStr">
        <is>
          <t>瓦岗寨的逆袭</t>
        </is>
      </c>
      <c r="C42" s="8" t="inlineStr">
        <is>
          <t>mission_chest_wagangzhai_nixi</t>
        </is>
      </c>
      <c r="D42" s="8" t="inlineStr">
        <is>
          <t>瓦岗寨的逆袭宝箱</t>
        </is>
      </c>
      <c r="E42" s="8" t="inlineStr">
        <is>
          <t>book_ice_curse</t>
        </is>
      </c>
      <c r="F42" s="8" t="inlineStr">
        <is>
          <t>book_ice_curse</t>
        </is>
      </c>
      <c r="G42" s="8" t="inlineStr">
        <is>
          <t>《寒冰咒》秘术</t>
        </is>
      </c>
      <c r="H42" s="8" t="inlineStr">
        <is>
          <t>green</t>
        </is>
      </c>
      <c r="I42" s="8" t="inlineStr">
        <is>
          <t>skill_book</t>
        </is>
      </c>
      <c r="J42" s="8" t="n">
        <v>0.2</v>
      </c>
      <c r="K42" s="8" t="n">
        <v>1</v>
      </c>
      <c r="L42" s="8" t="n">
        <v>1</v>
      </c>
      <c r="M42" s="8" t="n">
        <v>1</v>
      </c>
      <c r="N42" s="8" t="n">
        <v>1</v>
      </c>
      <c r="O42" s="8">
        <f>J42*K42/L42</f>
        <v>0.2</v>
      </c>
      <c r="P42" s="8">
        <f>(M42+N42)/2</f>
        <v>1.0</v>
      </c>
      <c r="Q42" s="8">
        <f>O42*P42</f>
        <v>0.2</v>
      </c>
      <c r="R42" s="8" t="n">
        <v>0</v>
      </c>
      <c r="S42" s="8">
        <f>Q42*R42</f>
        <v>0.0</v>
      </c>
      <c r="T42" s="8" t="n"/>
      <c r="U42" s="8" t="inlineStr"/>
      <c r="V42" s="8" t="inlineStr">
        <is>
          <t>data/item_templates.yaml:mission_chest_wagangzhai_nixi.effect_payload</t>
        </is>
      </c>
    </row>
    <row r="43" ht="36" customHeight="1">
      <c r="A43" s="8" t="inlineStr">
        <is>
          <t>wagangzhai_nixi</t>
        </is>
      </c>
      <c r="B43" s="8" t="inlineStr">
        <is>
          <t>瓦岗寨的逆袭</t>
        </is>
      </c>
      <c r="C43" s="8" t="inlineStr">
        <is>
          <t>mission_chest_wagangzhai_nixi</t>
        </is>
      </c>
      <c r="D43" s="8" t="inlineStr">
        <is>
          <t>瓦岗寨的逆袭宝箱</t>
        </is>
      </c>
      <c r="E43" s="8" t="inlineStr">
        <is>
          <t>book_fatal_chain_sword</t>
        </is>
      </c>
      <c r="F43" s="8" t="inlineStr">
        <is>
          <t>book_fatal_chain_sword</t>
        </is>
      </c>
      <c r="G43" s="8" t="inlineStr">
        <is>
          <t>《夺命连环剑》秘术</t>
        </is>
      </c>
      <c r="H43" s="8" t="inlineStr">
        <is>
          <t>blue</t>
        </is>
      </c>
      <c r="I43" s="8" t="inlineStr">
        <is>
          <t>skill_book</t>
        </is>
      </c>
      <c r="J43" s="8" t="n">
        <v>0.04</v>
      </c>
      <c r="K43" s="8" t="n">
        <v>1</v>
      </c>
      <c r="L43" s="8" t="n">
        <v>1</v>
      </c>
      <c r="M43" s="8" t="n">
        <v>1</v>
      </c>
      <c r="N43" s="8" t="n">
        <v>1</v>
      </c>
      <c r="O43" s="8">
        <f>J43*K43/L43</f>
        <v>0.04</v>
      </c>
      <c r="P43" s="8">
        <f>(M43+N43)/2</f>
        <v>1.0</v>
      </c>
      <c r="Q43" s="8">
        <f>O43*P43</f>
        <v>0.04</v>
      </c>
      <c r="R43" s="8" t="n">
        <v>0</v>
      </c>
      <c r="S43" s="8">
        <f>Q43*R43</f>
        <v>0.0</v>
      </c>
      <c r="T43" s="8" t="n"/>
      <c r="U43" s="8" t="inlineStr"/>
      <c r="V43" s="8" t="inlineStr">
        <is>
          <t>data/item_templates.yaml:mission_chest_wagangzhai_nixi.effect_payload</t>
        </is>
      </c>
    </row>
    <row r="44" ht="36" customHeight="1">
      <c r="A44" s="8" t="inlineStr">
        <is>
          <t>wagangzhai_nixi</t>
        </is>
      </c>
      <c r="B44" s="8" t="inlineStr">
        <is>
          <t>瓦岗寨的逆袭</t>
        </is>
      </c>
      <c r="C44" s="8" t="inlineStr">
        <is>
          <t>mission_chest_wagangzhai_nixi</t>
        </is>
      </c>
      <c r="D44" s="8" t="inlineStr">
        <is>
          <t>瓦岗寨的逆袭宝箱</t>
        </is>
      </c>
      <c r="E44" s="8" t="inlineStr">
        <is>
          <t>experience_pineapple</t>
        </is>
      </c>
      <c r="F44" s="8" t="inlineStr">
        <is>
          <t>experience_pineapple</t>
        </is>
      </c>
      <c r="G44" s="8" t="inlineStr">
        <is>
          <t>经验菠萝</t>
        </is>
      </c>
      <c r="H44" s="8" t="inlineStr">
        <is>
          <t>blue</t>
        </is>
      </c>
      <c r="I44" s="8" t="inlineStr">
        <is>
          <t>experience_items</t>
        </is>
      </c>
      <c r="J44" s="8" t="n">
        <v>0.3</v>
      </c>
      <c r="K44" s="8" t="n">
        <v>1</v>
      </c>
      <c r="L44" s="8" t="n">
        <v>1</v>
      </c>
      <c r="M44" s="8" t="n">
        <v>5</v>
      </c>
      <c r="N44" s="8" t="n">
        <v>5</v>
      </c>
      <c r="O44" s="8">
        <f>J44*K44/L44</f>
        <v>0.3</v>
      </c>
      <c r="P44" s="8">
        <f>(M44+N44)/2</f>
        <v>5.0</v>
      </c>
      <c r="Q44" s="8">
        <f>O44*P44</f>
        <v>1.5</v>
      </c>
      <c r="R44" s="8" t="n">
        <v>16</v>
      </c>
      <c r="S44" s="8">
        <f>Q44*R44</f>
        <v>24.0</v>
      </c>
      <c r="T44" s="8" t="n"/>
      <c r="U44" s="8" t="inlineStr"/>
      <c r="V44" s="8" t="inlineStr">
        <is>
          <t>data/item_templates.yaml:mission_chest_wagangzhai_nixi.effect_payload</t>
        </is>
      </c>
    </row>
    <row r="45" ht="36" customHeight="1">
      <c r="A45" s="8" t="inlineStr">
        <is>
          <t>wagangzhai_nixi</t>
        </is>
      </c>
      <c r="B45" s="8" t="inlineStr">
        <is>
          <t>瓦岗寨的逆袭</t>
        </is>
      </c>
      <c r="C45" s="8" t="inlineStr">
        <is>
          <t>mission_chest_wagangzhai_nixi</t>
        </is>
      </c>
      <c r="D45" s="8" t="inlineStr">
        <is>
          <t>瓦岗寨的逆袭宝箱</t>
        </is>
      </c>
      <c r="E45" s="8" t="inlineStr">
        <is>
          <t>军阵目标</t>
        </is>
      </c>
      <c r="F45" s="8" t="inlineStr">
        <is>
          <t>equip_pojunhufu</t>
        </is>
      </c>
      <c r="G45" s="8" t="inlineStr">
        <is>
          <t>破军虎符</t>
        </is>
      </c>
      <c r="H45" s="8" t="inlineStr">
        <is>
          <t>purple</t>
        </is>
      </c>
      <c r="I45" s="8" t="inlineStr">
        <is>
          <t>equip_ornament</t>
        </is>
      </c>
      <c r="J45" s="8" t="n">
        <v>0.11</v>
      </c>
      <c r="K45" s="8" t="n">
        <v>6</v>
      </c>
      <c r="L45" s="8" t="n">
        <v>11</v>
      </c>
      <c r="M45" s="8" t="n">
        <v>1</v>
      </c>
      <c r="N45" s="8" t="n">
        <v>1</v>
      </c>
      <c r="O45" s="8">
        <f>J45*K45/L45</f>
        <v>0.060000000000000005</v>
      </c>
      <c r="P45" s="8">
        <f>(M45+N45)/2</f>
        <v>1.0</v>
      </c>
      <c r="Q45" s="8">
        <f>O45*P45</f>
        <v>0.060000000000000005</v>
      </c>
      <c r="R45" s="8" t="n">
        <v>0</v>
      </c>
      <c r="S45" s="8">
        <f>Q45*R45</f>
        <v>0.0</v>
      </c>
      <c r="T45" s="8" t="n"/>
      <c r="U45" s="8" t="inlineStr"/>
      <c r="V45" s="8" t="inlineStr">
        <is>
          <t>data/item_templates.yaml:mission_chest_wagangzhai_nixi.effect_payload</t>
        </is>
      </c>
    </row>
    <row r="46" ht="36" customHeight="1">
      <c r="A46" s="8" t="inlineStr">
        <is>
          <t>wagangzhai_nixi</t>
        </is>
      </c>
      <c r="B46" s="8" t="inlineStr">
        <is>
          <t>瓦岗寨的逆袭</t>
        </is>
      </c>
      <c r="C46" s="8" t="inlineStr">
        <is>
          <t>mission_chest_wagangzhai_nixi</t>
        </is>
      </c>
      <c r="D46" s="8" t="inlineStr">
        <is>
          <t>瓦岗寨的逆袭宝箱</t>
        </is>
      </c>
      <c r="E46" s="8" t="inlineStr">
        <is>
          <t>军阵目标</t>
        </is>
      </c>
      <c r="F46" s="8" t="inlineStr">
        <is>
          <t>equip_xuanjiazhanju</t>
        </is>
      </c>
      <c r="G46" s="8" t="inlineStr">
        <is>
          <t>玄甲战驹</t>
        </is>
      </c>
      <c r="H46" s="8" t="inlineStr">
        <is>
          <t>purple</t>
        </is>
      </c>
      <c r="I46" s="8" t="inlineStr">
        <is>
          <t>equip_mount</t>
        </is>
      </c>
      <c r="J46" s="8" t="n">
        <v>0.11</v>
      </c>
      <c r="K46" s="8" t="n">
        <v>5</v>
      </c>
      <c r="L46" s="8" t="n">
        <v>11</v>
      </c>
      <c r="M46" s="8" t="n">
        <v>1</v>
      </c>
      <c r="N46" s="8" t="n">
        <v>1</v>
      </c>
      <c r="O46" s="8">
        <f>J46*K46/L46</f>
        <v>0.05</v>
      </c>
      <c r="P46" s="8">
        <f>(M46+N46)/2</f>
        <v>1.0</v>
      </c>
      <c r="Q46" s="8">
        <f>O46*P46</f>
        <v>0.05</v>
      </c>
      <c r="R46" s="8" t="n">
        <v>0</v>
      </c>
      <c r="S46" s="8">
        <f>Q46*R46</f>
        <v>0.0</v>
      </c>
      <c r="T46" s="8" t="n"/>
      <c r="U46" s="8" t="inlineStr"/>
      <c r="V46" s="8" t="inlineStr">
        <is>
          <t>data/item_templates.yaml:mission_chest_wagangzhai_nixi.effect_payload</t>
        </is>
      </c>
    </row>
    <row r="47" ht="36" customHeight="1">
      <c r="A47" s="8" t="inlineStr">
        <is>
          <t>wagangzhai_nixi</t>
        </is>
      </c>
      <c r="B47" s="8" t="inlineStr">
        <is>
          <t>瓦岗寨的逆袭</t>
        </is>
      </c>
      <c r="C47" s="8" t="inlineStr">
        <is>
          <t>mission_chest_wagangzhai_nixi</t>
        </is>
      </c>
      <c r="D47" s="8" t="inlineStr">
        <is>
          <t>瓦岗寨的逆袭宝箱</t>
        </is>
      </c>
      <c r="E47" s="8" t="inlineStr">
        <is>
          <t>主题装备</t>
        </is>
      </c>
      <c r="F47" s="8" t="inlineStr">
        <is>
          <t>equip_feiyunzui</t>
        </is>
      </c>
      <c r="G47" s="8" t="inlineStr">
        <is>
          <t>飞云锥</t>
        </is>
      </c>
      <c r="H47" s="8" t="inlineStr">
        <is>
          <t>blue</t>
        </is>
      </c>
      <c r="I47" s="8" t="inlineStr">
        <is>
          <t>equip_mount</t>
        </is>
      </c>
      <c r="J47" s="8" t="n">
        <v>0.34</v>
      </c>
      <c r="K47" s="8" t="n">
        <v>10000</v>
      </c>
      <c r="L47" s="8" t="n">
        <v>34000</v>
      </c>
      <c r="M47" s="8" t="n">
        <v>1</v>
      </c>
      <c r="N47" s="8" t="n">
        <v>1</v>
      </c>
      <c r="O47" s="8">
        <f>J47*K47/L47</f>
        <v>0.10000000000000002</v>
      </c>
      <c r="P47" s="8">
        <f>(M47+N47)/2</f>
        <v>1.0</v>
      </c>
      <c r="Q47" s="8">
        <f>O47*P47</f>
        <v>0.10000000000000002</v>
      </c>
      <c r="R47" s="8" t="n">
        <v>0</v>
      </c>
      <c r="S47" s="8">
        <f>Q47*R47</f>
        <v>0.0</v>
      </c>
      <c r="T47" s="8" t="n"/>
      <c r="U47" s="8" t="inlineStr"/>
      <c r="V47" s="8" t="inlineStr">
        <is>
          <t>data/item_templates.yaml:mission_chest_wagangzhai_nixi.effect_payload</t>
        </is>
      </c>
    </row>
    <row r="48" ht="36" customHeight="1">
      <c r="A48" s="8" t="inlineStr">
        <is>
          <t>wagangzhai_nixi</t>
        </is>
      </c>
      <c r="B48" s="8" t="inlineStr">
        <is>
          <t>瓦岗寨的逆袭</t>
        </is>
      </c>
      <c r="C48" s="8" t="inlineStr">
        <is>
          <t>mission_chest_wagangzhai_nixi</t>
        </is>
      </c>
      <c r="D48" s="8" t="inlineStr">
        <is>
          <t>瓦岗寨的逆袭宝箱</t>
        </is>
      </c>
      <c r="E48" s="8" t="inlineStr">
        <is>
          <t>主题装备</t>
        </is>
      </c>
      <c r="F48" s="8" t="inlineStr">
        <is>
          <t>equip_xuantiekui</t>
        </is>
      </c>
      <c r="G48" s="8" t="inlineStr">
        <is>
          <t>玄铁盔</t>
        </is>
      </c>
      <c r="H48" s="8" t="inlineStr">
        <is>
          <t>blue</t>
        </is>
      </c>
      <c r="I48" s="8" t="inlineStr">
        <is>
          <t>equip_helmet</t>
        </is>
      </c>
      <c r="J48" s="8" t="n">
        <v>0.34</v>
      </c>
      <c r="K48" s="8" t="n">
        <v>7000</v>
      </c>
      <c r="L48" s="8" t="n">
        <v>34000</v>
      </c>
      <c r="M48" s="8" t="n">
        <v>1</v>
      </c>
      <c r="N48" s="8" t="n">
        <v>1</v>
      </c>
      <c r="O48" s="8">
        <f>J48*K48/L48</f>
        <v>0.07</v>
      </c>
      <c r="P48" s="8">
        <f>(M48+N48)/2</f>
        <v>1.0</v>
      </c>
      <c r="Q48" s="8">
        <f>O48*P48</f>
        <v>0.07</v>
      </c>
      <c r="R48" s="8" t="n">
        <v>0</v>
      </c>
      <c r="S48" s="8">
        <f>Q48*R48</f>
        <v>0.0</v>
      </c>
      <c r="T48" s="8" t="n"/>
      <c r="U48" s="8" t="inlineStr"/>
      <c r="V48" s="8" t="inlineStr">
        <is>
          <t>data/item_templates.yaml:mission_chest_wagangzhai_nixi.effect_payload</t>
        </is>
      </c>
    </row>
    <row r="49" ht="36" customHeight="1">
      <c r="A49" s="8" t="inlineStr">
        <is>
          <t>wagangzhai_nixi</t>
        </is>
      </c>
      <c r="B49" s="8" t="inlineStr">
        <is>
          <t>瓦岗寨的逆袭</t>
        </is>
      </c>
      <c r="C49" s="8" t="inlineStr">
        <is>
          <t>mission_chest_wagangzhai_nixi</t>
        </is>
      </c>
      <c r="D49" s="8" t="inlineStr">
        <is>
          <t>瓦岗寨的逆袭宝箱</t>
        </is>
      </c>
      <c r="E49" s="8" t="inlineStr">
        <is>
          <t>主题装备</t>
        </is>
      </c>
      <c r="F49" s="8" t="inlineStr">
        <is>
          <t>equip_hantiekui</t>
        </is>
      </c>
      <c r="G49" s="8" t="inlineStr">
        <is>
          <t>寒铁盔</t>
        </is>
      </c>
      <c r="H49" s="8" t="inlineStr">
        <is>
          <t>blue</t>
        </is>
      </c>
      <c r="I49" s="8" t="inlineStr">
        <is>
          <t>equip_helmet</t>
        </is>
      </c>
      <c r="J49" s="8" t="n">
        <v>0.34</v>
      </c>
      <c r="K49" s="8" t="n">
        <v>6000</v>
      </c>
      <c r="L49" s="8" t="n">
        <v>34000</v>
      </c>
      <c r="M49" s="8" t="n">
        <v>1</v>
      </c>
      <c r="N49" s="8" t="n">
        <v>1</v>
      </c>
      <c r="O49" s="8">
        <f>J49*K49/L49</f>
        <v>0.060000000000000005</v>
      </c>
      <c r="P49" s="8">
        <f>(M49+N49)/2</f>
        <v>1.0</v>
      </c>
      <c r="Q49" s="8">
        <f>O49*P49</f>
        <v>0.060000000000000005</v>
      </c>
      <c r="R49" s="8" t="n">
        <v>0</v>
      </c>
      <c r="S49" s="8">
        <f>Q49*R49</f>
        <v>0.0</v>
      </c>
      <c r="T49" s="8" t="n"/>
      <c r="U49" s="8" t="inlineStr"/>
      <c r="V49" s="8" t="inlineStr">
        <is>
          <t>data/item_templates.yaml:mission_chest_wagangzhai_nixi.effect_payload</t>
        </is>
      </c>
    </row>
    <row r="50" ht="36" customHeight="1">
      <c r="A50" s="8" t="inlineStr">
        <is>
          <t>wagangzhai_nixi</t>
        </is>
      </c>
      <c r="B50" s="8" t="inlineStr">
        <is>
          <t>瓦岗寨的逆袭</t>
        </is>
      </c>
      <c r="C50" s="8" t="inlineStr">
        <is>
          <t>mission_chest_wagangzhai_nixi</t>
        </is>
      </c>
      <c r="D50" s="8" t="inlineStr">
        <is>
          <t>瓦岗寨的逆袭宝箱</t>
        </is>
      </c>
      <c r="E50" s="8" t="inlineStr">
        <is>
          <t>主题装备</t>
        </is>
      </c>
      <c r="F50" s="8" t="inlineStr">
        <is>
          <t>equip_wujinjia</t>
        </is>
      </c>
      <c r="G50" s="8" t="inlineStr">
        <is>
          <t>乌金甲</t>
        </is>
      </c>
      <c r="H50" s="8" t="inlineStr">
        <is>
          <t>blue</t>
        </is>
      </c>
      <c r="I50" s="8" t="inlineStr">
        <is>
          <t>equip_armor</t>
        </is>
      </c>
      <c r="J50" s="8" t="n">
        <v>0.34</v>
      </c>
      <c r="K50" s="8" t="n">
        <v>6000</v>
      </c>
      <c r="L50" s="8" t="n">
        <v>34000</v>
      </c>
      <c r="M50" s="8" t="n">
        <v>1</v>
      </c>
      <c r="N50" s="8" t="n">
        <v>1</v>
      </c>
      <c r="O50" s="8">
        <f>J50*K50/L50</f>
        <v>0.060000000000000005</v>
      </c>
      <c r="P50" s="8">
        <f>(M50+N50)/2</f>
        <v>1.0</v>
      </c>
      <c r="Q50" s="8">
        <f>O50*P50</f>
        <v>0.060000000000000005</v>
      </c>
      <c r="R50" s="8" t="n">
        <v>0</v>
      </c>
      <c r="S50" s="8">
        <f>Q50*R50</f>
        <v>0.0</v>
      </c>
      <c r="T50" s="8" t="n"/>
      <c r="U50" s="8" t="inlineStr"/>
      <c r="V50" s="8" t="inlineStr">
        <is>
          <t>data/item_templates.yaml:mission_chest_wagangzhai_nixi.effect_payload</t>
        </is>
      </c>
    </row>
    <row r="51" ht="36" customHeight="1">
      <c r="A51" s="8" t="inlineStr">
        <is>
          <t>wagangzhai_nixi</t>
        </is>
      </c>
      <c r="B51" s="8" t="inlineStr">
        <is>
          <t>瓦岗寨的逆袭</t>
        </is>
      </c>
      <c r="C51" s="8" t="inlineStr">
        <is>
          <t>mission_chest_wagangzhai_nixi</t>
        </is>
      </c>
      <c r="D51" s="8" t="inlineStr">
        <is>
          <t>瓦岗寨的逆袭宝箱</t>
        </is>
      </c>
      <c r="E51" s="8" t="inlineStr">
        <is>
          <t>主题装备</t>
        </is>
      </c>
      <c r="F51" s="8" t="inlineStr">
        <is>
          <t>equip_linwenzhanjia</t>
        </is>
      </c>
      <c r="G51" s="8" t="inlineStr">
        <is>
          <t>鳞纹战甲</t>
        </is>
      </c>
      <c r="H51" s="8" t="inlineStr">
        <is>
          <t>blue</t>
        </is>
      </c>
      <c r="I51" s="8" t="inlineStr">
        <is>
          <t>equip_armor</t>
        </is>
      </c>
      <c r="J51" s="8" t="n">
        <v>0.34</v>
      </c>
      <c r="K51" s="8" t="n">
        <v>5000</v>
      </c>
      <c r="L51" s="8" t="n">
        <v>34000</v>
      </c>
      <c r="M51" s="8" t="n">
        <v>1</v>
      </c>
      <c r="N51" s="8" t="n">
        <v>1</v>
      </c>
      <c r="O51" s="8">
        <f>J51*K51/L51</f>
        <v>0.05000000000000001</v>
      </c>
      <c r="P51" s="8">
        <f>(M51+N51)/2</f>
        <v>1.0</v>
      </c>
      <c r="Q51" s="8">
        <f>O51*P51</f>
        <v>0.05000000000000001</v>
      </c>
      <c r="R51" s="8" t="n">
        <v>0</v>
      </c>
      <c r="S51" s="8">
        <f>Q51*R51</f>
        <v>0.0</v>
      </c>
      <c r="T51" s="8" t="n"/>
      <c r="U51" s="8" t="inlineStr"/>
      <c r="V51" s="8" t="inlineStr">
        <is>
          <t>data/item_templates.yaml:mission_chest_wagangzhai_nixi.effect_payload</t>
        </is>
      </c>
    </row>
    <row r="52" ht="36" customHeight="1">
      <c r="A52" s="8" t="inlineStr">
        <is>
          <t>jingyanggang</t>
        </is>
      </c>
      <c r="B52" s="8" t="inlineStr">
        <is>
          <t>景阳冈</t>
        </is>
      </c>
      <c r="C52" s="8" t="inlineStr">
        <is>
          <t>mission_chest_jingyanggang</t>
        </is>
      </c>
      <c r="D52" s="8" t="inlineStr">
        <is>
          <t>景阳冈宝箱</t>
        </is>
      </c>
      <c r="E52" s="8" t="inlineStr">
        <is>
          <t>必得</t>
        </is>
      </c>
      <c r="F52" s="8" t="inlineStr">
        <is>
          <t>experience_fruit</t>
        </is>
      </c>
      <c r="G52" s="8" t="inlineStr">
        <is>
          <t>经验果</t>
        </is>
      </c>
      <c r="H52" s="8" t="inlineStr">
        <is>
          <t>green</t>
        </is>
      </c>
      <c r="I52" s="8" t="inlineStr">
        <is>
          <t>experience_items</t>
        </is>
      </c>
      <c r="J52" s="8" t="n">
        <v>1</v>
      </c>
      <c r="K52" s="8" t="n">
        <v>1</v>
      </c>
      <c r="L52" s="8" t="n">
        <v>1</v>
      </c>
      <c r="M52" s="8" t="n">
        <v>1</v>
      </c>
      <c r="N52" s="8" t="n">
        <v>1</v>
      </c>
      <c r="O52" s="8">
        <f>J52*K52/L52</f>
        <v>1.0</v>
      </c>
      <c r="P52" s="8">
        <f>(M52+N52)/2</f>
        <v>1.0</v>
      </c>
      <c r="Q52" s="8">
        <f>O52*P52</f>
        <v>1.0</v>
      </c>
      <c r="R52" s="8" t="n">
        <v>1</v>
      </c>
      <c r="S52" s="8">
        <f>Q52*R52</f>
        <v>1.0</v>
      </c>
      <c r="T52" s="8" t="n"/>
      <c r="U52" s="8" t="inlineStr"/>
      <c r="V52" s="8" t="inlineStr">
        <is>
          <t>data/item_templates.yaml:mission_chest_jingyanggang.effect_payload</t>
        </is>
      </c>
    </row>
    <row r="53" ht="36" customHeight="1">
      <c r="A53" s="8" t="inlineStr">
        <is>
          <t>jingyanggang</t>
        </is>
      </c>
      <c r="B53" s="8" t="inlineStr">
        <is>
          <t>景阳冈</t>
        </is>
      </c>
      <c r="C53" s="8" t="inlineStr">
        <is>
          <t>mission_chest_jingyanggang</t>
        </is>
      </c>
      <c r="D53" s="8" t="inlineStr">
        <is>
          <t>景阳冈宝箱</t>
        </is>
      </c>
      <c r="E53" s="8" t="inlineStr">
        <is>
          <t>必得</t>
        </is>
      </c>
      <c r="F53" s="8" t="inlineStr">
        <is>
          <t>zhixuesan</t>
        </is>
      </c>
      <c r="G53" s="8" t="inlineStr">
        <is>
          <t>止血散</t>
        </is>
      </c>
      <c r="H53" s="8" t="inlineStr">
        <is>
          <t>black</t>
        </is>
      </c>
      <c r="I53" s="8" t="inlineStr">
        <is>
          <t>medicine</t>
        </is>
      </c>
      <c r="J53" s="8" t="n">
        <v>1</v>
      </c>
      <c r="K53" s="8" t="n">
        <v>1</v>
      </c>
      <c r="L53" s="8" t="n">
        <v>1</v>
      </c>
      <c r="M53" s="8" t="n">
        <v>2</v>
      </c>
      <c r="N53" s="8" t="n">
        <v>2</v>
      </c>
      <c r="O53" s="8">
        <f>J53*K53/L53</f>
        <v>1.0</v>
      </c>
      <c r="P53" s="8">
        <f>(M53+N53)/2</f>
        <v>2.0</v>
      </c>
      <c r="Q53" s="8">
        <f>O53*P53</f>
        <v>2.0</v>
      </c>
      <c r="R53" s="8" t="n">
        <v>0</v>
      </c>
      <c r="S53" s="8">
        <f>Q53*R53</f>
        <v>0.0</v>
      </c>
      <c r="T53" s="8" t="n"/>
      <c r="U53" s="8" t="inlineStr"/>
      <c r="V53" s="8" t="inlineStr">
        <is>
          <t>data/item_templates.yaml:mission_chest_jingyanggang.effect_payload</t>
        </is>
      </c>
    </row>
    <row r="54" ht="36" customHeight="1">
      <c r="A54" s="8" t="inlineStr">
        <is>
          <t>jingyanggang</t>
        </is>
      </c>
      <c r="B54" s="8" t="inlineStr">
        <is>
          <t>景阳冈</t>
        </is>
      </c>
      <c r="C54" s="8" t="inlineStr">
        <is>
          <t>mission_chest_jingyanggang</t>
        </is>
      </c>
      <c r="D54" s="8" t="inlineStr">
        <is>
          <t>景阳冈宝箱</t>
        </is>
      </c>
      <c r="E54" s="8" t="inlineStr">
        <is>
          <t>必得</t>
        </is>
      </c>
      <c r="F54" s="8" t="inlineStr">
        <is>
          <t>tong</t>
        </is>
      </c>
      <c r="G54" s="8" t="inlineStr">
        <is>
          <t>铜</t>
        </is>
      </c>
      <c r="H54" s="8" t="inlineStr">
        <is>
          <t>black</t>
        </is>
      </c>
      <c r="I54" s="8" t="inlineStr">
        <is>
          <t>resource</t>
        </is>
      </c>
      <c r="J54" s="8" t="n">
        <v>1</v>
      </c>
      <c r="K54" s="8" t="n">
        <v>1</v>
      </c>
      <c r="L54" s="8" t="n">
        <v>1</v>
      </c>
      <c r="M54" s="8" t="n">
        <v>5</v>
      </c>
      <c r="N54" s="8" t="n">
        <v>5</v>
      </c>
      <c r="O54" s="8">
        <f>J54*K54/L54</f>
        <v>1.0</v>
      </c>
      <c r="P54" s="8">
        <f>(M54+N54)/2</f>
        <v>5.0</v>
      </c>
      <c r="Q54" s="8">
        <f>O54*P54</f>
        <v>5.0</v>
      </c>
      <c r="R54" s="8" t="n">
        <v>0</v>
      </c>
      <c r="S54" s="8">
        <f>Q54*R54</f>
        <v>0.0</v>
      </c>
      <c r="T54" s="8" t="n"/>
      <c r="U54" s="8" t="inlineStr"/>
      <c r="V54" s="8" t="inlineStr">
        <is>
          <t>data/item_templates.yaml:mission_chest_jingyanggang.effect_payload</t>
        </is>
      </c>
    </row>
    <row r="55" ht="36" customHeight="1">
      <c r="A55" s="8" t="inlineStr">
        <is>
          <t>jingyanggang</t>
        </is>
      </c>
      <c r="B55" s="8" t="inlineStr">
        <is>
          <t>景阳冈</t>
        </is>
      </c>
      <c r="C55" s="8" t="inlineStr">
        <is>
          <t>mission_chest_jingyanggang</t>
        </is>
      </c>
      <c r="D55" s="8" t="inlineStr">
        <is>
          <t>景阳冈宝箱</t>
        </is>
      </c>
      <c r="E55" s="8" t="inlineStr">
        <is>
          <t>必得</t>
        </is>
      </c>
      <c r="F55" s="8" t="inlineStr">
        <is>
          <t>xi</t>
        </is>
      </c>
      <c r="G55" s="8" t="inlineStr">
        <is>
          <t>锡</t>
        </is>
      </c>
      <c r="H55" s="8" t="inlineStr">
        <is>
          <t>black</t>
        </is>
      </c>
      <c r="I55" s="8" t="inlineStr">
        <is>
          <t>resource</t>
        </is>
      </c>
      <c r="J55" s="8" t="n">
        <v>1</v>
      </c>
      <c r="K55" s="8" t="n">
        <v>1</v>
      </c>
      <c r="L55" s="8" t="n">
        <v>1</v>
      </c>
      <c r="M55" s="8" t="n">
        <v>2</v>
      </c>
      <c r="N55" s="8" t="n">
        <v>2</v>
      </c>
      <c r="O55" s="8">
        <f>J55*K55/L55</f>
        <v>1.0</v>
      </c>
      <c r="P55" s="8">
        <f>(M55+N55)/2</f>
        <v>2.0</v>
      </c>
      <c r="Q55" s="8">
        <f>O55*P55</f>
        <v>2.0</v>
      </c>
      <c r="R55" s="8" t="n">
        <v>0</v>
      </c>
      <c r="S55" s="8">
        <f>Q55*R55</f>
        <v>0.0</v>
      </c>
      <c r="T55" s="8" t="n"/>
      <c r="U55" s="8" t="inlineStr"/>
      <c r="V55" s="8" t="inlineStr">
        <is>
          <t>data/item_templates.yaml:mission_chest_jingyanggang.effect_payload</t>
        </is>
      </c>
    </row>
    <row r="56" ht="36" customHeight="1">
      <c r="A56" s="8" t="inlineStr">
        <is>
          <t>jingyanggang</t>
        </is>
      </c>
      <c r="B56" s="8" t="inlineStr">
        <is>
          <t>景阳冈</t>
        </is>
      </c>
      <c r="C56" s="8" t="inlineStr">
        <is>
          <t>mission_chest_jingyanggang</t>
        </is>
      </c>
      <c r="D56" s="8" t="inlineStr">
        <is>
          <t>景阳冈宝箱</t>
        </is>
      </c>
      <c r="E56" s="8" t="inlineStr">
        <is>
          <t>必得</t>
        </is>
      </c>
      <c r="F56" s="8" t="inlineStr">
        <is>
          <t>tie</t>
        </is>
      </c>
      <c r="G56" s="8" t="inlineStr">
        <is>
          <t>铁</t>
        </is>
      </c>
      <c r="H56" s="8" t="inlineStr">
        <is>
          <t>black</t>
        </is>
      </c>
      <c r="I56" s="8" t="inlineStr">
        <is>
          <t>resource</t>
        </is>
      </c>
      <c r="J56" s="8" t="n">
        <v>1</v>
      </c>
      <c r="K56" s="8" t="n">
        <v>1</v>
      </c>
      <c r="L56" s="8" t="n">
        <v>1</v>
      </c>
      <c r="M56" s="8" t="n">
        <v>1</v>
      </c>
      <c r="N56" s="8" t="n">
        <v>1</v>
      </c>
      <c r="O56" s="8">
        <f>J56*K56/L56</f>
        <v>1.0</v>
      </c>
      <c r="P56" s="8">
        <f>(M56+N56)/2</f>
        <v>1.0</v>
      </c>
      <c r="Q56" s="8">
        <f>O56*P56</f>
        <v>1.0</v>
      </c>
      <c r="R56" s="8" t="n">
        <v>0</v>
      </c>
      <c r="S56" s="8">
        <f>Q56*R56</f>
        <v>0.0</v>
      </c>
      <c r="T56" s="8" t="n"/>
      <c r="U56" s="8" t="inlineStr"/>
      <c r="V56" s="8" t="inlineStr">
        <is>
          <t>data/item_templates.yaml:mission_chest_jingyanggang.effect_payload</t>
        </is>
      </c>
    </row>
    <row r="57" ht="36" customHeight="1">
      <c r="A57" s="8" t="inlineStr">
        <is>
          <t>jingyanggang</t>
        </is>
      </c>
      <c r="B57" s="8" t="inlineStr">
        <is>
          <t>景阳冈</t>
        </is>
      </c>
      <c r="C57" s="8" t="inlineStr">
        <is>
          <t>mission_chest_jingyanggang</t>
        </is>
      </c>
      <c r="D57" s="8" t="inlineStr">
        <is>
          <t>景阳冈宝箱</t>
        </is>
      </c>
      <c r="E57" s="8" t="inlineStr">
        <is>
          <t>jingyang_equipment_pool</t>
        </is>
      </c>
      <c r="F57" s="8" t="inlineStr">
        <is>
          <t>equip_hupixue</t>
        </is>
      </c>
      <c r="G57" s="8" t="inlineStr">
        <is>
          <t>虎皮靴</t>
        </is>
      </c>
      <c r="H57" s="8" t="inlineStr">
        <is>
          <t>green</t>
        </is>
      </c>
      <c r="I57" s="8" t="inlineStr">
        <is>
          <t>equip_shoes</t>
        </is>
      </c>
      <c r="J57" s="8" t="n">
        <v>0.5</v>
      </c>
      <c r="K57" s="8" t="n">
        <v>1</v>
      </c>
      <c r="L57" s="8" t="n">
        <v>2</v>
      </c>
      <c r="M57" s="8" t="n">
        <v>1</v>
      </c>
      <c r="N57" s="8" t="n">
        <v>1</v>
      </c>
      <c r="O57" s="8">
        <f>J57*K57/L57</f>
        <v>0.25</v>
      </c>
      <c r="P57" s="8">
        <f>(M57+N57)/2</f>
        <v>1.0</v>
      </c>
      <c r="Q57" s="8">
        <f>O57*P57</f>
        <v>0.25</v>
      </c>
      <c r="R57" s="8" t="n">
        <v>0</v>
      </c>
      <c r="S57" s="8">
        <f>Q57*R57</f>
        <v>0.0</v>
      </c>
      <c r="T57" s="8" t="n"/>
      <c r="U57" s="8" t="inlineStr"/>
      <c r="V57" s="8" t="inlineStr">
        <is>
          <t>data/item_templates.yaml:mission_chest_jingyanggang.effect_payload</t>
        </is>
      </c>
    </row>
    <row r="58" ht="36" customHeight="1">
      <c r="A58" s="8" t="inlineStr">
        <is>
          <t>jingyanggang</t>
        </is>
      </c>
      <c r="B58" s="8" t="inlineStr">
        <is>
          <t>景阳冈</t>
        </is>
      </c>
      <c r="C58" s="8" t="inlineStr">
        <is>
          <t>mission_chest_jingyanggang</t>
        </is>
      </c>
      <c r="D58" s="8" t="inlineStr">
        <is>
          <t>景阳冈宝箱</t>
        </is>
      </c>
      <c r="E58" s="8" t="inlineStr">
        <is>
          <t>jingyang_equipment_pool</t>
        </is>
      </c>
      <c r="F58" s="8" t="inlineStr">
        <is>
          <t>equip_huwenkui</t>
        </is>
      </c>
      <c r="G58" s="8" t="inlineStr">
        <is>
          <t>虎纹盔</t>
        </is>
      </c>
      <c r="H58" s="8" t="inlineStr">
        <is>
          <t>green</t>
        </is>
      </c>
      <c r="I58" s="8" t="inlineStr">
        <is>
          <t>equip_helmet</t>
        </is>
      </c>
      <c r="J58" s="8" t="n">
        <v>0.5</v>
      </c>
      <c r="K58" s="8" t="n">
        <v>1</v>
      </c>
      <c r="L58" s="8" t="n">
        <v>2</v>
      </c>
      <c r="M58" s="8" t="n">
        <v>1</v>
      </c>
      <c r="N58" s="8" t="n">
        <v>1</v>
      </c>
      <c r="O58" s="8">
        <f>J58*K58/L58</f>
        <v>0.25</v>
      </c>
      <c r="P58" s="8">
        <f>(M58+N58)/2</f>
        <v>1.0</v>
      </c>
      <c r="Q58" s="8">
        <f>O58*P58</f>
        <v>0.25</v>
      </c>
      <c r="R58" s="8" t="n">
        <v>0</v>
      </c>
      <c r="S58" s="8">
        <f>Q58*R58</f>
        <v>0.0</v>
      </c>
      <c r="T58" s="8" t="n"/>
      <c r="U58" s="8" t="inlineStr"/>
      <c r="V58" s="8" t="inlineStr">
        <is>
          <t>data/item_templates.yaml:mission_chest_jingyanggang.effect_payload</t>
        </is>
      </c>
    </row>
    <row r="59" ht="36" customHeight="1">
      <c r="A59" s="8" t="inlineStr">
        <is>
          <t>wulongshan</t>
        </is>
      </c>
      <c r="B59" s="8" t="inlineStr">
        <is>
          <t>乌龙山</t>
        </is>
      </c>
      <c r="C59" s="8" t="inlineStr">
        <is>
          <t>mission_chest_wulongshan</t>
        </is>
      </c>
      <c r="D59" s="8" t="inlineStr">
        <is>
          <t>乌龙山宝箱</t>
        </is>
      </c>
      <c r="E59" s="8" t="inlineStr">
        <is>
          <t>必得</t>
        </is>
      </c>
      <c r="F59" s="8" t="inlineStr">
        <is>
          <t>experience_fruit</t>
        </is>
      </c>
      <c r="G59" s="8" t="inlineStr">
        <is>
          <t>经验果</t>
        </is>
      </c>
      <c r="H59" s="8" t="inlineStr">
        <is>
          <t>green</t>
        </is>
      </c>
      <c r="I59" s="8" t="inlineStr">
        <is>
          <t>experience_items</t>
        </is>
      </c>
      <c r="J59" s="8" t="n">
        <v>1</v>
      </c>
      <c r="K59" s="8" t="n">
        <v>1</v>
      </c>
      <c r="L59" s="8" t="n">
        <v>1</v>
      </c>
      <c r="M59" s="8" t="n">
        <v>4</v>
      </c>
      <c r="N59" s="8" t="n">
        <v>4</v>
      </c>
      <c r="O59" s="8">
        <f>J59*K59/L59</f>
        <v>1.0</v>
      </c>
      <c r="P59" s="8">
        <f>(M59+N59)/2</f>
        <v>4.0</v>
      </c>
      <c r="Q59" s="8">
        <f>O59*P59</f>
        <v>4.0</v>
      </c>
      <c r="R59" s="8" t="n">
        <v>1</v>
      </c>
      <c r="S59" s="8">
        <f>Q59*R59</f>
        <v>4.0</v>
      </c>
      <c r="T59" s="8" t="n"/>
      <c r="U59" s="8" t="inlineStr"/>
      <c r="V59" s="8" t="inlineStr">
        <is>
          <t>data/item_templates.yaml:mission_chest_wulongshan.effect_payload</t>
        </is>
      </c>
    </row>
    <row r="60" ht="36" customHeight="1">
      <c r="A60" s="8" t="inlineStr">
        <is>
          <t>wulongshan</t>
        </is>
      </c>
      <c r="B60" s="8" t="inlineStr">
        <is>
          <t>乌龙山</t>
        </is>
      </c>
      <c r="C60" s="8" t="inlineStr">
        <is>
          <t>mission_chest_wulongshan</t>
        </is>
      </c>
      <c r="D60" s="8" t="inlineStr">
        <is>
          <t>乌龙山宝箱</t>
        </is>
      </c>
      <c r="E60" s="8" t="inlineStr">
        <is>
          <t>必得</t>
        </is>
      </c>
      <c r="F60" s="8" t="inlineStr">
        <is>
          <t>zhixuesan</t>
        </is>
      </c>
      <c r="G60" s="8" t="inlineStr">
        <is>
          <t>止血散</t>
        </is>
      </c>
      <c r="H60" s="8" t="inlineStr">
        <is>
          <t>black</t>
        </is>
      </c>
      <c r="I60" s="8" t="inlineStr">
        <is>
          <t>medicine</t>
        </is>
      </c>
      <c r="J60" s="8" t="n">
        <v>1</v>
      </c>
      <c r="K60" s="8" t="n">
        <v>1</v>
      </c>
      <c r="L60" s="8" t="n">
        <v>1</v>
      </c>
      <c r="M60" s="8" t="n">
        <v>2</v>
      </c>
      <c r="N60" s="8" t="n">
        <v>2</v>
      </c>
      <c r="O60" s="8">
        <f>J60*K60/L60</f>
        <v>1.0</v>
      </c>
      <c r="P60" s="8">
        <f>(M60+N60)/2</f>
        <v>2.0</v>
      </c>
      <c r="Q60" s="8">
        <f>O60*P60</f>
        <v>2.0</v>
      </c>
      <c r="R60" s="8" t="n">
        <v>0</v>
      </c>
      <c r="S60" s="8">
        <f>Q60*R60</f>
        <v>0.0</v>
      </c>
      <c r="T60" s="8" t="n"/>
      <c r="U60" s="8" t="inlineStr"/>
      <c r="V60" s="8" t="inlineStr">
        <is>
          <t>data/item_templates.yaml:mission_chest_wulongshan.effect_payload</t>
        </is>
      </c>
    </row>
    <row r="61" ht="36" customHeight="1">
      <c r="A61" s="8" t="inlineStr">
        <is>
          <t>wulongshan</t>
        </is>
      </c>
      <c r="B61" s="8" t="inlineStr">
        <is>
          <t>乌龙山</t>
        </is>
      </c>
      <c r="C61" s="8" t="inlineStr">
        <is>
          <t>mission_chest_wulongshan</t>
        </is>
      </c>
      <c r="D61" s="8" t="inlineStr">
        <is>
          <t>乌龙山宝箱</t>
        </is>
      </c>
      <c r="E61" s="8" t="inlineStr">
        <is>
          <t>必得</t>
        </is>
      </c>
      <c r="F61" s="8" t="inlineStr">
        <is>
          <t>tong</t>
        </is>
      </c>
      <c r="G61" s="8" t="inlineStr">
        <is>
          <t>铜</t>
        </is>
      </c>
      <c r="H61" s="8" t="inlineStr">
        <is>
          <t>black</t>
        </is>
      </c>
      <c r="I61" s="8" t="inlineStr">
        <is>
          <t>resource</t>
        </is>
      </c>
      <c r="J61" s="8" t="n">
        <v>1</v>
      </c>
      <c r="K61" s="8" t="n">
        <v>1</v>
      </c>
      <c r="L61" s="8" t="n">
        <v>1</v>
      </c>
      <c r="M61" s="8" t="n">
        <v>5</v>
      </c>
      <c r="N61" s="8" t="n">
        <v>5</v>
      </c>
      <c r="O61" s="8">
        <f>J61*K61/L61</f>
        <v>1.0</v>
      </c>
      <c r="P61" s="8">
        <f>(M61+N61)/2</f>
        <v>5.0</v>
      </c>
      <c r="Q61" s="8">
        <f>O61*P61</f>
        <v>5.0</v>
      </c>
      <c r="R61" s="8" t="n">
        <v>0</v>
      </c>
      <c r="S61" s="8">
        <f>Q61*R61</f>
        <v>0.0</v>
      </c>
      <c r="T61" s="8" t="n"/>
      <c r="U61" s="8" t="inlineStr"/>
      <c r="V61" s="8" t="inlineStr">
        <is>
          <t>data/item_templates.yaml:mission_chest_wulongshan.effect_payload</t>
        </is>
      </c>
    </row>
    <row r="62" ht="36" customHeight="1">
      <c r="A62" s="8" t="inlineStr">
        <is>
          <t>wulongshan</t>
        </is>
      </c>
      <c r="B62" s="8" t="inlineStr">
        <is>
          <t>乌龙山</t>
        </is>
      </c>
      <c r="C62" s="8" t="inlineStr">
        <is>
          <t>mission_chest_wulongshan</t>
        </is>
      </c>
      <c r="D62" s="8" t="inlineStr">
        <is>
          <t>乌龙山宝箱</t>
        </is>
      </c>
      <c r="E62" s="8" t="inlineStr">
        <is>
          <t>必得</t>
        </is>
      </c>
      <c r="F62" s="8" t="inlineStr">
        <is>
          <t>xi</t>
        </is>
      </c>
      <c r="G62" s="8" t="inlineStr">
        <is>
          <t>锡</t>
        </is>
      </c>
      <c r="H62" s="8" t="inlineStr">
        <is>
          <t>black</t>
        </is>
      </c>
      <c r="I62" s="8" t="inlineStr">
        <is>
          <t>resource</t>
        </is>
      </c>
      <c r="J62" s="8" t="n">
        <v>1</v>
      </c>
      <c r="K62" s="8" t="n">
        <v>1</v>
      </c>
      <c r="L62" s="8" t="n">
        <v>1</v>
      </c>
      <c r="M62" s="8" t="n">
        <v>2</v>
      </c>
      <c r="N62" s="8" t="n">
        <v>2</v>
      </c>
      <c r="O62" s="8">
        <f>J62*K62/L62</f>
        <v>1.0</v>
      </c>
      <c r="P62" s="8">
        <f>(M62+N62)/2</f>
        <v>2.0</v>
      </c>
      <c r="Q62" s="8">
        <f>O62*P62</f>
        <v>2.0</v>
      </c>
      <c r="R62" s="8" t="n">
        <v>0</v>
      </c>
      <c r="S62" s="8">
        <f>Q62*R62</f>
        <v>0.0</v>
      </c>
      <c r="T62" s="8" t="n"/>
      <c r="U62" s="8" t="inlineStr"/>
      <c r="V62" s="8" t="inlineStr">
        <is>
          <t>data/item_templates.yaml:mission_chest_wulongshan.effect_payload</t>
        </is>
      </c>
    </row>
    <row r="63" ht="36" customHeight="1">
      <c r="A63" s="8" t="inlineStr">
        <is>
          <t>wulongshan</t>
        </is>
      </c>
      <c r="B63" s="8" t="inlineStr">
        <is>
          <t>乌龙山</t>
        </is>
      </c>
      <c r="C63" s="8" t="inlineStr">
        <is>
          <t>mission_chest_wulongshan</t>
        </is>
      </c>
      <c r="D63" s="8" t="inlineStr">
        <is>
          <t>乌龙山宝箱</t>
        </is>
      </c>
      <c r="E63" s="8" t="inlineStr">
        <is>
          <t>必得</t>
        </is>
      </c>
      <c r="F63" s="8" t="inlineStr">
        <is>
          <t>tie</t>
        </is>
      </c>
      <c r="G63" s="8" t="inlineStr">
        <is>
          <t>铁</t>
        </is>
      </c>
      <c r="H63" s="8" t="inlineStr">
        <is>
          <t>black</t>
        </is>
      </c>
      <c r="I63" s="8" t="inlineStr">
        <is>
          <t>resource</t>
        </is>
      </c>
      <c r="J63" s="8" t="n">
        <v>1</v>
      </c>
      <c r="K63" s="8" t="n">
        <v>1</v>
      </c>
      <c r="L63" s="8" t="n">
        <v>1</v>
      </c>
      <c r="M63" s="8" t="n">
        <v>1</v>
      </c>
      <c r="N63" s="8" t="n">
        <v>1</v>
      </c>
      <c r="O63" s="8">
        <f>J63*K63/L63</f>
        <v>1.0</v>
      </c>
      <c r="P63" s="8">
        <f>(M63+N63)/2</f>
        <v>1.0</v>
      </c>
      <c r="Q63" s="8">
        <f>O63*P63</f>
        <v>1.0</v>
      </c>
      <c r="R63" s="8" t="n">
        <v>0</v>
      </c>
      <c r="S63" s="8">
        <f>Q63*R63</f>
        <v>0.0</v>
      </c>
      <c r="T63" s="8" t="n"/>
      <c r="U63" s="8" t="inlineStr"/>
      <c r="V63" s="8" t="inlineStr">
        <is>
          <t>data/item_templates.yaml:mission_chest_wulongshan.effect_payload</t>
        </is>
      </c>
    </row>
    <row r="64" ht="36" customHeight="1">
      <c r="A64" s="8" t="inlineStr">
        <is>
          <t>wulongshan</t>
        </is>
      </c>
      <c r="B64" s="8" t="inlineStr">
        <is>
          <t>乌龙山</t>
        </is>
      </c>
      <c r="C64" s="8" t="inlineStr">
        <is>
          <t>mission_chest_wulongshan</t>
        </is>
      </c>
      <c r="D64" s="8" t="inlineStr">
        <is>
          <t>乌龙山宝箱</t>
        </is>
      </c>
      <c r="E64" s="8" t="inlineStr">
        <is>
          <t>book_dragon_break_curse</t>
        </is>
      </c>
      <c r="F64" s="8" t="inlineStr">
        <is>
          <t>book_dragon_break_curse</t>
        </is>
      </c>
      <c r="G64" s="8" t="inlineStr">
        <is>
          <t>《破龙咒》秘术</t>
        </is>
      </c>
      <c r="H64" s="8" t="inlineStr">
        <is>
          <t>green</t>
        </is>
      </c>
      <c r="I64" s="8" t="inlineStr">
        <is>
          <t>skill_book</t>
        </is>
      </c>
      <c r="J64" s="8" t="n">
        <v>0.05</v>
      </c>
      <c r="K64" s="8" t="n">
        <v>1</v>
      </c>
      <c r="L64" s="8" t="n">
        <v>1</v>
      </c>
      <c r="M64" s="8" t="n">
        <v>1</v>
      </c>
      <c r="N64" s="8" t="n">
        <v>1</v>
      </c>
      <c r="O64" s="8">
        <f>J64*K64/L64</f>
        <v>0.05</v>
      </c>
      <c r="P64" s="8">
        <f>(M64+N64)/2</f>
        <v>1.0</v>
      </c>
      <c r="Q64" s="8">
        <f>O64*P64</f>
        <v>0.05</v>
      </c>
      <c r="R64" s="8" t="n">
        <v>0</v>
      </c>
      <c r="S64" s="8">
        <f>Q64*R64</f>
        <v>0.0</v>
      </c>
      <c r="T64" s="8" t="n"/>
      <c r="U64" s="8" t="inlineStr"/>
      <c r="V64" s="8" t="inlineStr">
        <is>
          <t>data/item_templates.yaml:mission_chest_wulongshan.effect_payload</t>
        </is>
      </c>
    </row>
    <row r="65" ht="36" customHeight="1">
      <c r="A65" s="8" t="inlineStr">
        <is>
          <t>wulongshan</t>
        </is>
      </c>
      <c r="B65" s="8" t="inlineStr">
        <is>
          <t>乌龙山</t>
        </is>
      </c>
      <c r="C65" s="8" t="inlineStr">
        <is>
          <t>mission_chest_wulongshan</t>
        </is>
      </c>
      <c r="D65" s="8" t="inlineStr">
        <is>
          <t>乌龙山宝箱</t>
        </is>
      </c>
      <c r="E65" s="8" t="inlineStr">
        <is>
          <t>wulong_equipment_pool</t>
        </is>
      </c>
      <c r="F65" s="8" t="inlineStr">
        <is>
          <t>equip_baoutoukui</t>
        </is>
      </c>
      <c r="G65" s="8" t="inlineStr">
        <is>
          <t>豹头盔</t>
        </is>
      </c>
      <c r="H65" s="8" t="inlineStr">
        <is>
          <t>green</t>
        </is>
      </c>
      <c r="I65" s="8" t="inlineStr">
        <is>
          <t>equip_helmet</t>
        </is>
      </c>
      <c r="J65" s="8" t="n">
        <v>0.7</v>
      </c>
      <c r="K65" s="8" t="n">
        <v>1</v>
      </c>
      <c r="L65" s="8" t="n">
        <v>4</v>
      </c>
      <c r="M65" s="8" t="n">
        <v>1</v>
      </c>
      <c r="N65" s="8" t="n">
        <v>1</v>
      </c>
      <c r="O65" s="8">
        <f>J65*K65/L65</f>
        <v>0.175</v>
      </c>
      <c r="P65" s="8">
        <f>(M65+N65)/2</f>
        <v>1.0</v>
      </c>
      <c r="Q65" s="8">
        <f>O65*P65</f>
        <v>0.175</v>
      </c>
      <c r="R65" s="8" t="n">
        <v>0</v>
      </c>
      <c r="S65" s="8">
        <f>Q65*R65</f>
        <v>0.0</v>
      </c>
      <c r="T65" s="8" t="n"/>
      <c r="U65" s="8" t="inlineStr"/>
      <c r="V65" s="8" t="inlineStr">
        <is>
          <t>data/item_templates.yaml:mission_chest_wulongshan.effect_payload</t>
        </is>
      </c>
    </row>
    <row r="66" ht="36" customHeight="1">
      <c r="A66" s="8" t="inlineStr">
        <is>
          <t>wulongshan</t>
        </is>
      </c>
      <c r="B66" s="8" t="inlineStr">
        <is>
          <t>乌龙山</t>
        </is>
      </c>
      <c r="C66" s="8" t="inlineStr">
        <is>
          <t>mission_chest_wulongshan</t>
        </is>
      </c>
      <c r="D66" s="8" t="inlineStr">
        <is>
          <t>乌龙山宝箱</t>
        </is>
      </c>
      <c r="E66" s="8" t="inlineStr">
        <is>
          <t>wulong_equipment_pool</t>
        </is>
      </c>
      <c r="F66" s="8" t="inlineStr">
        <is>
          <t>equip_tiegugun</t>
        </is>
      </c>
      <c r="G66" s="8" t="inlineStr">
        <is>
          <t>铁骨棍</t>
        </is>
      </c>
      <c r="H66" s="8" t="inlineStr">
        <is>
          <t>green</t>
        </is>
      </c>
      <c r="I66" s="8" t="inlineStr">
        <is>
          <t>equip_weapon</t>
        </is>
      </c>
      <c r="J66" s="8" t="n">
        <v>0.7</v>
      </c>
      <c r="K66" s="8" t="n">
        <v>1</v>
      </c>
      <c r="L66" s="8" t="n">
        <v>4</v>
      </c>
      <c r="M66" s="8" t="n">
        <v>1</v>
      </c>
      <c r="N66" s="8" t="n">
        <v>1</v>
      </c>
      <c r="O66" s="8">
        <f>J66*K66/L66</f>
        <v>0.175</v>
      </c>
      <c r="P66" s="8">
        <f>(M66+N66)/2</f>
        <v>1.0</v>
      </c>
      <c r="Q66" s="8">
        <f>O66*P66</f>
        <v>0.175</v>
      </c>
      <c r="R66" s="8" t="n">
        <v>0</v>
      </c>
      <c r="S66" s="8">
        <f>Q66*R66</f>
        <v>0.0</v>
      </c>
      <c r="T66" s="8" t="n"/>
      <c r="U66" s="8" t="inlineStr"/>
      <c r="V66" s="8" t="inlineStr">
        <is>
          <t>data/item_templates.yaml:mission_chest_wulongshan.effect_payload</t>
        </is>
      </c>
    </row>
    <row r="67" ht="36" customHeight="1">
      <c r="A67" s="8" t="inlineStr">
        <is>
          <t>wulongshan</t>
        </is>
      </c>
      <c r="B67" s="8" t="inlineStr">
        <is>
          <t>乌龙山</t>
        </is>
      </c>
      <c r="C67" s="8" t="inlineStr">
        <is>
          <t>mission_chest_wulongshan</t>
        </is>
      </c>
      <c r="D67" s="8" t="inlineStr">
        <is>
          <t>乌龙山宝箱</t>
        </is>
      </c>
      <c r="E67" s="8" t="inlineStr">
        <is>
          <t>wulong_equipment_pool</t>
        </is>
      </c>
      <c r="F67" s="8" t="inlineStr">
        <is>
          <t>equip_youxiaxue</t>
        </is>
      </c>
      <c r="G67" s="8" t="inlineStr">
        <is>
          <t>游侠靴</t>
        </is>
      </c>
      <c r="H67" s="8" t="inlineStr">
        <is>
          <t>green</t>
        </is>
      </c>
      <c r="I67" s="8" t="inlineStr">
        <is>
          <t>equip_shoes</t>
        </is>
      </c>
      <c r="J67" s="8" t="n">
        <v>0.7</v>
      </c>
      <c r="K67" s="8" t="n">
        <v>1</v>
      </c>
      <c r="L67" s="8" t="n">
        <v>4</v>
      </c>
      <c r="M67" s="8" t="n">
        <v>1</v>
      </c>
      <c r="N67" s="8" t="n">
        <v>1</v>
      </c>
      <c r="O67" s="8">
        <f>J67*K67/L67</f>
        <v>0.175</v>
      </c>
      <c r="P67" s="8">
        <f>(M67+N67)/2</f>
        <v>1.0</v>
      </c>
      <c r="Q67" s="8">
        <f>O67*P67</f>
        <v>0.175</v>
      </c>
      <c r="R67" s="8" t="n">
        <v>0</v>
      </c>
      <c r="S67" s="8">
        <f>Q67*R67</f>
        <v>0.0</v>
      </c>
      <c r="T67" s="8" t="n"/>
      <c r="U67" s="8" t="inlineStr"/>
      <c r="V67" s="8" t="inlineStr">
        <is>
          <t>data/item_templates.yaml:mission_chest_wulongshan.effect_payload</t>
        </is>
      </c>
    </row>
    <row r="68" ht="36" customHeight="1">
      <c r="A68" s="8" t="inlineStr">
        <is>
          <t>wulongshan</t>
        </is>
      </c>
      <c r="B68" s="8" t="inlineStr">
        <is>
          <t>乌龙山</t>
        </is>
      </c>
      <c r="C68" s="8" t="inlineStr">
        <is>
          <t>mission_chest_wulongshan</t>
        </is>
      </c>
      <c r="D68" s="8" t="inlineStr">
        <is>
          <t>乌龙山宝箱</t>
        </is>
      </c>
      <c r="E68" s="8" t="inlineStr">
        <is>
          <t>wulong_equipment_pool</t>
        </is>
      </c>
      <c r="F68" s="8" t="inlineStr">
        <is>
          <t>equip_mengguma</t>
        </is>
      </c>
      <c r="G68" s="8" t="inlineStr">
        <is>
          <t>蒙古马</t>
        </is>
      </c>
      <c r="H68" s="8" t="inlineStr">
        <is>
          <t>green</t>
        </is>
      </c>
      <c r="I68" s="8" t="inlineStr">
        <is>
          <t>equip_mount</t>
        </is>
      </c>
      <c r="J68" s="8" t="n">
        <v>0.7</v>
      </c>
      <c r="K68" s="8" t="n">
        <v>1</v>
      </c>
      <c r="L68" s="8" t="n">
        <v>4</v>
      </c>
      <c r="M68" s="8" t="n">
        <v>1</v>
      </c>
      <c r="N68" s="8" t="n">
        <v>1</v>
      </c>
      <c r="O68" s="8">
        <f>J68*K68/L68</f>
        <v>0.175</v>
      </c>
      <c r="P68" s="8">
        <f>(M68+N68)/2</f>
        <v>1.0</v>
      </c>
      <c r="Q68" s="8">
        <f>O68*P68</f>
        <v>0.175</v>
      </c>
      <c r="R68" s="8" t="n">
        <v>0</v>
      </c>
      <c r="S68" s="8">
        <f>Q68*R68</f>
        <v>0.0</v>
      </c>
      <c r="T68" s="8" t="n"/>
      <c r="U68" s="8" t="inlineStr"/>
      <c r="V68" s="8" t="inlineStr">
        <is>
          <t>data/item_templates.yaml:mission_chest_wulongshan.effect_payload</t>
        </is>
      </c>
    </row>
    <row r="69" ht="36" customHeight="1">
      <c r="A69" s="8" t="inlineStr">
        <is>
          <t>wagangzhai</t>
        </is>
      </c>
      <c r="B69" s="8" t="inlineStr">
        <is>
          <t>瓦岗寨</t>
        </is>
      </c>
      <c r="C69" s="8" t="inlineStr">
        <is>
          <t>mission_chest_wagangzhai</t>
        </is>
      </c>
      <c r="D69" s="8" t="inlineStr">
        <is>
          <t>瓦岗寨宝箱</t>
        </is>
      </c>
      <c r="E69" s="8" t="inlineStr">
        <is>
          <t>必得</t>
        </is>
      </c>
      <c r="F69" s="8" t="inlineStr">
        <is>
          <t>experience_fruit</t>
        </is>
      </c>
      <c r="G69" s="8" t="inlineStr">
        <is>
          <t>经验果</t>
        </is>
      </c>
      <c r="H69" s="8" t="inlineStr">
        <is>
          <t>green</t>
        </is>
      </c>
      <c r="I69" s="8" t="inlineStr">
        <is>
          <t>experience_items</t>
        </is>
      </c>
      <c r="J69" s="8" t="n">
        <v>1</v>
      </c>
      <c r="K69" s="8" t="n">
        <v>1</v>
      </c>
      <c r="L69" s="8" t="n">
        <v>1</v>
      </c>
      <c r="M69" s="8" t="n">
        <v>7</v>
      </c>
      <c r="N69" s="8" t="n">
        <v>7</v>
      </c>
      <c r="O69" s="8">
        <f>J69*K69/L69</f>
        <v>1.0</v>
      </c>
      <c r="P69" s="8">
        <f>(M69+N69)/2</f>
        <v>7.0</v>
      </c>
      <c r="Q69" s="8">
        <f>O69*P69</f>
        <v>7.0</v>
      </c>
      <c r="R69" s="8" t="n">
        <v>1</v>
      </c>
      <c r="S69" s="8">
        <f>Q69*R69</f>
        <v>7.0</v>
      </c>
      <c r="T69" s="8" t="n"/>
      <c r="U69" s="8" t="inlineStr"/>
      <c r="V69" s="8" t="inlineStr">
        <is>
          <t>data/item_templates.yaml:mission_chest_wagangzhai.effect_payload</t>
        </is>
      </c>
    </row>
    <row r="70" ht="36" customHeight="1">
      <c r="A70" s="8" t="inlineStr">
        <is>
          <t>wagangzhai</t>
        </is>
      </c>
      <c r="B70" s="8" t="inlineStr">
        <is>
          <t>瓦岗寨</t>
        </is>
      </c>
      <c r="C70" s="8" t="inlineStr">
        <is>
          <t>mission_chest_wagangzhai</t>
        </is>
      </c>
      <c r="D70" s="8" t="inlineStr">
        <is>
          <t>瓦岗寨宝箱</t>
        </is>
      </c>
      <c r="E70" s="8" t="inlineStr">
        <is>
          <t>必得</t>
        </is>
      </c>
      <c r="F70" s="8" t="inlineStr">
        <is>
          <t>zhixuesan</t>
        </is>
      </c>
      <c r="G70" s="8" t="inlineStr">
        <is>
          <t>止血散</t>
        </is>
      </c>
      <c r="H70" s="8" t="inlineStr">
        <is>
          <t>black</t>
        </is>
      </c>
      <c r="I70" s="8" t="inlineStr">
        <is>
          <t>medicine</t>
        </is>
      </c>
      <c r="J70" s="8" t="n">
        <v>1</v>
      </c>
      <c r="K70" s="8" t="n">
        <v>1</v>
      </c>
      <c r="L70" s="8" t="n">
        <v>1</v>
      </c>
      <c r="M70" s="8" t="n">
        <v>2</v>
      </c>
      <c r="N70" s="8" t="n">
        <v>2</v>
      </c>
      <c r="O70" s="8">
        <f>J70*K70/L70</f>
        <v>1.0</v>
      </c>
      <c r="P70" s="8">
        <f>(M70+N70)/2</f>
        <v>2.0</v>
      </c>
      <c r="Q70" s="8">
        <f>O70*P70</f>
        <v>2.0</v>
      </c>
      <c r="R70" s="8" t="n">
        <v>0</v>
      </c>
      <c r="S70" s="8">
        <f>Q70*R70</f>
        <v>0.0</v>
      </c>
      <c r="T70" s="8" t="n"/>
      <c r="U70" s="8" t="inlineStr"/>
      <c r="V70" s="8" t="inlineStr">
        <is>
          <t>data/item_templates.yaml:mission_chest_wagangzhai.effect_payload</t>
        </is>
      </c>
    </row>
    <row r="71" ht="36" customHeight="1">
      <c r="A71" s="8" t="inlineStr">
        <is>
          <t>wagangzhai</t>
        </is>
      </c>
      <c r="B71" s="8" t="inlineStr">
        <is>
          <t>瓦岗寨</t>
        </is>
      </c>
      <c r="C71" s="8" t="inlineStr">
        <is>
          <t>mission_chest_wagangzhai</t>
        </is>
      </c>
      <c r="D71" s="8" t="inlineStr">
        <is>
          <t>瓦岗寨宝箱</t>
        </is>
      </c>
      <c r="E71" s="8" t="inlineStr">
        <is>
          <t>必得</t>
        </is>
      </c>
      <c r="F71" s="8" t="inlineStr">
        <is>
          <t>tong</t>
        </is>
      </c>
      <c r="G71" s="8" t="inlineStr">
        <is>
          <t>铜</t>
        </is>
      </c>
      <c r="H71" s="8" t="inlineStr">
        <is>
          <t>black</t>
        </is>
      </c>
      <c r="I71" s="8" t="inlineStr">
        <is>
          <t>resource</t>
        </is>
      </c>
      <c r="J71" s="8" t="n">
        <v>1</v>
      </c>
      <c r="K71" s="8" t="n">
        <v>1</v>
      </c>
      <c r="L71" s="8" t="n">
        <v>1</v>
      </c>
      <c r="M71" s="8" t="n">
        <v>5</v>
      </c>
      <c r="N71" s="8" t="n">
        <v>5</v>
      </c>
      <c r="O71" s="8">
        <f>J71*K71/L71</f>
        <v>1.0</v>
      </c>
      <c r="P71" s="8">
        <f>(M71+N71)/2</f>
        <v>5.0</v>
      </c>
      <c r="Q71" s="8">
        <f>O71*P71</f>
        <v>5.0</v>
      </c>
      <c r="R71" s="8" t="n">
        <v>0</v>
      </c>
      <c r="S71" s="8">
        <f>Q71*R71</f>
        <v>0.0</v>
      </c>
      <c r="T71" s="8" t="n"/>
      <c r="U71" s="8" t="inlineStr"/>
      <c r="V71" s="8" t="inlineStr">
        <is>
          <t>data/item_templates.yaml:mission_chest_wagangzhai.effect_payload</t>
        </is>
      </c>
    </row>
    <row r="72" ht="36" customHeight="1">
      <c r="A72" s="8" t="inlineStr">
        <is>
          <t>wagangzhai</t>
        </is>
      </c>
      <c r="B72" s="8" t="inlineStr">
        <is>
          <t>瓦岗寨</t>
        </is>
      </c>
      <c r="C72" s="8" t="inlineStr">
        <is>
          <t>mission_chest_wagangzhai</t>
        </is>
      </c>
      <c r="D72" s="8" t="inlineStr">
        <is>
          <t>瓦岗寨宝箱</t>
        </is>
      </c>
      <c r="E72" s="8" t="inlineStr">
        <is>
          <t>必得</t>
        </is>
      </c>
      <c r="F72" s="8" t="inlineStr">
        <is>
          <t>xi</t>
        </is>
      </c>
      <c r="G72" s="8" t="inlineStr">
        <is>
          <t>锡</t>
        </is>
      </c>
      <c r="H72" s="8" t="inlineStr">
        <is>
          <t>black</t>
        </is>
      </c>
      <c r="I72" s="8" t="inlineStr">
        <is>
          <t>resource</t>
        </is>
      </c>
      <c r="J72" s="8" t="n">
        <v>1</v>
      </c>
      <c r="K72" s="8" t="n">
        <v>1</v>
      </c>
      <c r="L72" s="8" t="n">
        <v>1</v>
      </c>
      <c r="M72" s="8" t="n">
        <v>2</v>
      </c>
      <c r="N72" s="8" t="n">
        <v>2</v>
      </c>
      <c r="O72" s="8">
        <f>J72*K72/L72</f>
        <v>1.0</v>
      </c>
      <c r="P72" s="8">
        <f>(M72+N72)/2</f>
        <v>2.0</v>
      </c>
      <c r="Q72" s="8">
        <f>O72*P72</f>
        <v>2.0</v>
      </c>
      <c r="R72" s="8" t="n">
        <v>0</v>
      </c>
      <c r="S72" s="8">
        <f>Q72*R72</f>
        <v>0.0</v>
      </c>
      <c r="T72" s="8" t="n"/>
      <c r="U72" s="8" t="inlineStr"/>
      <c r="V72" s="8" t="inlineStr">
        <is>
          <t>data/item_templates.yaml:mission_chest_wagangzhai.effect_payload</t>
        </is>
      </c>
    </row>
    <row r="73" ht="36" customHeight="1">
      <c r="A73" s="8" t="inlineStr">
        <is>
          <t>wagangzhai</t>
        </is>
      </c>
      <c r="B73" s="8" t="inlineStr">
        <is>
          <t>瓦岗寨</t>
        </is>
      </c>
      <c r="C73" s="8" t="inlineStr">
        <is>
          <t>mission_chest_wagangzhai</t>
        </is>
      </c>
      <c r="D73" s="8" t="inlineStr">
        <is>
          <t>瓦岗寨宝箱</t>
        </is>
      </c>
      <c r="E73" s="8" t="inlineStr">
        <is>
          <t>必得</t>
        </is>
      </c>
      <c r="F73" s="8" t="inlineStr">
        <is>
          <t>tie</t>
        </is>
      </c>
      <c r="G73" s="8" t="inlineStr">
        <is>
          <t>铁</t>
        </is>
      </c>
      <c r="H73" s="8" t="inlineStr">
        <is>
          <t>black</t>
        </is>
      </c>
      <c r="I73" s="8" t="inlineStr">
        <is>
          <t>resource</t>
        </is>
      </c>
      <c r="J73" s="8" t="n">
        <v>1</v>
      </c>
      <c r="K73" s="8" t="n">
        <v>1</v>
      </c>
      <c r="L73" s="8" t="n">
        <v>1</v>
      </c>
      <c r="M73" s="8" t="n">
        <v>1</v>
      </c>
      <c r="N73" s="8" t="n">
        <v>1</v>
      </c>
      <c r="O73" s="8">
        <f>J73*K73/L73</f>
        <v>1.0</v>
      </c>
      <c r="P73" s="8">
        <f>(M73+N73)/2</f>
        <v>1.0</v>
      </c>
      <c r="Q73" s="8">
        <f>O73*P73</f>
        <v>1.0</v>
      </c>
      <c r="R73" s="8" t="n">
        <v>0</v>
      </c>
      <c r="S73" s="8">
        <f>Q73*R73</f>
        <v>0.0</v>
      </c>
      <c r="T73" s="8" t="n"/>
      <c r="U73" s="8" t="inlineStr"/>
      <c r="V73" s="8" t="inlineStr">
        <is>
          <t>data/item_templates.yaml:mission_chest_wagangzhai.effect_payload</t>
        </is>
      </c>
    </row>
    <row r="74" ht="36" customHeight="1">
      <c r="A74" s="8" t="inlineStr">
        <is>
          <t>wagangzhai</t>
        </is>
      </c>
      <c r="B74" s="8" t="inlineStr">
        <is>
          <t>瓦岗寨</t>
        </is>
      </c>
      <c r="C74" s="8" t="inlineStr">
        <is>
          <t>mission_chest_wagangzhai</t>
        </is>
      </c>
      <c r="D74" s="8" t="inlineStr">
        <is>
          <t>瓦岗寨宝箱</t>
        </is>
      </c>
      <c r="E74" s="8" t="inlineStr">
        <is>
          <t>wagang_equipment_pool</t>
        </is>
      </c>
      <c r="F74" s="8" t="inlineStr">
        <is>
          <t>equip_suozijia</t>
        </is>
      </c>
      <c r="G74" s="8" t="inlineStr">
        <is>
          <t>锁子甲</t>
        </is>
      </c>
      <c r="H74" s="8" t="inlineStr">
        <is>
          <t>green</t>
        </is>
      </c>
      <c r="I74" s="8" t="inlineStr">
        <is>
          <t>equip_armor</t>
        </is>
      </c>
      <c r="J74" s="8" t="n">
        <v>0.75</v>
      </c>
      <c r="K74" s="8" t="n">
        <v>1</v>
      </c>
      <c r="L74" s="8" t="n">
        <v>9</v>
      </c>
      <c r="M74" s="8" t="n">
        <v>1</v>
      </c>
      <c r="N74" s="8" t="n">
        <v>1</v>
      </c>
      <c r="O74" s="8">
        <f>J74*K74/L74</f>
        <v>0.08333333333333333</v>
      </c>
      <c r="P74" s="8">
        <f>(M74+N74)/2</f>
        <v>1.0</v>
      </c>
      <c r="Q74" s="8">
        <f>O74*P74</f>
        <v>0.08333333333333333</v>
      </c>
      <c r="R74" s="8" t="n">
        <v>0</v>
      </c>
      <c r="S74" s="8">
        <f>Q74*R74</f>
        <v>0.0</v>
      </c>
      <c r="T74" s="8" t="n"/>
      <c r="U74" s="8" t="inlineStr"/>
      <c r="V74" s="8" t="inlineStr">
        <is>
          <t>data/item_templates.yaml:mission_chest_wagangzhai.effect_payload</t>
        </is>
      </c>
    </row>
    <row r="75" ht="36" customHeight="1">
      <c r="A75" s="8" t="inlineStr">
        <is>
          <t>wagangzhai</t>
        </is>
      </c>
      <c r="B75" s="8" t="inlineStr">
        <is>
          <t>瓦岗寨</t>
        </is>
      </c>
      <c r="C75" s="8" t="inlineStr">
        <is>
          <t>mission_chest_wagangzhai</t>
        </is>
      </c>
      <c r="D75" s="8" t="inlineStr">
        <is>
          <t>瓦岗寨宝箱</t>
        </is>
      </c>
      <c r="E75" s="8" t="inlineStr">
        <is>
          <t>wagang_equipment_pool</t>
        </is>
      </c>
      <c r="F75" s="8" t="inlineStr">
        <is>
          <t>equip_shanwenjia</t>
        </is>
      </c>
      <c r="G75" s="8" t="inlineStr">
        <is>
          <t>山纹甲</t>
        </is>
      </c>
      <c r="H75" s="8" t="inlineStr">
        <is>
          <t>green</t>
        </is>
      </c>
      <c r="I75" s="8" t="inlineStr">
        <is>
          <t>equip_armor</t>
        </is>
      </c>
      <c r="J75" s="8" t="n">
        <v>0.75</v>
      </c>
      <c r="K75" s="8" t="n">
        <v>1</v>
      </c>
      <c r="L75" s="8" t="n">
        <v>9</v>
      </c>
      <c r="M75" s="8" t="n">
        <v>1</v>
      </c>
      <c r="N75" s="8" t="n">
        <v>1</v>
      </c>
      <c r="O75" s="8">
        <f>J75*K75/L75</f>
        <v>0.08333333333333333</v>
      </c>
      <c r="P75" s="8">
        <f>(M75+N75)/2</f>
        <v>1.0</v>
      </c>
      <c r="Q75" s="8">
        <f>O75*P75</f>
        <v>0.08333333333333333</v>
      </c>
      <c r="R75" s="8" t="n">
        <v>0</v>
      </c>
      <c r="S75" s="8">
        <f>Q75*R75</f>
        <v>0.0</v>
      </c>
      <c r="T75" s="8" t="n"/>
      <c r="U75" s="8" t="inlineStr"/>
      <c r="V75" s="8" t="inlineStr">
        <is>
          <t>data/item_templates.yaml:mission_chest_wagangzhai.effect_payload</t>
        </is>
      </c>
    </row>
    <row r="76" ht="36" customHeight="1">
      <c r="A76" s="8" t="inlineStr">
        <is>
          <t>wagangzhai</t>
        </is>
      </c>
      <c r="B76" s="8" t="inlineStr">
        <is>
          <t>瓦岗寨</t>
        </is>
      </c>
      <c r="C76" s="8" t="inlineStr">
        <is>
          <t>mission_chest_wagangzhai</t>
        </is>
      </c>
      <c r="D76" s="8" t="inlineStr">
        <is>
          <t>瓦岗寨宝箱</t>
        </is>
      </c>
      <c r="E76" s="8" t="inlineStr">
        <is>
          <t>wagang_equipment_pool</t>
        </is>
      </c>
      <c r="F76" s="8" t="inlineStr">
        <is>
          <t>equip_tiexianjia</t>
        </is>
      </c>
      <c r="G76" s="8" t="inlineStr">
        <is>
          <t>铁线甲</t>
        </is>
      </c>
      <c r="H76" s="8" t="inlineStr">
        <is>
          <t>green</t>
        </is>
      </c>
      <c r="I76" s="8" t="inlineStr">
        <is>
          <t>equip_armor</t>
        </is>
      </c>
      <c r="J76" s="8" t="n">
        <v>0.75</v>
      </c>
      <c r="K76" s="8" t="n">
        <v>1</v>
      </c>
      <c r="L76" s="8" t="n">
        <v>9</v>
      </c>
      <c r="M76" s="8" t="n">
        <v>1</v>
      </c>
      <c r="N76" s="8" t="n">
        <v>1</v>
      </c>
      <c r="O76" s="8">
        <f>J76*K76/L76</f>
        <v>0.08333333333333333</v>
      </c>
      <c r="P76" s="8">
        <f>(M76+N76)/2</f>
        <v>1.0</v>
      </c>
      <c r="Q76" s="8">
        <f>O76*P76</f>
        <v>0.08333333333333333</v>
      </c>
      <c r="R76" s="8" t="n">
        <v>0</v>
      </c>
      <c r="S76" s="8">
        <f>Q76*R76</f>
        <v>0.0</v>
      </c>
      <c r="T76" s="8" t="n"/>
      <c r="U76" s="8" t="inlineStr"/>
      <c r="V76" s="8" t="inlineStr">
        <is>
          <t>data/item_templates.yaml:mission_chest_wagangzhai.effect_payload</t>
        </is>
      </c>
    </row>
    <row r="77" ht="36" customHeight="1">
      <c r="A77" s="8" t="inlineStr">
        <is>
          <t>wagangzhai</t>
        </is>
      </c>
      <c r="B77" s="8" t="inlineStr">
        <is>
          <t>瓦岗寨</t>
        </is>
      </c>
      <c r="C77" s="8" t="inlineStr">
        <is>
          <t>mission_chest_wagangzhai</t>
        </is>
      </c>
      <c r="D77" s="8" t="inlineStr">
        <is>
          <t>瓦岗寨宝箱</t>
        </is>
      </c>
      <c r="E77" s="8" t="inlineStr">
        <is>
          <t>wagang_equipment_pool</t>
        </is>
      </c>
      <c r="F77" s="8" t="inlineStr">
        <is>
          <t>equip_pofengji</t>
        </is>
      </c>
      <c r="G77" s="8" t="inlineStr">
        <is>
          <t>破风戟</t>
        </is>
      </c>
      <c r="H77" s="8" t="inlineStr">
        <is>
          <t>green</t>
        </is>
      </c>
      <c r="I77" s="8" t="inlineStr">
        <is>
          <t>equip_weapon</t>
        </is>
      </c>
      <c r="J77" s="8" t="n">
        <v>0.75</v>
      </c>
      <c r="K77" s="8" t="n">
        <v>1</v>
      </c>
      <c r="L77" s="8" t="n">
        <v>9</v>
      </c>
      <c r="M77" s="8" t="n">
        <v>1</v>
      </c>
      <c r="N77" s="8" t="n">
        <v>1</v>
      </c>
      <c r="O77" s="8">
        <f>J77*K77/L77</f>
        <v>0.08333333333333333</v>
      </c>
      <c r="P77" s="8">
        <f>(M77+N77)/2</f>
        <v>1.0</v>
      </c>
      <c r="Q77" s="8">
        <f>O77*P77</f>
        <v>0.08333333333333333</v>
      </c>
      <c r="R77" s="8" t="n">
        <v>0</v>
      </c>
      <c r="S77" s="8">
        <f>Q77*R77</f>
        <v>0.0</v>
      </c>
      <c r="T77" s="8" t="n"/>
      <c r="U77" s="8" t="inlineStr"/>
      <c r="V77" s="8" t="inlineStr">
        <is>
          <t>data/item_templates.yaml:mission_chest_wagangzhai.effect_payload</t>
        </is>
      </c>
    </row>
    <row r="78" ht="36" customHeight="1">
      <c r="A78" s="8" t="inlineStr">
        <is>
          <t>wagangzhai</t>
        </is>
      </c>
      <c r="B78" s="8" t="inlineStr">
        <is>
          <t>瓦岗寨</t>
        </is>
      </c>
      <c r="C78" s="8" t="inlineStr">
        <is>
          <t>mission_chest_wagangzhai</t>
        </is>
      </c>
      <c r="D78" s="8" t="inlineStr">
        <is>
          <t>瓦岗寨宝箱</t>
        </is>
      </c>
      <c r="E78" s="8" t="inlineStr">
        <is>
          <t>wagang_equipment_pool</t>
        </is>
      </c>
      <c r="F78" s="8" t="inlineStr">
        <is>
          <t>equip_tongshanchui</t>
        </is>
      </c>
      <c r="G78" s="8" t="inlineStr">
        <is>
          <t>铜山锤</t>
        </is>
      </c>
      <c r="H78" s="8" t="inlineStr">
        <is>
          <t>green</t>
        </is>
      </c>
      <c r="I78" s="8" t="inlineStr">
        <is>
          <t>equip_weapon</t>
        </is>
      </c>
      <c r="J78" s="8" t="n">
        <v>0.75</v>
      </c>
      <c r="K78" s="8" t="n">
        <v>1</v>
      </c>
      <c r="L78" s="8" t="n">
        <v>9</v>
      </c>
      <c r="M78" s="8" t="n">
        <v>1</v>
      </c>
      <c r="N78" s="8" t="n">
        <v>1</v>
      </c>
      <c r="O78" s="8">
        <f>J78*K78/L78</f>
        <v>0.08333333333333333</v>
      </c>
      <c r="P78" s="8">
        <f>(M78+N78)/2</f>
        <v>1.0</v>
      </c>
      <c r="Q78" s="8">
        <f>O78*P78</f>
        <v>0.08333333333333333</v>
      </c>
      <c r="R78" s="8" t="n">
        <v>0</v>
      </c>
      <c r="S78" s="8">
        <f>Q78*R78</f>
        <v>0.0</v>
      </c>
      <c r="T78" s="8" t="n"/>
      <c r="U78" s="8" t="inlineStr"/>
      <c r="V78" s="8" t="inlineStr">
        <is>
          <t>data/item_templates.yaml:mission_chest_wagangzhai.effect_payload</t>
        </is>
      </c>
    </row>
    <row r="79" ht="36" customHeight="1">
      <c r="A79" s="8" t="inlineStr">
        <is>
          <t>wagangzhai</t>
        </is>
      </c>
      <c r="B79" s="8" t="inlineStr">
        <is>
          <t>瓦岗寨</t>
        </is>
      </c>
      <c r="C79" s="8" t="inlineStr">
        <is>
          <t>mission_chest_wagangzhai</t>
        </is>
      </c>
      <c r="D79" s="8" t="inlineStr">
        <is>
          <t>瓦岗寨宝箱</t>
        </is>
      </c>
      <c r="E79" s="8" t="inlineStr">
        <is>
          <t>wagang_equipment_pool</t>
        </is>
      </c>
      <c r="F79" s="8" t="inlineStr">
        <is>
          <t>equip_tiehufu</t>
        </is>
      </c>
      <c r="G79" s="8" t="inlineStr">
        <is>
          <t>铁护符</t>
        </is>
      </c>
      <c r="H79" s="8" t="inlineStr">
        <is>
          <t>green</t>
        </is>
      </c>
      <c r="I79" s="8" t="inlineStr">
        <is>
          <t>equip_ornament</t>
        </is>
      </c>
      <c r="J79" s="8" t="n">
        <v>0.75</v>
      </c>
      <c r="K79" s="8" t="n">
        <v>1</v>
      </c>
      <c r="L79" s="8" t="n">
        <v>9</v>
      </c>
      <c r="M79" s="8" t="n">
        <v>1</v>
      </c>
      <c r="N79" s="8" t="n">
        <v>1</v>
      </c>
      <c r="O79" s="8">
        <f>J79*K79/L79</f>
        <v>0.08333333333333333</v>
      </c>
      <c r="P79" s="8">
        <f>(M79+N79)/2</f>
        <v>1.0</v>
      </c>
      <c r="Q79" s="8">
        <f>O79*P79</f>
        <v>0.08333333333333333</v>
      </c>
      <c r="R79" s="8" t="n">
        <v>0</v>
      </c>
      <c r="S79" s="8">
        <f>Q79*R79</f>
        <v>0.0</v>
      </c>
      <c r="T79" s="8" t="n"/>
      <c r="U79" s="8" t="inlineStr"/>
      <c r="V79" s="8" t="inlineStr">
        <is>
          <t>data/item_templates.yaml:mission_chest_wagangzhai.effect_payload</t>
        </is>
      </c>
    </row>
    <row r="80" ht="36" customHeight="1">
      <c r="A80" s="8" t="inlineStr">
        <is>
          <t>wagangzhai</t>
        </is>
      </c>
      <c r="B80" s="8" t="inlineStr">
        <is>
          <t>瓦岗寨</t>
        </is>
      </c>
      <c r="C80" s="8" t="inlineStr">
        <is>
          <t>mission_chest_wagangzhai</t>
        </is>
      </c>
      <c r="D80" s="8" t="inlineStr">
        <is>
          <t>瓦岗寨宝箱</t>
        </is>
      </c>
      <c r="E80" s="8" t="inlineStr">
        <is>
          <t>wagang_equipment_pool</t>
        </is>
      </c>
      <c r="F80" s="8" t="inlineStr">
        <is>
          <t>equip_yiqiyaopai</t>
        </is>
      </c>
      <c r="G80" s="8" t="inlineStr">
        <is>
          <t>义气腰牌</t>
        </is>
      </c>
      <c r="H80" s="8" t="inlineStr">
        <is>
          <t>green</t>
        </is>
      </c>
      <c r="I80" s="8" t="inlineStr">
        <is>
          <t>equip_ornament</t>
        </is>
      </c>
      <c r="J80" s="8" t="n">
        <v>0.75</v>
      </c>
      <c r="K80" s="8" t="n">
        <v>1</v>
      </c>
      <c r="L80" s="8" t="n">
        <v>9</v>
      </c>
      <c r="M80" s="8" t="n">
        <v>1</v>
      </c>
      <c r="N80" s="8" t="n">
        <v>1</v>
      </c>
      <c r="O80" s="8">
        <f>J80*K80/L80</f>
        <v>0.08333333333333333</v>
      </c>
      <c r="P80" s="8">
        <f>(M80+N80)/2</f>
        <v>1.0</v>
      </c>
      <c r="Q80" s="8">
        <f>O80*P80</f>
        <v>0.08333333333333333</v>
      </c>
      <c r="R80" s="8" t="n">
        <v>0</v>
      </c>
      <c r="S80" s="8">
        <f>Q80*R80</f>
        <v>0.0</v>
      </c>
      <c r="T80" s="8" t="n"/>
      <c r="U80" s="8" t="inlineStr"/>
      <c r="V80" s="8" t="inlineStr">
        <is>
          <t>data/item_templates.yaml:mission_chest_wagangzhai.effect_payload</t>
        </is>
      </c>
    </row>
    <row r="81" ht="36" customHeight="1">
      <c r="A81" s="8" t="inlineStr">
        <is>
          <t>wagangzhai</t>
        </is>
      </c>
      <c r="B81" s="8" t="inlineStr">
        <is>
          <t>瓦岗寨</t>
        </is>
      </c>
      <c r="C81" s="8" t="inlineStr">
        <is>
          <t>mission_chest_wagangzhai</t>
        </is>
      </c>
      <c r="D81" s="8" t="inlineStr">
        <is>
          <t>瓦岗寨宝箱</t>
        </is>
      </c>
      <c r="E81" s="8" t="inlineStr">
        <is>
          <t>wagang_equipment_pool</t>
        </is>
      </c>
      <c r="F81" s="8" t="inlineStr">
        <is>
          <t>equip_xiliangma</t>
        </is>
      </c>
      <c r="G81" s="8" t="inlineStr">
        <is>
          <t>西凉马</t>
        </is>
      </c>
      <c r="H81" s="8" t="inlineStr">
        <is>
          <t>green</t>
        </is>
      </c>
      <c r="I81" s="8" t="inlineStr">
        <is>
          <t>equip_mount</t>
        </is>
      </c>
      <c r="J81" s="8" t="n">
        <v>0.75</v>
      </c>
      <c r="K81" s="8" t="n">
        <v>1</v>
      </c>
      <c r="L81" s="8" t="n">
        <v>9</v>
      </c>
      <c r="M81" s="8" t="n">
        <v>1</v>
      </c>
      <c r="N81" s="8" t="n">
        <v>1</v>
      </c>
      <c r="O81" s="8">
        <f>J81*K81/L81</f>
        <v>0.08333333333333333</v>
      </c>
      <c r="P81" s="8">
        <f>(M81+N81)/2</f>
        <v>1.0</v>
      </c>
      <c r="Q81" s="8">
        <f>O81*P81</f>
        <v>0.08333333333333333</v>
      </c>
      <c r="R81" s="8" t="n">
        <v>0</v>
      </c>
      <c r="S81" s="8">
        <f>Q81*R81</f>
        <v>0.0</v>
      </c>
      <c r="T81" s="8" t="n"/>
      <c r="U81" s="8" t="inlineStr"/>
      <c r="V81" s="8" t="inlineStr">
        <is>
          <t>data/item_templates.yaml:mission_chest_wagangzhai.effect_payload</t>
        </is>
      </c>
    </row>
    <row r="82" ht="36" customHeight="1">
      <c r="A82" s="8" t="inlineStr">
        <is>
          <t>wagangzhai</t>
        </is>
      </c>
      <c r="B82" s="8" t="inlineStr">
        <is>
          <t>瓦岗寨</t>
        </is>
      </c>
      <c r="C82" s="8" t="inlineStr">
        <is>
          <t>mission_chest_wagangzhai</t>
        </is>
      </c>
      <c r="D82" s="8" t="inlineStr">
        <is>
          <t>瓦岗寨宝箱</t>
        </is>
      </c>
      <c r="E82" s="8" t="inlineStr">
        <is>
          <t>wagang_equipment_pool</t>
        </is>
      </c>
      <c r="F82" s="8" t="inlineStr">
        <is>
          <t>equip_chibiao</t>
        </is>
      </c>
      <c r="G82" s="8" t="inlineStr">
        <is>
          <t>赤骠</t>
        </is>
      </c>
      <c r="H82" s="8" t="inlineStr">
        <is>
          <t>green</t>
        </is>
      </c>
      <c r="I82" s="8" t="inlineStr">
        <is>
          <t>equip_mount</t>
        </is>
      </c>
      <c r="J82" s="8" t="n">
        <v>0.75</v>
      </c>
      <c r="K82" s="8" t="n">
        <v>1</v>
      </c>
      <c r="L82" s="8" t="n">
        <v>9</v>
      </c>
      <c r="M82" s="8" t="n">
        <v>1</v>
      </c>
      <c r="N82" s="8" t="n">
        <v>1</v>
      </c>
      <c r="O82" s="8">
        <f>J82*K82/L82</f>
        <v>0.08333333333333333</v>
      </c>
      <c r="P82" s="8">
        <f>(M82+N82)/2</f>
        <v>1.0</v>
      </c>
      <c r="Q82" s="8">
        <f>O82*P82</f>
        <v>0.08333333333333333</v>
      </c>
      <c r="R82" s="8" t="n">
        <v>0</v>
      </c>
      <c r="S82" s="8">
        <f>Q82*R82</f>
        <v>0.0</v>
      </c>
      <c r="T82" s="8" t="n"/>
      <c r="U82" s="8" t="inlineStr"/>
      <c r="V82" s="8" t="inlineStr">
        <is>
          <t>data/item_templates.yaml:mission_chest_wagangzhai.effect_payload</t>
        </is>
      </c>
    </row>
    <row r="83" ht="36" customHeight="1">
      <c r="A83" s="8" t="inlineStr">
        <is>
          <t>fugui_shanzhuang</t>
        </is>
      </c>
      <c r="B83" s="8" t="inlineStr">
        <is>
          <t>富贵山庄</t>
        </is>
      </c>
      <c r="C83" s="8" t="inlineStr">
        <is>
          <t>mission_chest_fugui_shanzhuang</t>
        </is>
      </c>
      <c r="D83" s="8" t="inlineStr">
        <is>
          <t>富贵山庄宝箱</t>
        </is>
      </c>
      <c r="E83" s="8" t="inlineStr">
        <is>
          <t>必得</t>
        </is>
      </c>
      <c r="F83" s="8" t="inlineStr">
        <is>
          <t>experience_fruit</t>
        </is>
      </c>
      <c r="G83" s="8" t="inlineStr">
        <is>
          <t>经验果</t>
        </is>
      </c>
      <c r="H83" s="8" t="inlineStr">
        <is>
          <t>green</t>
        </is>
      </c>
      <c r="I83" s="8" t="inlineStr">
        <is>
          <t>experience_items</t>
        </is>
      </c>
      <c r="J83" s="8" t="n">
        <v>1</v>
      </c>
      <c r="K83" s="8" t="n">
        <v>1</v>
      </c>
      <c r="L83" s="8" t="n">
        <v>1</v>
      </c>
      <c r="M83" s="8" t="n">
        <v>2</v>
      </c>
      <c r="N83" s="8" t="n">
        <v>2</v>
      </c>
      <c r="O83" s="8">
        <f>J83*K83/L83</f>
        <v>1.0</v>
      </c>
      <c r="P83" s="8">
        <f>(M83+N83)/2</f>
        <v>2.0</v>
      </c>
      <c r="Q83" s="8">
        <f>O83*P83</f>
        <v>2.0</v>
      </c>
      <c r="R83" s="8" t="n">
        <v>1</v>
      </c>
      <c r="S83" s="8">
        <f>Q83*R83</f>
        <v>2.0</v>
      </c>
      <c r="T83" s="8" t="n"/>
      <c r="U83" s="8" t="inlineStr"/>
      <c r="V83" s="8" t="inlineStr">
        <is>
          <t>data/item_templates.yaml:mission_chest_fugui_shanzhuang.effect_payload</t>
        </is>
      </c>
    </row>
    <row r="84" ht="36" customHeight="1">
      <c r="A84" s="8" t="inlineStr">
        <is>
          <t>fugui_shanzhuang</t>
        </is>
      </c>
      <c r="B84" s="8" t="inlineStr">
        <is>
          <t>富贵山庄</t>
        </is>
      </c>
      <c r="C84" s="8" t="inlineStr">
        <is>
          <t>mission_chest_fugui_shanzhuang</t>
        </is>
      </c>
      <c r="D84" s="8" t="inlineStr">
        <is>
          <t>富贵山庄宝箱</t>
        </is>
      </c>
      <c r="E84" s="8" t="inlineStr">
        <is>
          <t>必得</t>
        </is>
      </c>
      <c r="F84" s="8" t="inlineStr">
        <is>
          <t>zhixuesan</t>
        </is>
      </c>
      <c r="G84" s="8" t="inlineStr">
        <is>
          <t>止血散</t>
        </is>
      </c>
      <c r="H84" s="8" t="inlineStr">
        <is>
          <t>black</t>
        </is>
      </c>
      <c r="I84" s="8" t="inlineStr">
        <is>
          <t>medicine</t>
        </is>
      </c>
      <c r="J84" s="8" t="n">
        <v>1</v>
      </c>
      <c r="K84" s="8" t="n">
        <v>1</v>
      </c>
      <c r="L84" s="8" t="n">
        <v>1</v>
      </c>
      <c r="M84" s="8" t="n">
        <v>2</v>
      </c>
      <c r="N84" s="8" t="n">
        <v>2</v>
      </c>
      <c r="O84" s="8">
        <f>J84*K84/L84</f>
        <v>1.0</v>
      </c>
      <c r="P84" s="8">
        <f>(M84+N84)/2</f>
        <v>2.0</v>
      </c>
      <c r="Q84" s="8">
        <f>O84*P84</f>
        <v>2.0</v>
      </c>
      <c r="R84" s="8" t="n">
        <v>0</v>
      </c>
      <c r="S84" s="8">
        <f>Q84*R84</f>
        <v>0.0</v>
      </c>
      <c r="T84" s="8" t="n"/>
      <c r="U84" s="8" t="inlineStr"/>
      <c r="V84" s="8" t="inlineStr">
        <is>
          <t>data/item_templates.yaml:mission_chest_fugui_shanzhuang.effect_payload</t>
        </is>
      </c>
    </row>
    <row r="85" ht="36" customHeight="1">
      <c r="A85" s="8" t="inlineStr">
        <is>
          <t>fugui_shanzhuang</t>
        </is>
      </c>
      <c r="B85" s="8" t="inlineStr">
        <is>
          <t>富贵山庄</t>
        </is>
      </c>
      <c r="C85" s="8" t="inlineStr">
        <is>
          <t>mission_chest_fugui_shanzhuang</t>
        </is>
      </c>
      <c r="D85" s="8" t="inlineStr">
        <is>
          <t>富贵山庄宝箱</t>
        </is>
      </c>
      <c r="E85" s="8" t="inlineStr">
        <is>
          <t>必得</t>
        </is>
      </c>
      <c r="F85" s="8" t="inlineStr">
        <is>
          <t>tong</t>
        </is>
      </c>
      <c r="G85" s="8" t="inlineStr">
        <is>
          <t>铜</t>
        </is>
      </c>
      <c r="H85" s="8" t="inlineStr">
        <is>
          <t>black</t>
        </is>
      </c>
      <c r="I85" s="8" t="inlineStr">
        <is>
          <t>resource</t>
        </is>
      </c>
      <c r="J85" s="8" t="n">
        <v>1</v>
      </c>
      <c r="K85" s="8" t="n">
        <v>1</v>
      </c>
      <c r="L85" s="8" t="n">
        <v>1</v>
      </c>
      <c r="M85" s="8" t="n">
        <v>5</v>
      </c>
      <c r="N85" s="8" t="n">
        <v>5</v>
      </c>
      <c r="O85" s="8">
        <f>J85*K85/L85</f>
        <v>1.0</v>
      </c>
      <c r="P85" s="8">
        <f>(M85+N85)/2</f>
        <v>5.0</v>
      </c>
      <c r="Q85" s="8">
        <f>O85*P85</f>
        <v>5.0</v>
      </c>
      <c r="R85" s="8" t="n">
        <v>0</v>
      </c>
      <c r="S85" s="8">
        <f>Q85*R85</f>
        <v>0.0</v>
      </c>
      <c r="T85" s="8" t="n"/>
      <c r="U85" s="8" t="inlineStr"/>
      <c r="V85" s="8" t="inlineStr">
        <is>
          <t>data/item_templates.yaml:mission_chest_fugui_shanzhuang.effect_payload</t>
        </is>
      </c>
    </row>
    <row r="86" ht="36" customHeight="1">
      <c r="A86" s="8" t="inlineStr">
        <is>
          <t>fugui_shanzhuang</t>
        </is>
      </c>
      <c r="B86" s="8" t="inlineStr">
        <is>
          <t>富贵山庄</t>
        </is>
      </c>
      <c r="C86" s="8" t="inlineStr">
        <is>
          <t>mission_chest_fugui_shanzhuang</t>
        </is>
      </c>
      <c r="D86" s="8" t="inlineStr">
        <is>
          <t>富贵山庄宝箱</t>
        </is>
      </c>
      <c r="E86" s="8" t="inlineStr">
        <is>
          <t>必得</t>
        </is>
      </c>
      <c r="F86" s="8" t="inlineStr">
        <is>
          <t>xi</t>
        </is>
      </c>
      <c r="G86" s="8" t="inlineStr">
        <is>
          <t>锡</t>
        </is>
      </c>
      <c r="H86" s="8" t="inlineStr">
        <is>
          <t>black</t>
        </is>
      </c>
      <c r="I86" s="8" t="inlineStr">
        <is>
          <t>resource</t>
        </is>
      </c>
      <c r="J86" s="8" t="n">
        <v>1</v>
      </c>
      <c r="K86" s="8" t="n">
        <v>1</v>
      </c>
      <c r="L86" s="8" t="n">
        <v>1</v>
      </c>
      <c r="M86" s="8" t="n">
        <v>2</v>
      </c>
      <c r="N86" s="8" t="n">
        <v>2</v>
      </c>
      <c r="O86" s="8">
        <f>J86*K86/L86</f>
        <v>1.0</v>
      </c>
      <c r="P86" s="8">
        <f>(M86+N86)/2</f>
        <v>2.0</v>
      </c>
      <c r="Q86" s="8">
        <f>O86*P86</f>
        <v>2.0</v>
      </c>
      <c r="R86" s="8" t="n">
        <v>0</v>
      </c>
      <c r="S86" s="8">
        <f>Q86*R86</f>
        <v>0.0</v>
      </c>
      <c r="T86" s="8" t="n"/>
      <c r="U86" s="8" t="inlineStr"/>
      <c r="V86" s="8" t="inlineStr">
        <is>
          <t>data/item_templates.yaml:mission_chest_fugui_shanzhuang.effect_payload</t>
        </is>
      </c>
    </row>
    <row r="87" ht="36" customHeight="1">
      <c r="A87" s="8" t="inlineStr">
        <is>
          <t>fugui_shanzhuang</t>
        </is>
      </c>
      <c r="B87" s="8" t="inlineStr">
        <is>
          <t>富贵山庄</t>
        </is>
      </c>
      <c r="C87" s="8" t="inlineStr">
        <is>
          <t>mission_chest_fugui_shanzhuang</t>
        </is>
      </c>
      <c r="D87" s="8" t="inlineStr">
        <is>
          <t>富贵山庄宝箱</t>
        </is>
      </c>
      <c r="E87" s="8" t="inlineStr">
        <is>
          <t>必得</t>
        </is>
      </c>
      <c r="F87" s="8" t="inlineStr">
        <is>
          <t>tie</t>
        </is>
      </c>
      <c r="G87" s="8" t="inlineStr">
        <is>
          <t>铁</t>
        </is>
      </c>
      <c r="H87" s="8" t="inlineStr">
        <is>
          <t>black</t>
        </is>
      </c>
      <c r="I87" s="8" t="inlineStr">
        <is>
          <t>resource</t>
        </is>
      </c>
      <c r="J87" s="8" t="n">
        <v>1</v>
      </c>
      <c r="K87" s="8" t="n">
        <v>1</v>
      </c>
      <c r="L87" s="8" t="n">
        <v>1</v>
      </c>
      <c r="M87" s="8" t="n">
        <v>1</v>
      </c>
      <c r="N87" s="8" t="n">
        <v>1</v>
      </c>
      <c r="O87" s="8">
        <f>J87*K87/L87</f>
        <v>1.0</v>
      </c>
      <c r="P87" s="8">
        <f>(M87+N87)/2</f>
        <v>1.0</v>
      </c>
      <c r="Q87" s="8">
        <f>O87*P87</f>
        <v>1.0</v>
      </c>
      <c r="R87" s="8" t="n">
        <v>0</v>
      </c>
      <c r="S87" s="8">
        <f>Q87*R87</f>
        <v>0.0</v>
      </c>
      <c r="T87" s="8" t="n"/>
      <c r="U87" s="8" t="inlineStr"/>
      <c r="V87" s="8" t="inlineStr">
        <is>
          <t>data/item_templates.yaml:mission_chest_fugui_shanzhuang.effect_payload</t>
        </is>
      </c>
    </row>
    <row r="88" ht="36" customHeight="1">
      <c r="A88" s="8" t="inlineStr">
        <is>
          <t>fugui_shanzhuang</t>
        </is>
      </c>
      <c r="B88" s="8" t="inlineStr">
        <is>
          <t>富贵山庄</t>
        </is>
      </c>
      <c r="C88" s="8" t="inlineStr">
        <is>
          <t>mission_chest_fugui_shanzhuang</t>
        </is>
      </c>
      <c r="D88" s="8" t="inlineStr">
        <is>
          <t>富贵山庄宝箱</t>
        </is>
      </c>
      <c r="E88" s="8" t="inlineStr">
        <is>
          <t>book_steadfast_planning</t>
        </is>
      </c>
      <c r="F88" s="8" t="inlineStr">
        <is>
          <t>book_steadfast_planning</t>
        </is>
      </c>
      <c r="G88" s="8" t="inlineStr">
        <is>
          <t>《静水筹谋》秘术</t>
        </is>
      </c>
      <c r="H88" s="8" t="inlineStr">
        <is>
          <t>green</t>
        </is>
      </c>
      <c r="I88" s="8" t="inlineStr">
        <is>
          <t>skill_book</t>
        </is>
      </c>
      <c r="J88" s="8" t="n">
        <v>0.05</v>
      </c>
      <c r="K88" s="8" t="n">
        <v>1</v>
      </c>
      <c r="L88" s="8" t="n">
        <v>1</v>
      </c>
      <c r="M88" s="8" t="n">
        <v>1</v>
      </c>
      <c r="N88" s="8" t="n">
        <v>1</v>
      </c>
      <c r="O88" s="8">
        <f>J88*K88/L88</f>
        <v>0.05</v>
      </c>
      <c r="P88" s="8">
        <f>(M88+N88)/2</f>
        <v>1.0</v>
      </c>
      <c r="Q88" s="8">
        <f>O88*P88</f>
        <v>0.05</v>
      </c>
      <c r="R88" s="8" t="n">
        <v>0</v>
      </c>
      <c r="S88" s="8">
        <f>Q88*R88</f>
        <v>0.0</v>
      </c>
      <c r="T88" s="8" t="n"/>
      <c r="U88" s="8" t="inlineStr"/>
      <c r="V88" s="8" t="inlineStr">
        <is>
          <t>data/item_templates.yaml:mission_chest_fugui_shanzhuang.effect_payload</t>
        </is>
      </c>
    </row>
    <row r="89" ht="36" customHeight="1">
      <c r="A89" s="8" t="inlineStr">
        <is>
          <t>fugui_shanzhuang</t>
        </is>
      </c>
      <c r="B89" s="8" t="inlineStr">
        <is>
          <t>富贵山庄</t>
        </is>
      </c>
      <c r="C89" s="8" t="inlineStr">
        <is>
          <t>mission_chest_fugui_shanzhuang</t>
        </is>
      </c>
      <c r="D89" s="8" t="inlineStr">
        <is>
          <t>富贵山庄宝箱</t>
        </is>
      </c>
      <c r="E89" s="8" t="inlineStr">
        <is>
          <t>fugui_equipment_pool</t>
        </is>
      </c>
      <c r="F89" s="8" t="inlineStr">
        <is>
          <t>equip_yupei</t>
        </is>
      </c>
      <c r="G89" s="8" t="inlineStr">
        <is>
          <t>玉佩</t>
        </is>
      </c>
      <c r="H89" s="8" t="inlineStr">
        <is>
          <t>green</t>
        </is>
      </c>
      <c r="I89" s="8" t="inlineStr">
        <is>
          <t>equip_ornament</t>
        </is>
      </c>
      <c r="J89" s="8" t="n">
        <v>0.8</v>
      </c>
      <c r="K89" s="8" t="n">
        <v>1</v>
      </c>
      <c r="L89" s="8" t="n">
        <v>4</v>
      </c>
      <c r="M89" s="8" t="n">
        <v>1</v>
      </c>
      <c r="N89" s="8" t="n">
        <v>1</v>
      </c>
      <c r="O89" s="8">
        <f>J89*K89/L89</f>
        <v>0.2</v>
      </c>
      <c r="P89" s="8">
        <f>(M89+N89)/2</f>
        <v>1.0</v>
      </c>
      <c r="Q89" s="8">
        <f>O89*P89</f>
        <v>0.2</v>
      </c>
      <c r="R89" s="8" t="n">
        <v>0</v>
      </c>
      <c r="S89" s="8">
        <f>Q89*R89</f>
        <v>0.0</v>
      </c>
      <c r="T89" s="8" t="n"/>
      <c r="U89" s="8" t="inlineStr"/>
      <c r="V89" s="8" t="inlineStr">
        <is>
          <t>data/item_templates.yaml:mission_chest_fugui_shanzhuang.effect_payload</t>
        </is>
      </c>
    </row>
    <row r="90" ht="36" customHeight="1">
      <c r="A90" s="8" t="inlineStr">
        <is>
          <t>fugui_shanzhuang</t>
        </is>
      </c>
      <c r="B90" s="8" t="inlineStr">
        <is>
          <t>富贵山庄</t>
        </is>
      </c>
      <c r="C90" s="8" t="inlineStr">
        <is>
          <t>mission_chest_fugui_shanzhuang</t>
        </is>
      </c>
      <c r="D90" s="8" t="inlineStr">
        <is>
          <t>富贵山庄宝箱</t>
        </is>
      </c>
      <c r="E90" s="8" t="inlineStr">
        <is>
          <t>fugui_equipment_pool</t>
        </is>
      </c>
      <c r="F90" s="8" t="inlineStr">
        <is>
          <t>equip_fudai</t>
        </is>
      </c>
      <c r="G90" s="8" t="inlineStr">
        <is>
          <t>福袋</t>
        </is>
      </c>
      <c r="H90" s="8" t="inlineStr">
        <is>
          <t>green</t>
        </is>
      </c>
      <c r="I90" s="8" t="inlineStr">
        <is>
          <t>equip_ornament</t>
        </is>
      </c>
      <c r="J90" s="8" t="n">
        <v>0.8</v>
      </c>
      <c r="K90" s="8" t="n">
        <v>1</v>
      </c>
      <c r="L90" s="8" t="n">
        <v>4</v>
      </c>
      <c r="M90" s="8" t="n">
        <v>1</v>
      </c>
      <c r="N90" s="8" t="n">
        <v>1</v>
      </c>
      <c r="O90" s="8">
        <f>J90*K90/L90</f>
        <v>0.2</v>
      </c>
      <c r="P90" s="8">
        <f>(M90+N90)/2</f>
        <v>1.0</v>
      </c>
      <c r="Q90" s="8">
        <f>O90*P90</f>
        <v>0.2</v>
      </c>
      <c r="R90" s="8" t="n">
        <v>0</v>
      </c>
      <c r="S90" s="8">
        <f>Q90*R90</f>
        <v>0.0</v>
      </c>
      <c r="T90" s="8" t="n"/>
      <c r="U90" s="8" t="inlineStr"/>
      <c r="V90" s="8" t="inlineStr">
        <is>
          <t>data/item_templates.yaml:mission_chest_fugui_shanzhuang.effect_payload</t>
        </is>
      </c>
    </row>
    <row r="91" ht="36" customHeight="1">
      <c r="A91" s="8" t="inlineStr">
        <is>
          <t>fugui_shanzhuang</t>
        </is>
      </c>
      <c r="B91" s="8" t="inlineStr">
        <is>
          <t>富贵山庄</t>
        </is>
      </c>
      <c r="C91" s="8" t="inlineStr">
        <is>
          <t>mission_chest_fugui_shanzhuang</t>
        </is>
      </c>
      <c r="D91" s="8" t="inlineStr">
        <is>
          <t>富贵山庄宝箱</t>
        </is>
      </c>
      <c r="E91" s="8" t="inlineStr">
        <is>
          <t>fugui_equipment_pool</t>
        </is>
      </c>
      <c r="F91" s="8" t="inlineStr">
        <is>
          <t>equip_zhujian</t>
        </is>
      </c>
      <c r="G91" s="8" t="inlineStr">
        <is>
          <t>竹简</t>
        </is>
      </c>
      <c r="H91" s="8" t="inlineStr">
        <is>
          <t>green</t>
        </is>
      </c>
      <c r="I91" s="8" t="inlineStr">
        <is>
          <t>equip_ornament</t>
        </is>
      </c>
      <c r="J91" s="8" t="n">
        <v>0.8</v>
      </c>
      <c r="K91" s="8" t="n">
        <v>1</v>
      </c>
      <c r="L91" s="8" t="n">
        <v>4</v>
      </c>
      <c r="M91" s="8" t="n">
        <v>1</v>
      </c>
      <c r="N91" s="8" t="n">
        <v>1</v>
      </c>
      <c r="O91" s="8">
        <f>J91*K91/L91</f>
        <v>0.2</v>
      </c>
      <c r="P91" s="8">
        <f>(M91+N91)/2</f>
        <v>1.0</v>
      </c>
      <c r="Q91" s="8">
        <f>O91*P91</f>
        <v>0.2</v>
      </c>
      <c r="R91" s="8" t="n">
        <v>0</v>
      </c>
      <c r="S91" s="8">
        <f>Q91*R91</f>
        <v>0.0</v>
      </c>
      <c r="T91" s="8" t="n"/>
      <c r="U91" s="8" t="inlineStr"/>
      <c r="V91" s="8" t="inlineStr">
        <is>
          <t>data/item_templates.yaml:mission_chest_fugui_shanzhuang.effect_payload</t>
        </is>
      </c>
    </row>
    <row r="92" ht="36" customHeight="1">
      <c r="A92" s="8" t="inlineStr">
        <is>
          <t>fugui_shanzhuang</t>
        </is>
      </c>
      <c r="B92" s="8" t="inlineStr">
        <is>
          <t>富贵山庄</t>
        </is>
      </c>
      <c r="C92" s="8" t="inlineStr">
        <is>
          <t>mission_chest_fugui_shanzhuang</t>
        </is>
      </c>
      <c r="D92" s="8" t="inlineStr">
        <is>
          <t>富贵山庄宝箱</t>
        </is>
      </c>
      <c r="E92" s="8" t="inlineStr">
        <is>
          <t>fugui_equipment_pool</t>
        </is>
      </c>
      <c r="F92" s="8" t="inlineStr">
        <is>
          <t>equip_moyuyan</t>
        </is>
      </c>
      <c r="G92" s="8" t="inlineStr">
        <is>
          <t>墨玉砚</t>
        </is>
      </c>
      <c r="H92" s="8" t="inlineStr">
        <is>
          <t>green</t>
        </is>
      </c>
      <c r="I92" s="8" t="inlineStr">
        <is>
          <t>equip_ornament</t>
        </is>
      </c>
      <c r="J92" s="8" t="n">
        <v>0.8</v>
      </c>
      <c r="K92" s="8" t="n">
        <v>1</v>
      </c>
      <c r="L92" s="8" t="n">
        <v>4</v>
      </c>
      <c r="M92" s="8" t="n">
        <v>1</v>
      </c>
      <c r="N92" s="8" t="n">
        <v>1</v>
      </c>
      <c r="O92" s="8">
        <f>J92*K92/L92</f>
        <v>0.2</v>
      </c>
      <c r="P92" s="8">
        <f>(M92+N92)/2</f>
        <v>1.0</v>
      </c>
      <c r="Q92" s="8">
        <f>O92*P92</f>
        <v>0.2</v>
      </c>
      <c r="R92" s="8" t="n">
        <v>0</v>
      </c>
      <c r="S92" s="8">
        <f>Q92*R92</f>
        <v>0.0</v>
      </c>
      <c r="T92" s="8" t="n"/>
      <c r="U92" s="8" t="inlineStr"/>
      <c r="V92" s="8" t="inlineStr">
        <is>
          <t>data/item_templates.yaml:mission_chest_fugui_shanzhuang.effect_payload</t>
        </is>
      </c>
    </row>
    <row r="93" ht="36" customHeight="1">
      <c r="A93" s="8" t="inlineStr">
        <is>
          <t>shizipo_heidian</t>
        </is>
      </c>
      <c r="B93" s="8" t="inlineStr">
        <is>
          <t>十字坡黑店</t>
        </is>
      </c>
      <c r="C93" s="8" t="inlineStr">
        <is>
          <t>mission_chest_shizipo_heidian</t>
        </is>
      </c>
      <c r="D93" s="8" t="inlineStr">
        <is>
          <t>十字坡黑店宝箱</t>
        </is>
      </c>
      <c r="E93" s="8" t="inlineStr">
        <is>
          <t>必得</t>
        </is>
      </c>
      <c r="F93" s="8" t="inlineStr">
        <is>
          <t>experience_fruit</t>
        </is>
      </c>
      <c r="G93" s="8" t="inlineStr">
        <is>
          <t>经验果</t>
        </is>
      </c>
      <c r="H93" s="8" t="inlineStr">
        <is>
          <t>green</t>
        </is>
      </c>
      <c r="I93" s="8" t="inlineStr">
        <is>
          <t>experience_items</t>
        </is>
      </c>
      <c r="J93" s="8" t="n">
        <v>1</v>
      </c>
      <c r="K93" s="8" t="n">
        <v>1</v>
      </c>
      <c r="L93" s="8" t="n">
        <v>1</v>
      </c>
      <c r="M93" s="8" t="n">
        <v>16</v>
      </c>
      <c r="N93" s="8" t="n">
        <v>16</v>
      </c>
      <c r="O93" s="8">
        <f>J93*K93/L93</f>
        <v>1.0</v>
      </c>
      <c r="P93" s="8">
        <f>(M93+N93)/2</f>
        <v>16.0</v>
      </c>
      <c r="Q93" s="8">
        <f>O93*P93</f>
        <v>16.0</v>
      </c>
      <c r="R93" s="8" t="n">
        <v>1</v>
      </c>
      <c r="S93" s="8">
        <f>Q93*R93</f>
        <v>16.0</v>
      </c>
      <c r="T93" s="8" t="n"/>
      <c r="U93" s="8" t="inlineStr"/>
      <c r="V93" s="8" t="inlineStr">
        <is>
          <t>data/item_templates.yaml:mission_chest_shizipo_heidian.effect_payload</t>
        </is>
      </c>
    </row>
    <row r="94" ht="36" customHeight="1">
      <c r="A94" s="8" t="inlineStr">
        <is>
          <t>shizipo_heidian</t>
        </is>
      </c>
      <c r="B94" s="8" t="inlineStr">
        <is>
          <t>十字坡黑店</t>
        </is>
      </c>
      <c r="C94" s="8" t="inlineStr">
        <is>
          <t>mission_chest_shizipo_heidian</t>
        </is>
      </c>
      <c r="D94" s="8" t="inlineStr">
        <is>
          <t>十字坡黑店宝箱</t>
        </is>
      </c>
      <c r="E94" s="8" t="inlineStr">
        <is>
          <t>必得</t>
        </is>
      </c>
      <c r="F94" s="8" t="inlineStr">
        <is>
          <t>buxuedan</t>
        </is>
      </c>
      <c r="G94" s="8" t="inlineStr">
        <is>
          <t>补血丹</t>
        </is>
      </c>
      <c r="H94" s="8" t="inlineStr">
        <is>
          <t>black</t>
        </is>
      </c>
      <c r="I94" s="8" t="inlineStr">
        <is>
          <t>medicine</t>
        </is>
      </c>
      <c r="J94" s="8" t="n">
        <v>1</v>
      </c>
      <c r="K94" s="8" t="n">
        <v>1</v>
      </c>
      <c r="L94" s="8" t="n">
        <v>1</v>
      </c>
      <c r="M94" s="8" t="n">
        <v>2</v>
      </c>
      <c r="N94" s="8" t="n">
        <v>2</v>
      </c>
      <c r="O94" s="8">
        <f>J94*K94/L94</f>
        <v>1.0</v>
      </c>
      <c r="P94" s="8">
        <f>(M94+N94)/2</f>
        <v>2.0</v>
      </c>
      <c r="Q94" s="8">
        <f>O94*P94</f>
        <v>2.0</v>
      </c>
      <c r="R94" s="8" t="n">
        <v>0</v>
      </c>
      <c r="S94" s="8">
        <f>Q94*R94</f>
        <v>0.0</v>
      </c>
      <c r="T94" s="8" t="n"/>
      <c r="U94" s="8" t="inlineStr"/>
      <c r="V94" s="8" t="inlineStr">
        <is>
          <t>data/item_templates.yaml:mission_chest_shizipo_heidian.effect_payload</t>
        </is>
      </c>
    </row>
    <row r="95" ht="36" customHeight="1">
      <c r="A95" s="8" t="inlineStr">
        <is>
          <t>shizipo_heidian</t>
        </is>
      </c>
      <c r="B95" s="8" t="inlineStr">
        <is>
          <t>十字坡黑店</t>
        </is>
      </c>
      <c r="C95" s="8" t="inlineStr">
        <is>
          <t>mission_chest_shizipo_heidian</t>
        </is>
      </c>
      <c r="D95" s="8" t="inlineStr">
        <is>
          <t>十字坡黑店宝箱</t>
        </is>
      </c>
      <c r="E95" s="8" t="inlineStr">
        <is>
          <t>必得</t>
        </is>
      </c>
      <c r="F95" s="8" t="inlineStr">
        <is>
          <t>tong</t>
        </is>
      </c>
      <c r="G95" s="8" t="inlineStr">
        <is>
          <t>铜</t>
        </is>
      </c>
      <c r="H95" s="8" t="inlineStr">
        <is>
          <t>black</t>
        </is>
      </c>
      <c r="I95" s="8" t="inlineStr">
        <is>
          <t>resource</t>
        </is>
      </c>
      <c r="J95" s="8" t="n">
        <v>1</v>
      </c>
      <c r="K95" s="8" t="n">
        <v>1</v>
      </c>
      <c r="L95" s="8" t="n">
        <v>1</v>
      </c>
      <c r="M95" s="8" t="n">
        <v>8</v>
      </c>
      <c r="N95" s="8" t="n">
        <v>8</v>
      </c>
      <c r="O95" s="8">
        <f>J95*K95/L95</f>
        <v>1.0</v>
      </c>
      <c r="P95" s="8">
        <f>(M95+N95)/2</f>
        <v>8.0</v>
      </c>
      <c r="Q95" s="8">
        <f>O95*P95</f>
        <v>8.0</v>
      </c>
      <c r="R95" s="8" t="n">
        <v>0</v>
      </c>
      <c r="S95" s="8">
        <f>Q95*R95</f>
        <v>0.0</v>
      </c>
      <c r="T95" s="8" t="n"/>
      <c r="U95" s="8" t="inlineStr"/>
      <c r="V95" s="8" t="inlineStr">
        <is>
          <t>data/item_templates.yaml:mission_chest_shizipo_heidian.effect_payload</t>
        </is>
      </c>
    </row>
    <row r="96" ht="36" customHeight="1">
      <c r="A96" s="8" t="inlineStr">
        <is>
          <t>shizipo_heidian</t>
        </is>
      </c>
      <c r="B96" s="8" t="inlineStr">
        <is>
          <t>十字坡黑店</t>
        </is>
      </c>
      <c r="C96" s="8" t="inlineStr">
        <is>
          <t>mission_chest_shizipo_heidian</t>
        </is>
      </c>
      <c r="D96" s="8" t="inlineStr">
        <is>
          <t>十字坡黑店宝箱</t>
        </is>
      </c>
      <c r="E96" s="8" t="inlineStr">
        <is>
          <t>必得</t>
        </is>
      </c>
      <c r="F96" s="8" t="inlineStr">
        <is>
          <t>xi</t>
        </is>
      </c>
      <c r="G96" s="8" t="inlineStr">
        <is>
          <t>锡</t>
        </is>
      </c>
      <c r="H96" s="8" t="inlineStr">
        <is>
          <t>black</t>
        </is>
      </c>
      <c r="I96" s="8" t="inlineStr">
        <is>
          <t>resource</t>
        </is>
      </c>
      <c r="J96" s="8" t="n">
        <v>1</v>
      </c>
      <c r="K96" s="8" t="n">
        <v>1</v>
      </c>
      <c r="L96" s="8" t="n">
        <v>1</v>
      </c>
      <c r="M96" s="8" t="n">
        <v>5</v>
      </c>
      <c r="N96" s="8" t="n">
        <v>5</v>
      </c>
      <c r="O96" s="8">
        <f>J96*K96/L96</f>
        <v>1.0</v>
      </c>
      <c r="P96" s="8">
        <f>(M96+N96)/2</f>
        <v>5.0</v>
      </c>
      <c r="Q96" s="8">
        <f>O96*P96</f>
        <v>5.0</v>
      </c>
      <c r="R96" s="8" t="n">
        <v>0</v>
      </c>
      <c r="S96" s="8">
        <f>Q96*R96</f>
        <v>0.0</v>
      </c>
      <c r="T96" s="8" t="n"/>
      <c r="U96" s="8" t="inlineStr"/>
      <c r="V96" s="8" t="inlineStr">
        <is>
          <t>data/item_templates.yaml:mission_chest_shizipo_heidian.effect_payload</t>
        </is>
      </c>
    </row>
    <row r="97" ht="36" customHeight="1">
      <c r="A97" s="8" t="inlineStr">
        <is>
          <t>shizipo_heidian</t>
        </is>
      </c>
      <c r="B97" s="8" t="inlineStr">
        <is>
          <t>十字坡黑店</t>
        </is>
      </c>
      <c r="C97" s="8" t="inlineStr">
        <is>
          <t>mission_chest_shizipo_heidian</t>
        </is>
      </c>
      <c r="D97" s="8" t="inlineStr">
        <is>
          <t>十字坡黑店宝箱</t>
        </is>
      </c>
      <c r="E97" s="8" t="inlineStr">
        <is>
          <t>必得</t>
        </is>
      </c>
      <c r="F97" s="8" t="inlineStr">
        <is>
          <t>tie</t>
        </is>
      </c>
      <c r="G97" s="8" t="inlineStr">
        <is>
          <t>铁</t>
        </is>
      </c>
      <c r="H97" s="8" t="inlineStr">
        <is>
          <t>black</t>
        </is>
      </c>
      <c r="I97" s="8" t="inlineStr">
        <is>
          <t>resource</t>
        </is>
      </c>
      <c r="J97" s="8" t="n">
        <v>1</v>
      </c>
      <c r="K97" s="8" t="n">
        <v>1</v>
      </c>
      <c r="L97" s="8" t="n">
        <v>1</v>
      </c>
      <c r="M97" s="8" t="n">
        <v>3</v>
      </c>
      <c r="N97" s="8" t="n">
        <v>3</v>
      </c>
      <c r="O97" s="8">
        <f>J97*K97/L97</f>
        <v>1.0</v>
      </c>
      <c r="P97" s="8">
        <f>(M97+N97)/2</f>
        <v>3.0</v>
      </c>
      <c r="Q97" s="8">
        <f>O97*P97</f>
        <v>3.0</v>
      </c>
      <c r="R97" s="8" t="n">
        <v>0</v>
      </c>
      <c r="S97" s="8">
        <f>Q97*R97</f>
        <v>0.0</v>
      </c>
      <c r="T97" s="8" t="n"/>
      <c r="U97" s="8" t="inlineStr"/>
      <c r="V97" s="8" t="inlineStr">
        <is>
          <t>data/item_templates.yaml:mission_chest_shizipo_heidian.effect_payload</t>
        </is>
      </c>
    </row>
    <row r="98" ht="36" customHeight="1">
      <c r="A98" s="8" t="inlineStr">
        <is>
          <t>shizipo_heidian</t>
        </is>
      </c>
      <c r="B98" s="8" t="inlineStr">
        <is>
          <t>十字坡黑店</t>
        </is>
      </c>
      <c r="C98" s="8" t="inlineStr">
        <is>
          <t>mission_chest_shizipo_heidian</t>
        </is>
      </c>
      <c r="D98" s="8" t="inlineStr">
        <is>
          <t>十字坡黑店宝箱</t>
        </is>
      </c>
      <c r="E98" s="8" t="inlineStr">
        <is>
          <t>shizipo_skill_book_random</t>
        </is>
      </c>
      <c r="F98" s="8" t="inlineStr">
        <is>
          <t>book_soul_erode</t>
        </is>
      </c>
      <c r="G98" s="8" t="inlineStr">
        <is>
          <t>《销魂蚀骨》秘术</t>
        </is>
      </c>
      <c r="H98" s="8" t="inlineStr">
        <is>
          <t>blue</t>
        </is>
      </c>
      <c r="I98" s="8" t="inlineStr">
        <is>
          <t>skill_book</t>
        </is>
      </c>
      <c r="J98" s="8" t="n">
        <v>0.08</v>
      </c>
      <c r="K98" s="8" t="n">
        <v>1</v>
      </c>
      <c r="L98" s="8" t="n">
        <v>2</v>
      </c>
      <c r="M98" s="8" t="n">
        <v>1</v>
      </c>
      <c r="N98" s="8" t="n">
        <v>1</v>
      </c>
      <c r="O98" s="8">
        <f>J98*K98/L98</f>
        <v>0.04</v>
      </c>
      <c r="P98" s="8">
        <f>(M98+N98)/2</f>
        <v>1.0</v>
      </c>
      <c r="Q98" s="8">
        <f>O98*P98</f>
        <v>0.04</v>
      </c>
      <c r="R98" s="8" t="n">
        <v>0</v>
      </c>
      <c r="S98" s="8">
        <f>Q98*R98</f>
        <v>0.0</v>
      </c>
      <c r="T98" s="8" t="n"/>
      <c r="U98" s="8" t="inlineStr"/>
      <c r="V98" s="8" t="inlineStr">
        <is>
          <t>data/item_templates.yaml:mission_chest_shizipo_heidian.effect_payload</t>
        </is>
      </c>
    </row>
    <row r="99" ht="36" customHeight="1">
      <c r="A99" s="8" t="inlineStr">
        <is>
          <t>shizipo_heidian</t>
        </is>
      </c>
      <c r="B99" s="8" t="inlineStr">
        <is>
          <t>十字坡黑店</t>
        </is>
      </c>
      <c r="C99" s="8" t="inlineStr">
        <is>
          <t>mission_chest_shizipo_heidian</t>
        </is>
      </c>
      <c r="D99" s="8" t="inlineStr">
        <is>
          <t>十字坡黑店宝箱</t>
        </is>
      </c>
      <c r="E99" s="8" t="inlineStr">
        <is>
          <t>shizipo_skill_book_random</t>
        </is>
      </c>
      <c r="F99" s="8" t="inlineStr">
        <is>
          <t>book_draw_enemy_blades</t>
        </is>
      </c>
      <c r="G99" s="8" t="inlineStr">
        <is>
          <t>《招锋引敌》秘术</t>
        </is>
      </c>
      <c r="H99" s="8" t="inlineStr">
        <is>
          <t>blue</t>
        </is>
      </c>
      <c r="I99" s="8" t="inlineStr">
        <is>
          <t>skill_book</t>
        </is>
      </c>
      <c r="J99" s="8" t="n">
        <v>0.08</v>
      </c>
      <c r="K99" s="8" t="n">
        <v>1</v>
      </c>
      <c r="L99" s="8" t="n">
        <v>2</v>
      </c>
      <c r="M99" s="8" t="n">
        <v>1</v>
      </c>
      <c r="N99" s="8" t="n">
        <v>1</v>
      </c>
      <c r="O99" s="8">
        <f>J99*K99/L99</f>
        <v>0.04</v>
      </c>
      <c r="P99" s="8">
        <f>(M99+N99)/2</f>
        <v>1.0</v>
      </c>
      <c r="Q99" s="8">
        <f>O99*P99</f>
        <v>0.04</v>
      </c>
      <c r="R99" s="8" t="n">
        <v>0</v>
      </c>
      <c r="S99" s="8">
        <f>Q99*R99</f>
        <v>0.0</v>
      </c>
      <c r="T99" s="8" t="n"/>
      <c r="U99" s="8" t="inlineStr"/>
      <c r="V99" s="8" t="inlineStr">
        <is>
          <t>data/item_templates.yaml:mission_chest_shizipo_heidian.effect_payload</t>
        </is>
      </c>
    </row>
    <row r="100" ht="36" customHeight="1">
      <c r="A100" s="8" t="inlineStr">
        <is>
          <t>shizipo_heidian</t>
        </is>
      </c>
      <c r="B100" s="8" t="inlineStr">
        <is>
          <t>十字坡黑店</t>
        </is>
      </c>
      <c r="C100" s="8" t="inlineStr">
        <is>
          <t>mission_chest_shizipo_heidian</t>
        </is>
      </c>
      <c r="D100" s="8" t="inlineStr">
        <is>
          <t>十字坡黑店宝箱</t>
        </is>
      </c>
      <c r="E100" s="8" t="inlineStr">
        <is>
          <t>主题装备</t>
        </is>
      </c>
      <c r="F100" s="8" t="inlineStr">
        <is>
          <t>equip_hushenfu</t>
        </is>
      </c>
      <c r="G100" s="8" t="inlineStr">
        <is>
          <t>护身符</t>
        </is>
      </c>
      <c r="H100" s="8" t="inlineStr">
        <is>
          <t>green</t>
        </is>
      </c>
      <c r="I100" s="8" t="inlineStr">
        <is>
          <t>equip_ornament</t>
        </is>
      </c>
      <c r="J100" s="8" t="n">
        <v>1</v>
      </c>
      <c r="K100" s="8" t="n">
        <v>10000</v>
      </c>
      <c r="L100" s="8" t="n">
        <v>100000</v>
      </c>
      <c r="M100" s="8" t="n">
        <v>1</v>
      </c>
      <c r="N100" s="8" t="n">
        <v>1</v>
      </c>
      <c r="O100" s="8">
        <f>J100*K100/L100</f>
        <v>0.1</v>
      </c>
      <c r="P100" s="8">
        <f>(M100+N100)/2</f>
        <v>1.0</v>
      </c>
      <c r="Q100" s="8">
        <f>O100*P100</f>
        <v>0.1</v>
      </c>
      <c r="R100" s="8" t="n">
        <v>0</v>
      </c>
      <c r="S100" s="8">
        <f>Q100*R100</f>
        <v>0.0</v>
      </c>
      <c r="T100" s="8" t="n"/>
      <c r="U100" s="8" t="inlineStr"/>
      <c r="V100" s="8" t="inlineStr">
        <is>
          <t>data/item_templates.yaml:mission_chest_shizipo_heidian.effect_payload</t>
        </is>
      </c>
    </row>
    <row r="101" ht="36" customHeight="1">
      <c r="A101" s="8" t="inlineStr">
        <is>
          <t>shizipo_heidian</t>
        </is>
      </c>
      <c r="B101" s="8" t="inlineStr">
        <is>
          <t>十字坡黑店</t>
        </is>
      </c>
      <c r="C101" s="8" t="inlineStr">
        <is>
          <t>mission_chest_shizipo_heidian</t>
        </is>
      </c>
      <c r="D101" s="8" t="inlineStr">
        <is>
          <t>十字坡黑店宝箱</t>
        </is>
      </c>
      <c r="E101" s="8" t="inlineStr">
        <is>
          <t>主题装备</t>
        </is>
      </c>
      <c r="F101" s="8" t="inlineStr">
        <is>
          <t>equip_tongjing</t>
        </is>
      </c>
      <c r="G101" s="8" t="inlineStr">
        <is>
          <t>铜镜</t>
        </is>
      </c>
      <c r="H101" s="8" t="inlineStr">
        <is>
          <t>green</t>
        </is>
      </c>
      <c r="I101" s="8" t="inlineStr">
        <is>
          <t>equip_ornament</t>
        </is>
      </c>
      <c r="J101" s="8" t="n">
        <v>1</v>
      </c>
      <c r="K101" s="8" t="n">
        <v>10000</v>
      </c>
      <c r="L101" s="8" t="n">
        <v>100000</v>
      </c>
      <c r="M101" s="8" t="n">
        <v>1</v>
      </c>
      <c r="N101" s="8" t="n">
        <v>1</v>
      </c>
      <c r="O101" s="8">
        <f>J101*K101/L101</f>
        <v>0.1</v>
      </c>
      <c r="P101" s="8">
        <f>(M101+N101)/2</f>
        <v>1.0</v>
      </c>
      <c r="Q101" s="8">
        <f>O101*P101</f>
        <v>0.1</v>
      </c>
      <c r="R101" s="8" t="n">
        <v>0</v>
      </c>
      <c r="S101" s="8">
        <f>Q101*R101</f>
        <v>0.0</v>
      </c>
      <c r="T101" s="8" t="n"/>
      <c r="U101" s="8" t="inlineStr"/>
      <c r="V101" s="8" t="inlineStr">
        <is>
          <t>data/item_templates.yaml:mission_chest_shizipo_heidian.effect_payload</t>
        </is>
      </c>
    </row>
    <row r="102" ht="36" customHeight="1">
      <c r="A102" s="8" t="inlineStr">
        <is>
          <t>shizipo_heidian</t>
        </is>
      </c>
      <c r="B102" s="8" t="inlineStr">
        <is>
          <t>十字坡黑店</t>
        </is>
      </c>
      <c r="C102" s="8" t="inlineStr">
        <is>
          <t>mission_chest_shizipo_heidian</t>
        </is>
      </c>
      <c r="D102" s="8" t="inlineStr">
        <is>
          <t>十字坡黑店宝箱</t>
        </is>
      </c>
      <c r="E102" s="8" t="inlineStr">
        <is>
          <t>主题装备</t>
        </is>
      </c>
      <c r="F102" s="8" t="inlineStr">
        <is>
          <t>equip_fudai</t>
        </is>
      </c>
      <c r="G102" s="8" t="inlineStr">
        <is>
          <t>福袋</t>
        </is>
      </c>
      <c r="H102" s="8" t="inlineStr">
        <is>
          <t>green</t>
        </is>
      </c>
      <c r="I102" s="8" t="inlineStr">
        <is>
          <t>equip_ornament</t>
        </is>
      </c>
      <c r="J102" s="8" t="n">
        <v>1</v>
      </c>
      <c r="K102" s="8" t="n">
        <v>10000</v>
      </c>
      <c r="L102" s="8" t="n">
        <v>100000</v>
      </c>
      <c r="M102" s="8" t="n">
        <v>1</v>
      </c>
      <c r="N102" s="8" t="n">
        <v>1</v>
      </c>
      <c r="O102" s="8">
        <f>J102*K102/L102</f>
        <v>0.1</v>
      </c>
      <c r="P102" s="8">
        <f>(M102+N102)/2</f>
        <v>1.0</v>
      </c>
      <c r="Q102" s="8">
        <f>O102*P102</f>
        <v>0.1</v>
      </c>
      <c r="R102" s="8" t="n">
        <v>0</v>
      </c>
      <c r="S102" s="8">
        <f>Q102*R102</f>
        <v>0.0</v>
      </c>
      <c r="T102" s="8" t="n"/>
      <c r="U102" s="8" t="inlineStr"/>
      <c r="V102" s="8" t="inlineStr">
        <is>
          <t>data/item_templates.yaml:mission_chest_shizipo_heidian.effect_payload</t>
        </is>
      </c>
    </row>
    <row r="103" ht="36" customHeight="1">
      <c r="A103" s="8" t="inlineStr">
        <is>
          <t>shizipo_heidian</t>
        </is>
      </c>
      <c r="B103" s="8" t="inlineStr">
        <is>
          <t>十字坡黑店</t>
        </is>
      </c>
      <c r="C103" s="8" t="inlineStr">
        <is>
          <t>mission_chest_shizipo_heidian</t>
        </is>
      </c>
      <c r="D103" s="8" t="inlineStr">
        <is>
          <t>十字坡黑店宝箱</t>
        </is>
      </c>
      <c r="E103" s="8" t="inlineStr">
        <is>
          <t>主题装备</t>
        </is>
      </c>
      <c r="F103" s="8" t="inlineStr">
        <is>
          <t>equip_duanhunbian</t>
        </is>
      </c>
      <c r="G103" s="8" t="inlineStr">
        <is>
          <t>断魂鞭</t>
        </is>
      </c>
      <c r="H103" s="8" t="inlineStr">
        <is>
          <t>blue</t>
        </is>
      </c>
      <c r="I103" s="8" t="inlineStr">
        <is>
          <t>equip_weapon</t>
        </is>
      </c>
      <c r="J103" s="8" t="n">
        <v>1</v>
      </c>
      <c r="K103" s="8" t="n">
        <v>20000</v>
      </c>
      <c r="L103" s="8" t="n">
        <v>100000</v>
      </c>
      <c r="M103" s="8" t="n">
        <v>1</v>
      </c>
      <c r="N103" s="8" t="n">
        <v>1</v>
      </c>
      <c r="O103" s="8">
        <f>J103*K103/L103</f>
        <v>0.2</v>
      </c>
      <c r="P103" s="8">
        <f>(M103+N103)/2</f>
        <v>1.0</v>
      </c>
      <c r="Q103" s="8">
        <f>O103*P103</f>
        <v>0.2</v>
      </c>
      <c r="R103" s="8" t="n">
        <v>0</v>
      </c>
      <c r="S103" s="8">
        <f>Q103*R103</f>
        <v>0.0</v>
      </c>
      <c r="T103" s="8" t="n"/>
      <c r="U103" s="8" t="inlineStr"/>
      <c r="V103" s="8" t="inlineStr">
        <is>
          <t>data/item_templates.yaml:mission_chest_shizipo_heidian.effect_payload</t>
        </is>
      </c>
    </row>
    <row r="104" ht="36" customHeight="1">
      <c r="A104" s="8" t="inlineStr">
        <is>
          <t>shizipo_heidian</t>
        </is>
      </c>
      <c r="B104" s="8" t="inlineStr">
        <is>
          <t>十字坡黑店</t>
        </is>
      </c>
      <c r="C104" s="8" t="inlineStr">
        <is>
          <t>mission_chest_shizipo_heidian</t>
        </is>
      </c>
      <c r="D104" s="8" t="inlineStr">
        <is>
          <t>十字坡黑店宝箱</t>
        </is>
      </c>
      <c r="E104" s="8" t="inlineStr">
        <is>
          <t>主题装备</t>
        </is>
      </c>
      <c r="F104" s="8" t="inlineStr">
        <is>
          <t>equip_hanyuejian</t>
        </is>
      </c>
      <c r="G104" s="8" t="inlineStr">
        <is>
          <t>寒月剑</t>
        </is>
      </c>
      <c r="H104" s="8" t="inlineStr">
        <is>
          <t>blue</t>
        </is>
      </c>
      <c r="I104" s="8" t="inlineStr">
        <is>
          <t>equip_weapon</t>
        </is>
      </c>
      <c r="J104" s="8" t="n">
        <v>1</v>
      </c>
      <c r="K104" s="8" t="n">
        <v>10000</v>
      </c>
      <c r="L104" s="8" t="n">
        <v>100000</v>
      </c>
      <c r="M104" s="8" t="n">
        <v>1</v>
      </c>
      <c r="N104" s="8" t="n">
        <v>1</v>
      </c>
      <c r="O104" s="8">
        <f>J104*K104/L104</f>
        <v>0.1</v>
      </c>
      <c r="P104" s="8">
        <f>(M104+N104)/2</f>
        <v>1.0</v>
      </c>
      <c r="Q104" s="8">
        <f>O104*P104</f>
        <v>0.1</v>
      </c>
      <c r="R104" s="8" t="n">
        <v>0</v>
      </c>
      <c r="S104" s="8">
        <f>Q104*R104</f>
        <v>0.0</v>
      </c>
      <c r="T104" s="8" t="n"/>
      <c r="U104" s="8" t="inlineStr"/>
      <c r="V104" s="8" t="inlineStr">
        <is>
          <t>data/item_templates.yaml:mission_chest_shizipo_heidian.effect_payload</t>
        </is>
      </c>
    </row>
    <row r="105" ht="36" customHeight="1">
      <c r="A105" s="8" t="inlineStr">
        <is>
          <t>shizipo_heidian</t>
        </is>
      </c>
      <c r="B105" s="8" t="inlineStr">
        <is>
          <t>十字坡黑店</t>
        </is>
      </c>
      <c r="C105" s="8" t="inlineStr">
        <is>
          <t>mission_chest_shizipo_heidian</t>
        </is>
      </c>
      <c r="D105" s="8" t="inlineStr">
        <is>
          <t>十字坡黑店宝箱</t>
        </is>
      </c>
      <c r="E105" s="8" t="inlineStr">
        <is>
          <t>主题装备</t>
        </is>
      </c>
      <c r="F105" s="8" t="inlineStr">
        <is>
          <t>equip_lieyandao</t>
        </is>
      </c>
      <c r="G105" s="8" t="inlineStr">
        <is>
          <t>烈焰刀</t>
        </is>
      </c>
      <c r="H105" s="8" t="inlineStr">
        <is>
          <t>blue</t>
        </is>
      </c>
      <c r="I105" s="8" t="inlineStr">
        <is>
          <t>equip_weapon</t>
        </is>
      </c>
      <c r="J105" s="8" t="n">
        <v>1</v>
      </c>
      <c r="K105" s="8" t="n">
        <v>10000</v>
      </c>
      <c r="L105" s="8" t="n">
        <v>100000</v>
      </c>
      <c r="M105" s="8" t="n">
        <v>1</v>
      </c>
      <c r="N105" s="8" t="n">
        <v>1</v>
      </c>
      <c r="O105" s="8">
        <f>J105*K105/L105</f>
        <v>0.1</v>
      </c>
      <c r="P105" s="8">
        <f>(M105+N105)/2</f>
        <v>1.0</v>
      </c>
      <c r="Q105" s="8">
        <f>O105*P105</f>
        <v>0.1</v>
      </c>
      <c r="R105" s="8" t="n">
        <v>0</v>
      </c>
      <c r="S105" s="8">
        <f>Q105*R105</f>
        <v>0.0</v>
      </c>
      <c r="T105" s="8" t="n"/>
      <c r="U105" s="8" t="inlineStr"/>
      <c r="V105" s="8" t="inlineStr">
        <is>
          <t>data/item_templates.yaml:mission_chest_shizipo_heidian.effect_payload</t>
        </is>
      </c>
    </row>
    <row r="106" ht="36" customHeight="1">
      <c r="A106" s="8" t="inlineStr">
        <is>
          <t>shizipo_heidian</t>
        </is>
      </c>
      <c r="B106" s="8" t="inlineStr">
        <is>
          <t>十字坡黑店</t>
        </is>
      </c>
      <c r="C106" s="8" t="inlineStr">
        <is>
          <t>mission_chest_shizipo_heidian</t>
        </is>
      </c>
      <c r="D106" s="8" t="inlineStr">
        <is>
          <t>十字坡黑店宝箱</t>
        </is>
      </c>
      <c r="E106" s="8" t="inlineStr">
        <is>
          <t>主题装备</t>
        </is>
      </c>
      <c r="F106" s="8" t="inlineStr">
        <is>
          <t>equip_zhenyuechui</t>
        </is>
      </c>
      <c r="G106" s="8" t="inlineStr">
        <is>
          <t>镇岳锤</t>
        </is>
      </c>
      <c r="H106" s="8" t="inlineStr">
        <is>
          <t>blue</t>
        </is>
      </c>
      <c r="I106" s="8" t="inlineStr">
        <is>
          <t>equip_weapon</t>
        </is>
      </c>
      <c r="J106" s="8" t="n">
        <v>1</v>
      </c>
      <c r="K106" s="8" t="n">
        <v>10000</v>
      </c>
      <c r="L106" s="8" t="n">
        <v>100000</v>
      </c>
      <c r="M106" s="8" t="n">
        <v>1</v>
      </c>
      <c r="N106" s="8" t="n">
        <v>1</v>
      </c>
      <c r="O106" s="8">
        <f>J106*K106/L106</f>
        <v>0.1</v>
      </c>
      <c r="P106" s="8">
        <f>(M106+N106)/2</f>
        <v>1.0</v>
      </c>
      <c r="Q106" s="8">
        <f>O106*P106</f>
        <v>0.1</v>
      </c>
      <c r="R106" s="8" t="n">
        <v>0</v>
      </c>
      <c r="S106" s="8">
        <f>Q106*R106</f>
        <v>0.0</v>
      </c>
      <c r="T106" s="8" t="n"/>
      <c r="U106" s="8" t="inlineStr"/>
      <c r="V106" s="8" t="inlineStr">
        <is>
          <t>data/item_templates.yaml:mission_chest_shizipo_heidian.effect_payload</t>
        </is>
      </c>
    </row>
    <row r="107" ht="36" customHeight="1">
      <c r="A107" s="8" t="inlineStr">
        <is>
          <t>shizipo_heidian</t>
        </is>
      </c>
      <c r="B107" s="8" t="inlineStr">
        <is>
          <t>十字坡黑店</t>
        </is>
      </c>
      <c r="C107" s="8" t="inlineStr">
        <is>
          <t>mission_chest_shizipo_heidian</t>
        </is>
      </c>
      <c r="D107" s="8" t="inlineStr">
        <is>
          <t>十字坡黑店宝箱</t>
        </is>
      </c>
      <c r="E107" s="8" t="inlineStr">
        <is>
          <t>主题装备</t>
        </is>
      </c>
      <c r="F107" s="8" t="inlineStr">
        <is>
          <t>equip_huyaxianglian</t>
        </is>
      </c>
      <c r="G107" s="8" t="inlineStr">
        <is>
          <t>虎牙项链</t>
        </is>
      </c>
      <c r="H107" s="8" t="inlineStr">
        <is>
          <t>blue</t>
        </is>
      </c>
      <c r="I107" s="8" t="inlineStr">
        <is>
          <t>equip_ornament</t>
        </is>
      </c>
      <c r="J107" s="8" t="n">
        <v>1</v>
      </c>
      <c r="K107" s="8" t="n">
        <v>10000</v>
      </c>
      <c r="L107" s="8" t="n">
        <v>100000</v>
      </c>
      <c r="M107" s="8" t="n">
        <v>1</v>
      </c>
      <c r="N107" s="8" t="n">
        <v>1</v>
      </c>
      <c r="O107" s="8">
        <f>J107*K107/L107</f>
        <v>0.1</v>
      </c>
      <c r="P107" s="8">
        <f>(M107+N107)/2</f>
        <v>1.0</v>
      </c>
      <c r="Q107" s="8">
        <f>O107*P107</f>
        <v>0.1</v>
      </c>
      <c r="R107" s="8" t="n">
        <v>0</v>
      </c>
      <c r="S107" s="8">
        <f>Q107*R107</f>
        <v>0.0</v>
      </c>
      <c r="T107" s="8" t="n"/>
      <c r="U107" s="8" t="inlineStr"/>
      <c r="V107" s="8" t="inlineStr">
        <is>
          <t>data/item_templates.yaml:mission_chest_shizipo_heidian.effect_payload</t>
        </is>
      </c>
    </row>
    <row r="108" ht="36" customHeight="1">
      <c r="A108" s="8" t="inlineStr">
        <is>
          <t>shizipo_heidian</t>
        </is>
      </c>
      <c r="B108" s="8" t="inlineStr">
        <is>
          <t>十字坡黑店</t>
        </is>
      </c>
      <c r="C108" s="8" t="inlineStr">
        <is>
          <t>mission_chest_shizipo_heidian</t>
        </is>
      </c>
      <c r="D108" s="8" t="inlineStr">
        <is>
          <t>十字坡黑店宝箱</t>
        </is>
      </c>
      <c r="E108" s="8" t="inlineStr">
        <is>
          <t>主题装备</t>
        </is>
      </c>
      <c r="F108" s="8" t="inlineStr">
        <is>
          <t>equip_xueyuzhuo</t>
        </is>
      </c>
      <c r="G108" s="8" t="inlineStr">
        <is>
          <t>血玉镯</t>
        </is>
      </c>
      <c r="H108" s="8" t="inlineStr">
        <is>
          <t>blue</t>
        </is>
      </c>
      <c r="I108" s="8" t="inlineStr">
        <is>
          <t>equip_ornament</t>
        </is>
      </c>
      <c r="J108" s="8" t="n">
        <v>1</v>
      </c>
      <c r="K108" s="8" t="n">
        <v>10000</v>
      </c>
      <c r="L108" s="8" t="n">
        <v>100000</v>
      </c>
      <c r="M108" s="8" t="n">
        <v>1</v>
      </c>
      <c r="N108" s="8" t="n">
        <v>1</v>
      </c>
      <c r="O108" s="8">
        <f>J108*K108/L108</f>
        <v>0.1</v>
      </c>
      <c r="P108" s="8">
        <f>(M108+N108)/2</f>
        <v>1.0</v>
      </c>
      <c r="Q108" s="8">
        <f>O108*P108</f>
        <v>0.1</v>
      </c>
      <c r="R108" s="8" t="n">
        <v>0</v>
      </c>
      <c r="S108" s="8">
        <f>Q108*R108</f>
        <v>0.0</v>
      </c>
      <c r="T108" s="8" t="n"/>
      <c r="U108" s="8" t="inlineStr"/>
      <c r="V108" s="8" t="inlineStr">
        <is>
          <t>data/item_templates.yaml:mission_chest_shizipo_heidian.effect_payload</t>
        </is>
      </c>
    </row>
    <row r="109" ht="36" customHeight="1">
      <c r="A109" s="8" t="inlineStr">
        <is>
          <t>shanhaiguan</t>
        </is>
      </c>
      <c r="B109" s="8" t="inlineStr">
        <is>
          <t>山海关</t>
        </is>
      </c>
      <c r="C109" s="8" t="inlineStr">
        <is>
          <t>mission_chest_shanhaiguan</t>
        </is>
      </c>
      <c r="D109" s="8" t="inlineStr">
        <is>
          <t>山海关宝箱</t>
        </is>
      </c>
      <c r="E109" s="8" t="inlineStr">
        <is>
          <t>必得</t>
        </is>
      </c>
      <c r="F109" s="8" t="inlineStr">
        <is>
          <t>experience_fruit</t>
        </is>
      </c>
      <c r="G109" s="8" t="inlineStr">
        <is>
          <t>经验果</t>
        </is>
      </c>
      <c r="H109" s="8" t="inlineStr">
        <is>
          <t>green</t>
        </is>
      </c>
      <c r="I109" s="8" t="inlineStr">
        <is>
          <t>experience_items</t>
        </is>
      </c>
      <c r="J109" s="8" t="n">
        <v>1</v>
      </c>
      <c r="K109" s="8" t="n">
        <v>1</v>
      </c>
      <c r="L109" s="8" t="n">
        <v>1</v>
      </c>
      <c r="M109" s="8" t="n">
        <v>20</v>
      </c>
      <c r="N109" s="8" t="n">
        <v>20</v>
      </c>
      <c r="O109" s="8">
        <f>J109*K109/L109</f>
        <v>1.0</v>
      </c>
      <c r="P109" s="8">
        <f>(M109+N109)/2</f>
        <v>20.0</v>
      </c>
      <c r="Q109" s="8">
        <f>O109*P109</f>
        <v>20.0</v>
      </c>
      <c r="R109" s="8" t="n">
        <v>1</v>
      </c>
      <c r="S109" s="8">
        <f>Q109*R109</f>
        <v>20.0</v>
      </c>
      <c r="T109" s="8" t="n"/>
      <c r="U109" s="8" t="inlineStr"/>
      <c r="V109" s="8" t="inlineStr">
        <is>
          <t>data/item_templates.yaml:mission_chest_shanhaiguan.effect_payload</t>
        </is>
      </c>
    </row>
    <row r="110" ht="36" customHeight="1">
      <c r="A110" s="8" t="inlineStr">
        <is>
          <t>shanhaiguan</t>
        </is>
      </c>
      <c r="B110" s="8" t="inlineStr">
        <is>
          <t>山海关</t>
        </is>
      </c>
      <c r="C110" s="8" t="inlineStr">
        <is>
          <t>mission_chest_shanhaiguan</t>
        </is>
      </c>
      <c r="D110" s="8" t="inlineStr">
        <is>
          <t>山海关宝箱</t>
        </is>
      </c>
      <c r="E110" s="8" t="inlineStr">
        <is>
          <t>必得</t>
        </is>
      </c>
      <c r="F110" s="8" t="inlineStr">
        <is>
          <t>buxuedan</t>
        </is>
      </c>
      <c r="G110" s="8" t="inlineStr">
        <is>
          <t>补血丹</t>
        </is>
      </c>
      <c r="H110" s="8" t="inlineStr">
        <is>
          <t>black</t>
        </is>
      </c>
      <c r="I110" s="8" t="inlineStr">
        <is>
          <t>medicine</t>
        </is>
      </c>
      <c r="J110" s="8" t="n">
        <v>1</v>
      </c>
      <c r="K110" s="8" t="n">
        <v>1</v>
      </c>
      <c r="L110" s="8" t="n">
        <v>1</v>
      </c>
      <c r="M110" s="8" t="n">
        <v>2</v>
      </c>
      <c r="N110" s="8" t="n">
        <v>2</v>
      </c>
      <c r="O110" s="8">
        <f>J110*K110/L110</f>
        <v>1.0</v>
      </c>
      <c r="P110" s="8">
        <f>(M110+N110)/2</f>
        <v>2.0</v>
      </c>
      <c r="Q110" s="8">
        <f>O110*P110</f>
        <v>2.0</v>
      </c>
      <c r="R110" s="8" t="n">
        <v>0</v>
      </c>
      <c r="S110" s="8">
        <f>Q110*R110</f>
        <v>0.0</v>
      </c>
      <c r="T110" s="8" t="n"/>
      <c r="U110" s="8" t="inlineStr"/>
      <c r="V110" s="8" t="inlineStr">
        <is>
          <t>data/item_templates.yaml:mission_chest_shanhaiguan.effect_payload</t>
        </is>
      </c>
    </row>
    <row r="111" ht="36" customHeight="1">
      <c r="A111" s="8" t="inlineStr">
        <is>
          <t>shanhaiguan</t>
        </is>
      </c>
      <c r="B111" s="8" t="inlineStr">
        <is>
          <t>山海关</t>
        </is>
      </c>
      <c r="C111" s="8" t="inlineStr">
        <is>
          <t>mission_chest_shanhaiguan</t>
        </is>
      </c>
      <c r="D111" s="8" t="inlineStr">
        <is>
          <t>山海关宝箱</t>
        </is>
      </c>
      <c r="E111" s="8" t="inlineStr">
        <is>
          <t>必得</t>
        </is>
      </c>
      <c r="F111" s="8" t="inlineStr">
        <is>
          <t>tong</t>
        </is>
      </c>
      <c r="G111" s="8" t="inlineStr">
        <is>
          <t>铜</t>
        </is>
      </c>
      <c r="H111" s="8" t="inlineStr">
        <is>
          <t>black</t>
        </is>
      </c>
      <c r="I111" s="8" t="inlineStr">
        <is>
          <t>resource</t>
        </is>
      </c>
      <c r="J111" s="8" t="n">
        <v>1</v>
      </c>
      <c r="K111" s="8" t="n">
        <v>1</v>
      </c>
      <c r="L111" s="8" t="n">
        <v>1</v>
      </c>
      <c r="M111" s="8" t="n">
        <v>8</v>
      </c>
      <c r="N111" s="8" t="n">
        <v>8</v>
      </c>
      <c r="O111" s="8">
        <f>J111*K111/L111</f>
        <v>1.0</v>
      </c>
      <c r="P111" s="8">
        <f>(M111+N111)/2</f>
        <v>8.0</v>
      </c>
      <c r="Q111" s="8">
        <f>O111*P111</f>
        <v>8.0</v>
      </c>
      <c r="R111" s="8" t="n">
        <v>0</v>
      </c>
      <c r="S111" s="8">
        <f>Q111*R111</f>
        <v>0.0</v>
      </c>
      <c r="T111" s="8" t="n"/>
      <c r="U111" s="8" t="inlineStr"/>
      <c r="V111" s="8" t="inlineStr">
        <is>
          <t>data/item_templates.yaml:mission_chest_shanhaiguan.effect_payload</t>
        </is>
      </c>
    </row>
    <row r="112" ht="36" customHeight="1">
      <c r="A112" s="8" t="inlineStr">
        <is>
          <t>shanhaiguan</t>
        </is>
      </c>
      <c r="B112" s="8" t="inlineStr">
        <is>
          <t>山海关</t>
        </is>
      </c>
      <c r="C112" s="8" t="inlineStr">
        <is>
          <t>mission_chest_shanhaiguan</t>
        </is>
      </c>
      <c r="D112" s="8" t="inlineStr">
        <is>
          <t>山海关宝箱</t>
        </is>
      </c>
      <c r="E112" s="8" t="inlineStr">
        <is>
          <t>必得</t>
        </is>
      </c>
      <c r="F112" s="8" t="inlineStr">
        <is>
          <t>xi</t>
        </is>
      </c>
      <c r="G112" s="8" t="inlineStr">
        <is>
          <t>锡</t>
        </is>
      </c>
      <c r="H112" s="8" t="inlineStr">
        <is>
          <t>black</t>
        </is>
      </c>
      <c r="I112" s="8" t="inlineStr">
        <is>
          <t>resource</t>
        </is>
      </c>
      <c r="J112" s="8" t="n">
        <v>1</v>
      </c>
      <c r="K112" s="8" t="n">
        <v>1</v>
      </c>
      <c r="L112" s="8" t="n">
        <v>1</v>
      </c>
      <c r="M112" s="8" t="n">
        <v>5</v>
      </c>
      <c r="N112" s="8" t="n">
        <v>5</v>
      </c>
      <c r="O112" s="8">
        <f>J112*K112/L112</f>
        <v>1.0</v>
      </c>
      <c r="P112" s="8">
        <f>(M112+N112)/2</f>
        <v>5.0</v>
      </c>
      <c r="Q112" s="8">
        <f>O112*P112</f>
        <v>5.0</v>
      </c>
      <c r="R112" s="8" t="n">
        <v>0</v>
      </c>
      <c r="S112" s="8">
        <f>Q112*R112</f>
        <v>0.0</v>
      </c>
      <c r="T112" s="8" t="n"/>
      <c r="U112" s="8" t="inlineStr"/>
      <c r="V112" s="8" t="inlineStr">
        <is>
          <t>data/item_templates.yaml:mission_chest_shanhaiguan.effect_payload</t>
        </is>
      </c>
    </row>
    <row r="113" ht="36" customHeight="1">
      <c r="A113" s="8" t="inlineStr">
        <is>
          <t>shanhaiguan</t>
        </is>
      </c>
      <c r="B113" s="8" t="inlineStr">
        <is>
          <t>山海关</t>
        </is>
      </c>
      <c r="C113" s="8" t="inlineStr">
        <is>
          <t>mission_chest_shanhaiguan</t>
        </is>
      </c>
      <c r="D113" s="8" t="inlineStr">
        <is>
          <t>山海关宝箱</t>
        </is>
      </c>
      <c r="E113" s="8" t="inlineStr">
        <is>
          <t>必得</t>
        </is>
      </c>
      <c r="F113" s="8" t="inlineStr">
        <is>
          <t>tie</t>
        </is>
      </c>
      <c r="G113" s="8" t="inlineStr">
        <is>
          <t>铁</t>
        </is>
      </c>
      <c r="H113" s="8" t="inlineStr">
        <is>
          <t>black</t>
        </is>
      </c>
      <c r="I113" s="8" t="inlineStr">
        <is>
          <t>resource</t>
        </is>
      </c>
      <c r="J113" s="8" t="n">
        <v>1</v>
      </c>
      <c r="K113" s="8" t="n">
        <v>1</v>
      </c>
      <c r="L113" s="8" t="n">
        <v>1</v>
      </c>
      <c r="M113" s="8" t="n">
        <v>3</v>
      </c>
      <c r="N113" s="8" t="n">
        <v>3</v>
      </c>
      <c r="O113" s="8">
        <f>J113*K113/L113</f>
        <v>1.0</v>
      </c>
      <c r="P113" s="8">
        <f>(M113+N113)/2</f>
        <v>3.0</v>
      </c>
      <c r="Q113" s="8">
        <f>O113*P113</f>
        <v>3.0</v>
      </c>
      <c r="R113" s="8" t="n">
        <v>0</v>
      </c>
      <c r="S113" s="8">
        <f>Q113*R113</f>
        <v>0.0</v>
      </c>
      <c r="T113" s="8" t="n"/>
      <c r="U113" s="8" t="inlineStr"/>
      <c r="V113" s="8" t="inlineStr">
        <is>
          <t>data/item_templates.yaml:mission_chest_shanhaiguan.effect_payload</t>
        </is>
      </c>
    </row>
    <row r="114" ht="36" customHeight="1">
      <c r="A114" s="8" t="inlineStr">
        <is>
          <t>shanhaiguan</t>
        </is>
      </c>
      <c r="B114" s="8" t="inlineStr">
        <is>
          <t>山海关</t>
        </is>
      </c>
      <c r="C114" s="8" t="inlineStr">
        <is>
          <t>mission_chest_shanhaiguan</t>
        </is>
      </c>
      <c r="D114" s="8" t="inlineStr">
        <is>
          <t>山海关宝箱</t>
        </is>
      </c>
      <c r="E114" s="8" t="inlineStr">
        <is>
          <t>shanhaiguan_skill_book_random</t>
        </is>
      </c>
      <c r="F114" s="8" t="inlineStr">
        <is>
          <t>book_iron_wall_heart</t>
        </is>
      </c>
      <c r="G114" s="8" t="inlineStr">
        <is>
          <t>《铁壁心法》秘术</t>
        </is>
      </c>
      <c r="H114" s="8" t="inlineStr">
        <is>
          <t>green</t>
        </is>
      </c>
      <c r="I114" s="8" t="inlineStr">
        <is>
          <t>skill_book</t>
        </is>
      </c>
      <c r="J114" s="8" t="n">
        <v>0.09</v>
      </c>
      <c r="K114" s="8" t="n">
        <v>5</v>
      </c>
      <c r="L114" s="8" t="n">
        <v>9</v>
      </c>
      <c r="M114" s="8" t="n">
        <v>1</v>
      </c>
      <c r="N114" s="8" t="n">
        <v>1</v>
      </c>
      <c r="O114" s="8">
        <f>J114*K114/L114</f>
        <v>0.049999999999999996</v>
      </c>
      <c r="P114" s="8">
        <f>(M114+N114)/2</f>
        <v>1.0</v>
      </c>
      <c r="Q114" s="8">
        <f>O114*P114</f>
        <v>0.049999999999999996</v>
      </c>
      <c r="R114" s="8" t="n">
        <v>0</v>
      </c>
      <c r="S114" s="8">
        <f>Q114*R114</f>
        <v>0.0</v>
      </c>
      <c r="T114" s="8" t="n"/>
      <c r="U114" s="8" t="inlineStr"/>
      <c r="V114" s="8" t="inlineStr">
        <is>
          <t>data/item_templates.yaml:mission_chest_shanhaiguan.effect_payload</t>
        </is>
      </c>
    </row>
    <row r="115" ht="36" customHeight="1">
      <c r="A115" s="8" t="inlineStr">
        <is>
          <t>shanhaiguan</t>
        </is>
      </c>
      <c r="B115" s="8" t="inlineStr">
        <is>
          <t>山海关</t>
        </is>
      </c>
      <c r="C115" s="8" t="inlineStr">
        <is>
          <t>mission_chest_shanhaiguan</t>
        </is>
      </c>
      <c r="D115" s="8" t="inlineStr">
        <is>
          <t>山海关宝箱</t>
        </is>
      </c>
      <c r="E115" s="8" t="inlineStr">
        <is>
          <t>shanhaiguan_skill_book_random</t>
        </is>
      </c>
      <c r="F115" s="8" t="inlineStr">
        <is>
          <t>book_last_chance_revival</t>
        </is>
      </c>
      <c r="G115" s="8" t="inlineStr">
        <is>
          <t>《绝处逢生》秘术</t>
        </is>
      </c>
      <c r="H115" s="8" t="inlineStr">
        <is>
          <t>blue</t>
        </is>
      </c>
      <c r="I115" s="8" t="inlineStr">
        <is>
          <t>skill_book</t>
        </is>
      </c>
      <c r="J115" s="8" t="n">
        <v>0.09</v>
      </c>
      <c r="K115" s="8" t="n">
        <v>4</v>
      </c>
      <c r="L115" s="8" t="n">
        <v>9</v>
      </c>
      <c r="M115" s="8" t="n">
        <v>1</v>
      </c>
      <c r="N115" s="8" t="n">
        <v>1</v>
      </c>
      <c r="O115" s="8">
        <f>J115*K115/L115</f>
        <v>0.04</v>
      </c>
      <c r="P115" s="8">
        <f>(M115+N115)/2</f>
        <v>1.0</v>
      </c>
      <c r="Q115" s="8">
        <f>O115*P115</f>
        <v>0.04</v>
      </c>
      <c r="R115" s="8" t="n">
        <v>0</v>
      </c>
      <c r="S115" s="8">
        <f>Q115*R115</f>
        <v>0.0</v>
      </c>
      <c r="T115" s="8" t="n"/>
      <c r="U115" s="8" t="inlineStr"/>
      <c r="V115" s="8" t="inlineStr">
        <is>
          <t>data/item_templates.yaml:mission_chest_shanhaiguan.effect_payload</t>
        </is>
      </c>
    </row>
    <row r="116" ht="36" customHeight="1">
      <c r="A116" s="8" t="inlineStr">
        <is>
          <t>shanhaiguan</t>
        </is>
      </c>
      <c r="B116" s="8" t="inlineStr">
        <is>
          <t>山海关</t>
        </is>
      </c>
      <c r="C116" s="8" t="inlineStr">
        <is>
          <t>mission_chest_shanhaiguan</t>
        </is>
      </c>
      <c r="D116" s="8" t="inlineStr">
        <is>
          <t>山海关宝箱</t>
        </is>
      </c>
      <c r="E116" s="8" t="inlineStr">
        <is>
          <t>blueprint_xiaowei_set</t>
        </is>
      </c>
      <c r="F116" s="8" t="inlineStr">
        <is>
          <t>blueprint_xiaoweitoukie</t>
        </is>
      </c>
      <c r="G116" s="8" t="inlineStr">
        <is>
          <t>校尉头盔图纸</t>
        </is>
      </c>
      <c r="H116" s="8" t="inlineStr">
        <is>
          <t>blue</t>
        </is>
      </c>
      <c r="I116" s="8" t="inlineStr">
        <is>
          <t>tool</t>
        </is>
      </c>
      <c r="J116" s="8" t="n">
        <v>0.35</v>
      </c>
      <c r="K116" s="8" t="n">
        <v>1</v>
      </c>
      <c r="L116" s="8" t="n">
        <v>4</v>
      </c>
      <c r="M116" s="8" t="n">
        <v>1</v>
      </c>
      <c r="N116" s="8" t="n">
        <v>1</v>
      </c>
      <c r="O116" s="8">
        <f>J116*K116/L116</f>
        <v>0.0875</v>
      </c>
      <c r="P116" s="8">
        <f>(M116+N116)/2</f>
        <v>1.0</v>
      </c>
      <c r="Q116" s="8">
        <f>O116*P116</f>
        <v>0.0875</v>
      </c>
      <c r="R116" s="8" t="n">
        <v>0</v>
      </c>
      <c r="S116" s="8">
        <f>Q116*R116</f>
        <v>0.0</v>
      </c>
      <c r="T116" s="8" t="n">
        <v>5</v>
      </c>
      <c r="U116" s="8" t="inlineStr">
        <is>
          <t>校尉头盔</t>
        </is>
      </c>
      <c r="V116" s="8" t="inlineStr">
        <is>
          <t>data/item_templates.yaml:mission_chest_shanhaiguan.effect_payload</t>
        </is>
      </c>
    </row>
    <row r="117" ht="36" customHeight="1">
      <c r="A117" s="8" t="inlineStr">
        <is>
          <t>shanhaiguan</t>
        </is>
      </c>
      <c r="B117" s="8" t="inlineStr">
        <is>
          <t>山海关</t>
        </is>
      </c>
      <c r="C117" s="8" t="inlineStr">
        <is>
          <t>mission_chest_shanhaiguan</t>
        </is>
      </c>
      <c r="D117" s="8" t="inlineStr">
        <is>
          <t>山海关宝箱</t>
        </is>
      </c>
      <c r="E117" s="8" t="inlineStr">
        <is>
          <t>blueprint_xiaowei_set</t>
        </is>
      </c>
      <c r="F117" s="8" t="inlineStr">
        <is>
          <t>blueprint_xiaoweikaijia</t>
        </is>
      </c>
      <c r="G117" s="8" t="inlineStr">
        <is>
          <t>校尉铠甲图纸</t>
        </is>
      </c>
      <c r="H117" s="8" t="inlineStr">
        <is>
          <t>blue</t>
        </is>
      </c>
      <c r="I117" s="8" t="inlineStr">
        <is>
          <t>tool</t>
        </is>
      </c>
      <c r="J117" s="8" t="n">
        <v>0.35</v>
      </c>
      <c r="K117" s="8" t="n">
        <v>1</v>
      </c>
      <c r="L117" s="8" t="n">
        <v>4</v>
      </c>
      <c r="M117" s="8" t="n">
        <v>1</v>
      </c>
      <c r="N117" s="8" t="n">
        <v>1</v>
      </c>
      <c r="O117" s="8">
        <f>J117*K117/L117</f>
        <v>0.0875</v>
      </c>
      <c r="P117" s="8">
        <f>(M117+N117)/2</f>
        <v>1.0</v>
      </c>
      <c r="Q117" s="8">
        <f>O117*P117</f>
        <v>0.0875</v>
      </c>
      <c r="R117" s="8" t="n">
        <v>0</v>
      </c>
      <c r="S117" s="8">
        <f>Q117*R117</f>
        <v>0.0</v>
      </c>
      <c r="T117" s="8" t="n">
        <v>5</v>
      </c>
      <c r="U117" s="8" t="inlineStr">
        <is>
          <t>校尉铠甲</t>
        </is>
      </c>
      <c r="V117" s="8" t="inlineStr">
        <is>
          <t>data/item_templates.yaml:mission_chest_shanhaiguan.effect_payload</t>
        </is>
      </c>
    </row>
    <row r="118" ht="36" customHeight="1">
      <c r="A118" s="8" t="inlineStr">
        <is>
          <t>shanhaiguan</t>
        </is>
      </c>
      <c r="B118" s="8" t="inlineStr">
        <is>
          <t>山海关</t>
        </is>
      </c>
      <c r="C118" s="8" t="inlineStr">
        <is>
          <t>mission_chest_shanhaiguan</t>
        </is>
      </c>
      <c r="D118" s="8" t="inlineStr">
        <is>
          <t>山海关宝箱</t>
        </is>
      </c>
      <c r="E118" s="8" t="inlineStr">
        <is>
          <t>blueprint_xiaowei_set</t>
        </is>
      </c>
      <c r="F118" s="8" t="inlineStr">
        <is>
          <t>blueprint_xiaoweichangxue</t>
        </is>
      </c>
      <c r="G118" s="8" t="inlineStr">
        <is>
          <t>校尉长靴图纸</t>
        </is>
      </c>
      <c r="H118" s="8" t="inlineStr">
        <is>
          <t>blue</t>
        </is>
      </c>
      <c r="I118" s="8" t="inlineStr">
        <is>
          <t>tool</t>
        </is>
      </c>
      <c r="J118" s="8" t="n">
        <v>0.35</v>
      </c>
      <c r="K118" s="8" t="n">
        <v>1</v>
      </c>
      <c r="L118" s="8" t="n">
        <v>4</v>
      </c>
      <c r="M118" s="8" t="n">
        <v>1</v>
      </c>
      <c r="N118" s="8" t="n">
        <v>1</v>
      </c>
      <c r="O118" s="8">
        <f>J118*K118/L118</f>
        <v>0.0875</v>
      </c>
      <c r="P118" s="8">
        <f>(M118+N118)/2</f>
        <v>1.0</v>
      </c>
      <c r="Q118" s="8">
        <f>O118*P118</f>
        <v>0.0875</v>
      </c>
      <c r="R118" s="8" t="n">
        <v>0</v>
      </c>
      <c r="S118" s="8">
        <f>Q118*R118</f>
        <v>0.0</v>
      </c>
      <c r="T118" s="8" t="n">
        <v>5</v>
      </c>
      <c r="U118" s="8" t="inlineStr">
        <is>
          <t>校尉长靴</t>
        </is>
      </c>
      <c r="V118" s="8" t="inlineStr">
        <is>
          <t>data/item_templates.yaml:mission_chest_shanhaiguan.effect_payload</t>
        </is>
      </c>
    </row>
    <row r="119" ht="36" customHeight="1">
      <c r="A119" s="8" t="inlineStr">
        <is>
          <t>shanhaiguan</t>
        </is>
      </c>
      <c r="B119" s="8" t="inlineStr">
        <is>
          <t>山海关</t>
        </is>
      </c>
      <c r="C119" s="8" t="inlineStr">
        <is>
          <t>mission_chest_shanhaiguan</t>
        </is>
      </c>
      <c r="D119" s="8" t="inlineStr">
        <is>
          <t>山海关宝箱</t>
        </is>
      </c>
      <c r="E119" s="8" t="inlineStr">
        <is>
          <t>blueprint_xiaowei_set</t>
        </is>
      </c>
      <c r="F119" s="8" t="inlineStr">
        <is>
          <t>blueprint_xiaoweichangjian</t>
        </is>
      </c>
      <c r="G119" s="8" t="inlineStr">
        <is>
          <t>校尉长剑图纸</t>
        </is>
      </c>
      <c r="H119" s="8" t="inlineStr">
        <is>
          <t>blue</t>
        </is>
      </c>
      <c r="I119" s="8" t="inlineStr">
        <is>
          <t>tool</t>
        </is>
      </c>
      <c r="J119" s="8" t="n">
        <v>0.35</v>
      </c>
      <c r="K119" s="8" t="n">
        <v>1</v>
      </c>
      <c r="L119" s="8" t="n">
        <v>4</v>
      </c>
      <c r="M119" s="8" t="n">
        <v>1</v>
      </c>
      <c r="N119" s="8" t="n">
        <v>1</v>
      </c>
      <c r="O119" s="8">
        <f>J119*K119/L119</f>
        <v>0.0875</v>
      </c>
      <c r="P119" s="8">
        <f>(M119+N119)/2</f>
        <v>1.0</v>
      </c>
      <c r="Q119" s="8">
        <f>O119*P119</f>
        <v>0.0875</v>
      </c>
      <c r="R119" s="8" t="n">
        <v>0</v>
      </c>
      <c r="S119" s="8">
        <f>Q119*R119</f>
        <v>0.0</v>
      </c>
      <c r="T119" s="8" t="n">
        <v>5</v>
      </c>
      <c r="U119" s="8" t="inlineStr">
        <is>
          <t>校尉长剑</t>
        </is>
      </c>
      <c r="V119" s="8" t="inlineStr">
        <is>
          <t>data/item_templates.yaml:mission_chest_shanhaiguan.effect_payload</t>
        </is>
      </c>
    </row>
    <row r="120" ht="36" customHeight="1">
      <c r="A120" s="8" t="inlineStr">
        <is>
          <t>shanhaiguan</t>
        </is>
      </c>
      <c r="B120" s="8" t="inlineStr">
        <is>
          <t>山海关</t>
        </is>
      </c>
      <c r="C120" s="8" t="inlineStr">
        <is>
          <t>mission_chest_shanhaiguan</t>
        </is>
      </c>
      <c r="D120" s="8" t="inlineStr">
        <is>
          <t>山海关宝箱</t>
        </is>
      </c>
      <c r="E120" s="8" t="inlineStr">
        <is>
          <t>守关坐骑</t>
        </is>
      </c>
      <c r="F120" s="8" t="inlineStr">
        <is>
          <t>equip_zhaoyeyushizi</t>
        </is>
      </c>
      <c r="G120" s="8" t="inlineStr">
        <is>
          <t>照夜玉狮子</t>
        </is>
      </c>
      <c r="H120" s="8" t="inlineStr">
        <is>
          <t>blue</t>
        </is>
      </c>
      <c r="I120" s="8" t="inlineStr">
        <is>
          <t>equip_mount</t>
        </is>
      </c>
      <c r="J120" s="8" t="n">
        <v>0.35</v>
      </c>
      <c r="K120" s="8" t="n">
        <v>15</v>
      </c>
      <c r="L120" s="8" t="n">
        <v>35</v>
      </c>
      <c r="M120" s="8" t="n">
        <v>1</v>
      </c>
      <c r="N120" s="8" t="n">
        <v>1</v>
      </c>
      <c r="O120" s="8">
        <f>J120*K120/L120</f>
        <v>0.15</v>
      </c>
      <c r="P120" s="8">
        <f>(M120+N120)/2</f>
        <v>1.0</v>
      </c>
      <c r="Q120" s="8">
        <f>O120*P120</f>
        <v>0.15</v>
      </c>
      <c r="R120" s="8" t="n">
        <v>0</v>
      </c>
      <c r="S120" s="8">
        <f>Q120*R120</f>
        <v>0.0</v>
      </c>
      <c r="T120" s="8" t="n"/>
      <c r="U120" s="8" t="inlineStr"/>
      <c r="V120" s="8" t="inlineStr">
        <is>
          <t>data/item_templates.yaml:mission_chest_shanhaiguan.effect_payload</t>
        </is>
      </c>
    </row>
    <row r="121" ht="36" customHeight="1">
      <c r="A121" s="8" t="inlineStr">
        <is>
          <t>shanhaiguan</t>
        </is>
      </c>
      <c r="B121" s="8" t="inlineStr">
        <is>
          <t>山海关</t>
        </is>
      </c>
      <c r="C121" s="8" t="inlineStr">
        <is>
          <t>mission_chest_shanhaiguan</t>
        </is>
      </c>
      <c r="D121" s="8" t="inlineStr">
        <is>
          <t>山海关宝箱</t>
        </is>
      </c>
      <c r="E121" s="8" t="inlineStr">
        <is>
          <t>守关坐骑</t>
        </is>
      </c>
      <c r="F121" s="8" t="inlineStr">
        <is>
          <t>equip_zhuidian</t>
        </is>
      </c>
      <c r="G121" s="8" t="inlineStr">
        <is>
          <t>追电</t>
        </is>
      </c>
      <c r="H121" s="8" t="inlineStr">
        <is>
          <t>blue</t>
        </is>
      </c>
      <c r="I121" s="8" t="inlineStr">
        <is>
          <t>equip_mount</t>
        </is>
      </c>
      <c r="J121" s="8" t="n">
        <v>0.35</v>
      </c>
      <c r="K121" s="8" t="n">
        <v>10</v>
      </c>
      <c r="L121" s="8" t="n">
        <v>35</v>
      </c>
      <c r="M121" s="8" t="n">
        <v>1</v>
      </c>
      <c r="N121" s="8" t="n">
        <v>1</v>
      </c>
      <c r="O121" s="8">
        <f>J121*K121/L121</f>
        <v>0.1</v>
      </c>
      <c r="P121" s="8">
        <f>(M121+N121)/2</f>
        <v>1.0</v>
      </c>
      <c r="Q121" s="8">
        <f>O121*P121</f>
        <v>0.1</v>
      </c>
      <c r="R121" s="8" t="n">
        <v>0</v>
      </c>
      <c r="S121" s="8">
        <f>Q121*R121</f>
        <v>0.0</v>
      </c>
      <c r="T121" s="8" t="n"/>
      <c r="U121" s="8" t="inlineStr"/>
      <c r="V121" s="8" t="inlineStr">
        <is>
          <t>data/item_templates.yaml:mission_chest_shanhaiguan.effect_payload</t>
        </is>
      </c>
    </row>
    <row r="122" ht="36" customHeight="1">
      <c r="A122" s="8" t="inlineStr">
        <is>
          <t>shanhaiguan</t>
        </is>
      </c>
      <c r="B122" s="8" t="inlineStr">
        <is>
          <t>山海关</t>
        </is>
      </c>
      <c r="C122" s="8" t="inlineStr">
        <is>
          <t>mission_chest_shanhaiguan</t>
        </is>
      </c>
      <c r="D122" s="8" t="inlineStr">
        <is>
          <t>山海关宝箱</t>
        </is>
      </c>
      <c r="E122" s="8" t="inlineStr">
        <is>
          <t>守关坐骑</t>
        </is>
      </c>
      <c r="F122" s="8" t="inlineStr">
        <is>
          <t>equip_bailongju</t>
        </is>
      </c>
      <c r="G122" s="8" t="inlineStr">
        <is>
          <t>白龙驹</t>
        </is>
      </c>
      <c r="H122" s="8" t="inlineStr">
        <is>
          <t>blue</t>
        </is>
      </c>
      <c r="I122" s="8" t="inlineStr">
        <is>
          <t>equip_mount</t>
        </is>
      </c>
      <c r="J122" s="8" t="n">
        <v>0.35</v>
      </c>
      <c r="K122" s="8" t="n">
        <v>8</v>
      </c>
      <c r="L122" s="8" t="n">
        <v>35</v>
      </c>
      <c r="M122" s="8" t="n">
        <v>1</v>
      </c>
      <c r="N122" s="8" t="n">
        <v>1</v>
      </c>
      <c r="O122" s="8">
        <f>J122*K122/L122</f>
        <v>0.08</v>
      </c>
      <c r="P122" s="8">
        <f>(M122+N122)/2</f>
        <v>1.0</v>
      </c>
      <c r="Q122" s="8">
        <f>O122*P122</f>
        <v>0.08</v>
      </c>
      <c r="R122" s="8" t="n">
        <v>0</v>
      </c>
      <c r="S122" s="8">
        <f>Q122*R122</f>
        <v>0.0</v>
      </c>
      <c r="T122" s="8" t="n"/>
      <c r="U122" s="8" t="inlineStr"/>
      <c r="V122" s="8" t="inlineStr">
        <is>
          <t>data/item_templates.yaml:mission_chest_shanhaiguan.effect_payload</t>
        </is>
      </c>
    </row>
    <row r="123" ht="36" customHeight="1">
      <c r="A123" s="8" t="inlineStr">
        <is>
          <t>shanhaiguan</t>
        </is>
      </c>
      <c r="B123" s="8" t="inlineStr">
        <is>
          <t>山海关</t>
        </is>
      </c>
      <c r="C123" s="8" t="inlineStr">
        <is>
          <t>mission_chest_shanhaiguan</t>
        </is>
      </c>
      <c r="D123" s="8" t="inlineStr">
        <is>
          <t>山海关宝箱</t>
        </is>
      </c>
      <c r="E123" s="8" t="inlineStr">
        <is>
          <t>守关坐骑</t>
        </is>
      </c>
      <c r="F123" s="8" t="inlineStr">
        <is>
          <t>equip_dilu</t>
        </is>
      </c>
      <c r="G123" s="8" t="inlineStr">
        <is>
          <t>的卢</t>
        </is>
      </c>
      <c r="H123" s="8" t="inlineStr">
        <is>
          <t>purple</t>
        </is>
      </c>
      <c r="I123" s="8" t="inlineStr">
        <is>
          <t>equip_mount</t>
        </is>
      </c>
      <c r="J123" s="8" t="n">
        <v>0.35</v>
      </c>
      <c r="K123" s="8" t="n">
        <v>2</v>
      </c>
      <c r="L123" s="8" t="n">
        <v>35</v>
      </c>
      <c r="M123" s="8" t="n">
        <v>1</v>
      </c>
      <c r="N123" s="8" t="n">
        <v>1</v>
      </c>
      <c r="O123" s="8">
        <f>J123*K123/L123</f>
        <v>0.02</v>
      </c>
      <c r="P123" s="8">
        <f>(M123+N123)/2</f>
        <v>1.0</v>
      </c>
      <c r="Q123" s="8">
        <f>O123*P123</f>
        <v>0.02</v>
      </c>
      <c r="R123" s="8" t="n">
        <v>0</v>
      </c>
      <c r="S123" s="8">
        <f>Q123*R123</f>
        <v>0.0</v>
      </c>
      <c r="T123" s="8" t="n"/>
      <c r="U123" s="8" t="inlineStr"/>
      <c r="V123" s="8" t="inlineStr">
        <is>
          <t>data/item_templates.yaml:mission_chest_shanhaiguan.effect_payload</t>
        </is>
      </c>
    </row>
    <row r="124" ht="36" customHeight="1">
      <c r="A124" s="8" t="inlineStr">
        <is>
          <t>shanhaiguan</t>
        </is>
      </c>
      <c r="B124" s="8" t="inlineStr">
        <is>
          <t>山海关</t>
        </is>
      </c>
      <c r="C124" s="8" t="inlineStr">
        <is>
          <t>mission_chest_shanhaiguan</t>
        </is>
      </c>
      <c r="D124" s="8" t="inlineStr">
        <is>
          <t>山海关宝箱</t>
        </is>
      </c>
      <c r="E124" s="8" t="inlineStr">
        <is>
          <t>主题装备</t>
        </is>
      </c>
      <c r="F124" s="8" t="inlineStr">
        <is>
          <t>equip_luopan</t>
        </is>
      </c>
      <c r="G124" s="8" t="inlineStr">
        <is>
          <t>罗盘</t>
        </is>
      </c>
      <c r="H124" s="8" t="inlineStr">
        <is>
          <t>green</t>
        </is>
      </c>
      <c r="I124" s="8" t="inlineStr">
        <is>
          <t>equip_ornament</t>
        </is>
      </c>
      <c r="J124" s="8" t="n">
        <v>0.4</v>
      </c>
      <c r="K124" s="8" t="n">
        <v>10000</v>
      </c>
      <c r="L124" s="8" t="n">
        <v>40000</v>
      </c>
      <c r="M124" s="8" t="n">
        <v>1</v>
      </c>
      <c r="N124" s="8" t="n">
        <v>1</v>
      </c>
      <c r="O124" s="8">
        <f>J124*K124/L124</f>
        <v>0.1</v>
      </c>
      <c r="P124" s="8">
        <f>(M124+N124)/2</f>
        <v>1.0</v>
      </c>
      <c r="Q124" s="8">
        <f>O124*P124</f>
        <v>0.1</v>
      </c>
      <c r="R124" s="8" t="n">
        <v>0</v>
      </c>
      <c r="S124" s="8">
        <f>Q124*R124</f>
        <v>0.0</v>
      </c>
      <c r="T124" s="8" t="n"/>
      <c r="U124" s="8" t="inlineStr"/>
      <c r="V124" s="8" t="inlineStr">
        <is>
          <t>data/item_templates.yaml:mission_chest_shanhaiguan.effect_payload</t>
        </is>
      </c>
    </row>
    <row r="125" ht="36" customHeight="1">
      <c r="A125" s="8" t="inlineStr">
        <is>
          <t>shanhaiguan</t>
        </is>
      </c>
      <c r="B125" s="8" t="inlineStr">
        <is>
          <t>山海关</t>
        </is>
      </c>
      <c r="C125" s="8" t="inlineStr">
        <is>
          <t>mission_chest_shanhaiguan</t>
        </is>
      </c>
      <c r="D125" s="8" t="inlineStr">
        <is>
          <t>山海关宝箱</t>
        </is>
      </c>
      <c r="E125" s="8" t="inlineStr">
        <is>
          <t>主题装备</t>
        </is>
      </c>
      <c r="F125" s="8" t="inlineStr">
        <is>
          <t>equip_tiehufu</t>
        </is>
      </c>
      <c r="G125" s="8" t="inlineStr">
        <is>
          <t>铁护符</t>
        </is>
      </c>
      <c r="H125" s="8" t="inlineStr">
        <is>
          <t>green</t>
        </is>
      </c>
      <c r="I125" s="8" t="inlineStr">
        <is>
          <t>equip_ornament</t>
        </is>
      </c>
      <c r="J125" s="8" t="n">
        <v>0.4</v>
      </c>
      <c r="K125" s="8" t="n">
        <v>10000</v>
      </c>
      <c r="L125" s="8" t="n">
        <v>40000</v>
      </c>
      <c r="M125" s="8" t="n">
        <v>1</v>
      </c>
      <c r="N125" s="8" t="n">
        <v>1</v>
      </c>
      <c r="O125" s="8">
        <f>J125*K125/L125</f>
        <v>0.1</v>
      </c>
      <c r="P125" s="8">
        <f>(M125+N125)/2</f>
        <v>1.0</v>
      </c>
      <c r="Q125" s="8">
        <f>O125*P125</f>
        <v>0.1</v>
      </c>
      <c r="R125" s="8" t="n">
        <v>0</v>
      </c>
      <c r="S125" s="8">
        <f>Q125*R125</f>
        <v>0.0</v>
      </c>
      <c r="T125" s="8" t="n"/>
      <c r="U125" s="8" t="inlineStr"/>
      <c r="V125" s="8" t="inlineStr">
        <is>
          <t>data/item_templates.yaml:mission_chest_shanhaiguan.effect_payload</t>
        </is>
      </c>
    </row>
    <row r="126" ht="36" customHeight="1">
      <c r="A126" s="8" t="inlineStr">
        <is>
          <t>shanhaiguan</t>
        </is>
      </c>
      <c r="B126" s="8" t="inlineStr">
        <is>
          <t>山海关</t>
        </is>
      </c>
      <c r="C126" s="8" t="inlineStr">
        <is>
          <t>mission_chest_shanhaiguan</t>
        </is>
      </c>
      <c r="D126" s="8" t="inlineStr">
        <is>
          <t>山海关宝箱</t>
        </is>
      </c>
      <c r="E126" s="8" t="inlineStr">
        <is>
          <t>主题装备</t>
        </is>
      </c>
      <c r="F126" s="8" t="inlineStr">
        <is>
          <t>equip_feiyukui</t>
        </is>
      </c>
      <c r="G126" s="8" t="inlineStr">
        <is>
          <t>飞羽盔</t>
        </is>
      </c>
      <c r="H126" s="8" t="inlineStr">
        <is>
          <t>blue</t>
        </is>
      </c>
      <c r="I126" s="8" t="inlineStr">
        <is>
          <t>equip_helmet</t>
        </is>
      </c>
      <c r="J126" s="8" t="n">
        <v>0.4</v>
      </c>
      <c r="K126" s="8" t="n">
        <v>10000</v>
      </c>
      <c r="L126" s="8" t="n">
        <v>40000</v>
      </c>
      <c r="M126" s="8" t="n">
        <v>1</v>
      </c>
      <c r="N126" s="8" t="n">
        <v>1</v>
      </c>
      <c r="O126" s="8">
        <f>J126*K126/L126</f>
        <v>0.1</v>
      </c>
      <c r="P126" s="8">
        <f>(M126+N126)/2</f>
        <v>1.0</v>
      </c>
      <c r="Q126" s="8">
        <f>O126*P126</f>
        <v>0.1</v>
      </c>
      <c r="R126" s="8" t="n">
        <v>0</v>
      </c>
      <c r="S126" s="8">
        <f>Q126*R126</f>
        <v>0.0</v>
      </c>
      <c r="T126" s="8" t="n"/>
      <c r="U126" s="8" t="inlineStr"/>
      <c r="V126" s="8" t="inlineStr">
        <is>
          <t>data/item_templates.yaml:mission_chest_shanhaiguan.effect_payload</t>
        </is>
      </c>
    </row>
    <row r="127" ht="36" customHeight="1">
      <c r="A127" s="8" t="inlineStr">
        <is>
          <t>shanhaiguan</t>
        </is>
      </c>
      <c r="B127" s="8" t="inlineStr">
        <is>
          <t>山海关</t>
        </is>
      </c>
      <c r="C127" s="8" t="inlineStr">
        <is>
          <t>mission_chest_shanhaiguan</t>
        </is>
      </c>
      <c r="D127" s="8" t="inlineStr">
        <is>
          <t>山海关宝箱</t>
        </is>
      </c>
      <c r="E127" s="8" t="inlineStr">
        <is>
          <t>主题装备</t>
        </is>
      </c>
      <c r="F127" s="8" t="inlineStr">
        <is>
          <t>equip_langyakui</t>
        </is>
      </c>
      <c r="G127" s="8" t="inlineStr">
        <is>
          <t>狼牙盔</t>
        </is>
      </c>
      <c r="H127" s="8" t="inlineStr">
        <is>
          <t>blue</t>
        </is>
      </c>
      <c r="I127" s="8" t="inlineStr">
        <is>
          <t>equip_helmet</t>
        </is>
      </c>
      <c r="J127" s="8" t="n">
        <v>0.4</v>
      </c>
      <c r="K127" s="8" t="n">
        <v>10000</v>
      </c>
      <c r="L127" s="8" t="n">
        <v>40000</v>
      </c>
      <c r="M127" s="8" t="n">
        <v>1</v>
      </c>
      <c r="N127" s="8" t="n">
        <v>1</v>
      </c>
      <c r="O127" s="8">
        <f>J127*K127/L127</f>
        <v>0.1</v>
      </c>
      <c r="P127" s="8">
        <f>(M127+N127)/2</f>
        <v>1.0</v>
      </c>
      <c r="Q127" s="8">
        <f>O127*P127</f>
        <v>0.1</v>
      </c>
      <c r="R127" s="8" t="n">
        <v>0</v>
      </c>
      <c r="S127" s="8">
        <f>Q127*R127</f>
        <v>0.0</v>
      </c>
      <c r="T127" s="8" t="n"/>
      <c r="U127" s="8" t="inlineStr"/>
      <c r="V127" s="8" t="inlineStr">
        <is>
          <t>data/item_templates.yaml:mission_chest_shanhaiguan.effect_payload</t>
        </is>
      </c>
    </row>
    <row r="128" ht="36" customHeight="1">
      <c r="A128" s="8" t="inlineStr">
        <is>
          <t>shiren_daochang</t>
        </is>
      </c>
      <c r="B128" s="8" t="inlineStr">
        <is>
          <t>十人道场</t>
        </is>
      </c>
      <c r="C128" s="8" t="inlineStr">
        <is>
          <t>mission_chest_shiren_daochang</t>
        </is>
      </c>
      <c r="D128" s="8" t="inlineStr">
        <is>
          <t>十人道场宝箱</t>
        </is>
      </c>
      <c r="E128" s="8" t="inlineStr">
        <is>
          <t>必得</t>
        </is>
      </c>
      <c r="F128" s="8" t="inlineStr">
        <is>
          <t>experience_fruit</t>
        </is>
      </c>
      <c r="G128" s="8" t="inlineStr">
        <is>
          <t>经验果</t>
        </is>
      </c>
      <c r="H128" s="8" t="inlineStr">
        <is>
          <t>green</t>
        </is>
      </c>
      <c r="I128" s="8" t="inlineStr">
        <is>
          <t>experience_items</t>
        </is>
      </c>
      <c r="J128" s="8" t="n">
        <v>1</v>
      </c>
      <c r="K128" s="8" t="n">
        <v>1</v>
      </c>
      <c r="L128" s="8" t="n">
        <v>1</v>
      </c>
      <c r="M128" s="8" t="n">
        <v>38</v>
      </c>
      <c r="N128" s="8" t="n">
        <v>38</v>
      </c>
      <c r="O128" s="8">
        <f>J128*K128/L128</f>
        <v>1.0</v>
      </c>
      <c r="P128" s="8">
        <f>(M128+N128)/2</f>
        <v>38.0</v>
      </c>
      <c r="Q128" s="8">
        <f>O128*P128</f>
        <v>38.0</v>
      </c>
      <c r="R128" s="8" t="n">
        <v>1</v>
      </c>
      <c r="S128" s="8">
        <f>Q128*R128</f>
        <v>38.0</v>
      </c>
      <c r="T128" s="8" t="n"/>
      <c r="U128" s="8" t="inlineStr"/>
      <c r="V128" s="8" t="inlineStr">
        <is>
          <t>data/item_templates.yaml:mission_chest_shiren_daochang.effect_payload</t>
        </is>
      </c>
    </row>
    <row r="129" ht="36" customHeight="1">
      <c r="A129" s="8" t="inlineStr">
        <is>
          <t>shiren_daochang</t>
        </is>
      </c>
      <c r="B129" s="8" t="inlineStr">
        <is>
          <t>十人道场</t>
        </is>
      </c>
      <c r="C129" s="8" t="inlineStr">
        <is>
          <t>mission_chest_shiren_daochang</t>
        </is>
      </c>
      <c r="D129" s="8" t="inlineStr">
        <is>
          <t>十人道场宝箱</t>
        </is>
      </c>
      <c r="E129" s="8" t="inlineStr">
        <is>
          <t>必得</t>
        </is>
      </c>
      <c r="F129" s="8" t="inlineStr">
        <is>
          <t>experience_peach</t>
        </is>
      </c>
      <c r="G129" s="8" t="inlineStr">
        <is>
          <t>经验桃子</t>
        </is>
      </c>
      <c r="H129" s="8" t="inlineStr">
        <is>
          <t>green</t>
        </is>
      </c>
      <c r="I129" s="8" t="inlineStr">
        <is>
          <t>experience_items</t>
        </is>
      </c>
      <c r="J129" s="8" t="n">
        <v>1</v>
      </c>
      <c r="K129" s="8" t="n">
        <v>1</v>
      </c>
      <c r="L129" s="8" t="n">
        <v>1</v>
      </c>
      <c r="M129" s="8" t="n">
        <v>9</v>
      </c>
      <c r="N129" s="8" t="n">
        <v>9</v>
      </c>
      <c r="O129" s="8">
        <f>J129*K129/L129</f>
        <v>1.0</v>
      </c>
      <c r="P129" s="8">
        <f>(M129+N129)/2</f>
        <v>9.0</v>
      </c>
      <c r="Q129" s="8">
        <f>O129*P129</f>
        <v>9.0</v>
      </c>
      <c r="R129" s="8" t="n">
        <v>8</v>
      </c>
      <c r="S129" s="8">
        <f>Q129*R129</f>
        <v>72.0</v>
      </c>
      <c r="T129" s="8" t="n"/>
      <c r="U129" s="8" t="inlineStr"/>
      <c r="V129" s="8" t="inlineStr">
        <is>
          <t>data/item_templates.yaml:mission_chest_shiren_daochang.effect_payload</t>
        </is>
      </c>
    </row>
    <row r="130" ht="36" customHeight="1">
      <c r="A130" s="8" t="inlineStr">
        <is>
          <t>shiren_daochang</t>
        </is>
      </c>
      <c r="B130" s="8" t="inlineStr">
        <is>
          <t>十人道场</t>
        </is>
      </c>
      <c r="C130" s="8" t="inlineStr">
        <is>
          <t>mission_chest_shiren_daochang</t>
        </is>
      </c>
      <c r="D130" s="8" t="inlineStr">
        <is>
          <t>十人道场宝箱</t>
        </is>
      </c>
      <c r="E130" s="8" t="inlineStr">
        <is>
          <t>必得</t>
        </is>
      </c>
      <c r="F130" s="8" t="inlineStr">
        <is>
          <t>buxuedan</t>
        </is>
      </c>
      <c r="G130" s="8" t="inlineStr">
        <is>
          <t>补血丹</t>
        </is>
      </c>
      <c r="H130" s="8" t="inlineStr">
        <is>
          <t>black</t>
        </is>
      </c>
      <c r="I130" s="8" t="inlineStr">
        <is>
          <t>medicine</t>
        </is>
      </c>
      <c r="J130" s="8" t="n">
        <v>1</v>
      </c>
      <c r="K130" s="8" t="n">
        <v>1</v>
      </c>
      <c r="L130" s="8" t="n">
        <v>1</v>
      </c>
      <c r="M130" s="8" t="n">
        <v>2</v>
      </c>
      <c r="N130" s="8" t="n">
        <v>2</v>
      </c>
      <c r="O130" s="8">
        <f>J130*K130/L130</f>
        <v>1.0</v>
      </c>
      <c r="P130" s="8">
        <f>(M130+N130)/2</f>
        <v>2.0</v>
      </c>
      <c r="Q130" s="8">
        <f>O130*P130</f>
        <v>2.0</v>
      </c>
      <c r="R130" s="8" t="n">
        <v>0</v>
      </c>
      <c r="S130" s="8">
        <f>Q130*R130</f>
        <v>0.0</v>
      </c>
      <c r="T130" s="8" t="n"/>
      <c r="U130" s="8" t="inlineStr"/>
      <c r="V130" s="8" t="inlineStr">
        <is>
          <t>data/item_templates.yaml:mission_chest_shiren_daochang.effect_payload</t>
        </is>
      </c>
    </row>
    <row r="131" ht="36" customHeight="1">
      <c r="A131" s="8" t="inlineStr">
        <is>
          <t>shiren_daochang</t>
        </is>
      </c>
      <c r="B131" s="8" t="inlineStr">
        <is>
          <t>十人道场</t>
        </is>
      </c>
      <c r="C131" s="8" t="inlineStr">
        <is>
          <t>mission_chest_shiren_daochang</t>
        </is>
      </c>
      <c r="D131" s="8" t="inlineStr">
        <is>
          <t>十人道场宝箱</t>
        </is>
      </c>
      <c r="E131" s="8" t="inlineStr">
        <is>
          <t>必得</t>
        </is>
      </c>
      <c r="F131" s="8" t="inlineStr">
        <is>
          <t>tong</t>
        </is>
      </c>
      <c r="G131" s="8" t="inlineStr">
        <is>
          <t>铜</t>
        </is>
      </c>
      <c r="H131" s="8" t="inlineStr">
        <is>
          <t>black</t>
        </is>
      </c>
      <c r="I131" s="8" t="inlineStr">
        <is>
          <t>resource</t>
        </is>
      </c>
      <c r="J131" s="8" t="n">
        <v>1</v>
      </c>
      <c r="K131" s="8" t="n">
        <v>1</v>
      </c>
      <c r="L131" s="8" t="n">
        <v>1</v>
      </c>
      <c r="M131" s="8" t="n">
        <v>8</v>
      </c>
      <c r="N131" s="8" t="n">
        <v>8</v>
      </c>
      <c r="O131" s="8">
        <f>J131*K131/L131</f>
        <v>1.0</v>
      </c>
      <c r="P131" s="8">
        <f>(M131+N131)/2</f>
        <v>8.0</v>
      </c>
      <c r="Q131" s="8">
        <f>O131*P131</f>
        <v>8.0</v>
      </c>
      <c r="R131" s="8" t="n">
        <v>0</v>
      </c>
      <c r="S131" s="8">
        <f>Q131*R131</f>
        <v>0.0</v>
      </c>
      <c r="T131" s="8" t="n"/>
      <c r="U131" s="8" t="inlineStr"/>
      <c r="V131" s="8" t="inlineStr">
        <is>
          <t>data/item_templates.yaml:mission_chest_shiren_daochang.effect_payload</t>
        </is>
      </c>
    </row>
    <row r="132" ht="36" customHeight="1">
      <c r="A132" s="8" t="inlineStr">
        <is>
          <t>shiren_daochang</t>
        </is>
      </c>
      <c r="B132" s="8" t="inlineStr">
        <is>
          <t>十人道场</t>
        </is>
      </c>
      <c r="C132" s="8" t="inlineStr">
        <is>
          <t>mission_chest_shiren_daochang</t>
        </is>
      </c>
      <c r="D132" s="8" t="inlineStr">
        <is>
          <t>十人道场宝箱</t>
        </is>
      </c>
      <c r="E132" s="8" t="inlineStr">
        <is>
          <t>必得</t>
        </is>
      </c>
      <c r="F132" s="8" t="inlineStr">
        <is>
          <t>xi</t>
        </is>
      </c>
      <c r="G132" s="8" t="inlineStr">
        <is>
          <t>锡</t>
        </is>
      </c>
      <c r="H132" s="8" t="inlineStr">
        <is>
          <t>black</t>
        </is>
      </c>
      <c r="I132" s="8" t="inlineStr">
        <is>
          <t>resource</t>
        </is>
      </c>
      <c r="J132" s="8" t="n">
        <v>1</v>
      </c>
      <c r="K132" s="8" t="n">
        <v>1</v>
      </c>
      <c r="L132" s="8" t="n">
        <v>1</v>
      </c>
      <c r="M132" s="8" t="n">
        <v>5</v>
      </c>
      <c r="N132" s="8" t="n">
        <v>5</v>
      </c>
      <c r="O132" s="8">
        <f>J132*K132/L132</f>
        <v>1.0</v>
      </c>
      <c r="P132" s="8">
        <f>(M132+N132)/2</f>
        <v>5.0</v>
      </c>
      <c r="Q132" s="8">
        <f>O132*P132</f>
        <v>5.0</v>
      </c>
      <c r="R132" s="8" t="n">
        <v>0</v>
      </c>
      <c r="S132" s="8">
        <f>Q132*R132</f>
        <v>0.0</v>
      </c>
      <c r="T132" s="8" t="n"/>
      <c r="U132" s="8" t="inlineStr"/>
      <c r="V132" s="8" t="inlineStr">
        <is>
          <t>data/item_templates.yaml:mission_chest_shiren_daochang.effect_payload</t>
        </is>
      </c>
    </row>
    <row r="133" ht="36" customHeight="1">
      <c r="A133" s="8" t="inlineStr">
        <is>
          <t>shiren_daochang</t>
        </is>
      </c>
      <c r="B133" s="8" t="inlineStr">
        <is>
          <t>十人道场</t>
        </is>
      </c>
      <c r="C133" s="8" t="inlineStr">
        <is>
          <t>mission_chest_shiren_daochang</t>
        </is>
      </c>
      <c r="D133" s="8" t="inlineStr">
        <is>
          <t>十人道场宝箱</t>
        </is>
      </c>
      <c r="E133" s="8" t="inlineStr">
        <is>
          <t>必得</t>
        </is>
      </c>
      <c r="F133" s="8" t="inlineStr">
        <is>
          <t>tie</t>
        </is>
      </c>
      <c r="G133" s="8" t="inlineStr">
        <is>
          <t>铁</t>
        </is>
      </c>
      <c r="H133" s="8" t="inlineStr">
        <is>
          <t>black</t>
        </is>
      </c>
      <c r="I133" s="8" t="inlineStr">
        <is>
          <t>resource</t>
        </is>
      </c>
      <c r="J133" s="8" t="n">
        <v>1</v>
      </c>
      <c r="K133" s="8" t="n">
        <v>1</v>
      </c>
      <c r="L133" s="8" t="n">
        <v>1</v>
      </c>
      <c r="M133" s="8" t="n">
        <v>3</v>
      </c>
      <c r="N133" s="8" t="n">
        <v>3</v>
      </c>
      <c r="O133" s="8">
        <f>J133*K133/L133</f>
        <v>1.0</v>
      </c>
      <c r="P133" s="8">
        <f>(M133+N133)/2</f>
        <v>3.0</v>
      </c>
      <c r="Q133" s="8">
        <f>O133*P133</f>
        <v>3.0</v>
      </c>
      <c r="R133" s="8" t="n">
        <v>0</v>
      </c>
      <c r="S133" s="8">
        <f>Q133*R133</f>
        <v>0.0</v>
      </c>
      <c r="T133" s="8" t="n"/>
      <c r="U133" s="8" t="inlineStr"/>
      <c r="V133" s="8" t="inlineStr">
        <is>
          <t>data/item_templates.yaml:mission_chest_shiren_daochang.effect_payload</t>
        </is>
      </c>
    </row>
    <row r="134" ht="36" customHeight="1">
      <c r="A134" s="8" t="inlineStr">
        <is>
          <t>shiren_daochang</t>
        </is>
      </c>
      <c r="B134" s="8" t="inlineStr">
        <is>
          <t>十人道场</t>
        </is>
      </c>
      <c r="C134" s="8" t="inlineStr">
        <is>
          <t>mission_chest_shiren_daochang</t>
        </is>
      </c>
      <c r="D134" s="8" t="inlineStr">
        <is>
          <t>十人道场宝箱</t>
        </is>
      </c>
      <c r="E134" s="8" t="inlineStr">
        <is>
          <t>shiren_skill_book_random</t>
        </is>
      </c>
      <c r="F134" s="8" t="inlineStr">
        <is>
          <t>book_taiyi_wind</t>
        </is>
      </c>
      <c r="G134" s="8" t="inlineStr">
        <is>
          <t>《太乙生风》秘术</t>
        </is>
      </c>
      <c r="H134" s="8" t="inlineStr">
        <is>
          <t>green</t>
        </is>
      </c>
      <c r="I134" s="8" t="inlineStr">
        <is>
          <t>skill_book</t>
        </is>
      </c>
      <c r="J134" s="8" t="n">
        <v>0.1</v>
      </c>
      <c r="K134" s="8" t="n">
        <v>1</v>
      </c>
      <c r="L134" s="8" t="n">
        <v>2</v>
      </c>
      <c r="M134" s="8" t="n">
        <v>1</v>
      </c>
      <c r="N134" s="8" t="n">
        <v>1</v>
      </c>
      <c r="O134" s="8">
        <f>J134*K134/L134</f>
        <v>0.05</v>
      </c>
      <c r="P134" s="8">
        <f>(M134+N134)/2</f>
        <v>1.0</v>
      </c>
      <c r="Q134" s="8">
        <f>O134*P134</f>
        <v>0.05</v>
      </c>
      <c r="R134" s="8" t="n">
        <v>0</v>
      </c>
      <c r="S134" s="8">
        <f>Q134*R134</f>
        <v>0.0</v>
      </c>
      <c r="T134" s="8" t="n"/>
      <c r="U134" s="8" t="inlineStr"/>
      <c r="V134" s="8" t="inlineStr">
        <is>
          <t>data/item_templates.yaml:mission_chest_shiren_daochang.effect_payload</t>
        </is>
      </c>
    </row>
    <row r="135" ht="36" customHeight="1">
      <c r="A135" s="8" t="inlineStr">
        <is>
          <t>shiren_daochang</t>
        </is>
      </c>
      <c r="B135" s="8" t="inlineStr">
        <is>
          <t>十人道场</t>
        </is>
      </c>
      <c r="C135" s="8" t="inlineStr">
        <is>
          <t>mission_chest_shiren_daochang</t>
        </is>
      </c>
      <c r="D135" s="8" t="inlineStr">
        <is>
          <t>十人道场宝箱</t>
        </is>
      </c>
      <c r="E135" s="8" t="inlineStr">
        <is>
          <t>shiren_skill_book_random</t>
        </is>
      </c>
      <c r="F135" s="8" t="inlineStr">
        <is>
          <t>book_flower_rain</t>
        </is>
      </c>
      <c r="G135" s="8" t="inlineStr">
        <is>
          <t>《天花乱坠》秘术</t>
        </is>
      </c>
      <c r="H135" s="8" t="inlineStr">
        <is>
          <t>blue</t>
        </is>
      </c>
      <c r="I135" s="8" t="inlineStr">
        <is>
          <t>skill_book</t>
        </is>
      </c>
      <c r="J135" s="8" t="n">
        <v>0.1</v>
      </c>
      <c r="K135" s="8" t="n">
        <v>1</v>
      </c>
      <c r="L135" s="8" t="n">
        <v>2</v>
      </c>
      <c r="M135" s="8" t="n">
        <v>1</v>
      </c>
      <c r="N135" s="8" t="n">
        <v>1</v>
      </c>
      <c r="O135" s="8">
        <f>J135*K135/L135</f>
        <v>0.05</v>
      </c>
      <c r="P135" s="8">
        <f>(M135+N135)/2</f>
        <v>1.0</v>
      </c>
      <c r="Q135" s="8">
        <f>O135*P135</f>
        <v>0.05</v>
      </c>
      <c r="R135" s="8" t="n">
        <v>0</v>
      </c>
      <c r="S135" s="8">
        <f>Q135*R135</f>
        <v>0.0</v>
      </c>
      <c r="T135" s="8" t="n"/>
      <c r="U135" s="8" t="inlineStr"/>
      <c r="V135" s="8" t="inlineStr">
        <is>
          <t>data/item_templates.yaml:mission_chest_shiren_daochang.effect_payload</t>
        </is>
      </c>
    </row>
    <row r="136" ht="36" customHeight="1">
      <c r="A136" s="8" t="inlineStr">
        <is>
          <t>shiren_daochang</t>
        </is>
      </c>
      <c r="B136" s="8" t="inlineStr">
        <is>
          <t>十人道场</t>
        </is>
      </c>
      <c r="C136" s="8" t="inlineStr">
        <is>
          <t>mission_chest_shiren_daochang</t>
        </is>
      </c>
      <c r="D136" s="8" t="inlineStr">
        <is>
          <t>十人道场宝箱</t>
        </is>
      </c>
      <c r="E136" s="8" t="inlineStr">
        <is>
          <t>主题装备</t>
        </is>
      </c>
      <c r="F136" s="8" t="inlineStr">
        <is>
          <t>equip_tanmunianzhu</t>
        </is>
      </c>
      <c r="G136" s="8" t="inlineStr">
        <is>
          <t>檀木念珠</t>
        </is>
      </c>
      <c r="H136" s="8" t="inlineStr">
        <is>
          <t>green</t>
        </is>
      </c>
      <c r="I136" s="8" t="inlineStr">
        <is>
          <t>equip_ornament</t>
        </is>
      </c>
      <c r="J136" s="8" t="n">
        <v>0.6</v>
      </c>
      <c r="K136" s="8" t="n">
        <v>10000</v>
      </c>
      <c r="L136" s="8" t="n">
        <v>60000</v>
      </c>
      <c r="M136" s="8" t="n">
        <v>1</v>
      </c>
      <c r="N136" s="8" t="n">
        <v>1</v>
      </c>
      <c r="O136" s="8">
        <f>J136*K136/L136</f>
        <v>0.1</v>
      </c>
      <c r="P136" s="8">
        <f>(M136+N136)/2</f>
        <v>1.0</v>
      </c>
      <c r="Q136" s="8">
        <f>O136*P136</f>
        <v>0.1</v>
      </c>
      <c r="R136" s="8" t="n">
        <v>0</v>
      </c>
      <c r="S136" s="8">
        <f>Q136*R136</f>
        <v>0.0</v>
      </c>
      <c r="T136" s="8" t="n"/>
      <c r="U136" s="8" t="inlineStr"/>
      <c r="V136" s="8" t="inlineStr">
        <is>
          <t>data/item_templates.yaml:mission_chest_shiren_daochang.effect_payload</t>
        </is>
      </c>
    </row>
    <row r="137" ht="36" customHeight="1">
      <c r="A137" s="8" t="inlineStr">
        <is>
          <t>shiren_daochang</t>
        </is>
      </c>
      <c r="B137" s="8" t="inlineStr">
        <is>
          <t>十人道场</t>
        </is>
      </c>
      <c r="C137" s="8" t="inlineStr">
        <is>
          <t>mission_chest_shiren_daochang</t>
        </is>
      </c>
      <c r="D137" s="8" t="inlineStr">
        <is>
          <t>十人道场宝箱</t>
        </is>
      </c>
      <c r="E137" s="8" t="inlineStr">
        <is>
          <t>主题装备</t>
        </is>
      </c>
      <c r="F137" s="8" t="inlineStr">
        <is>
          <t>equip_taomujian</t>
        </is>
      </c>
      <c r="G137" s="8" t="inlineStr">
        <is>
          <t>桃木剑</t>
        </is>
      </c>
      <c r="H137" s="8" t="inlineStr">
        <is>
          <t>green</t>
        </is>
      </c>
      <c r="I137" s="8" t="inlineStr">
        <is>
          <t>equip_ornament</t>
        </is>
      </c>
      <c r="J137" s="8" t="n">
        <v>0.6</v>
      </c>
      <c r="K137" s="8" t="n">
        <v>10000</v>
      </c>
      <c r="L137" s="8" t="n">
        <v>60000</v>
      </c>
      <c r="M137" s="8" t="n">
        <v>1</v>
      </c>
      <c r="N137" s="8" t="n">
        <v>1</v>
      </c>
      <c r="O137" s="8">
        <f>J137*K137/L137</f>
        <v>0.1</v>
      </c>
      <c r="P137" s="8">
        <f>(M137+N137)/2</f>
        <v>1.0</v>
      </c>
      <c r="Q137" s="8">
        <f>O137*P137</f>
        <v>0.1</v>
      </c>
      <c r="R137" s="8" t="n">
        <v>0</v>
      </c>
      <c r="S137" s="8">
        <f>Q137*R137</f>
        <v>0.0</v>
      </c>
      <c r="T137" s="8" t="n"/>
      <c r="U137" s="8" t="inlineStr"/>
      <c r="V137" s="8" t="inlineStr">
        <is>
          <t>data/item_templates.yaml:mission_chest_shiren_daochang.effect_payload</t>
        </is>
      </c>
    </row>
    <row r="138" ht="36" customHeight="1">
      <c r="A138" s="8" t="inlineStr">
        <is>
          <t>shiren_daochang</t>
        </is>
      </c>
      <c r="B138" s="8" t="inlineStr">
        <is>
          <t>十人道场</t>
        </is>
      </c>
      <c r="C138" s="8" t="inlineStr">
        <is>
          <t>mission_chest_shiren_daochang</t>
        </is>
      </c>
      <c r="D138" s="8" t="inlineStr">
        <is>
          <t>十人道场宝箱</t>
        </is>
      </c>
      <c r="E138" s="8" t="inlineStr">
        <is>
          <t>主题装备</t>
        </is>
      </c>
      <c r="F138" s="8" t="inlineStr">
        <is>
          <t>equip_yunwenkui</t>
        </is>
      </c>
      <c r="G138" s="8" t="inlineStr">
        <is>
          <t>云纹盔</t>
        </is>
      </c>
      <c r="H138" s="8" t="inlineStr">
        <is>
          <t>blue</t>
        </is>
      </c>
      <c r="I138" s="8" t="inlineStr">
        <is>
          <t>equip_helmet</t>
        </is>
      </c>
      <c r="J138" s="8" t="n">
        <v>0.6</v>
      </c>
      <c r="K138" s="8" t="n">
        <v>10000</v>
      </c>
      <c r="L138" s="8" t="n">
        <v>60000</v>
      </c>
      <c r="M138" s="8" t="n">
        <v>1</v>
      </c>
      <c r="N138" s="8" t="n">
        <v>1</v>
      </c>
      <c r="O138" s="8">
        <f>J138*K138/L138</f>
        <v>0.1</v>
      </c>
      <c r="P138" s="8">
        <f>(M138+N138)/2</f>
        <v>1.0</v>
      </c>
      <c r="Q138" s="8">
        <f>O138*P138</f>
        <v>0.1</v>
      </c>
      <c r="R138" s="8" t="n">
        <v>0</v>
      </c>
      <c r="S138" s="8">
        <f>Q138*R138</f>
        <v>0.0</v>
      </c>
      <c r="T138" s="8" t="n"/>
      <c r="U138" s="8" t="inlineStr"/>
      <c r="V138" s="8" t="inlineStr">
        <is>
          <t>data/item_templates.yaml:mission_chest_shiren_daochang.effect_payload</t>
        </is>
      </c>
    </row>
    <row r="139" ht="36" customHeight="1">
      <c r="A139" s="8" t="inlineStr">
        <is>
          <t>shiren_daochang</t>
        </is>
      </c>
      <c r="B139" s="8" t="inlineStr">
        <is>
          <t>十人道场</t>
        </is>
      </c>
      <c r="C139" s="8" t="inlineStr">
        <is>
          <t>mission_chest_shiren_daochang</t>
        </is>
      </c>
      <c r="D139" s="8" t="inlineStr">
        <is>
          <t>十人道场宝箱</t>
        </is>
      </c>
      <c r="E139" s="8" t="inlineStr">
        <is>
          <t>主题装备</t>
        </is>
      </c>
      <c r="F139" s="8" t="inlineStr">
        <is>
          <t>equip_yunwenfayi</t>
        </is>
      </c>
      <c r="G139" s="8" t="inlineStr">
        <is>
          <t>云纹法衣</t>
        </is>
      </c>
      <c r="H139" s="8" t="inlineStr">
        <is>
          <t>blue</t>
        </is>
      </c>
      <c r="I139" s="8" t="inlineStr">
        <is>
          <t>equip_armor</t>
        </is>
      </c>
      <c r="J139" s="8" t="n">
        <v>0.6</v>
      </c>
      <c r="K139" s="8" t="n">
        <v>10000</v>
      </c>
      <c r="L139" s="8" t="n">
        <v>60000</v>
      </c>
      <c r="M139" s="8" t="n">
        <v>1</v>
      </c>
      <c r="N139" s="8" t="n">
        <v>1</v>
      </c>
      <c r="O139" s="8">
        <f>J139*K139/L139</f>
        <v>0.1</v>
      </c>
      <c r="P139" s="8">
        <f>(M139+N139)/2</f>
        <v>1.0</v>
      </c>
      <c r="Q139" s="8">
        <f>O139*P139</f>
        <v>0.1</v>
      </c>
      <c r="R139" s="8" t="n">
        <v>0</v>
      </c>
      <c r="S139" s="8">
        <f>Q139*R139</f>
        <v>0.0</v>
      </c>
      <c r="T139" s="8" t="n"/>
      <c r="U139" s="8" t="inlineStr"/>
      <c r="V139" s="8" t="inlineStr">
        <is>
          <t>data/item_templates.yaml:mission_chest_shiren_daochang.effect_payload</t>
        </is>
      </c>
    </row>
    <row r="140" ht="36" customHeight="1">
      <c r="A140" s="8" t="inlineStr">
        <is>
          <t>shiren_daochang</t>
        </is>
      </c>
      <c r="B140" s="8" t="inlineStr">
        <is>
          <t>十人道场</t>
        </is>
      </c>
      <c r="C140" s="8" t="inlineStr">
        <is>
          <t>mission_chest_shiren_daochang</t>
        </is>
      </c>
      <c r="D140" s="8" t="inlineStr">
        <is>
          <t>十人道场宝箱</t>
        </is>
      </c>
      <c r="E140" s="8" t="inlineStr">
        <is>
          <t>主题装备</t>
        </is>
      </c>
      <c r="F140" s="8" t="inlineStr">
        <is>
          <t>equip_xingluoshan</t>
        </is>
      </c>
      <c r="G140" s="8" t="inlineStr">
        <is>
          <t>星罗扇</t>
        </is>
      </c>
      <c r="H140" s="8" t="inlineStr">
        <is>
          <t>blue</t>
        </is>
      </c>
      <c r="I140" s="8" t="inlineStr">
        <is>
          <t>equip_weapon</t>
        </is>
      </c>
      <c r="J140" s="8" t="n">
        <v>0.6</v>
      </c>
      <c r="K140" s="8" t="n">
        <v>10000</v>
      </c>
      <c r="L140" s="8" t="n">
        <v>60000</v>
      </c>
      <c r="M140" s="8" t="n">
        <v>1</v>
      </c>
      <c r="N140" s="8" t="n">
        <v>1</v>
      </c>
      <c r="O140" s="8">
        <f>J140*K140/L140</f>
        <v>0.1</v>
      </c>
      <c r="P140" s="8">
        <f>(M140+N140)/2</f>
        <v>1.0</v>
      </c>
      <c r="Q140" s="8">
        <f>O140*P140</f>
        <v>0.1</v>
      </c>
      <c r="R140" s="8" t="n">
        <v>0</v>
      </c>
      <c r="S140" s="8">
        <f>Q140*R140</f>
        <v>0.0</v>
      </c>
      <c r="T140" s="8" t="n"/>
      <c r="U140" s="8" t="inlineStr"/>
      <c r="V140" s="8" t="inlineStr">
        <is>
          <t>data/item_templates.yaml:mission_chest_shiren_daochang.effect_payload</t>
        </is>
      </c>
    </row>
    <row r="141" ht="36" customHeight="1">
      <c r="A141" s="8" t="inlineStr">
        <is>
          <t>shiren_daochang</t>
        </is>
      </c>
      <c r="B141" s="8" t="inlineStr">
        <is>
          <t>十人道场</t>
        </is>
      </c>
      <c r="C141" s="8" t="inlineStr">
        <is>
          <t>mission_chest_shiren_daochang</t>
        </is>
      </c>
      <c r="D141" s="8" t="inlineStr">
        <is>
          <t>十人道场宝箱</t>
        </is>
      </c>
      <c r="E141" s="8" t="inlineStr">
        <is>
          <t>主题装备</t>
        </is>
      </c>
      <c r="F141" s="8" t="inlineStr">
        <is>
          <t>equip_linghuzhui</t>
        </is>
      </c>
      <c r="G141" s="8" t="inlineStr">
        <is>
          <t>灵狐坠</t>
        </is>
      </c>
      <c r="H141" s="8" t="inlineStr">
        <is>
          <t>blue</t>
        </is>
      </c>
      <c r="I141" s="8" t="inlineStr">
        <is>
          <t>equip_ornament</t>
        </is>
      </c>
      <c r="J141" s="8" t="n">
        <v>0.6</v>
      </c>
      <c r="K141" s="8" t="n">
        <v>10000</v>
      </c>
      <c r="L141" s="8" t="n">
        <v>60000</v>
      </c>
      <c r="M141" s="8" t="n">
        <v>1</v>
      </c>
      <c r="N141" s="8" t="n">
        <v>1</v>
      </c>
      <c r="O141" s="8">
        <f>J141*K141/L141</f>
        <v>0.1</v>
      </c>
      <c r="P141" s="8">
        <f>(M141+N141)/2</f>
        <v>1.0</v>
      </c>
      <c r="Q141" s="8">
        <f>O141*P141</f>
        <v>0.1</v>
      </c>
      <c r="R141" s="8" t="n">
        <v>0</v>
      </c>
      <c r="S141" s="8">
        <f>Q141*R141</f>
        <v>0.0</v>
      </c>
      <c r="T141" s="8" t="n"/>
      <c r="U141" s="8" t="inlineStr"/>
      <c r="V141" s="8" t="inlineStr">
        <is>
          <t>data/item_templates.yaml:mission_chest_shiren_daochang.effect_payload</t>
        </is>
      </c>
    </row>
    <row r="142" ht="36" customHeight="1">
      <c r="A142" s="8" t="inlineStr">
        <is>
          <t>jiguanshou_chuxian</t>
        </is>
      </c>
      <c r="B142" s="8" t="inlineStr">
        <is>
          <t>机关兽初现</t>
        </is>
      </c>
      <c r="C142" s="8" t="inlineStr">
        <is>
          <t>mission_chest_jiguanshou_chuxian</t>
        </is>
      </c>
      <c r="D142" s="8" t="inlineStr">
        <is>
          <t>机关兽初现宝箱</t>
        </is>
      </c>
      <c r="E142" s="8" t="inlineStr">
        <is>
          <t>必得</t>
        </is>
      </c>
      <c r="F142" s="8" t="inlineStr">
        <is>
          <t>experience_fruit</t>
        </is>
      </c>
      <c r="G142" s="8" t="inlineStr">
        <is>
          <t>经验果</t>
        </is>
      </c>
      <c r="H142" s="8" t="inlineStr">
        <is>
          <t>green</t>
        </is>
      </c>
      <c r="I142" s="8" t="inlineStr">
        <is>
          <t>experience_items</t>
        </is>
      </c>
      <c r="J142" s="8" t="n">
        <v>1</v>
      </c>
      <c r="K142" s="8" t="n">
        <v>1</v>
      </c>
      <c r="L142" s="8" t="n">
        <v>1</v>
      </c>
      <c r="M142" s="8" t="n">
        <v>28</v>
      </c>
      <c r="N142" s="8" t="n">
        <v>28</v>
      </c>
      <c r="O142" s="8">
        <f>J142*K142/L142</f>
        <v>1.0</v>
      </c>
      <c r="P142" s="8">
        <f>(M142+N142)/2</f>
        <v>28.0</v>
      </c>
      <c r="Q142" s="8">
        <f>O142*P142</f>
        <v>28.0</v>
      </c>
      <c r="R142" s="8" t="n">
        <v>1</v>
      </c>
      <c r="S142" s="8">
        <f>Q142*R142</f>
        <v>28.0</v>
      </c>
      <c r="T142" s="8" t="n"/>
      <c r="U142" s="8" t="inlineStr"/>
      <c r="V142" s="8" t="inlineStr">
        <is>
          <t>data/item_templates.yaml:mission_chest_jiguanshou_chuxian.effect_payload</t>
        </is>
      </c>
    </row>
    <row r="143" ht="36" customHeight="1">
      <c r="A143" s="8" t="inlineStr">
        <is>
          <t>jiguanshou_chuxian</t>
        </is>
      </c>
      <c r="B143" s="8" t="inlineStr">
        <is>
          <t>机关兽初现</t>
        </is>
      </c>
      <c r="C143" s="8" t="inlineStr">
        <is>
          <t>mission_chest_jiguanshou_chuxian</t>
        </is>
      </c>
      <c r="D143" s="8" t="inlineStr">
        <is>
          <t>机关兽初现宝箱</t>
        </is>
      </c>
      <c r="E143" s="8" t="inlineStr">
        <is>
          <t>必得</t>
        </is>
      </c>
      <c r="F143" s="8" t="inlineStr">
        <is>
          <t>zhixuesan</t>
        </is>
      </c>
      <c r="G143" s="8" t="inlineStr">
        <is>
          <t>止血散</t>
        </is>
      </c>
      <c r="H143" s="8" t="inlineStr">
        <is>
          <t>black</t>
        </is>
      </c>
      <c r="I143" s="8" t="inlineStr">
        <is>
          <t>medicine</t>
        </is>
      </c>
      <c r="J143" s="8" t="n">
        <v>1</v>
      </c>
      <c r="K143" s="8" t="n">
        <v>1</v>
      </c>
      <c r="L143" s="8" t="n">
        <v>1</v>
      </c>
      <c r="M143" s="8" t="n">
        <v>2</v>
      </c>
      <c r="N143" s="8" t="n">
        <v>2</v>
      </c>
      <c r="O143" s="8">
        <f>J143*K143/L143</f>
        <v>1.0</v>
      </c>
      <c r="P143" s="8">
        <f>(M143+N143)/2</f>
        <v>2.0</v>
      </c>
      <c r="Q143" s="8">
        <f>O143*P143</f>
        <v>2.0</v>
      </c>
      <c r="R143" s="8" t="n">
        <v>0</v>
      </c>
      <c r="S143" s="8">
        <f>Q143*R143</f>
        <v>0.0</v>
      </c>
      <c r="T143" s="8" t="n"/>
      <c r="U143" s="8" t="inlineStr"/>
      <c r="V143" s="8" t="inlineStr">
        <is>
          <t>data/item_templates.yaml:mission_chest_jiguanshou_chuxian.effect_payload</t>
        </is>
      </c>
    </row>
    <row r="144" ht="36" customHeight="1">
      <c r="A144" s="8" t="inlineStr">
        <is>
          <t>jiguanshou_chuxian</t>
        </is>
      </c>
      <c r="B144" s="8" t="inlineStr">
        <is>
          <t>机关兽初现</t>
        </is>
      </c>
      <c r="C144" s="8" t="inlineStr">
        <is>
          <t>mission_chest_jiguanshou_chuxian</t>
        </is>
      </c>
      <c r="D144" s="8" t="inlineStr">
        <is>
          <t>机关兽初现宝箱</t>
        </is>
      </c>
      <c r="E144" s="8" t="inlineStr">
        <is>
          <t>必得</t>
        </is>
      </c>
      <c r="F144" s="8" t="inlineStr">
        <is>
          <t>tong</t>
        </is>
      </c>
      <c r="G144" s="8" t="inlineStr">
        <is>
          <t>铜</t>
        </is>
      </c>
      <c r="H144" s="8" t="inlineStr">
        <is>
          <t>black</t>
        </is>
      </c>
      <c r="I144" s="8" t="inlineStr">
        <is>
          <t>resource</t>
        </is>
      </c>
      <c r="J144" s="8" t="n">
        <v>1</v>
      </c>
      <c r="K144" s="8" t="n">
        <v>1</v>
      </c>
      <c r="L144" s="8" t="n">
        <v>1</v>
      </c>
      <c r="M144" s="8" t="n">
        <v>5</v>
      </c>
      <c r="N144" s="8" t="n">
        <v>5</v>
      </c>
      <c r="O144" s="8">
        <f>J144*K144/L144</f>
        <v>1.0</v>
      </c>
      <c r="P144" s="8">
        <f>(M144+N144)/2</f>
        <v>5.0</v>
      </c>
      <c r="Q144" s="8">
        <f>O144*P144</f>
        <v>5.0</v>
      </c>
      <c r="R144" s="8" t="n">
        <v>0</v>
      </c>
      <c r="S144" s="8">
        <f>Q144*R144</f>
        <v>0.0</v>
      </c>
      <c r="T144" s="8" t="n"/>
      <c r="U144" s="8" t="inlineStr"/>
      <c r="V144" s="8" t="inlineStr">
        <is>
          <t>data/item_templates.yaml:mission_chest_jiguanshou_chuxian.effect_payload</t>
        </is>
      </c>
    </row>
    <row r="145" ht="36" customHeight="1">
      <c r="A145" s="8" t="inlineStr">
        <is>
          <t>jiguanshou_chuxian</t>
        </is>
      </c>
      <c r="B145" s="8" t="inlineStr">
        <is>
          <t>机关兽初现</t>
        </is>
      </c>
      <c r="C145" s="8" t="inlineStr">
        <is>
          <t>mission_chest_jiguanshou_chuxian</t>
        </is>
      </c>
      <c r="D145" s="8" t="inlineStr">
        <is>
          <t>机关兽初现宝箱</t>
        </is>
      </c>
      <c r="E145" s="8" t="inlineStr">
        <is>
          <t>必得</t>
        </is>
      </c>
      <c r="F145" s="8" t="inlineStr">
        <is>
          <t>xi</t>
        </is>
      </c>
      <c r="G145" s="8" t="inlineStr">
        <is>
          <t>锡</t>
        </is>
      </c>
      <c r="H145" s="8" t="inlineStr">
        <is>
          <t>black</t>
        </is>
      </c>
      <c r="I145" s="8" t="inlineStr">
        <is>
          <t>resource</t>
        </is>
      </c>
      <c r="J145" s="8" t="n">
        <v>1</v>
      </c>
      <c r="K145" s="8" t="n">
        <v>1</v>
      </c>
      <c r="L145" s="8" t="n">
        <v>1</v>
      </c>
      <c r="M145" s="8" t="n">
        <v>2</v>
      </c>
      <c r="N145" s="8" t="n">
        <v>2</v>
      </c>
      <c r="O145" s="8">
        <f>J145*K145/L145</f>
        <v>1.0</v>
      </c>
      <c r="P145" s="8">
        <f>(M145+N145)/2</f>
        <v>2.0</v>
      </c>
      <c r="Q145" s="8">
        <f>O145*P145</f>
        <v>2.0</v>
      </c>
      <c r="R145" s="8" t="n">
        <v>0</v>
      </c>
      <c r="S145" s="8">
        <f>Q145*R145</f>
        <v>0.0</v>
      </c>
      <c r="T145" s="8" t="n"/>
      <c r="U145" s="8" t="inlineStr"/>
      <c r="V145" s="8" t="inlineStr">
        <is>
          <t>data/item_templates.yaml:mission_chest_jiguanshou_chuxian.effect_payload</t>
        </is>
      </c>
    </row>
    <row r="146" ht="36" customHeight="1">
      <c r="A146" s="8" t="inlineStr">
        <is>
          <t>jiguanshou_chuxian</t>
        </is>
      </c>
      <c r="B146" s="8" t="inlineStr">
        <is>
          <t>机关兽初现</t>
        </is>
      </c>
      <c r="C146" s="8" t="inlineStr">
        <is>
          <t>mission_chest_jiguanshou_chuxian</t>
        </is>
      </c>
      <c r="D146" s="8" t="inlineStr">
        <is>
          <t>机关兽初现宝箱</t>
        </is>
      </c>
      <c r="E146" s="8" t="inlineStr">
        <is>
          <t>必得</t>
        </is>
      </c>
      <c r="F146" s="8" t="inlineStr">
        <is>
          <t>tie</t>
        </is>
      </c>
      <c r="G146" s="8" t="inlineStr">
        <is>
          <t>铁</t>
        </is>
      </c>
      <c r="H146" s="8" t="inlineStr">
        <is>
          <t>black</t>
        </is>
      </c>
      <c r="I146" s="8" t="inlineStr">
        <is>
          <t>resource</t>
        </is>
      </c>
      <c r="J146" s="8" t="n">
        <v>1</v>
      </c>
      <c r="K146" s="8" t="n">
        <v>1</v>
      </c>
      <c r="L146" s="8" t="n">
        <v>1</v>
      </c>
      <c r="M146" s="8" t="n">
        <v>1</v>
      </c>
      <c r="N146" s="8" t="n">
        <v>1</v>
      </c>
      <c r="O146" s="8">
        <f>J146*K146/L146</f>
        <v>1.0</v>
      </c>
      <c r="P146" s="8">
        <f>(M146+N146)/2</f>
        <v>1.0</v>
      </c>
      <c r="Q146" s="8">
        <f>O146*P146</f>
        <v>1.0</v>
      </c>
      <c r="R146" s="8" t="n">
        <v>0</v>
      </c>
      <c r="S146" s="8">
        <f>Q146*R146</f>
        <v>0.0</v>
      </c>
      <c r="T146" s="8" t="n"/>
      <c r="U146" s="8" t="inlineStr"/>
      <c r="V146" s="8" t="inlineStr">
        <is>
          <t>data/item_templates.yaml:mission_chest_jiguanshou_chuxian.effect_payload</t>
        </is>
      </c>
    </row>
    <row r="147" ht="36" customHeight="1">
      <c r="A147" s="8" t="inlineStr">
        <is>
          <t>jiguanshou_chuxian</t>
        </is>
      </c>
      <c r="B147" s="8" t="inlineStr">
        <is>
          <t>机关兽初现</t>
        </is>
      </c>
      <c r="C147" s="8" t="inlineStr">
        <is>
          <t>mission_chest_jiguanshou_chuxian</t>
        </is>
      </c>
      <c r="D147" s="8" t="inlineStr">
        <is>
          <t>机关兽初现宝箱</t>
        </is>
      </c>
      <c r="E147" s="8" t="inlineStr">
        <is>
          <t>机关入门</t>
        </is>
      </c>
      <c r="F147" s="8" t="inlineStr">
        <is>
          <t>blueprint_xiaoxingjiguanshu</t>
        </is>
      </c>
      <c r="G147" s="8" t="inlineStr">
        <is>
          <t>小型机关鼠图纸</t>
        </is>
      </c>
      <c r="H147" s="8" t="inlineStr">
        <is>
          <t>green</t>
        </is>
      </c>
      <c r="I147" s="8" t="inlineStr">
        <is>
          <t>tool</t>
        </is>
      </c>
      <c r="J147" s="8" t="n">
        <v>0.8</v>
      </c>
      <c r="K147" s="8" t="n">
        <v>3</v>
      </c>
      <c r="L147" s="8" t="n">
        <v>10</v>
      </c>
      <c r="M147" s="8" t="n">
        <v>1</v>
      </c>
      <c r="N147" s="8" t="n">
        <v>1</v>
      </c>
      <c r="O147" s="8">
        <f>J147*K147/L147</f>
        <v>0.24000000000000005</v>
      </c>
      <c r="P147" s="8">
        <f>(M147+N147)/2</f>
        <v>1.0</v>
      </c>
      <c r="Q147" s="8">
        <f>O147*P147</f>
        <v>0.24000000000000005</v>
      </c>
      <c r="R147" s="8" t="n">
        <v>0</v>
      </c>
      <c r="S147" s="8">
        <f>Q147*R147</f>
        <v>0.0</v>
      </c>
      <c r="T147" s="8" t="n">
        <v>6</v>
      </c>
      <c r="U147" s="8" t="inlineStr">
        <is>
          <t>小型机关鼠</t>
        </is>
      </c>
      <c r="V147" s="8" t="inlineStr">
        <is>
          <t>data/item_templates.yaml:mission_chest_jiguanshou_chuxian.effect_payload</t>
        </is>
      </c>
    </row>
    <row r="148" ht="36" customHeight="1">
      <c r="A148" s="8" t="inlineStr">
        <is>
          <t>jiguanshou_chuxian</t>
        </is>
      </c>
      <c r="B148" s="8" t="inlineStr">
        <is>
          <t>机关兽初现</t>
        </is>
      </c>
      <c r="C148" s="8" t="inlineStr">
        <is>
          <t>mission_chest_jiguanshou_chuxian</t>
        </is>
      </c>
      <c r="D148" s="8" t="inlineStr">
        <is>
          <t>机关兽初现宝箱</t>
        </is>
      </c>
      <c r="E148" s="8" t="inlineStr">
        <is>
          <t>机关入门</t>
        </is>
      </c>
      <c r="F148" s="8" t="inlineStr">
        <is>
          <t>blueprint_tongchanjiguan</t>
        </is>
      </c>
      <c r="G148" s="8" t="inlineStr">
        <is>
          <t>铜蝉机关图纸</t>
        </is>
      </c>
      <c r="H148" s="8" t="inlineStr">
        <is>
          <t>green</t>
        </is>
      </c>
      <c r="I148" s="8" t="inlineStr">
        <is>
          <t>tool</t>
        </is>
      </c>
      <c r="J148" s="8" t="n">
        <v>0.8</v>
      </c>
      <c r="K148" s="8" t="n">
        <v>3</v>
      </c>
      <c r="L148" s="8" t="n">
        <v>10</v>
      </c>
      <c r="M148" s="8" t="n">
        <v>1</v>
      </c>
      <c r="N148" s="8" t="n">
        <v>1</v>
      </c>
      <c r="O148" s="8">
        <f>J148*K148/L148</f>
        <v>0.24000000000000005</v>
      </c>
      <c r="P148" s="8">
        <f>(M148+N148)/2</f>
        <v>1.0</v>
      </c>
      <c r="Q148" s="8">
        <f>O148*P148</f>
        <v>0.24000000000000005</v>
      </c>
      <c r="R148" s="8" t="n">
        <v>0</v>
      </c>
      <c r="S148" s="8">
        <f>Q148*R148</f>
        <v>0.0</v>
      </c>
      <c r="T148" s="8" t="n">
        <v>6</v>
      </c>
      <c r="U148" s="8" t="inlineStr">
        <is>
          <t>铜蝉机关</t>
        </is>
      </c>
      <c r="V148" s="8" t="inlineStr">
        <is>
          <t>data/item_templates.yaml:mission_chest_jiguanshou_chuxian.effect_payload</t>
        </is>
      </c>
    </row>
    <row r="149" ht="36" customHeight="1">
      <c r="A149" s="8" t="inlineStr">
        <is>
          <t>jiguanshou_chuxian</t>
        </is>
      </c>
      <c r="B149" s="8" t="inlineStr">
        <is>
          <t>机关兽初现</t>
        </is>
      </c>
      <c r="C149" s="8" t="inlineStr">
        <is>
          <t>mission_chest_jiguanshou_chuxian</t>
        </is>
      </c>
      <c r="D149" s="8" t="inlineStr">
        <is>
          <t>机关兽初现宝箱</t>
        </is>
      </c>
      <c r="E149" s="8" t="inlineStr">
        <is>
          <t>机关入门</t>
        </is>
      </c>
      <c r="F149" s="8" t="inlineStr">
        <is>
          <t>blueprint_jixiemao</t>
        </is>
      </c>
      <c r="G149" s="8" t="inlineStr">
        <is>
          <t>机械猫图纸</t>
        </is>
      </c>
      <c r="H149" s="8" t="inlineStr">
        <is>
          <t>blue</t>
        </is>
      </c>
      <c r="I149" s="8" t="inlineStr">
        <is>
          <t>tool</t>
        </is>
      </c>
      <c r="J149" s="8" t="n">
        <v>0.8</v>
      </c>
      <c r="K149" s="8" t="n">
        <v>1</v>
      </c>
      <c r="L149" s="8" t="n">
        <v>10</v>
      </c>
      <c r="M149" s="8" t="n">
        <v>1</v>
      </c>
      <c r="N149" s="8" t="n">
        <v>1</v>
      </c>
      <c r="O149" s="8">
        <f>J149*K149/L149</f>
        <v>0.08</v>
      </c>
      <c r="P149" s="8">
        <f>(M149+N149)/2</f>
        <v>1.0</v>
      </c>
      <c r="Q149" s="8">
        <f>O149*P149</f>
        <v>0.08</v>
      </c>
      <c r="R149" s="8" t="n">
        <v>0</v>
      </c>
      <c r="S149" s="8">
        <f>Q149*R149</f>
        <v>0.0</v>
      </c>
      <c r="T149" s="8" t="n">
        <v>8</v>
      </c>
      <c r="U149" s="8" t="inlineStr">
        <is>
          <t>机械猫</t>
        </is>
      </c>
      <c r="V149" s="8" t="inlineStr">
        <is>
          <t>data/item_templates.yaml:mission_chest_jiguanshou_chuxian.effect_payload</t>
        </is>
      </c>
    </row>
    <row r="150" ht="36" customHeight="1">
      <c r="A150" s="8" t="inlineStr">
        <is>
          <t>jiguanshou_chuxian</t>
        </is>
      </c>
      <c r="B150" s="8" t="inlineStr">
        <is>
          <t>机关兽初现</t>
        </is>
      </c>
      <c r="C150" s="8" t="inlineStr">
        <is>
          <t>mission_chest_jiguanshou_chuxian</t>
        </is>
      </c>
      <c r="D150" s="8" t="inlineStr">
        <is>
          <t>机关兽初现宝箱</t>
        </is>
      </c>
      <c r="E150" s="8" t="inlineStr">
        <is>
          <t>机关入门</t>
        </is>
      </c>
      <c r="F150" s="8" t="inlineStr">
        <is>
          <t>equip_qingtongsuanchou</t>
        </is>
      </c>
      <c r="G150" s="8" t="inlineStr">
        <is>
          <t>青铜算筹</t>
        </is>
      </c>
      <c r="H150" s="8" t="inlineStr">
        <is>
          <t>green</t>
        </is>
      </c>
      <c r="I150" s="8" t="inlineStr">
        <is>
          <t>equip_ornament</t>
        </is>
      </c>
      <c r="J150" s="8" t="n">
        <v>0.8</v>
      </c>
      <c r="K150" s="8" t="n">
        <v>3</v>
      </c>
      <c r="L150" s="8" t="n">
        <v>10</v>
      </c>
      <c r="M150" s="8" t="n">
        <v>1</v>
      </c>
      <c r="N150" s="8" t="n">
        <v>1</v>
      </c>
      <c r="O150" s="8">
        <f>J150*K150/L150</f>
        <v>0.24000000000000005</v>
      </c>
      <c r="P150" s="8">
        <f>(M150+N150)/2</f>
        <v>1.0</v>
      </c>
      <c r="Q150" s="8">
        <f>O150*P150</f>
        <v>0.24000000000000005</v>
      </c>
      <c r="R150" s="8" t="n">
        <v>0</v>
      </c>
      <c r="S150" s="8">
        <f>Q150*R150</f>
        <v>0.0</v>
      </c>
      <c r="T150" s="8" t="n"/>
      <c r="U150" s="8" t="inlineStr"/>
      <c r="V150" s="8" t="inlineStr">
        <is>
          <t>data/item_templates.yaml:mission_chest_jiguanshou_chuxian.effect_payload</t>
        </is>
      </c>
    </row>
    <row r="151" ht="36" customHeight="1">
      <c r="A151" s="8" t="inlineStr">
        <is>
          <t>jiguanshou_chuxian</t>
        </is>
      </c>
      <c r="B151" s="8" t="inlineStr">
        <is>
          <t>机关兽初现</t>
        </is>
      </c>
      <c r="C151" s="8" t="inlineStr">
        <is>
          <t>mission_chest_jiguanshou_chuxian</t>
        </is>
      </c>
      <c r="D151" s="8" t="inlineStr">
        <is>
          <t>机关兽初现宝箱</t>
        </is>
      </c>
      <c r="E151" s="8" t="inlineStr">
        <is>
          <t>随小型机关鼠图纸附带（同次命中）</t>
        </is>
      </c>
      <c r="F151" s="8" t="inlineStr">
        <is>
          <t>tong</t>
        </is>
      </c>
      <c r="G151" s="8" t="inlineStr">
        <is>
          <t>铜</t>
        </is>
      </c>
      <c r="H151" s="8" t="inlineStr">
        <is>
          <t>black</t>
        </is>
      </c>
      <c r="I151" s="8" t="inlineStr">
        <is>
          <t>resource</t>
        </is>
      </c>
      <c r="J151" s="8" t="n">
        <v>0.24</v>
      </c>
      <c r="K151" s="8" t="n">
        <v>1</v>
      </c>
      <c r="L151" s="8" t="n">
        <v>1</v>
      </c>
      <c r="M151" s="8" t="n">
        <v>17</v>
      </c>
      <c r="N151" s="8" t="n">
        <v>17</v>
      </c>
      <c r="O151" s="8">
        <f>J151*K151/L151</f>
        <v>0.24</v>
      </c>
      <c r="P151" s="8">
        <f>(M151+N151)/2</f>
        <v>17.0</v>
      </c>
      <c r="Q151" s="8">
        <f>O151*P151</f>
        <v>4.08</v>
      </c>
      <c r="R151" s="8" t="n">
        <v>0</v>
      </c>
      <c r="S151" s="8">
        <f>Q151*R151</f>
        <v>0.0</v>
      </c>
      <c r="T151" s="8" t="n"/>
      <c r="U151" s="8" t="inlineStr"/>
      <c r="V151" s="8" t="inlineStr">
        <is>
          <t>data/item_templates.yaml:mission_chest_jiguanshou_chuxian.effect_payload</t>
        </is>
      </c>
    </row>
    <row r="152" ht="36" customHeight="1">
      <c r="A152" s="8" t="inlineStr">
        <is>
          <t>jiguanshou_chuxian</t>
        </is>
      </c>
      <c r="B152" s="8" t="inlineStr">
        <is>
          <t>机关兽初现</t>
        </is>
      </c>
      <c r="C152" s="8" t="inlineStr">
        <is>
          <t>mission_chest_jiguanshou_chuxian</t>
        </is>
      </c>
      <c r="D152" s="8" t="inlineStr">
        <is>
          <t>机关兽初现宝箱</t>
        </is>
      </c>
      <c r="E152" s="8" t="inlineStr">
        <is>
          <t>随小型机关鼠图纸附带（同次命中）</t>
        </is>
      </c>
      <c r="F152" s="8" t="inlineStr">
        <is>
          <t>xi</t>
        </is>
      </c>
      <c r="G152" s="8" t="inlineStr">
        <is>
          <t>锡</t>
        </is>
      </c>
      <c r="H152" s="8" t="inlineStr">
        <is>
          <t>black</t>
        </is>
      </c>
      <c r="I152" s="8" t="inlineStr">
        <is>
          <t>resource</t>
        </is>
      </c>
      <c r="J152" s="8" t="n">
        <v>0.24</v>
      </c>
      <c r="K152" s="8" t="n">
        <v>1</v>
      </c>
      <c r="L152" s="8" t="n">
        <v>1</v>
      </c>
      <c r="M152" s="8" t="n">
        <v>11</v>
      </c>
      <c r="N152" s="8" t="n">
        <v>11</v>
      </c>
      <c r="O152" s="8">
        <f>J152*K152/L152</f>
        <v>0.24</v>
      </c>
      <c r="P152" s="8">
        <f>(M152+N152)/2</f>
        <v>11.0</v>
      </c>
      <c r="Q152" s="8">
        <f>O152*P152</f>
        <v>2.6399999999999997</v>
      </c>
      <c r="R152" s="8" t="n">
        <v>0</v>
      </c>
      <c r="S152" s="8">
        <f>Q152*R152</f>
        <v>0.0</v>
      </c>
      <c r="T152" s="8" t="n"/>
      <c r="U152" s="8" t="inlineStr"/>
      <c r="V152" s="8" t="inlineStr">
        <is>
          <t>data/item_templates.yaml:mission_chest_jiguanshou_chuxian.effect_payload</t>
        </is>
      </c>
    </row>
    <row r="153" ht="36" customHeight="1">
      <c r="A153" s="8" t="inlineStr">
        <is>
          <t>jiguanshou_chuxian</t>
        </is>
      </c>
      <c r="B153" s="8" t="inlineStr">
        <is>
          <t>机关兽初现</t>
        </is>
      </c>
      <c r="C153" s="8" t="inlineStr">
        <is>
          <t>mission_chest_jiguanshou_chuxian</t>
        </is>
      </c>
      <c r="D153" s="8" t="inlineStr">
        <is>
          <t>机关兽初现宝箱</t>
        </is>
      </c>
      <c r="E153" s="8" t="inlineStr">
        <is>
          <t>随小型机关鼠图纸附带（同次命中）</t>
        </is>
      </c>
      <c r="F153" s="8" t="inlineStr">
        <is>
          <t>tie</t>
        </is>
      </c>
      <c r="G153" s="8" t="inlineStr">
        <is>
          <t>铁</t>
        </is>
      </c>
      <c r="H153" s="8" t="inlineStr">
        <is>
          <t>black</t>
        </is>
      </c>
      <c r="I153" s="8" t="inlineStr">
        <is>
          <t>resource</t>
        </is>
      </c>
      <c r="J153" s="8" t="n">
        <v>0.24</v>
      </c>
      <c r="K153" s="8" t="n">
        <v>1</v>
      </c>
      <c r="L153" s="8" t="n">
        <v>1</v>
      </c>
      <c r="M153" s="8" t="n">
        <v>8</v>
      </c>
      <c r="N153" s="8" t="n">
        <v>8</v>
      </c>
      <c r="O153" s="8">
        <f>J153*K153/L153</f>
        <v>0.24</v>
      </c>
      <c r="P153" s="8">
        <f>(M153+N153)/2</f>
        <v>8.0</v>
      </c>
      <c r="Q153" s="8">
        <f>O153*P153</f>
        <v>1.92</v>
      </c>
      <c r="R153" s="8" t="n">
        <v>0</v>
      </c>
      <c r="S153" s="8">
        <f>Q153*R153</f>
        <v>0.0</v>
      </c>
      <c r="T153" s="8" t="n"/>
      <c r="U153" s="8" t="inlineStr"/>
      <c r="V153" s="8" t="inlineStr">
        <is>
          <t>data/item_templates.yaml:mission_chest_jiguanshou_chuxian.effect_payload</t>
        </is>
      </c>
    </row>
    <row r="154" ht="36" customHeight="1">
      <c r="A154" s="8" t="inlineStr">
        <is>
          <t>jiguanshou_chuxian</t>
        </is>
      </c>
      <c r="B154" s="8" t="inlineStr">
        <is>
          <t>机关兽初现</t>
        </is>
      </c>
      <c r="C154" s="8" t="inlineStr">
        <is>
          <t>mission_chest_jiguanshou_chuxian</t>
        </is>
      </c>
      <c r="D154" s="8" t="inlineStr">
        <is>
          <t>机关兽初现宝箱</t>
        </is>
      </c>
      <c r="E154" s="8" t="inlineStr">
        <is>
          <t>随小型机关鼠图纸附带（同次命中）</t>
        </is>
      </c>
      <c r="F154" s="8" t="inlineStr">
        <is>
          <t>wood_essence</t>
        </is>
      </c>
      <c r="G154" s="8" t="inlineStr">
        <is>
          <t>木质精华</t>
        </is>
      </c>
      <c r="H154" s="8" t="inlineStr">
        <is>
          <t>green</t>
        </is>
      </c>
      <c r="I154" s="8" t="inlineStr">
        <is>
          <t>resource</t>
        </is>
      </c>
      <c r="J154" s="8" t="n">
        <v>0.24</v>
      </c>
      <c r="K154" s="8" t="n">
        <v>1</v>
      </c>
      <c r="L154" s="8" t="n">
        <v>1</v>
      </c>
      <c r="M154" s="8" t="n">
        <v>1</v>
      </c>
      <c r="N154" s="8" t="n">
        <v>1</v>
      </c>
      <c r="O154" s="8">
        <f>J154*K154/L154</f>
        <v>0.24</v>
      </c>
      <c r="P154" s="8">
        <f>(M154+N154)/2</f>
        <v>1.0</v>
      </c>
      <c r="Q154" s="8">
        <f>O154*P154</f>
        <v>0.24</v>
      </c>
      <c r="R154" s="8" t="n">
        <v>0</v>
      </c>
      <c r="S154" s="8">
        <f>Q154*R154</f>
        <v>0.0</v>
      </c>
      <c r="T154" s="8" t="n"/>
      <c r="U154" s="8" t="inlineStr"/>
      <c r="V154" s="8" t="inlineStr">
        <is>
          <t>data/item_templates.yaml:mission_chest_jiguanshou_chuxian.effect_payload</t>
        </is>
      </c>
    </row>
    <row r="155" ht="36" customHeight="1">
      <c r="A155" s="8" t="inlineStr">
        <is>
          <t>jiguanshou_chuxian</t>
        </is>
      </c>
      <c r="B155" s="8" t="inlineStr">
        <is>
          <t>机关兽初现</t>
        </is>
      </c>
      <c r="C155" s="8" t="inlineStr">
        <is>
          <t>mission_chest_jiguanshou_chuxian</t>
        </is>
      </c>
      <c r="D155" s="8" t="inlineStr">
        <is>
          <t>机关兽初现宝箱</t>
        </is>
      </c>
      <c r="E155" s="8" t="inlineStr">
        <is>
          <t>随小型机关鼠图纸附带（同次命中）</t>
        </is>
      </c>
      <c r="F155" s="8" t="inlineStr">
        <is>
          <t>copper_essence</t>
        </is>
      </c>
      <c r="G155" s="8" t="inlineStr">
        <is>
          <t>铜质精华</t>
        </is>
      </c>
      <c r="H155" s="8" t="inlineStr">
        <is>
          <t>green</t>
        </is>
      </c>
      <c r="I155" s="8" t="inlineStr">
        <is>
          <t>resource</t>
        </is>
      </c>
      <c r="J155" s="8" t="n">
        <v>0.24</v>
      </c>
      <c r="K155" s="8" t="n">
        <v>1</v>
      </c>
      <c r="L155" s="8" t="n">
        <v>1</v>
      </c>
      <c r="M155" s="8" t="n">
        <v>1</v>
      </c>
      <c r="N155" s="8" t="n">
        <v>1</v>
      </c>
      <c r="O155" s="8">
        <f>J155*K155/L155</f>
        <v>0.24</v>
      </c>
      <c r="P155" s="8">
        <f>(M155+N155)/2</f>
        <v>1.0</v>
      </c>
      <c r="Q155" s="8">
        <f>O155*P155</f>
        <v>0.24</v>
      </c>
      <c r="R155" s="8" t="n">
        <v>0</v>
      </c>
      <c r="S155" s="8">
        <f>Q155*R155</f>
        <v>0.0</v>
      </c>
      <c r="T155" s="8" t="n"/>
      <c r="U155" s="8" t="inlineStr"/>
      <c r="V155" s="8" t="inlineStr">
        <is>
          <t>data/item_templates.yaml:mission_chest_jiguanshou_chuxian.effect_payload</t>
        </is>
      </c>
    </row>
    <row r="156" ht="36" customHeight="1">
      <c r="A156" s="8" t="inlineStr">
        <is>
          <t>jiguanshou_chuxian</t>
        </is>
      </c>
      <c r="B156" s="8" t="inlineStr">
        <is>
          <t>机关兽初现</t>
        </is>
      </c>
      <c r="C156" s="8" t="inlineStr">
        <is>
          <t>mission_chest_jiguanshou_chuxian</t>
        </is>
      </c>
      <c r="D156" s="8" t="inlineStr">
        <is>
          <t>机关兽初现宝箱</t>
        </is>
      </c>
      <c r="E156" s="8" t="inlineStr">
        <is>
          <t>随小型机关鼠图纸附带（同次命中）</t>
        </is>
      </c>
      <c r="F156" s="8" t="inlineStr">
        <is>
          <t>shuiqumu</t>
        </is>
      </c>
      <c r="G156" s="8" t="inlineStr">
        <is>
          <t>水曲木</t>
        </is>
      </c>
      <c r="H156" s="8" t="inlineStr">
        <is>
          <t>black</t>
        </is>
      </c>
      <c r="I156" s="8" t="inlineStr">
        <is>
          <t>resource</t>
        </is>
      </c>
      <c r="J156" s="8" t="n">
        <v>0.24</v>
      </c>
      <c r="K156" s="8" t="n">
        <v>1</v>
      </c>
      <c r="L156" s="8" t="n">
        <v>1</v>
      </c>
      <c r="M156" s="8" t="n">
        <v>4</v>
      </c>
      <c r="N156" s="8" t="n">
        <v>4</v>
      </c>
      <c r="O156" s="8">
        <f>J156*K156/L156</f>
        <v>0.24</v>
      </c>
      <c r="P156" s="8">
        <f>(M156+N156)/2</f>
        <v>4.0</v>
      </c>
      <c r="Q156" s="8">
        <f>O156*P156</f>
        <v>0.96</v>
      </c>
      <c r="R156" s="8" t="n">
        <v>0</v>
      </c>
      <c r="S156" s="8">
        <f>Q156*R156</f>
        <v>0.0</v>
      </c>
      <c r="T156" s="8" t="n"/>
      <c r="U156" s="8" t="inlineStr"/>
      <c r="V156" s="8" t="inlineStr">
        <is>
          <t>data/item_templates.yaml:mission_chest_jiguanshou_chuxian.effect_payload</t>
        </is>
      </c>
    </row>
    <row r="157" ht="36" customHeight="1">
      <c r="A157" s="8" t="inlineStr">
        <is>
          <t>jiguanshou_chuxian</t>
        </is>
      </c>
      <c r="B157" s="8" t="inlineStr">
        <is>
          <t>机关兽初现</t>
        </is>
      </c>
      <c r="C157" s="8" t="inlineStr">
        <is>
          <t>mission_chest_jiguanshou_chuxian</t>
        </is>
      </c>
      <c r="D157" s="8" t="inlineStr">
        <is>
          <t>机关兽初现宝箱</t>
        </is>
      </c>
      <c r="E157" s="8" t="inlineStr">
        <is>
          <t>随小型机关鼠图纸附带（同次命中）</t>
        </is>
      </c>
      <c r="F157" s="8" t="inlineStr">
        <is>
          <t>tiemu</t>
        </is>
      </c>
      <c r="G157" s="8" t="inlineStr">
        <is>
          <t>铁木</t>
        </is>
      </c>
      <c r="H157" s="8" t="inlineStr">
        <is>
          <t>green</t>
        </is>
      </c>
      <c r="I157" s="8" t="inlineStr">
        <is>
          <t>resource</t>
        </is>
      </c>
      <c r="J157" s="8" t="n">
        <v>0.24</v>
      </c>
      <c r="K157" s="8" t="n">
        <v>1</v>
      </c>
      <c r="L157" s="8" t="n">
        <v>1</v>
      </c>
      <c r="M157" s="8" t="n">
        <v>1</v>
      </c>
      <c r="N157" s="8" t="n">
        <v>1</v>
      </c>
      <c r="O157" s="8">
        <f>J157*K157/L157</f>
        <v>0.24</v>
      </c>
      <c r="P157" s="8">
        <f>(M157+N157)/2</f>
        <v>1.0</v>
      </c>
      <c r="Q157" s="8">
        <f>O157*P157</f>
        <v>0.24</v>
      </c>
      <c r="R157" s="8" t="n">
        <v>0</v>
      </c>
      <c r="S157" s="8">
        <f>Q157*R157</f>
        <v>0.0</v>
      </c>
      <c r="T157" s="8" t="n"/>
      <c r="U157" s="8" t="inlineStr"/>
      <c r="V157" s="8" t="inlineStr">
        <is>
          <t>data/item_templates.yaml:mission_chest_jiguanshou_chuxian.effect_payload</t>
        </is>
      </c>
    </row>
    <row r="158" ht="36" customHeight="1">
      <c r="A158" s="8" t="inlineStr">
        <is>
          <t>jiguanshou_chuxian</t>
        </is>
      </c>
      <c r="B158" s="8" t="inlineStr">
        <is>
          <t>机关兽初现</t>
        </is>
      </c>
      <c r="C158" s="8" t="inlineStr">
        <is>
          <t>mission_chest_jiguanshou_chuxian</t>
        </is>
      </c>
      <c r="D158" s="8" t="inlineStr">
        <is>
          <t>机关兽初现宝箱</t>
        </is>
      </c>
      <c r="E158" s="8" t="inlineStr">
        <is>
          <t>随小型机关鼠图纸附带（同次命中）</t>
        </is>
      </c>
      <c r="F158" s="8" t="inlineStr">
        <is>
          <t>jingangmei</t>
        </is>
      </c>
      <c r="G158" s="8" t="inlineStr">
        <is>
          <t>金刚煤</t>
        </is>
      </c>
      <c r="H158" s="8" t="inlineStr">
        <is>
          <t>green</t>
        </is>
      </c>
      <c r="I158" s="8" t="inlineStr">
        <is>
          <t>resource</t>
        </is>
      </c>
      <c r="J158" s="8" t="n">
        <v>0.24</v>
      </c>
      <c r="K158" s="8" t="n">
        <v>1</v>
      </c>
      <c r="L158" s="8" t="n">
        <v>1</v>
      </c>
      <c r="M158" s="8" t="n">
        <v>1</v>
      </c>
      <c r="N158" s="8" t="n">
        <v>1</v>
      </c>
      <c r="O158" s="8">
        <f>J158*K158/L158</f>
        <v>0.24</v>
      </c>
      <c r="P158" s="8">
        <f>(M158+N158)/2</f>
        <v>1.0</v>
      </c>
      <c r="Q158" s="8">
        <f>O158*P158</f>
        <v>0.24</v>
      </c>
      <c r="R158" s="8" t="n">
        <v>0</v>
      </c>
      <c r="S158" s="8">
        <f>Q158*R158</f>
        <v>0.0</v>
      </c>
      <c r="T158" s="8" t="n"/>
      <c r="U158" s="8" t="inlineStr"/>
      <c r="V158" s="8" t="inlineStr">
        <is>
          <t>data/item_templates.yaml:mission_chest_jiguanshou_chuxian.effect_payload</t>
        </is>
      </c>
    </row>
    <row r="159" ht="36" customHeight="1">
      <c r="A159" s="8" t="inlineStr">
        <is>
          <t>jiguanshou_chuxian</t>
        </is>
      </c>
      <c r="B159" s="8" t="inlineStr">
        <is>
          <t>机关兽初现</t>
        </is>
      </c>
      <c r="C159" s="8" t="inlineStr">
        <is>
          <t>mission_chest_jiguanshou_chuxian</t>
        </is>
      </c>
      <c r="D159" s="8" t="inlineStr">
        <is>
          <t>机关兽初现宝箱</t>
        </is>
      </c>
      <c r="E159" s="8" t="inlineStr">
        <is>
          <t>随小型机关鼠图纸附带（同次命中）</t>
        </is>
      </c>
      <c r="F159" s="8" t="inlineStr">
        <is>
          <t>paozi</t>
        </is>
      </c>
      <c r="G159" s="8" t="inlineStr">
        <is>
          <t>刨子</t>
        </is>
      </c>
      <c r="H159" s="8" t="inlineStr">
        <is>
          <t>black</t>
        </is>
      </c>
      <c r="I159" s="8" t="inlineStr">
        <is>
          <t>resource</t>
        </is>
      </c>
      <c r="J159" s="8" t="n">
        <v>0.24</v>
      </c>
      <c r="K159" s="8" t="n">
        <v>1</v>
      </c>
      <c r="L159" s="8" t="n">
        <v>1</v>
      </c>
      <c r="M159" s="8" t="n">
        <v>2</v>
      </c>
      <c r="N159" s="8" t="n">
        <v>2</v>
      </c>
      <c r="O159" s="8">
        <f>J159*K159/L159</f>
        <v>0.24</v>
      </c>
      <c r="P159" s="8">
        <f>(M159+N159)/2</f>
        <v>2.0</v>
      </c>
      <c r="Q159" s="8">
        <f>O159*P159</f>
        <v>0.48</v>
      </c>
      <c r="R159" s="8" t="n">
        <v>0</v>
      </c>
      <c r="S159" s="8">
        <f>Q159*R159</f>
        <v>0.0</v>
      </c>
      <c r="T159" s="8" t="n"/>
      <c r="U159" s="8" t="inlineStr"/>
      <c r="V159" s="8" t="inlineStr">
        <is>
          <t>data/item_templates.yaml:mission_chest_jiguanshou_chuxian.effect_payload</t>
        </is>
      </c>
    </row>
    <row r="160" ht="36" customHeight="1">
      <c r="A160" s="8" t="inlineStr">
        <is>
          <t>jiguanshou_chuxian</t>
        </is>
      </c>
      <c r="B160" s="8" t="inlineStr">
        <is>
          <t>机关兽初现</t>
        </is>
      </c>
      <c r="C160" s="8" t="inlineStr">
        <is>
          <t>mission_chest_jiguanshou_chuxian</t>
        </is>
      </c>
      <c r="D160" s="8" t="inlineStr">
        <is>
          <t>机关兽初现宝箱</t>
        </is>
      </c>
      <c r="E160" s="8" t="inlineStr">
        <is>
          <t>随小型机关鼠图纸附带（同次命中）</t>
        </is>
      </c>
      <c r="F160" s="8" t="inlineStr">
        <is>
          <t>zaozi</t>
        </is>
      </c>
      <c r="G160" s="8" t="inlineStr">
        <is>
          <t>凿子</t>
        </is>
      </c>
      <c r="H160" s="8" t="inlineStr">
        <is>
          <t>black</t>
        </is>
      </c>
      <c r="I160" s="8" t="inlineStr">
        <is>
          <t>resource</t>
        </is>
      </c>
      <c r="J160" s="8" t="n">
        <v>0.24</v>
      </c>
      <c r="K160" s="8" t="n">
        <v>1</v>
      </c>
      <c r="L160" s="8" t="n">
        <v>1</v>
      </c>
      <c r="M160" s="8" t="n">
        <v>1</v>
      </c>
      <c r="N160" s="8" t="n">
        <v>1</v>
      </c>
      <c r="O160" s="8">
        <f>J160*K160/L160</f>
        <v>0.24</v>
      </c>
      <c r="P160" s="8">
        <f>(M160+N160)/2</f>
        <v>1.0</v>
      </c>
      <c r="Q160" s="8">
        <f>O160*P160</f>
        <v>0.24</v>
      </c>
      <c r="R160" s="8" t="n">
        <v>0</v>
      </c>
      <c r="S160" s="8">
        <f>Q160*R160</f>
        <v>0.0</v>
      </c>
      <c r="T160" s="8" t="n"/>
      <c r="U160" s="8" t="inlineStr"/>
      <c r="V160" s="8" t="inlineStr">
        <is>
          <t>data/item_templates.yaml:mission_chest_jiguanshou_chuxian.effect_payload</t>
        </is>
      </c>
    </row>
    <row r="161" ht="36" customHeight="1">
      <c r="A161" s="8" t="inlineStr">
        <is>
          <t>jiguanshou_chuxian</t>
        </is>
      </c>
      <c r="B161" s="8" t="inlineStr">
        <is>
          <t>机关兽初现</t>
        </is>
      </c>
      <c r="C161" s="8" t="inlineStr">
        <is>
          <t>mission_chest_jiguanshou_chuxian</t>
        </is>
      </c>
      <c r="D161" s="8" t="inlineStr">
        <is>
          <t>机关兽初现宝箱</t>
        </is>
      </c>
      <c r="E161" s="8" t="inlineStr">
        <is>
          <t>随小型机关鼠图纸附带（同次命中）</t>
        </is>
      </c>
      <c r="F161" s="8" t="inlineStr">
        <is>
          <t>air_stone</t>
        </is>
      </c>
      <c r="G161" s="8" t="inlineStr">
        <is>
          <t>空气之石</t>
        </is>
      </c>
      <c r="H161" s="8" t="inlineStr">
        <is>
          <t>blue</t>
        </is>
      </c>
      <c r="I161" s="8" t="inlineStr">
        <is>
          <t>resource</t>
        </is>
      </c>
      <c r="J161" s="8" t="n">
        <v>0.24</v>
      </c>
      <c r="K161" s="8" t="n">
        <v>1</v>
      </c>
      <c r="L161" s="8" t="n">
        <v>1</v>
      </c>
      <c r="M161" s="8" t="n">
        <v>1</v>
      </c>
      <c r="N161" s="8" t="n">
        <v>1</v>
      </c>
      <c r="O161" s="8">
        <f>J161*K161/L161</f>
        <v>0.24</v>
      </c>
      <c r="P161" s="8">
        <f>(M161+N161)/2</f>
        <v>1.0</v>
      </c>
      <c r="Q161" s="8">
        <f>O161*P161</f>
        <v>0.24</v>
      </c>
      <c r="R161" s="8" t="n">
        <v>0</v>
      </c>
      <c r="S161" s="8">
        <f>Q161*R161</f>
        <v>0.0</v>
      </c>
      <c r="T161" s="8" t="n"/>
      <c r="U161" s="8" t="inlineStr"/>
      <c r="V161" s="8" t="inlineStr">
        <is>
          <t>data/item_templates.yaml:mission_chest_jiguanshou_chuxian.effect_payload</t>
        </is>
      </c>
    </row>
    <row r="162" ht="36" customHeight="1">
      <c r="A162" s="8" t="inlineStr">
        <is>
          <t>jiguanshou_chuxian</t>
        </is>
      </c>
      <c r="B162" s="8" t="inlineStr">
        <is>
          <t>机关兽初现</t>
        </is>
      </c>
      <c r="C162" s="8" t="inlineStr">
        <is>
          <t>mission_chest_jiguanshou_chuxian</t>
        </is>
      </c>
      <c r="D162" s="8" t="inlineStr">
        <is>
          <t>机关兽初现宝箱</t>
        </is>
      </c>
      <c r="E162" s="8" t="inlineStr">
        <is>
          <t>随铜蝉机关图纸附带（同次命中）</t>
        </is>
      </c>
      <c r="F162" s="8" t="inlineStr">
        <is>
          <t>tong</t>
        </is>
      </c>
      <c r="G162" s="8" t="inlineStr">
        <is>
          <t>铜</t>
        </is>
      </c>
      <c r="H162" s="8" t="inlineStr">
        <is>
          <t>black</t>
        </is>
      </c>
      <c r="I162" s="8" t="inlineStr">
        <is>
          <t>resource</t>
        </is>
      </c>
      <c r="J162" s="8" t="n">
        <v>0.24</v>
      </c>
      <c r="K162" s="8" t="n">
        <v>1</v>
      </c>
      <c r="L162" s="8" t="n">
        <v>1</v>
      </c>
      <c r="M162" s="8" t="n">
        <v>18</v>
      </c>
      <c r="N162" s="8" t="n">
        <v>18</v>
      </c>
      <c r="O162" s="8">
        <f>J162*K162/L162</f>
        <v>0.24</v>
      </c>
      <c r="P162" s="8">
        <f>(M162+N162)/2</f>
        <v>18.0</v>
      </c>
      <c r="Q162" s="8">
        <f>O162*P162</f>
        <v>4.32</v>
      </c>
      <c r="R162" s="8" t="n">
        <v>0</v>
      </c>
      <c r="S162" s="8">
        <f>Q162*R162</f>
        <v>0.0</v>
      </c>
      <c r="T162" s="8" t="n"/>
      <c r="U162" s="8" t="inlineStr"/>
      <c r="V162" s="8" t="inlineStr">
        <is>
          <t>data/item_templates.yaml:mission_chest_jiguanshou_chuxian.effect_payload</t>
        </is>
      </c>
    </row>
    <row r="163" ht="36" customHeight="1">
      <c r="A163" s="8" t="inlineStr">
        <is>
          <t>jiguanshou_chuxian</t>
        </is>
      </c>
      <c r="B163" s="8" t="inlineStr">
        <is>
          <t>机关兽初现</t>
        </is>
      </c>
      <c r="C163" s="8" t="inlineStr">
        <is>
          <t>mission_chest_jiguanshou_chuxian</t>
        </is>
      </c>
      <c r="D163" s="8" t="inlineStr">
        <is>
          <t>机关兽初现宝箱</t>
        </is>
      </c>
      <c r="E163" s="8" t="inlineStr">
        <is>
          <t>随铜蝉机关图纸附带（同次命中）</t>
        </is>
      </c>
      <c r="F163" s="8" t="inlineStr">
        <is>
          <t>xi</t>
        </is>
      </c>
      <c r="G163" s="8" t="inlineStr">
        <is>
          <t>锡</t>
        </is>
      </c>
      <c r="H163" s="8" t="inlineStr">
        <is>
          <t>black</t>
        </is>
      </c>
      <c r="I163" s="8" t="inlineStr">
        <is>
          <t>resource</t>
        </is>
      </c>
      <c r="J163" s="8" t="n">
        <v>0.24</v>
      </c>
      <c r="K163" s="8" t="n">
        <v>1</v>
      </c>
      <c r="L163" s="8" t="n">
        <v>1</v>
      </c>
      <c r="M163" s="8" t="n">
        <v>12</v>
      </c>
      <c r="N163" s="8" t="n">
        <v>12</v>
      </c>
      <c r="O163" s="8">
        <f>J163*K163/L163</f>
        <v>0.24</v>
      </c>
      <c r="P163" s="8">
        <f>(M163+N163)/2</f>
        <v>12.0</v>
      </c>
      <c r="Q163" s="8">
        <f>O163*P163</f>
        <v>2.88</v>
      </c>
      <c r="R163" s="8" t="n">
        <v>0</v>
      </c>
      <c r="S163" s="8">
        <f>Q163*R163</f>
        <v>0.0</v>
      </c>
      <c r="T163" s="8" t="n"/>
      <c r="U163" s="8" t="inlineStr"/>
      <c r="V163" s="8" t="inlineStr">
        <is>
          <t>data/item_templates.yaml:mission_chest_jiguanshou_chuxian.effect_payload</t>
        </is>
      </c>
    </row>
    <row r="164" ht="36" customHeight="1">
      <c r="A164" s="8" t="inlineStr">
        <is>
          <t>jiguanshou_chuxian</t>
        </is>
      </c>
      <c r="B164" s="8" t="inlineStr">
        <is>
          <t>机关兽初现</t>
        </is>
      </c>
      <c r="C164" s="8" t="inlineStr">
        <is>
          <t>mission_chest_jiguanshou_chuxian</t>
        </is>
      </c>
      <c r="D164" s="8" t="inlineStr">
        <is>
          <t>机关兽初现宝箱</t>
        </is>
      </c>
      <c r="E164" s="8" t="inlineStr">
        <is>
          <t>随铜蝉机关图纸附带（同次命中）</t>
        </is>
      </c>
      <c r="F164" s="8" t="inlineStr">
        <is>
          <t>tie</t>
        </is>
      </c>
      <c r="G164" s="8" t="inlineStr">
        <is>
          <t>铁</t>
        </is>
      </c>
      <c r="H164" s="8" t="inlineStr">
        <is>
          <t>black</t>
        </is>
      </c>
      <c r="I164" s="8" t="inlineStr">
        <is>
          <t>resource</t>
        </is>
      </c>
      <c r="J164" s="8" t="n">
        <v>0.24</v>
      </c>
      <c r="K164" s="8" t="n">
        <v>1</v>
      </c>
      <c r="L164" s="8" t="n">
        <v>1</v>
      </c>
      <c r="M164" s="8" t="n">
        <v>10</v>
      </c>
      <c r="N164" s="8" t="n">
        <v>10</v>
      </c>
      <c r="O164" s="8">
        <f>J164*K164/L164</f>
        <v>0.24</v>
      </c>
      <c r="P164" s="8">
        <f>(M164+N164)/2</f>
        <v>10.0</v>
      </c>
      <c r="Q164" s="8">
        <f>O164*P164</f>
        <v>2.4</v>
      </c>
      <c r="R164" s="8" t="n">
        <v>0</v>
      </c>
      <c r="S164" s="8">
        <f>Q164*R164</f>
        <v>0.0</v>
      </c>
      <c r="T164" s="8" t="n"/>
      <c r="U164" s="8" t="inlineStr"/>
      <c r="V164" s="8" t="inlineStr">
        <is>
          <t>data/item_templates.yaml:mission_chest_jiguanshou_chuxian.effect_payload</t>
        </is>
      </c>
    </row>
    <row r="165" ht="36" customHeight="1">
      <c r="A165" s="8" t="inlineStr">
        <is>
          <t>jiguanshou_chuxian</t>
        </is>
      </c>
      <c r="B165" s="8" t="inlineStr">
        <is>
          <t>机关兽初现</t>
        </is>
      </c>
      <c r="C165" s="8" t="inlineStr">
        <is>
          <t>mission_chest_jiguanshou_chuxian</t>
        </is>
      </c>
      <c r="D165" s="8" t="inlineStr">
        <is>
          <t>机关兽初现宝箱</t>
        </is>
      </c>
      <c r="E165" s="8" t="inlineStr">
        <is>
          <t>随铜蝉机关图纸附带（同次命中）</t>
        </is>
      </c>
      <c r="F165" s="8" t="inlineStr">
        <is>
          <t>wood_essence</t>
        </is>
      </c>
      <c r="G165" s="8" t="inlineStr">
        <is>
          <t>木质精华</t>
        </is>
      </c>
      <c r="H165" s="8" t="inlineStr">
        <is>
          <t>green</t>
        </is>
      </c>
      <c r="I165" s="8" t="inlineStr">
        <is>
          <t>resource</t>
        </is>
      </c>
      <c r="J165" s="8" t="n">
        <v>0.24</v>
      </c>
      <c r="K165" s="8" t="n">
        <v>1</v>
      </c>
      <c r="L165" s="8" t="n">
        <v>1</v>
      </c>
      <c r="M165" s="8" t="n">
        <v>1</v>
      </c>
      <c r="N165" s="8" t="n">
        <v>1</v>
      </c>
      <c r="O165" s="8">
        <f>J165*K165/L165</f>
        <v>0.24</v>
      </c>
      <c r="P165" s="8">
        <f>(M165+N165)/2</f>
        <v>1.0</v>
      </c>
      <c r="Q165" s="8">
        <f>O165*P165</f>
        <v>0.24</v>
      </c>
      <c r="R165" s="8" t="n">
        <v>0</v>
      </c>
      <c r="S165" s="8">
        <f>Q165*R165</f>
        <v>0.0</v>
      </c>
      <c r="T165" s="8" t="n"/>
      <c r="U165" s="8" t="inlineStr"/>
      <c r="V165" s="8" t="inlineStr">
        <is>
          <t>data/item_templates.yaml:mission_chest_jiguanshou_chuxian.effect_payload</t>
        </is>
      </c>
    </row>
    <row r="166" ht="36" customHeight="1">
      <c r="A166" s="8" t="inlineStr">
        <is>
          <t>jiguanshou_chuxian</t>
        </is>
      </c>
      <c r="B166" s="8" t="inlineStr">
        <is>
          <t>机关兽初现</t>
        </is>
      </c>
      <c r="C166" s="8" t="inlineStr">
        <is>
          <t>mission_chest_jiguanshou_chuxian</t>
        </is>
      </c>
      <c r="D166" s="8" t="inlineStr">
        <is>
          <t>机关兽初现宝箱</t>
        </is>
      </c>
      <c r="E166" s="8" t="inlineStr">
        <is>
          <t>随铜蝉机关图纸附带（同次命中）</t>
        </is>
      </c>
      <c r="F166" s="8" t="inlineStr">
        <is>
          <t>copper_essence</t>
        </is>
      </c>
      <c r="G166" s="8" t="inlineStr">
        <is>
          <t>铜质精华</t>
        </is>
      </c>
      <c r="H166" s="8" t="inlineStr">
        <is>
          <t>green</t>
        </is>
      </c>
      <c r="I166" s="8" t="inlineStr">
        <is>
          <t>resource</t>
        </is>
      </c>
      <c r="J166" s="8" t="n">
        <v>0.24</v>
      </c>
      <c r="K166" s="8" t="n">
        <v>1</v>
      </c>
      <c r="L166" s="8" t="n">
        <v>1</v>
      </c>
      <c r="M166" s="8" t="n">
        <v>1</v>
      </c>
      <c r="N166" s="8" t="n">
        <v>1</v>
      </c>
      <c r="O166" s="8">
        <f>J166*K166/L166</f>
        <v>0.24</v>
      </c>
      <c r="P166" s="8">
        <f>(M166+N166)/2</f>
        <v>1.0</v>
      </c>
      <c r="Q166" s="8">
        <f>O166*P166</f>
        <v>0.24</v>
      </c>
      <c r="R166" s="8" t="n">
        <v>0</v>
      </c>
      <c r="S166" s="8">
        <f>Q166*R166</f>
        <v>0.0</v>
      </c>
      <c r="T166" s="8" t="n"/>
      <c r="U166" s="8" t="inlineStr"/>
      <c r="V166" s="8" t="inlineStr">
        <is>
          <t>data/item_templates.yaml:mission_chest_jiguanshou_chuxian.effect_payload</t>
        </is>
      </c>
    </row>
    <row r="167" ht="36" customHeight="1">
      <c r="A167" s="8" t="inlineStr">
        <is>
          <t>jiguanshou_chuxian</t>
        </is>
      </c>
      <c r="B167" s="8" t="inlineStr">
        <is>
          <t>机关兽初现</t>
        </is>
      </c>
      <c r="C167" s="8" t="inlineStr">
        <is>
          <t>mission_chest_jiguanshou_chuxian</t>
        </is>
      </c>
      <c r="D167" s="8" t="inlineStr">
        <is>
          <t>机关兽初现宝箱</t>
        </is>
      </c>
      <c r="E167" s="8" t="inlineStr">
        <is>
          <t>随铜蝉机关图纸附带（同次命中）</t>
        </is>
      </c>
      <c r="F167" s="8" t="inlineStr">
        <is>
          <t>zitanmu</t>
        </is>
      </c>
      <c r="G167" s="8" t="inlineStr">
        <is>
          <t>紫檀木</t>
        </is>
      </c>
      <c r="H167" s="8" t="inlineStr">
        <is>
          <t>green</t>
        </is>
      </c>
      <c r="I167" s="8" t="inlineStr">
        <is>
          <t>resource</t>
        </is>
      </c>
      <c r="J167" s="8" t="n">
        <v>0.24</v>
      </c>
      <c r="K167" s="8" t="n">
        <v>1</v>
      </c>
      <c r="L167" s="8" t="n">
        <v>1</v>
      </c>
      <c r="M167" s="8" t="n">
        <v>1</v>
      </c>
      <c r="N167" s="8" t="n">
        <v>1</v>
      </c>
      <c r="O167" s="8">
        <f>J167*K167/L167</f>
        <v>0.24</v>
      </c>
      <c r="P167" s="8">
        <f>(M167+N167)/2</f>
        <v>1.0</v>
      </c>
      <c r="Q167" s="8">
        <f>O167*P167</f>
        <v>0.24</v>
      </c>
      <c r="R167" s="8" t="n">
        <v>0</v>
      </c>
      <c r="S167" s="8">
        <f>Q167*R167</f>
        <v>0.0</v>
      </c>
      <c r="T167" s="8" t="n"/>
      <c r="U167" s="8" t="inlineStr"/>
      <c r="V167" s="8" t="inlineStr">
        <is>
          <t>data/item_templates.yaml:mission_chest_jiguanshou_chuxian.effect_payload</t>
        </is>
      </c>
    </row>
    <row r="168" ht="36" customHeight="1">
      <c r="A168" s="8" t="inlineStr">
        <is>
          <t>jiguanshou_chuxian</t>
        </is>
      </c>
      <c r="B168" s="8" t="inlineStr">
        <is>
          <t>机关兽初现</t>
        </is>
      </c>
      <c r="C168" s="8" t="inlineStr">
        <is>
          <t>mission_chest_jiguanshou_chuxian</t>
        </is>
      </c>
      <c r="D168" s="8" t="inlineStr">
        <is>
          <t>机关兽初现宝箱</t>
        </is>
      </c>
      <c r="E168" s="8" t="inlineStr">
        <is>
          <t>随铜蝉机关图纸附带（同次命中）</t>
        </is>
      </c>
      <c r="F168" s="8" t="inlineStr">
        <is>
          <t>shuiqumu</t>
        </is>
      </c>
      <c r="G168" s="8" t="inlineStr">
        <is>
          <t>水曲木</t>
        </is>
      </c>
      <c r="H168" s="8" t="inlineStr">
        <is>
          <t>black</t>
        </is>
      </c>
      <c r="I168" s="8" t="inlineStr">
        <is>
          <t>resource</t>
        </is>
      </c>
      <c r="J168" s="8" t="n">
        <v>0.24</v>
      </c>
      <c r="K168" s="8" t="n">
        <v>1</v>
      </c>
      <c r="L168" s="8" t="n">
        <v>1</v>
      </c>
      <c r="M168" s="8" t="n">
        <v>2</v>
      </c>
      <c r="N168" s="8" t="n">
        <v>2</v>
      </c>
      <c r="O168" s="8">
        <f>J168*K168/L168</f>
        <v>0.24</v>
      </c>
      <c r="P168" s="8">
        <f>(M168+N168)/2</f>
        <v>2.0</v>
      </c>
      <c r="Q168" s="8">
        <f>O168*P168</f>
        <v>0.48</v>
      </c>
      <c r="R168" s="8" t="n">
        <v>0</v>
      </c>
      <c r="S168" s="8">
        <f>Q168*R168</f>
        <v>0.0</v>
      </c>
      <c r="T168" s="8" t="n"/>
      <c r="U168" s="8" t="inlineStr"/>
      <c r="V168" s="8" t="inlineStr">
        <is>
          <t>data/item_templates.yaml:mission_chest_jiguanshou_chuxian.effect_payload</t>
        </is>
      </c>
    </row>
    <row r="169" ht="36" customHeight="1">
      <c r="A169" s="8" t="inlineStr">
        <is>
          <t>jiguanshou_chuxian</t>
        </is>
      </c>
      <c r="B169" s="8" t="inlineStr">
        <is>
          <t>机关兽初现</t>
        </is>
      </c>
      <c r="C169" s="8" t="inlineStr">
        <is>
          <t>mission_chest_jiguanshou_chuxian</t>
        </is>
      </c>
      <c r="D169" s="8" t="inlineStr">
        <is>
          <t>机关兽初现宝箱</t>
        </is>
      </c>
      <c r="E169" s="8" t="inlineStr">
        <is>
          <t>随铜蝉机关图纸附带（同次命中）</t>
        </is>
      </c>
      <c r="F169" s="8" t="inlineStr">
        <is>
          <t>heiyuanshi</t>
        </is>
      </c>
      <c r="G169" s="8" t="inlineStr">
        <is>
          <t>黑原石</t>
        </is>
      </c>
      <c r="H169" s="8" t="inlineStr">
        <is>
          <t>green</t>
        </is>
      </c>
      <c r="I169" s="8" t="inlineStr">
        <is>
          <t>resource</t>
        </is>
      </c>
      <c r="J169" s="8" t="n">
        <v>0.24</v>
      </c>
      <c r="K169" s="8" t="n">
        <v>1</v>
      </c>
      <c r="L169" s="8" t="n">
        <v>1</v>
      </c>
      <c r="M169" s="8" t="n">
        <v>1</v>
      </c>
      <c r="N169" s="8" t="n">
        <v>1</v>
      </c>
      <c r="O169" s="8">
        <f>J169*K169/L169</f>
        <v>0.24</v>
      </c>
      <c r="P169" s="8">
        <f>(M169+N169)/2</f>
        <v>1.0</v>
      </c>
      <c r="Q169" s="8">
        <f>O169*P169</f>
        <v>0.24</v>
      </c>
      <c r="R169" s="8" t="n">
        <v>0</v>
      </c>
      <c r="S169" s="8">
        <f>Q169*R169</f>
        <v>0.0</v>
      </c>
      <c r="T169" s="8" t="n"/>
      <c r="U169" s="8" t="inlineStr"/>
      <c r="V169" s="8" t="inlineStr">
        <is>
          <t>data/item_templates.yaml:mission_chest_jiguanshou_chuxian.effect_payload</t>
        </is>
      </c>
    </row>
    <row r="170" ht="36" customHeight="1">
      <c r="A170" s="8" t="inlineStr">
        <is>
          <t>jiguanshou_chuxian</t>
        </is>
      </c>
      <c r="B170" s="8" t="inlineStr">
        <is>
          <t>机关兽初现</t>
        </is>
      </c>
      <c r="C170" s="8" t="inlineStr">
        <is>
          <t>mission_chest_jiguanshou_chuxian</t>
        </is>
      </c>
      <c r="D170" s="8" t="inlineStr">
        <is>
          <t>机关兽初现宝箱</t>
        </is>
      </c>
      <c r="E170" s="8" t="inlineStr">
        <is>
          <t>随铜蝉机关图纸附带（同次命中）</t>
        </is>
      </c>
      <c r="F170" s="8" t="inlineStr">
        <is>
          <t>jingangmei</t>
        </is>
      </c>
      <c r="G170" s="8" t="inlineStr">
        <is>
          <t>金刚煤</t>
        </is>
      </c>
      <c r="H170" s="8" t="inlineStr">
        <is>
          <t>green</t>
        </is>
      </c>
      <c r="I170" s="8" t="inlineStr">
        <is>
          <t>resource</t>
        </is>
      </c>
      <c r="J170" s="8" t="n">
        <v>0.24</v>
      </c>
      <c r="K170" s="8" t="n">
        <v>1</v>
      </c>
      <c r="L170" s="8" t="n">
        <v>1</v>
      </c>
      <c r="M170" s="8" t="n">
        <v>1</v>
      </c>
      <c r="N170" s="8" t="n">
        <v>1</v>
      </c>
      <c r="O170" s="8">
        <f>J170*K170/L170</f>
        <v>0.24</v>
      </c>
      <c r="P170" s="8">
        <f>(M170+N170)/2</f>
        <v>1.0</v>
      </c>
      <c r="Q170" s="8">
        <f>O170*P170</f>
        <v>0.24</v>
      </c>
      <c r="R170" s="8" t="n">
        <v>0</v>
      </c>
      <c r="S170" s="8">
        <f>Q170*R170</f>
        <v>0.0</v>
      </c>
      <c r="T170" s="8" t="n"/>
      <c r="U170" s="8" t="inlineStr"/>
      <c r="V170" s="8" t="inlineStr">
        <is>
          <t>data/item_templates.yaml:mission_chest_jiguanshou_chuxian.effect_payload</t>
        </is>
      </c>
    </row>
    <row r="171" ht="36" customHeight="1">
      <c r="A171" s="8" t="inlineStr">
        <is>
          <t>jiguanshou_chuxian</t>
        </is>
      </c>
      <c r="B171" s="8" t="inlineStr">
        <is>
          <t>机关兽初现</t>
        </is>
      </c>
      <c r="C171" s="8" t="inlineStr">
        <is>
          <t>mission_chest_jiguanshou_chuxian</t>
        </is>
      </c>
      <c r="D171" s="8" t="inlineStr">
        <is>
          <t>机关兽初现宝箱</t>
        </is>
      </c>
      <c r="E171" s="8" t="inlineStr">
        <is>
          <t>随铜蝉机关图纸附带（同次命中）</t>
        </is>
      </c>
      <c r="F171" s="8" t="inlineStr">
        <is>
          <t>paozi</t>
        </is>
      </c>
      <c r="G171" s="8" t="inlineStr">
        <is>
          <t>刨子</t>
        </is>
      </c>
      <c r="H171" s="8" t="inlineStr">
        <is>
          <t>black</t>
        </is>
      </c>
      <c r="I171" s="8" t="inlineStr">
        <is>
          <t>resource</t>
        </is>
      </c>
      <c r="J171" s="8" t="n">
        <v>0.24</v>
      </c>
      <c r="K171" s="8" t="n">
        <v>1</v>
      </c>
      <c r="L171" s="8" t="n">
        <v>1</v>
      </c>
      <c r="M171" s="8" t="n">
        <v>1</v>
      </c>
      <c r="N171" s="8" t="n">
        <v>1</v>
      </c>
      <c r="O171" s="8">
        <f>J171*K171/L171</f>
        <v>0.24</v>
      </c>
      <c r="P171" s="8">
        <f>(M171+N171)/2</f>
        <v>1.0</v>
      </c>
      <c r="Q171" s="8">
        <f>O171*P171</f>
        <v>0.24</v>
      </c>
      <c r="R171" s="8" t="n">
        <v>0</v>
      </c>
      <c r="S171" s="8">
        <f>Q171*R171</f>
        <v>0.0</v>
      </c>
      <c r="T171" s="8" t="n"/>
      <c r="U171" s="8" t="inlineStr"/>
      <c r="V171" s="8" t="inlineStr">
        <is>
          <t>data/item_templates.yaml:mission_chest_jiguanshou_chuxian.effect_payload</t>
        </is>
      </c>
    </row>
    <row r="172" ht="36" customHeight="1">
      <c r="A172" s="8" t="inlineStr">
        <is>
          <t>jiguanshou_chuxian</t>
        </is>
      </c>
      <c r="B172" s="8" t="inlineStr">
        <is>
          <t>机关兽初现</t>
        </is>
      </c>
      <c r="C172" s="8" t="inlineStr">
        <is>
          <t>mission_chest_jiguanshou_chuxian</t>
        </is>
      </c>
      <c r="D172" s="8" t="inlineStr">
        <is>
          <t>机关兽初现宝箱</t>
        </is>
      </c>
      <c r="E172" s="8" t="inlineStr">
        <is>
          <t>随铜蝉机关图纸附带（同次命中）</t>
        </is>
      </c>
      <c r="F172" s="8" t="inlineStr">
        <is>
          <t>zaozi</t>
        </is>
      </c>
      <c r="G172" s="8" t="inlineStr">
        <is>
          <t>凿子</t>
        </is>
      </c>
      <c r="H172" s="8" t="inlineStr">
        <is>
          <t>black</t>
        </is>
      </c>
      <c r="I172" s="8" t="inlineStr">
        <is>
          <t>resource</t>
        </is>
      </c>
      <c r="J172" s="8" t="n">
        <v>0.24</v>
      </c>
      <c r="K172" s="8" t="n">
        <v>1</v>
      </c>
      <c r="L172" s="8" t="n">
        <v>1</v>
      </c>
      <c r="M172" s="8" t="n">
        <v>2</v>
      </c>
      <c r="N172" s="8" t="n">
        <v>2</v>
      </c>
      <c r="O172" s="8">
        <f>J172*K172/L172</f>
        <v>0.24</v>
      </c>
      <c r="P172" s="8">
        <f>(M172+N172)/2</f>
        <v>2.0</v>
      </c>
      <c r="Q172" s="8">
        <f>O172*P172</f>
        <v>0.48</v>
      </c>
      <c r="R172" s="8" t="n">
        <v>0</v>
      </c>
      <c r="S172" s="8">
        <f>Q172*R172</f>
        <v>0.0</v>
      </c>
      <c r="T172" s="8" t="n"/>
      <c r="U172" s="8" t="inlineStr"/>
      <c r="V172" s="8" t="inlineStr">
        <is>
          <t>data/item_templates.yaml:mission_chest_jiguanshou_chuxian.effect_payload</t>
        </is>
      </c>
    </row>
    <row r="173" ht="36" customHeight="1">
      <c r="A173" s="8" t="inlineStr">
        <is>
          <t>jiguanshou_chuxian</t>
        </is>
      </c>
      <c r="B173" s="8" t="inlineStr">
        <is>
          <t>机关兽初现</t>
        </is>
      </c>
      <c r="C173" s="8" t="inlineStr">
        <is>
          <t>mission_chest_jiguanshou_chuxian</t>
        </is>
      </c>
      <c r="D173" s="8" t="inlineStr">
        <is>
          <t>机关兽初现宝箱</t>
        </is>
      </c>
      <c r="E173" s="8" t="inlineStr">
        <is>
          <t>随铜蝉机关图纸附带（同次命中）</t>
        </is>
      </c>
      <c r="F173" s="8" t="inlineStr">
        <is>
          <t>water_stone</t>
        </is>
      </c>
      <c r="G173" s="8" t="inlineStr">
        <is>
          <t>纯水之石</t>
        </is>
      </c>
      <c r="H173" s="8" t="inlineStr">
        <is>
          <t>blue</t>
        </is>
      </c>
      <c r="I173" s="8" t="inlineStr">
        <is>
          <t>resource</t>
        </is>
      </c>
      <c r="J173" s="8" t="n">
        <v>0.24</v>
      </c>
      <c r="K173" s="8" t="n">
        <v>1</v>
      </c>
      <c r="L173" s="8" t="n">
        <v>1</v>
      </c>
      <c r="M173" s="8" t="n">
        <v>1</v>
      </c>
      <c r="N173" s="8" t="n">
        <v>1</v>
      </c>
      <c r="O173" s="8">
        <f>J173*K173/L173</f>
        <v>0.24</v>
      </c>
      <c r="P173" s="8">
        <f>(M173+N173)/2</f>
        <v>1.0</v>
      </c>
      <c r="Q173" s="8">
        <f>O173*P173</f>
        <v>0.24</v>
      </c>
      <c r="R173" s="8" t="n">
        <v>0</v>
      </c>
      <c r="S173" s="8">
        <f>Q173*R173</f>
        <v>0.0</v>
      </c>
      <c r="T173" s="8" t="n"/>
      <c r="U173" s="8" t="inlineStr"/>
      <c r="V173" s="8" t="inlineStr">
        <is>
          <t>data/item_templates.yaml:mission_chest_jiguanshou_chuxian.effect_payload</t>
        </is>
      </c>
    </row>
    <row r="174" ht="36" customHeight="1">
      <c r="A174" s="8" t="inlineStr">
        <is>
          <t>jiguanshou_chuxian</t>
        </is>
      </c>
      <c r="B174" s="8" t="inlineStr">
        <is>
          <t>机关兽初现</t>
        </is>
      </c>
      <c r="C174" s="8" t="inlineStr">
        <is>
          <t>mission_chest_jiguanshou_chuxian</t>
        </is>
      </c>
      <c r="D174" s="8" t="inlineStr">
        <is>
          <t>机关兽初现宝箱</t>
        </is>
      </c>
      <c r="E174" s="8" t="inlineStr">
        <is>
          <t>随机械猫图纸附带（同次命中）</t>
        </is>
      </c>
      <c r="F174" s="8" t="inlineStr">
        <is>
          <t>tong</t>
        </is>
      </c>
      <c r="G174" s="8" t="inlineStr">
        <is>
          <t>铜</t>
        </is>
      </c>
      <c r="H174" s="8" t="inlineStr">
        <is>
          <t>black</t>
        </is>
      </c>
      <c r="I174" s="8" t="inlineStr">
        <is>
          <t>resource</t>
        </is>
      </c>
      <c r="J174" s="8" t="n">
        <v>0.08</v>
      </c>
      <c r="K174" s="8" t="n">
        <v>1</v>
      </c>
      <c r="L174" s="8" t="n">
        <v>1</v>
      </c>
      <c r="M174" s="8" t="n">
        <v>24</v>
      </c>
      <c r="N174" s="8" t="n">
        <v>24</v>
      </c>
      <c r="O174" s="8">
        <f>J174*K174/L174</f>
        <v>0.08</v>
      </c>
      <c r="P174" s="8">
        <f>(M174+N174)/2</f>
        <v>24.0</v>
      </c>
      <c r="Q174" s="8">
        <f>O174*P174</f>
        <v>1.92</v>
      </c>
      <c r="R174" s="8" t="n">
        <v>0</v>
      </c>
      <c r="S174" s="8">
        <f>Q174*R174</f>
        <v>0.0</v>
      </c>
      <c r="T174" s="8" t="n"/>
      <c r="U174" s="8" t="inlineStr"/>
      <c r="V174" s="8" t="inlineStr">
        <is>
          <t>data/item_templates.yaml:mission_chest_jiguanshou_chuxian.effect_payload</t>
        </is>
      </c>
    </row>
    <row r="175" ht="36" customHeight="1">
      <c r="A175" s="8" t="inlineStr">
        <is>
          <t>jiguanshou_chuxian</t>
        </is>
      </c>
      <c r="B175" s="8" t="inlineStr">
        <is>
          <t>机关兽初现</t>
        </is>
      </c>
      <c r="C175" s="8" t="inlineStr">
        <is>
          <t>mission_chest_jiguanshou_chuxian</t>
        </is>
      </c>
      <c r="D175" s="8" t="inlineStr">
        <is>
          <t>机关兽初现宝箱</t>
        </is>
      </c>
      <c r="E175" s="8" t="inlineStr">
        <is>
          <t>随机械猫图纸附带（同次命中）</t>
        </is>
      </c>
      <c r="F175" s="8" t="inlineStr">
        <is>
          <t>xi</t>
        </is>
      </c>
      <c r="G175" s="8" t="inlineStr">
        <is>
          <t>锡</t>
        </is>
      </c>
      <c r="H175" s="8" t="inlineStr">
        <is>
          <t>black</t>
        </is>
      </c>
      <c r="I175" s="8" t="inlineStr">
        <is>
          <t>resource</t>
        </is>
      </c>
      <c r="J175" s="8" t="n">
        <v>0.08</v>
      </c>
      <c r="K175" s="8" t="n">
        <v>1</v>
      </c>
      <c r="L175" s="8" t="n">
        <v>1</v>
      </c>
      <c r="M175" s="8" t="n">
        <v>16</v>
      </c>
      <c r="N175" s="8" t="n">
        <v>16</v>
      </c>
      <c r="O175" s="8">
        <f>J175*K175/L175</f>
        <v>0.08</v>
      </c>
      <c r="P175" s="8">
        <f>(M175+N175)/2</f>
        <v>16.0</v>
      </c>
      <c r="Q175" s="8">
        <f>O175*P175</f>
        <v>1.28</v>
      </c>
      <c r="R175" s="8" t="n">
        <v>0</v>
      </c>
      <c r="S175" s="8">
        <f>Q175*R175</f>
        <v>0.0</v>
      </c>
      <c r="T175" s="8" t="n"/>
      <c r="U175" s="8" t="inlineStr"/>
      <c r="V175" s="8" t="inlineStr">
        <is>
          <t>data/item_templates.yaml:mission_chest_jiguanshou_chuxian.effect_payload</t>
        </is>
      </c>
    </row>
    <row r="176" ht="36" customHeight="1">
      <c r="A176" s="8" t="inlineStr">
        <is>
          <t>jiguanshou_chuxian</t>
        </is>
      </c>
      <c r="B176" s="8" t="inlineStr">
        <is>
          <t>机关兽初现</t>
        </is>
      </c>
      <c r="C176" s="8" t="inlineStr">
        <is>
          <t>mission_chest_jiguanshou_chuxian</t>
        </is>
      </c>
      <c r="D176" s="8" t="inlineStr">
        <is>
          <t>机关兽初现宝箱</t>
        </is>
      </c>
      <c r="E176" s="8" t="inlineStr">
        <is>
          <t>随机械猫图纸附带（同次命中）</t>
        </is>
      </c>
      <c r="F176" s="8" t="inlineStr">
        <is>
          <t>tie</t>
        </is>
      </c>
      <c r="G176" s="8" t="inlineStr">
        <is>
          <t>铁</t>
        </is>
      </c>
      <c r="H176" s="8" t="inlineStr">
        <is>
          <t>black</t>
        </is>
      </c>
      <c r="I176" s="8" t="inlineStr">
        <is>
          <t>resource</t>
        </is>
      </c>
      <c r="J176" s="8" t="n">
        <v>0.08</v>
      </c>
      <c r="K176" s="8" t="n">
        <v>1</v>
      </c>
      <c r="L176" s="8" t="n">
        <v>1</v>
      </c>
      <c r="M176" s="8" t="n">
        <v>12</v>
      </c>
      <c r="N176" s="8" t="n">
        <v>12</v>
      </c>
      <c r="O176" s="8">
        <f>J176*K176/L176</f>
        <v>0.08</v>
      </c>
      <c r="P176" s="8">
        <f>(M176+N176)/2</f>
        <v>12.0</v>
      </c>
      <c r="Q176" s="8">
        <f>O176*P176</f>
        <v>0.96</v>
      </c>
      <c r="R176" s="8" t="n">
        <v>0</v>
      </c>
      <c r="S176" s="8">
        <f>Q176*R176</f>
        <v>0.0</v>
      </c>
      <c r="T176" s="8" t="n"/>
      <c r="U176" s="8" t="inlineStr"/>
      <c r="V176" s="8" t="inlineStr">
        <is>
          <t>data/item_templates.yaml:mission_chest_jiguanshou_chuxian.effect_payload</t>
        </is>
      </c>
    </row>
    <row r="177" ht="36" customHeight="1">
      <c r="A177" s="8" t="inlineStr">
        <is>
          <t>jiguanshou_chuxian</t>
        </is>
      </c>
      <c r="B177" s="8" t="inlineStr">
        <is>
          <t>机关兽初现</t>
        </is>
      </c>
      <c r="C177" s="8" t="inlineStr">
        <is>
          <t>mission_chest_jiguanshou_chuxian</t>
        </is>
      </c>
      <c r="D177" s="8" t="inlineStr">
        <is>
          <t>机关兽初现宝箱</t>
        </is>
      </c>
      <c r="E177" s="8" t="inlineStr">
        <is>
          <t>随机械猫图纸附带（同次命中）</t>
        </is>
      </c>
      <c r="F177" s="8" t="inlineStr">
        <is>
          <t>wood_essence</t>
        </is>
      </c>
      <c r="G177" s="8" t="inlineStr">
        <is>
          <t>木质精华</t>
        </is>
      </c>
      <c r="H177" s="8" t="inlineStr">
        <is>
          <t>green</t>
        </is>
      </c>
      <c r="I177" s="8" t="inlineStr">
        <is>
          <t>resource</t>
        </is>
      </c>
      <c r="J177" s="8" t="n">
        <v>0.08</v>
      </c>
      <c r="K177" s="8" t="n">
        <v>1</v>
      </c>
      <c r="L177" s="8" t="n">
        <v>1</v>
      </c>
      <c r="M177" s="8" t="n">
        <v>1</v>
      </c>
      <c r="N177" s="8" t="n">
        <v>1</v>
      </c>
      <c r="O177" s="8">
        <f>J177*K177/L177</f>
        <v>0.08</v>
      </c>
      <c r="P177" s="8">
        <f>(M177+N177)/2</f>
        <v>1.0</v>
      </c>
      <c r="Q177" s="8">
        <f>O177*P177</f>
        <v>0.08</v>
      </c>
      <c r="R177" s="8" t="n">
        <v>0</v>
      </c>
      <c r="S177" s="8">
        <f>Q177*R177</f>
        <v>0.0</v>
      </c>
      <c r="T177" s="8" t="n"/>
      <c r="U177" s="8" t="inlineStr"/>
      <c r="V177" s="8" t="inlineStr">
        <is>
          <t>data/item_templates.yaml:mission_chest_jiguanshou_chuxian.effect_payload</t>
        </is>
      </c>
    </row>
    <row r="178" ht="36" customHeight="1">
      <c r="A178" s="8" t="inlineStr">
        <is>
          <t>jiguanshou_chuxian</t>
        </is>
      </c>
      <c r="B178" s="8" t="inlineStr">
        <is>
          <t>机关兽初现</t>
        </is>
      </c>
      <c r="C178" s="8" t="inlineStr">
        <is>
          <t>mission_chest_jiguanshou_chuxian</t>
        </is>
      </c>
      <c r="D178" s="8" t="inlineStr">
        <is>
          <t>机关兽初现宝箱</t>
        </is>
      </c>
      <c r="E178" s="8" t="inlineStr">
        <is>
          <t>随机械猫图纸附带（同次命中）</t>
        </is>
      </c>
      <c r="F178" s="8" t="inlineStr">
        <is>
          <t>copper_essence</t>
        </is>
      </c>
      <c r="G178" s="8" t="inlineStr">
        <is>
          <t>铜质精华</t>
        </is>
      </c>
      <c r="H178" s="8" t="inlineStr">
        <is>
          <t>green</t>
        </is>
      </c>
      <c r="I178" s="8" t="inlineStr">
        <is>
          <t>resource</t>
        </is>
      </c>
      <c r="J178" s="8" t="n">
        <v>0.08</v>
      </c>
      <c r="K178" s="8" t="n">
        <v>1</v>
      </c>
      <c r="L178" s="8" t="n">
        <v>1</v>
      </c>
      <c r="M178" s="8" t="n">
        <v>1</v>
      </c>
      <c r="N178" s="8" t="n">
        <v>1</v>
      </c>
      <c r="O178" s="8">
        <f>J178*K178/L178</f>
        <v>0.08</v>
      </c>
      <c r="P178" s="8">
        <f>(M178+N178)/2</f>
        <v>1.0</v>
      </c>
      <c r="Q178" s="8">
        <f>O178*P178</f>
        <v>0.08</v>
      </c>
      <c r="R178" s="8" t="n">
        <v>0</v>
      </c>
      <c r="S178" s="8">
        <f>Q178*R178</f>
        <v>0.0</v>
      </c>
      <c r="T178" s="8" t="n"/>
      <c r="U178" s="8" t="inlineStr"/>
      <c r="V178" s="8" t="inlineStr">
        <is>
          <t>data/item_templates.yaml:mission_chest_jiguanshou_chuxian.effect_payload</t>
        </is>
      </c>
    </row>
    <row r="179" ht="36" customHeight="1">
      <c r="A179" s="8" t="inlineStr">
        <is>
          <t>jiguanshou_chuxian</t>
        </is>
      </c>
      <c r="B179" s="8" t="inlineStr">
        <is>
          <t>机关兽初现</t>
        </is>
      </c>
      <c r="C179" s="8" t="inlineStr">
        <is>
          <t>mission_chest_jiguanshou_chuxian</t>
        </is>
      </c>
      <c r="D179" s="8" t="inlineStr">
        <is>
          <t>机关兽初现宝箱</t>
        </is>
      </c>
      <c r="E179" s="8" t="inlineStr">
        <is>
          <t>随机械猫图纸附带（同次命中）</t>
        </is>
      </c>
      <c r="F179" s="8" t="inlineStr">
        <is>
          <t>xuan_tie_essence</t>
        </is>
      </c>
      <c r="G179" s="8" t="inlineStr">
        <is>
          <t>玄铁精华</t>
        </is>
      </c>
      <c r="H179" s="8" t="inlineStr">
        <is>
          <t>blue</t>
        </is>
      </c>
      <c r="I179" s="8" t="inlineStr">
        <is>
          <t>resource</t>
        </is>
      </c>
      <c r="J179" s="8" t="n">
        <v>0.08</v>
      </c>
      <c r="K179" s="8" t="n">
        <v>1</v>
      </c>
      <c r="L179" s="8" t="n">
        <v>1</v>
      </c>
      <c r="M179" s="8" t="n">
        <v>1</v>
      </c>
      <c r="N179" s="8" t="n">
        <v>1</v>
      </c>
      <c r="O179" s="8">
        <f>J179*K179/L179</f>
        <v>0.08</v>
      </c>
      <c r="P179" s="8">
        <f>(M179+N179)/2</f>
        <v>1.0</v>
      </c>
      <c r="Q179" s="8">
        <f>O179*P179</f>
        <v>0.08</v>
      </c>
      <c r="R179" s="8" t="n">
        <v>0</v>
      </c>
      <c r="S179" s="8">
        <f>Q179*R179</f>
        <v>0.0</v>
      </c>
      <c r="T179" s="8" t="n"/>
      <c r="U179" s="8" t="inlineStr"/>
      <c r="V179" s="8" t="inlineStr">
        <is>
          <t>data/item_templates.yaml:mission_chest_jiguanshou_chuxian.effect_payload</t>
        </is>
      </c>
    </row>
    <row r="180" ht="36" customHeight="1">
      <c r="A180" s="8" t="inlineStr">
        <is>
          <t>jiguanshou_chuxian</t>
        </is>
      </c>
      <c r="B180" s="8" t="inlineStr">
        <is>
          <t>机关兽初现</t>
        </is>
      </c>
      <c r="C180" s="8" t="inlineStr">
        <is>
          <t>mission_chest_jiguanshou_chuxian</t>
        </is>
      </c>
      <c r="D180" s="8" t="inlineStr">
        <is>
          <t>机关兽初现宝箱</t>
        </is>
      </c>
      <c r="E180" s="8" t="inlineStr">
        <is>
          <t>随机械猫图纸附带（同次命中）</t>
        </is>
      </c>
      <c r="F180" s="8" t="inlineStr">
        <is>
          <t>zitanmu</t>
        </is>
      </c>
      <c r="G180" s="8" t="inlineStr">
        <is>
          <t>紫檀木</t>
        </is>
      </c>
      <c r="H180" s="8" t="inlineStr">
        <is>
          <t>green</t>
        </is>
      </c>
      <c r="I180" s="8" t="inlineStr">
        <is>
          <t>resource</t>
        </is>
      </c>
      <c r="J180" s="8" t="n">
        <v>0.08</v>
      </c>
      <c r="K180" s="8" t="n">
        <v>1</v>
      </c>
      <c r="L180" s="8" t="n">
        <v>1</v>
      </c>
      <c r="M180" s="8" t="n">
        <v>2</v>
      </c>
      <c r="N180" s="8" t="n">
        <v>2</v>
      </c>
      <c r="O180" s="8">
        <f>J180*K180/L180</f>
        <v>0.08</v>
      </c>
      <c r="P180" s="8">
        <f>(M180+N180)/2</f>
        <v>2.0</v>
      </c>
      <c r="Q180" s="8">
        <f>O180*P180</f>
        <v>0.16</v>
      </c>
      <c r="R180" s="8" t="n">
        <v>0</v>
      </c>
      <c r="S180" s="8">
        <f>Q180*R180</f>
        <v>0.0</v>
      </c>
      <c r="T180" s="8" t="n"/>
      <c r="U180" s="8" t="inlineStr"/>
      <c r="V180" s="8" t="inlineStr">
        <is>
          <t>data/item_templates.yaml:mission_chest_jiguanshou_chuxian.effect_payload</t>
        </is>
      </c>
    </row>
    <row r="181" ht="36" customHeight="1">
      <c r="A181" s="8" t="inlineStr">
        <is>
          <t>jiguanshou_chuxian</t>
        </is>
      </c>
      <c r="B181" s="8" t="inlineStr">
        <is>
          <t>机关兽初现</t>
        </is>
      </c>
      <c r="C181" s="8" t="inlineStr">
        <is>
          <t>mission_chest_jiguanshou_chuxian</t>
        </is>
      </c>
      <c r="D181" s="8" t="inlineStr">
        <is>
          <t>机关兽初现宝箱</t>
        </is>
      </c>
      <c r="E181" s="8" t="inlineStr">
        <is>
          <t>随机械猫图纸附带（同次命中）</t>
        </is>
      </c>
      <c r="F181" s="8" t="inlineStr">
        <is>
          <t>tiemu</t>
        </is>
      </c>
      <c r="G181" s="8" t="inlineStr">
        <is>
          <t>铁木</t>
        </is>
      </c>
      <c r="H181" s="8" t="inlineStr">
        <is>
          <t>green</t>
        </is>
      </c>
      <c r="I181" s="8" t="inlineStr">
        <is>
          <t>resource</t>
        </is>
      </c>
      <c r="J181" s="8" t="n">
        <v>0.08</v>
      </c>
      <c r="K181" s="8" t="n">
        <v>1</v>
      </c>
      <c r="L181" s="8" t="n">
        <v>1</v>
      </c>
      <c r="M181" s="8" t="n">
        <v>3</v>
      </c>
      <c r="N181" s="8" t="n">
        <v>3</v>
      </c>
      <c r="O181" s="8">
        <f>J181*K181/L181</f>
        <v>0.08</v>
      </c>
      <c r="P181" s="8">
        <f>(M181+N181)/2</f>
        <v>3.0</v>
      </c>
      <c r="Q181" s="8">
        <f>O181*P181</f>
        <v>0.24</v>
      </c>
      <c r="R181" s="8" t="n">
        <v>0</v>
      </c>
      <c r="S181" s="8">
        <f>Q181*R181</f>
        <v>0.0</v>
      </c>
      <c r="T181" s="8" t="n"/>
      <c r="U181" s="8" t="inlineStr"/>
      <c r="V181" s="8" t="inlineStr">
        <is>
          <t>data/item_templates.yaml:mission_chest_jiguanshou_chuxian.effect_payload</t>
        </is>
      </c>
    </row>
    <row r="182" ht="36" customHeight="1">
      <c r="A182" s="8" t="inlineStr">
        <is>
          <t>jiguanshou_chuxian</t>
        </is>
      </c>
      <c r="B182" s="8" t="inlineStr">
        <is>
          <t>机关兽初现</t>
        </is>
      </c>
      <c r="C182" s="8" t="inlineStr">
        <is>
          <t>mission_chest_jiguanshou_chuxian</t>
        </is>
      </c>
      <c r="D182" s="8" t="inlineStr">
        <is>
          <t>机关兽初现宝箱</t>
        </is>
      </c>
      <c r="E182" s="8" t="inlineStr">
        <is>
          <t>随机械猫图纸附带（同次命中）</t>
        </is>
      </c>
      <c r="F182" s="8" t="inlineStr">
        <is>
          <t>heiyuanshi</t>
        </is>
      </c>
      <c r="G182" s="8" t="inlineStr">
        <is>
          <t>黑原石</t>
        </is>
      </c>
      <c r="H182" s="8" t="inlineStr">
        <is>
          <t>green</t>
        </is>
      </c>
      <c r="I182" s="8" t="inlineStr">
        <is>
          <t>resource</t>
        </is>
      </c>
      <c r="J182" s="8" t="n">
        <v>0.08</v>
      </c>
      <c r="K182" s="8" t="n">
        <v>1</v>
      </c>
      <c r="L182" s="8" t="n">
        <v>1</v>
      </c>
      <c r="M182" s="8" t="n">
        <v>3</v>
      </c>
      <c r="N182" s="8" t="n">
        <v>3</v>
      </c>
      <c r="O182" s="8">
        <f>J182*K182/L182</f>
        <v>0.08</v>
      </c>
      <c r="P182" s="8">
        <f>(M182+N182)/2</f>
        <v>3.0</v>
      </c>
      <c r="Q182" s="8">
        <f>O182*P182</f>
        <v>0.24</v>
      </c>
      <c r="R182" s="8" t="n">
        <v>0</v>
      </c>
      <c r="S182" s="8">
        <f>Q182*R182</f>
        <v>0.0</v>
      </c>
      <c r="T182" s="8" t="n"/>
      <c r="U182" s="8" t="inlineStr"/>
      <c r="V182" s="8" t="inlineStr">
        <is>
          <t>data/item_templates.yaml:mission_chest_jiguanshou_chuxian.effect_payload</t>
        </is>
      </c>
    </row>
    <row r="183" ht="36" customHeight="1">
      <c r="A183" s="8" t="inlineStr">
        <is>
          <t>jiguanshou_chuxian</t>
        </is>
      </c>
      <c r="B183" s="8" t="inlineStr">
        <is>
          <t>机关兽初现</t>
        </is>
      </c>
      <c r="C183" s="8" t="inlineStr">
        <is>
          <t>mission_chest_jiguanshou_chuxian</t>
        </is>
      </c>
      <c r="D183" s="8" t="inlineStr">
        <is>
          <t>机关兽初现宝箱</t>
        </is>
      </c>
      <c r="E183" s="8" t="inlineStr">
        <is>
          <t>随机械猫图纸附带（同次命中）</t>
        </is>
      </c>
      <c r="F183" s="8" t="inlineStr">
        <is>
          <t>jingangmei</t>
        </is>
      </c>
      <c r="G183" s="8" t="inlineStr">
        <is>
          <t>金刚煤</t>
        </is>
      </c>
      <c r="H183" s="8" t="inlineStr">
        <is>
          <t>green</t>
        </is>
      </c>
      <c r="I183" s="8" t="inlineStr">
        <is>
          <t>resource</t>
        </is>
      </c>
      <c r="J183" s="8" t="n">
        <v>0.08</v>
      </c>
      <c r="K183" s="8" t="n">
        <v>1</v>
      </c>
      <c r="L183" s="8" t="n">
        <v>1</v>
      </c>
      <c r="M183" s="8" t="n">
        <v>2</v>
      </c>
      <c r="N183" s="8" t="n">
        <v>2</v>
      </c>
      <c r="O183" s="8">
        <f>J183*K183/L183</f>
        <v>0.08</v>
      </c>
      <c r="P183" s="8">
        <f>(M183+N183)/2</f>
        <v>2.0</v>
      </c>
      <c r="Q183" s="8">
        <f>O183*P183</f>
        <v>0.16</v>
      </c>
      <c r="R183" s="8" t="n">
        <v>0</v>
      </c>
      <c r="S183" s="8">
        <f>Q183*R183</f>
        <v>0.0</v>
      </c>
      <c r="T183" s="8" t="n"/>
      <c r="U183" s="8" t="inlineStr"/>
      <c r="V183" s="8" t="inlineStr">
        <is>
          <t>data/item_templates.yaml:mission_chest_jiguanshou_chuxian.effect_payload</t>
        </is>
      </c>
    </row>
    <row r="184" ht="36" customHeight="1">
      <c r="A184" s="8" t="inlineStr">
        <is>
          <t>jiguanshou_chuxian</t>
        </is>
      </c>
      <c r="B184" s="8" t="inlineStr">
        <is>
          <t>机关兽初现</t>
        </is>
      </c>
      <c r="C184" s="8" t="inlineStr">
        <is>
          <t>mission_chest_jiguanshou_chuxian</t>
        </is>
      </c>
      <c r="D184" s="8" t="inlineStr">
        <is>
          <t>机关兽初现宝箱</t>
        </is>
      </c>
      <c r="E184" s="8" t="inlineStr">
        <is>
          <t>随机械猫图纸附带（同次命中）</t>
        </is>
      </c>
      <c r="F184" s="8" t="inlineStr">
        <is>
          <t>paozi</t>
        </is>
      </c>
      <c r="G184" s="8" t="inlineStr">
        <is>
          <t>刨子</t>
        </is>
      </c>
      <c r="H184" s="8" t="inlineStr">
        <is>
          <t>black</t>
        </is>
      </c>
      <c r="I184" s="8" t="inlineStr">
        <is>
          <t>resource</t>
        </is>
      </c>
      <c r="J184" s="8" t="n">
        <v>0.08</v>
      </c>
      <c r="K184" s="8" t="n">
        <v>1</v>
      </c>
      <c r="L184" s="8" t="n">
        <v>1</v>
      </c>
      <c r="M184" s="8" t="n">
        <v>2</v>
      </c>
      <c r="N184" s="8" t="n">
        <v>2</v>
      </c>
      <c r="O184" s="8">
        <f>J184*K184/L184</f>
        <v>0.08</v>
      </c>
      <c r="P184" s="8">
        <f>(M184+N184)/2</f>
        <v>2.0</v>
      </c>
      <c r="Q184" s="8">
        <f>O184*P184</f>
        <v>0.16</v>
      </c>
      <c r="R184" s="8" t="n">
        <v>0</v>
      </c>
      <c r="S184" s="8">
        <f>Q184*R184</f>
        <v>0.0</v>
      </c>
      <c r="T184" s="8" t="n"/>
      <c r="U184" s="8" t="inlineStr"/>
      <c r="V184" s="8" t="inlineStr">
        <is>
          <t>data/item_templates.yaml:mission_chest_jiguanshou_chuxian.effect_payload</t>
        </is>
      </c>
    </row>
    <row r="185" ht="36" customHeight="1">
      <c r="A185" s="8" t="inlineStr">
        <is>
          <t>jiguanshou_chuxian</t>
        </is>
      </c>
      <c r="B185" s="8" t="inlineStr">
        <is>
          <t>机关兽初现</t>
        </is>
      </c>
      <c r="C185" s="8" t="inlineStr">
        <is>
          <t>mission_chest_jiguanshou_chuxian</t>
        </is>
      </c>
      <c r="D185" s="8" t="inlineStr">
        <is>
          <t>机关兽初现宝箱</t>
        </is>
      </c>
      <c r="E185" s="8" t="inlineStr">
        <is>
          <t>随机械猫图纸附带（同次命中）</t>
        </is>
      </c>
      <c r="F185" s="8" t="inlineStr">
        <is>
          <t>zaozi</t>
        </is>
      </c>
      <c r="G185" s="8" t="inlineStr">
        <is>
          <t>凿子</t>
        </is>
      </c>
      <c r="H185" s="8" t="inlineStr">
        <is>
          <t>black</t>
        </is>
      </c>
      <c r="I185" s="8" t="inlineStr">
        <is>
          <t>resource</t>
        </is>
      </c>
      <c r="J185" s="8" t="n">
        <v>0.08</v>
      </c>
      <c r="K185" s="8" t="n">
        <v>1</v>
      </c>
      <c r="L185" s="8" t="n">
        <v>1</v>
      </c>
      <c r="M185" s="8" t="n">
        <v>2</v>
      </c>
      <c r="N185" s="8" t="n">
        <v>2</v>
      </c>
      <c r="O185" s="8">
        <f>J185*K185/L185</f>
        <v>0.08</v>
      </c>
      <c r="P185" s="8">
        <f>(M185+N185)/2</f>
        <v>2.0</v>
      </c>
      <c r="Q185" s="8">
        <f>O185*P185</f>
        <v>0.16</v>
      </c>
      <c r="R185" s="8" t="n">
        <v>0</v>
      </c>
      <c r="S185" s="8">
        <f>Q185*R185</f>
        <v>0.0</v>
      </c>
      <c r="T185" s="8" t="n"/>
      <c r="U185" s="8" t="inlineStr"/>
      <c r="V185" s="8" t="inlineStr">
        <is>
          <t>data/item_templates.yaml:mission_chest_jiguanshou_chuxian.effect_payload</t>
        </is>
      </c>
    </row>
    <row r="186" ht="36" customHeight="1">
      <c r="A186" s="8" t="inlineStr">
        <is>
          <t>jiguanshou_chuxian</t>
        </is>
      </c>
      <c r="B186" s="8" t="inlineStr">
        <is>
          <t>机关兽初现</t>
        </is>
      </c>
      <c r="C186" s="8" t="inlineStr">
        <is>
          <t>mission_chest_jiguanshou_chuxian</t>
        </is>
      </c>
      <c r="D186" s="8" t="inlineStr">
        <is>
          <t>机关兽初现宝箱</t>
        </is>
      </c>
      <c r="E186" s="8" t="inlineStr">
        <is>
          <t>随机械猫图纸附带（同次命中）</t>
        </is>
      </c>
      <c r="F186" s="8" t="inlineStr">
        <is>
          <t>air_stone</t>
        </is>
      </c>
      <c r="G186" s="8" t="inlineStr">
        <is>
          <t>空气之石</t>
        </is>
      </c>
      <c r="H186" s="8" t="inlineStr">
        <is>
          <t>blue</t>
        </is>
      </c>
      <c r="I186" s="8" t="inlineStr">
        <is>
          <t>resource</t>
        </is>
      </c>
      <c r="J186" s="8" t="n">
        <v>0.08</v>
      </c>
      <c r="K186" s="8" t="n">
        <v>1</v>
      </c>
      <c r="L186" s="8" t="n">
        <v>1</v>
      </c>
      <c r="M186" s="8" t="n">
        <v>1</v>
      </c>
      <c r="N186" s="8" t="n">
        <v>1</v>
      </c>
      <c r="O186" s="8">
        <f>J186*K186/L186</f>
        <v>0.08</v>
      </c>
      <c r="P186" s="8">
        <f>(M186+N186)/2</f>
        <v>1.0</v>
      </c>
      <c r="Q186" s="8">
        <f>O186*P186</f>
        <v>0.08</v>
      </c>
      <c r="R186" s="8" t="n">
        <v>0</v>
      </c>
      <c r="S186" s="8">
        <f>Q186*R186</f>
        <v>0.0</v>
      </c>
      <c r="T186" s="8" t="n"/>
      <c r="U186" s="8" t="inlineStr"/>
      <c r="V186" s="8" t="inlineStr">
        <is>
          <t>data/item_templates.yaml:mission_chest_jiguanshou_chuxian.effect_payload</t>
        </is>
      </c>
    </row>
    <row r="187" ht="36" customHeight="1">
      <c r="A187" s="8" t="inlineStr">
        <is>
          <t>biwu_zhaoqin</t>
        </is>
      </c>
      <c r="B187" s="8" t="inlineStr">
        <is>
          <t>比武招亲</t>
        </is>
      </c>
      <c r="C187" s="8" t="inlineStr">
        <is>
          <t>mission_chest_biwu_zhaoqin</t>
        </is>
      </c>
      <c r="D187" s="8" t="inlineStr">
        <is>
          <t>比武招亲宝箱</t>
        </is>
      </c>
      <c r="E187" s="8" t="inlineStr">
        <is>
          <t>必得</t>
        </is>
      </c>
      <c r="F187" s="8" t="inlineStr">
        <is>
          <t>experience_fruit</t>
        </is>
      </c>
      <c r="G187" s="8" t="inlineStr">
        <is>
          <t>经验果</t>
        </is>
      </c>
      <c r="H187" s="8" t="inlineStr">
        <is>
          <t>green</t>
        </is>
      </c>
      <c r="I187" s="8" t="inlineStr">
        <is>
          <t>experience_items</t>
        </is>
      </c>
      <c r="J187" s="8" t="n">
        <v>1</v>
      </c>
      <c r="K187" s="8" t="n">
        <v>1</v>
      </c>
      <c r="L187" s="8" t="n">
        <v>1</v>
      </c>
      <c r="M187" s="8" t="n">
        <v>2</v>
      </c>
      <c r="N187" s="8" t="n">
        <v>2</v>
      </c>
      <c r="O187" s="8">
        <f>J187*K187/L187</f>
        <v>1.0</v>
      </c>
      <c r="P187" s="8">
        <f>(M187+N187)/2</f>
        <v>2.0</v>
      </c>
      <c r="Q187" s="8">
        <f>O187*P187</f>
        <v>2.0</v>
      </c>
      <c r="R187" s="8" t="n">
        <v>1</v>
      </c>
      <c r="S187" s="8">
        <f>Q187*R187</f>
        <v>2.0</v>
      </c>
      <c r="T187" s="8" t="n"/>
      <c r="U187" s="8" t="inlineStr"/>
      <c r="V187" s="8" t="inlineStr">
        <is>
          <t>data/item_templates.yaml:mission_chest_biwu_zhaoqin.effect_payload</t>
        </is>
      </c>
    </row>
    <row r="188" ht="36" customHeight="1">
      <c r="A188" s="8" t="inlineStr">
        <is>
          <t>biwu_zhaoqin</t>
        </is>
      </c>
      <c r="B188" s="8" t="inlineStr">
        <is>
          <t>比武招亲</t>
        </is>
      </c>
      <c r="C188" s="8" t="inlineStr">
        <is>
          <t>mission_chest_biwu_zhaoqin</t>
        </is>
      </c>
      <c r="D188" s="8" t="inlineStr">
        <is>
          <t>比武招亲宝箱</t>
        </is>
      </c>
      <c r="E188" s="8" t="inlineStr">
        <is>
          <t>必得</t>
        </is>
      </c>
      <c r="F188" s="8" t="inlineStr">
        <is>
          <t>zhixuesan</t>
        </is>
      </c>
      <c r="G188" s="8" t="inlineStr">
        <is>
          <t>止血散</t>
        </is>
      </c>
      <c r="H188" s="8" t="inlineStr">
        <is>
          <t>black</t>
        </is>
      </c>
      <c r="I188" s="8" t="inlineStr">
        <is>
          <t>medicine</t>
        </is>
      </c>
      <c r="J188" s="8" t="n">
        <v>1</v>
      </c>
      <c r="K188" s="8" t="n">
        <v>1</v>
      </c>
      <c r="L188" s="8" t="n">
        <v>1</v>
      </c>
      <c r="M188" s="8" t="n">
        <v>2</v>
      </c>
      <c r="N188" s="8" t="n">
        <v>2</v>
      </c>
      <c r="O188" s="8">
        <f>J188*K188/L188</f>
        <v>1.0</v>
      </c>
      <c r="P188" s="8">
        <f>(M188+N188)/2</f>
        <v>2.0</v>
      </c>
      <c r="Q188" s="8">
        <f>O188*P188</f>
        <v>2.0</v>
      </c>
      <c r="R188" s="8" t="n">
        <v>0</v>
      </c>
      <c r="S188" s="8">
        <f>Q188*R188</f>
        <v>0.0</v>
      </c>
      <c r="T188" s="8" t="n"/>
      <c r="U188" s="8" t="inlineStr"/>
      <c r="V188" s="8" t="inlineStr">
        <is>
          <t>data/item_templates.yaml:mission_chest_biwu_zhaoqin.effect_payload</t>
        </is>
      </c>
    </row>
    <row r="189" ht="36" customHeight="1">
      <c r="A189" s="8" t="inlineStr">
        <is>
          <t>biwu_zhaoqin</t>
        </is>
      </c>
      <c r="B189" s="8" t="inlineStr">
        <is>
          <t>比武招亲</t>
        </is>
      </c>
      <c r="C189" s="8" t="inlineStr">
        <is>
          <t>mission_chest_biwu_zhaoqin</t>
        </is>
      </c>
      <c r="D189" s="8" t="inlineStr">
        <is>
          <t>比武招亲宝箱</t>
        </is>
      </c>
      <c r="E189" s="8" t="inlineStr">
        <is>
          <t>必得</t>
        </is>
      </c>
      <c r="F189" s="8" t="inlineStr">
        <is>
          <t>tong</t>
        </is>
      </c>
      <c r="G189" s="8" t="inlineStr">
        <is>
          <t>铜</t>
        </is>
      </c>
      <c r="H189" s="8" t="inlineStr">
        <is>
          <t>black</t>
        </is>
      </c>
      <c r="I189" s="8" t="inlineStr">
        <is>
          <t>resource</t>
        </is>
      </c>
      <c r="J189" s="8" t="n">
        <v>1</v>
      </c>
      <c r="K189" s="8" t="n">
        <v>1</v>
      </c>
      <c r="L189" s="8" t="n">
        <v>1</v>
      </c>
      <c r="M189" s="8" t="n">
        <v>5</v>
      </c>
      <c r="N189" s="8" t="n">
        <v>5</v>
      </c>
      <c r="O189" s="8">
        <f>J189*K189/L189</f>
        <v>1.0</v>
      </c>
      <c r="P189" s="8">
        <f>(M189+N189)/2</f>
        <v>5.0</v>
      </c>
      <c r="Q189" s="8">
        <f>O189*P189</f>
        <v>5.0</v>
      </c>
      <c r="R189" s="8" t="n">
        <v>0</v>
      </c>
      <c r="S189" s="8">
        <f>Q189*R189</f>
        <v>0.0</v>
      </c>
      <c r="T189" s="8" t="n"/>
      <c r="U189" s="8" t="inlineStr"/>
      <c r="V189" s="8" t="inlineStr">
        <is>
          <t>data/item_templates.yaml:mission_chest_biwu_zhaoqin.effect_payload</t>
        </is>
      </c>
    </row>
    <row r="190" ht="36" customHeight="1">
      <c r="A190" s="8" t="inlineStr">
        <is>
          <t>biwu_zhaoqin</t>
        </is>
      </c>
      <c r="B190" s="8" t="inlineStr">
        <is>
          <t>比武招亲</t>
        </is>
      </c>
      <c r="C190" s="8" t="inlineStr">
        <is>
          <t>mission_chest_biwu_zhaoqin</t>
        </is>
      </c>
      <c r="D190" s="8" t="inlineStr">
        <is>
          <t>比武招亲宝箱</t>
        </is>
      </c>
      <c r="E190" s="8" t="inlineStr">
        <is>
          <t>必得</t>
        </is>
      </c>
      <c r="F190" s="8" t="inlineStr">
        <is>
          <t>xi</t>
        </is>
      </c>
      <c r="G190" s="8" t="inlineStr">
        <is>
          <t>锡</t>
        </is>
      </c>
      <c r="H190" s="8" t="inlineStr">
        <is>
          <t>black</t>
        </is>
      </c>
      <c r="I190" s="8" t="inlineStr">
        <is>
          <t>resource</t>
        </is>
      </c>
      <c r="J190" s="8" t="n">
        <v>1</v>
      </c>
      <c r="K190" s="8" t="n">
        <v>1</v>
      </c>
      <c r="L190" s="8" t="n">
        <v>1</v>
      </c>
      <c r="M190" s="8" t="n">
        <v>2</v>
      </c>
      <c r="N190" s="8" t="n">
        <v>2</v>
      </c>
      <c r="O190" s="8">
        <f>J190*K190/L190</f>
        <v>1.0</v>
      </c>
      <c r="P190" s="8">
        <f>(M190+N190)/2</f>
        <v>2.0</v>
      </c>
      <c r="Q190" s="8">
        <f>O190*P190</f>
        <v>2.0</v>
      </c>
      <c r="R190" s="8" t="n">
        <v>0</v>
      </c>
      <c r="S190" s="8">
        <f>Q190*R190</f>
        <v>0.0</v>
      </c>
      <c r="T190" s="8" t="n"/>
      <c r="U190" s="8" t="inlineStr"/>
      <c r="V190" s="8" t="inlineStr">
        <is>
          <t>data/item_templates.yaml:mission_chest_biwu_zhaoqin.effect_payload</t>
        </is>
      </c>
    </row>
    <row r="191" ht="36" customHeight="1">
      <c r="A191" s="8" t="inlineStr">
        <is>
          <t>biwu_zhaoqin</t>
        </is>
      </c>
      <c r="B191" s="8" t="inlineStr">
        <is>
          <t>比武招亲</t>
        </is>
      </c>
      <c r="C191" s="8" t="inlineStr">
        <is>
          <t>mission_chest_biwu_zhaoqin</t>
        </is>
      </c>
      <c r="D191" s="8" t="inlineStr">
        <is>
          <t>比武招亲宝箱</t>
        </is>
      </c>
      <c r="E191" s="8" t="inlineStr">
        <is>
          <t>必得</t>
        </is>
      </c>
      <c r="F191" s="8" t="inlineStr">
        <is>
          <t>tie</t>
        </is>
      </c>
      <c r="G191" s="8" t="inlineStr">
        <is>
          <t>铁</t>
        </is>
      </c>
      <c r="H191" s="8" t="inlineStr">
        <is>
          <t>black</t>
        </is>
      </c>
      <c r="I191" s="8" t="inlineStr">
        <is>
          <t>resource</t>
        </is>
      </c>
      <c r="J191" s="8" t="n">
        <v>1</v>
      </c>
      <c r="K191" s="8" t="n">
        <v>1</v>
      </c>
      <c r="L191" s="8" t="n">
        <v>1</v>
      </c>
      <c r="M191" s="8" t="n">
        <v>1</v>
      </c>
      <c r="N191" s="8" t="n">
        <v>1</v>
      </c>
      <c r="O191" s="8">
        <f>J191*K191/L191</f>
        <v>1.0</v>
      </c>
      <c r="P191" s="8">
        <f>(M191+N191)/2</f>
        <v>1.0</v>
      </c>
      <c r="Q191" s="8">
        <f>O191*P191</f>
        <v>1.0</v>
      </c>
      <c r="R191" s="8" t="n">
        <v>0</v>
      </c>
      <c r="S191" s="8">
        <f>Q191*R191</f>
        <v>0.0</v>
      </c>
      <c r="T191" s="8" t="n"/>
      <c r="U191" s="8" t="inlineStr"/>
      <c r="V191" s="8" t="inlineStr">
        <is>
          <t>data/item_templates.yaml:mission_chest_biwu_zhaoqin.effect_payload</t>
        </is>
      </c>
    </row>
    <row r="192" ht="36" customHeight="1">
      <c r="A192" s="8" t="inlineStr">
        <is>
          <t>biwu_zhaoqin</t>
        </is>
      </c>
      <c r="B192" s="8" t="inlineStr">
        <is>
          <t>比武招亲</t>
        </is>
      </c>
      <c r="C192" s="8" t="inlineStr">
        <is>
          <t>mission_chest_biwu_zhaoqin</t>
        </is>
      </c>
      <c r="D192" s="8" t="inlineStr">
        <is>
          <t>比武招亲宝箱</t>
        </is>
      </c>
      <c r="E192" s="8" t="inlineStr">
        <is>
          <t>book_endless_chatter</t>
        </is>
      </c>
      <c r="F192" s="8" t="inlineStr">
        <is>
          <t>book_endless_chatter</t>
        </is>
      </c>
      <c r="G192" s="8" t="inlineStr">
        <is>
          <t>《唧唧歪歪》秘术</t>
        </is>
      </c>
      <c r="H192" s="8" t="inlineStr">
        <is>
          <t>green</t>
        </is>
      </c>
      <c r="I192" s="8" t="inlineStr">
        <is>
          <t>skill_book</t>
        </is>
      </c>
      <c r="J192" s="8" t="n">
        <v>0.05</v>
      </c>
      <c r="K192" s="8" t="n">
        <v>1</v>
      </c>
      <c r="L192" s="8" t="n">
        <v>1</v>
      </c>
      <c r="M192" s="8" t="n">
        <v>1</v>
      </c>
      <c r="N192" s="8" t="n">
        <v>1</v>
      </c>
      <c r="O192" s="8">
        <f>J192*K192/L192</f>
        <v>0.05</v>
      </c>
      <c r="P192" s="8">
        <f>(M192+N192)/2</f>
        <v>1.0</v>
      </c>
      <c r="Q192" s="8">
        <f>O192*P192</f>
        <v>0.05</v>
      </c>
      <c r="R192" s="8" t="n">
        <v>0</v>
      </c>
      <c r="S192" s="8">
        <f>Q192*R192</f>
        <v>0.0</v>
      </c>
      <c r="T192" s="8" t="n"/>
      <c r="U192" s="8" t="inlineStr"/>
      <c r="V192" s="8" t="inlineStr">
        <is>
          <t>data/item_templates.yaml:mission_chest_biwu_zhaoqin.effect_payload</t>
        </is>
      </c>
    </row>
    <row r="193" ht="36" customHeight="1">
      <c r="A193" s="8" t="inlineStr">
        <is>
          <t>biwu_zhaoqin</t>
        </is>
      </c>
      <c r="B193" s="8" t="inlineStr">
        <is>
          <t>比武招亲</t>
        </is>
      </c>
      <c r="C193" s="8" t="inlineStr">
        <is>
          <t>mission_chest_biwu_zhaoqin</t>
        </is>
      </c>
      <c r="D193" s="8" t="inlineStr">
        <is>
          <t>比武招亲宝箱</t>
        </is>
      </c>
      <c r="E193" s="8" t="inlineStr">
        <is>
          <t>blueprint_jiguanxiong</t>
        </is>
      </c>
      <c r="F193" s="8" t="inlineStr">
        <is>
          <t>blueprint_jiguanxiong</t>
        </is>
      </c>
      <c r="G193" s="8" t="inlineStr">
        <is>
          <t>机关熊图纸</t>
        </is>
      </c>
      <c r="H193" s="8" t="inlineStr">
        <is>
          <t>purple</t>
        </is>
      </c>
      <c r="I193" s="8" t="inlineStr">
        <is>
          <t>tool</t>
        </is>
      </c>
      <c r="J193" s="8" t="n">
        <v>0.05</v>
      </c>
      <c r="K193" s="8" t="n">
        <v>1</v>
      </c>
      <c r="L193" s="8" t="n">
        <v>1</v>
      </c>
      <c r="M193" s="8" t="n">
        <v>1</v>
      </c>
      <c r="N193" s="8" t="n">
        <v>1</v>
      </c>
      <c r="O193" s="8">
        <f>J193*K193/L193</f>
        <v>0.05</v>
      </c>
      <c r="P193" s="8">
        <f>(M193+N193)/2</f>
        <v>1.0</v>
      </c>
      <c r="Q193" s="8">
        <f>O193*P193</f>
        <v>0.05</v>
      </c>
      <c r="R193" s="8" t="n">
        <v>0</v>
      </c>
      <c r="S193" s="8">
        <f>Q193*R193</f>
        <v>0.0</v>
      </c>
      <c r="T193" s="8" t="n">
        <v>10</v>
      </c>
      <c r="U193" s="8" t="inlineStr">
        <is>
          <t>机关熊</t>
        </is>
      </c>
      <c r="V193" s="8" t="inlineStr">
        <is>
          <t>data/item_templates.yaml:mission_chest_biwu_zhaoqin.effect_payload</t>
        </is>
      </c>
    </row>
    <row r="194" ht="36" customHeight="1">
      <c r="A194" s="8" t="inlineStr">
        <is>
          <t>biwu_zhaoqin</t>
        </is>
      </c>
      <c r="B194" s="8" t="inlineStr">
        <is>
          <t>比武招亲</t>
        </is>
      </c>
      <c r="C194" s="8" t="inlineStr">
        <is>
          <t>mission_chest_biwu_zhaoqin</t>
        </is>
      </c>
      <c r="D194" s="8" t="inlineStr">
        <is>
          <t>比武招亲宝箱</t>
        </is>
      </c>
      <c r="E194" s="8" t="inlineStr">
        <is>
          <t>biwu_equipment_pool</t>
        </is>
      </c>
      <c r="F194" s="8" t="inlineStr">
        <is>
          <t>equip_xuantiejia</t>
        </is>
      </c>
      <c r="G194" s="8" t="inlineStr">
        <is>
          <t>玄铁甲</t>
        </is>
      </c>
      <c r="H194" s="8" t="inlineStr">
        <is>
          <t>green</t>
        </is>
      </c>
      <c r="I194" s="8" t="inlineStr">
        <is>
          <t>equip_armor</t>
        </is>
      </c>
      <c r="J194" s="8" t="n">
        <v>0.8</v>
      </c>
      <c r="K194" s="8" t="n">
        <v>1</v>
      </c>
      <c r="L194" s="8" t="n">
        <v>4</v>
      </c>
      <c r="M194" s="8" t="n">
        <v>1</v>
      </c>
      <c r="N194" s="8" t="n">
        <v>1</v>
      </c>
      <c r="O194" s="8">
        <f>J194*K194/L194</f>
        <v>0.2</v>
      </c>
      <c r="P194" s="8">
        <f>(M194+N194)/2</f>
        <v>1.0</v>
      </c>
      <c r="Q194" s="8">
        <f>O194*P194</f>
        <v>0.2</v>
      </c>
      <c r="R194" s="8" t="n">
        <v>0</v>
      </c>
      <c r="S194" s="8">
        <f>Q194*R194</f>
        <v>0.0</v>
      </c>
      <c r="T194" s="8" t="n"/>
      <c r="U194" s="8" t="inlineStr"/>
      <c r="V194" s="8" t="inlineStr">
        <is>
          <t>data/item_templates.yaml:mission_chest_biwu_zhaoqin.effect_payload</t>
        </is>
      </c>
    </row>
    <row r="195" ht="36" customHeight="1">
      <c r="A195" s="8" t="inlineStr">
        <is>
          <t>biwu_zhaoqin</t>
        </is>
      </c>
      <c r="B195" s="8" t="inlineStr">
        <is>
          <t>比武招亲</t>
        </is>
      </c>
      <c r="C195" s="8" t="inlineStr">
        <is>
          <t>mission_chest_biwu_zhaoqin</t>
        </is>
      </c>
      <c r="D195" s="8" t="inlineStr">
        <is>
          <t>比武招亲宝箱</t>
        </is>
      </c>
      <c r="E195" s="8" t="inlineStr">
        <is>
          <t>biwu_equipment_pool</t>
        </is>
      </c>
      <c r="F195" s="8" t="inlineStr">
        <is>
          <t>equip_qingtongsuanchou</t>
        </is>
      </c>
      <c r="G195" s="8" t="inlineStr">
        <is>
          <t>青铜算筹</t>
        </is>
      </c>
      <c r="H195" s="8" t="inlineStr">
        <is>
          <t>green</t>
        </is>
      </c>
      <c r="I195" s="8" t="inlineStr">
        <is>
          <t>equip_ornament</t>
        </is>
      </c>
      <c r="J195" s="8" t="n">
        <v>0.8</v>
      </c>
      <c r="K195" s="8" t="n">
        <v>1</v>
      </c>
      <c r="L195" s="8" t="n">
        <v>4</v>
      </c>
      <c r="M195" s="8" t="n">
        <v>1</v>
      </c>
      <c r="N195" s="8" t="n">
        <v>1</v>
      </c>
      <c r="O195" s="8">
        <f>J195*K195/L195</f>
        <v>0.2</v>
      </c>
      <c r="P195" s="8">
        <f>(M195+N195)/2</f>
        <v>1.0</v>
      </c>
      <c r="Q195" s="8">
        <f>O195*P195</f>
        <v>0.2</v>
      </c>
      <c r="R195" s="8" t="n">
        <v>0</v>
      </c>
      <c r="S195" s="8">
        <f>Q195*R195</f>
        <v>0.0</v>
      </c>
      <c r="T195" s="8" t="n"/>
      <c r="U195" s="8" t="inlineStr"/>
      <c r="V195" s="8" t="inlineStr">
        <is>
          <t>data/item_templates.yaml:mission_chest_biwu_zhaoqin.effect_payload</t>
        </is>
      </c>
    </row>
    <row r="196" ht="36" customHeight="1">
      <c r="A196" s="8" t="inlineStr">
        <is>
          <t>biwu_zhaoqin</t>
        </is>
      </c>
      <c r="B196" s="8" t="inlineStr">
        <is>
          <t>比武招亲</t>
        </is>
      </c>
      <c r="C196" s="8" t="inlineStr">
        <is>
          <t>mission_chest_biwu_zhaoqin</t>
        </is>
      </c>
      <c r="D196" s="8" t="inlineStr">
        <is>
          <t>比武招亲宝箱</t>
        </is>
      </c>
      <c r="E196" s="8" t="inlineStr">
        <is>
          <t>biwu_equipment_pool</t>
        </is>
      </c>
      <c r="F196" s="8" t="inlineStr">
        <is>
          <t>equip_tongjing</t>
        </is>
      </c>
      <c r="G196" s="8" t="inlineStr">
        <is>
          <t>铜镜</t>
        </is>
      </c>
      <c r="H196" s="8" t="inlineStr">
        <is>
          <t>green</t>
        </is>
      </c>
      <c r="I196" s="8" t="inlineStr">
        <is>
          <t>equip_ornament</t>
        </is>
      </c>
      <c r="J196" s="8" t="n">
        <v>0.8</v>
      </c>
      <c r="K196" s="8" t="n">
        <v>1</v>
      </c>
      <c r="L196" s="8" t="n">
        <v>4</v>
      </c>
      <c r="M196" s="8" t="n">
        <v>1</v>
      </c>
      <c r="N196" s="8" t="n">
        <v>1</v>
      </c>
      <c r="O196" s="8">
        <f>J196*K196/L196</f>
        <v>0.2</v>
      </c>
      <c r="P196" s="8">
        <f>(M196+N196)/2</f>
        <v>1.0</v>
      </c>
      <c r="Q196" s="8">
        <f>O196*P196</f>
        <v>0.2</v>
      </c>
      <c r="R196" s="8" t="n">
        <v>0</v>
      </c>
      <c r="S196" s="8">
        <f>Q196*R196</f>
        <v>0.0</v>
      </c>
      <c r="T196" s="8" t="n"/>
      <c r="U196" s="8" t="inlineStr"/>
      <c r="V196" s="8" t="inlineStr">
        <is>
          <t>data/item_templates.yaml:mission_chest_biwu_zhaoqin.effect_payload</t>
        </is>
      </c>
    </row>
    <row r="197" ht="36" customHeight="1">
      <c r="A197" s="8" t="inlineStr">
        <is>
          <t>biwu_zhaoqin</t>
        </is>
      </c>
      <c r="B197" s="8" t="inlineStr">
        <is>
          <t>比武招亲</t>
        </is>
      </c>
      <c r="C197" s="8" t="inlineStr">
        <is>
          <t>mission_chest_biwu_zhaoqin</t>
        </is>
      </c>
      <c r="D197" s="8" t="inlineStr">
        <is>
          <t>比武招亲宝箱</t>
        </is>
      </c>
      <c r="E197" s="8" t="inlineStr">
        <is>
          <t>biwu_equipment_pool</t>
        </is>
      </c>
      <c r="F197" s="8" t="inlineStr">
        <is>
          <t>equip_qingzongma</t>
        </is>
      </c>
      <c r="G197" s="8" t="inlineStr">
        <is>
          <t>青鬃马</t>
        </is>
      </c>
      <c r="H197" s="8" t="inlineStr">
        <is>
          <t>green</t>
        </is>
      </c>
      <c r="I197" s="8" t="inlineStr">
        <is>
          <t>equip_mount</t>
        </is>
      </c>
      <c r="J197" s="8" t="n">
        <v>0.8</v>
      </c>
      <c r="K197" s="8" t="n">
        <v>1</v>
      </c>
      <c r="L197" s="8" t="n">
        <v>4</v>
      </c>
      <c r="M197" s="8" t="n">
        <v>1</v>
      </c>
      <c r="N197" s="8" t="n">
        <v>1</v>
      </c>
      <c r="O197" s="8">
        <f>J197*K197/L197</f>
        <v>0.2</v>
      </c>
      <c r="P197" s="8">
        <f>(M197+N197)/2</f>
        <v>1.0</v>
      </c>
      <c r="Q197" s="8">
        <f>O197*P197</f>
        <v>0.2</v>
      </c>
      <c r="R197" s="8" t="n">
        <v>0</v>
      </c>
      <c r="S197" s="8">
        <f>Q197*R197</f>
        <v>0.0</v>
      </c>
      <c r="T197" s="8" t="n"/>
      <c r="U197" s="8" t="inlineStr"/>
      <c r="V197" s="8" t="inlineStr">
        <is>
          <t>data/item_templates.yaml:mission_chest_biwu_zhaoqin.effect_payload</t>
        </is>
      </c>
    </row>
    <row r="198" ht="36" customHeight="1">
      <c r="A198" s="8" t="inlineStr">
        <is>
          <t>biwu_zhaoqin</t>
        </is>
      </c>
      <c r="B198" s="8" t="inlineStr">
        <is>
          <t>比武招亲</t>
        </is>
      </c>
      <c r="C198" s="8" t="inlineStr">
        <is>
          <t>mission_chest_biwu_zhaoqin</t>
        </is>
      </c>
      <c r="D198" s="8" t="inlineStr">
        <is>
          <t>比武招亲宝箱</t>
        </is>
      </c>
      <c r="E198" s="8" t="inlineStr">
        <is>
          <t>随机关熊图纸附带（同次命中）</t>
        </is>
      </c>
      <c r="F198" s="8" t="inlineStr">
        <is>
          <t>tong</t>
        </is>
      </c>
      <c r="G198" s="8" t="inlineStr">
        <is>
          <t>铜</t>
        </is>
      </c>
      <c r="H198" s="8" t="inlineStr">
        <is>
          <t>black</t>
        </is>
      </c>
      <c r="I198" s="8" t="inlineStr">
        <is>
          <t>resource</t>
        </is>
      </c>
      <c r="J198" s="8" t="n">
        <v>0.05</v>
      </c>
      <c r="K198" s="8" t="n">
        <v>1</v>
      </c>
      <c r="L198" s="8" t="n">
        <v>1</v>
      </c>
      <c r="M198" s="8" t="n">
        <v>34</v>
      </c>
      <c r="N198" s="8" t="n">
        <v>34</v>
      </c>
      <c r="O198" s="8">
        <f>J198*K198/L198</f>
        <v>0.05</v>
      </c>
      <c r="P198" s="8">
        <f>(M198+N198)/2</f>
        <v>34.0</v>
      </c>
      <c r="Q198" s="8">
        <f>O198*P198</f>
        <v>1.7000000000000002</v>
      </c>
      <c r="R198" s="8" t="n">
        <v>0</v>
      </c>
      <c r="S198" s="8">
        <f>Q198*R198</f>
        <v>0.0</v>
      </c>
      <c r="T198" s="8" t="n"/>
      <c r="U198" s="8" t="inlineStr"/>
      <c r="V198" s="8" t="inlineStr">
        <is>
          <t>data/item_templates.yaml:mission_chest_biwu_zhaoqin.effect_payload</t>
        </is>
      </c>
    </row>
    <row r="199" ht="36" customHeight="1">
      <c r="A199" s="8" t="inlineStr">
        <is>
          <t>biwu_zhaoqin</t>
        </is>
      </c>
      <c r="B199" s="8" t="inlineStr">
        <is>
          <t>比武招亲</t>
        </is>
      </c>
      <c r="C199" s="8" t="inlineStr">
        <is>
          <t>mission_chest_biwu_zhaoqin</t>
        </is>
      </c>
      <c r="D199" s="8" t="inlineStr">
        <is>
          <t>比武招亲宝箱</t>
        </is>
      </c>
      <c r="E199" s="8" t="inlineStr">
        <is>
          <t>随机关熊图纸附带（同次命中）</t>
        </is>
      </c>
      <c r="F199" s="8" t="inlineStr">
        <is>
          <t>xi</t>
        </is>
      </c>
      <c r="G199" s="8" t="inlineStr">
        <is>
          <t>锡</t>
        </is>
      </c>
      <c r="H199" s="8" t="inlineStr">
        <is>
          <t>black</t>
        </is>
      </c>
      <c r="I199" s="8" t="inlineStr">
        <is>
          <t>resource</t>
        </is>
      </c>
      <c r="J199" s="8" t="n">
        <v>0.05</v>
      </c>
      <c r="K199" s="8" t="n">
        <v>1</v>
      </c>
      <c r="L199" s="8" t="n">
        <v>1</v>
      </c>
      <c r="M199" s="8" t="n">
        <v>23</v>
      </c>
      <c r="N199" s="8" t="n">
        <v>23</v>
      </c>
      <c r="O199" s="8">
        <f>J199*K199/L199</f>
        <v>0.05</v>
      </c>
      <c r="P199" s="8">
        <f>(M199+N199)/2</f>
        <v>23.0</v>
      </c>
      <c r="Q199" s="8">
        <f>O199*P199</f>
        <v>1.1500000000000001</v>
      </c>
      <c r="R199" s="8" t="n">
        <v>0</v>
      </c>
      <c r="S199" s="8">
        <f>Q199*R199</f>
        <v>0.0</v>
      </c>
      <c r="T199" s="8" t="n"/>
      <c r="U199" s="8" t="inlineStr"/>
      <c r="V199" s="8" t="inlineStr">
        <is>
          <t>data/item_templates.yaml:mission_chest_biwu_zhaoqin.effect_payload</t>
        </is>
      </c>
    </row>
    <row r="200" ht="36" customHeight="1">
      <c r="A200" s="8" t="inlineStr">
        <is>
          <t>biwu_zhaoqin</t>
        </is>
      </c>
      <c r="B200" s="8" t="inlineStr">
        <is>
          <t>比武招亲</t>
        </is>
      </c>
      <c r="C200" s="8" t="inlineStr">
        <is>
          <t>mission_chest_biwu_zhaoqin</t>
        </is>
      </c>
      <c r="D200" s="8" t="inlineStr">
        <is>
          <t>比武招亲宝箱</t>
        </is>
      </c>
      <c r="E200" s="8" t="inlineStr">
        <is>
          <t>随机关熊图纸附带（同次命中）</t>
        </is>
      </c>
      <c r="F200" s="8" t="inlineStr">
        <is>
          <t>tie</t>
        </is>
      </c>
      <c r="G200" s="8" t="inlineStr">
        <is>
          <t>铁</t>
        </is>
      </c>
      <c r="H200" s="8" t="inlineStr">
        <is>
          <t>black</t>
        </is>
      </c>
      <c r="I200" s="8" t="inlineStr">
        <is>
          <t>resource</t>
        </is>
      </c>
      <c r="J200" s="8" t="n">
        <v>0.05</v>
      </c>
      <c r="K200" s="8" t="n">
        <v>1</v>
      </c>
      <c r="L200" s="8" t="n">
        <v>1</v>
      </c>
      <c r="M200" s="8" t="n">
        <v>18</v>
      </c>
      <c r="N200" s="8" t="n">
        <v>18</v>
      </c>
      <c r="O200" s="8">
        <f>J200*K200/L200</f>
        <v>0.05</v>
      </c>
      <c r="P200" s="8">
        <f>(M200+N200)/2</f>
        <v>18.0</v>
      </c>
      <c r="Q200" s="8">
        <f>O200*P200</f>
        <v>0.9</v>
      </c>
      <c r="R200" s="8" t="n">
        <v>0</v>
      </c>
      <c r="S200" s="8">
        <f>Q200*R200</f>
        <v>0.0</v>
      </c>
      <c r="T200" s="8" t="n"/>
      <c r="U200" s="8" t="inlineStr"/>
      <c r="V200" s="8" t="inlineStr">
        <is>
          <t>data/item_templates.yaml:mission_chest_biwu_zhaoqin.effect_payload</t>
        </is>
      </c>
    </row>
    <row r="201" ht="36" customHeight="1">
      <c r="A201" s="8" t="inlineStr">
        <is>
          <t>biwu_zhaoqin</t>
        </is>
      </c>
      <c r="B201" s="8" t="inlineStr">
        <is>
          <t>比武招亲</t>
        </is>
      </c>
      <c r="C201" s="8" t="inlineStr">
        <is>
          <t>mission_chest_biwu_zhaoqin</t>
        </is>
      </c>
      <c r="D201" s="8" t="inlineStr">
        <is>
          <t>比武招亲宝箱</t>
        </is>
      </c>
      <c r="E201" s="8" t="inlineStr">
        <is>
          <t>随机关熊图纸附带（同次命中）</t>
        </is>
      </c>
      <c r="F201" s="8" t="inlineStr">
        <is>
          <t>wood_essence</t>
        </is>
      </c>
      <c r="G201" s="8" t="inlineStr">
        <is>
          <t>木质精华</t>
        </is>
      </c>
      <c r="H201" s="8" t="inlineStr">
        <is>
          <t>green</t>
        </is>
      </c>
      <c r="I201" s="8" t="inlineStr">
        <is>
          <t>resource</t>
        </is>
      </c>
      <c r="J201" s="8" t="n">
        <v>0.05</v>
      </c>
      <c r="K201" s="8" t="n">
        <v>1</v>
      </c>
      <c r="L201" s="8" t="n">
        <v>1</v>
      </c>
      <c r="M201" s="8" t="n">
        <v>1</v>
      </c>
      <c r="N201" s="8" t="n">
        <v>1</v>
      </c>
      <c r="O201" s="8">
        <f>J201*K201/L201</f>
        <v>0.05</v>
      </c>
      <c r="P201" s="8">
        <f>(M201+N201)/2</f>
        <v>1.0</v>
      </c>
      <c r="Q201" s="8">
        <f>O201*P201</f>
        <v>0.05</v>
      </c>
      <c r="R201" s="8" t="n">
        <v>0</v>
      </c>
      <c r="S201" s="8">
        <f>Q201*R201</f>
        <v>0.0</v>
      </c>
      <c r="T201" s="8" t="n"/>
      <c r="U201" s="8" t="inlineStr"/>
      <c r="V201" s="8" t="inlineStr">
        <is>
          <t>data/item_templates.yaml:mission_chest_biwu_zhaoqin.effect_payload</t>
        </is>
      </c>
    </row>
    <row r="202" ht="36" customHeight="1">
      <c r="A202" s="8" t="inlineStr">
        <is>
          <t>biwu_zhaoqin</t>
        </is>
      </c>
      <c r="B202" s="8" t="inlineStr">
        <is>
          <t>比武招亲</t>
        </is>
      </c>
      <c r="C202" s="8" t="inlineStr">
        <is>
          <t>mission_chest_biwu_zhaoqin</t>
        </is>
      </c>
      <c r="D202" s="8" t="inlineStr">
        <is>
          <t>比武招亲宝箱</t>
        </is>
      </c>
      <c r="E202" s="8" t="inlineStr">
        <is>
          <t>随机关熊图纸附带（同次命中）</t>
        </is>
      </c>
      <c r="F202" s="8" t="inlineStr">
        <is>
          <t>copper_essence</t>
        </is>
      </c>
      <c r="G202" s="8" t="inlineStr">
        <is>
          <t>铜质精华</t>
        </is>
      </c>
      <c r="H202" s="8" t="inlineStr">
        <is>
          <t>green</t>
        </is>
      </c>
      <c r="I202" s="8" t="inlineStr">
        <is>
          <t>resource</t>
        </is>
      </c>
      <c r="J202" s="8" t="n">
        <v>0.05</v>
      </c>
      <c r="K202" s="8" t="n">
        <v>1</v>
      </c>
      <c r="L202" s="8" t="n">
        <v>1</v>
      </c>
      <c r="M202" s="8" t="n">
        <v>2</v>
      </c>
      <c r="N202" s="8" t="n">
        <v>2</v>
      </c>
      <c r="O202" s="8">
        <f>J202*K202/L202</f>
        <v>0.05</v>
      </c>
      <c r="P202" s="8">
        <f>(M202+N202)/2</f>
        <v>2.0</v>
      </c>
      <c r="Q202" s="8">
        <f>O202*P202</f>
        <v>0.1</v>
      </c>
      <c r="R202" s="8" t="n">
        <v>0</v>
      </c>
      <c r="S202" s="8">
        <f>Q202*R202</f>
        <v>0.0</v>
      </c>
      <c r="T202" s="8" t="n"/>
      <c r="U202" s="8" t="inlineStr"/>
      <c r="V202" s="8" t="inlineStr">
        <is>
          <t>data/item_templates.yaml:mission_chest_biwu_zhaoqin.effect_payload</t>
        </is>
      </c>
    </row>
    <row r="203" ht="36" customHeight="1">
      <c r="A203" s="8" t="inlineStr">
        <is>
          <t>biwu_zhaoqin</t>
        </is>
      </c>
      <c r="B203" s="8" t="inlineStr">
        <is>
          <t>比武招亲</t>
        </is>
      </c>
      <c r="C203" s="8" t="inlineStr">
        <is>
          <t>mission_chest_biwu_zhaoqin</t>
        </is>
      </c>
      <c r="D203" s="8" t="inlineStr">
        <is>
          <t>比武招亲宝箱</t>
        </is>
      </c>
      <c r="E203" s="8" t="inlineStr">
        <is>
          <t>随机关熊图纸附带（同次命中）</t>
        </is>
      </c>
      <c r="F203" s="8" t="inlineStr">
        <is>
          <t>xuan_tie_essence</t>
        </is>
      </c>
      <c r="G203" s="8" t="inlineStr">
        <is>
          <t>玄铁精华</t>
        </is>
      </c>
      <c r="H203" s="8" t="inlineStr">
        <is>
          <t>blue</t>
        </is>
      </c>
      <c r="I203" s="8" t="inlineStr">
        <is>
          <t>resource</t>
        </is>
      </c>
      <c r="J203" s="8" t="n">
        <v>0.05</v>
      </c>
      <c r="K203" s="8" t="n">
        <v>1</v>
      </c>
      <c r="L203" s="8" t="n">
        <v>1</v>
      </c>
      <c r="M203" s="8" t="n">
        <v>1</v>
      </c>
      <c r="N203" s="8" t="n">
        <v>1</v>
      </c>
      <c r="O203" s="8">
        <f>J203*K203/L203</f>
        <v>0.05</v>
      </c>
      <c r="P203" s="8">
        <f>(M203+N203)/2</f>
        <v>1.0</v>
      </c>
      <c r="Q203" s="8">
        <f>O203*P203</f>
        <v>0.05</v>
      </c>
      <c r="R203" s="8" t="n">
        <v>0</v>
      </c>
      <c r="S203" s="8">
        <f>Q203*R203</f>
        <v>0.0</v>
      </c>
      <c r="T203" s="8" t="n"/>
      <c r="U203" s="8" t="inlineStr"/>
      <c r="V203" s="8" t="inlineStr">
        <is>
          <t>data/item_templates.yaml:mission_chest_biwu_zhaoqin.effect_payload</t>
        </is>
      </c>
    </row>
    <row r="204" ht="36" customHeight="1">
      <c r="A204" s="8" t="inlineStr">
        <is>
          <t>biwu_zhaoqin</t>
        </is>
      </c>
      <c r="B204" s="8" t="inlineStr">
        <is>
          <t>比武招亲</t>
        </is>
      </c>
      <c r="C204" s="8" t="inlineStr">
        <is>
          <t>mission_chest_biwu_zhaoqin</t>
        </is>
      </c>
      <c r="D204" s="8" t="inlineStr">
        <is>
          <t>比武招亲宝箱</t>
        </is>
      </c>
      <c r="E204" s="8" t="inlineStr">
        <is>
          <t>随机关熊图纸附带（同次命中）</t>
        </is>
      </c>
      <c r="F204" s="8" t="inlineStr">
        <is>
          <t>zitanmu</t>
        </is>
      </c>
      <c r="G204" s="8" t="inlineStr">
        <is>
          <t>紫檀木</t>
        </is>
      </c>
      <c r="H204" s="8" t="inlineStr">
        <is>
          <t>green</t>
        </is>
      </c>
      <c r="I204" s="8" t="inlineStr">
        <is>
          <t>resource</t>
        </is>
      </c>
      <c r="J204" s="8" t="n">
        <v>0.05</v>
      </c>
      <c r="K204" s="8" t="n">
        <v>1</v>
      </c>
      <c r="L204" s="8" t="n">
        <v>1</v>
      </c>
      <c r="M204" s="8" t="n">
        <v>2</v>
      </c>
      <c r="N204" s="8" t="n">
        <v>2</v>
      </c>
      <c r="O204" s="8">
        <f>J204*K204/L204</f>
        <v>0.05</v>
      </c>
      <c r="P204" s="8">
        <f>(M204+N204)/2</f>
        <v>2.0</v>
      </c>
      <c r="Q204" s="8">
        <f>O204*P204</f>
        <v>0.1</v>
      </c>
      <c r="R204" s="8" t="n">
        <v>0</v>
      </c>
      <c r="S204" s="8">
        <f>Q204*R204</f>
        <v>0.0</v>
      </c>
      <c r="T204" s="8" t="n"/>
      <c r="U204" s="8" t="inlineStr"/>
      <c r="V204" s="8" t="inlineStr">
        <is>
          <t>data/item_templates.yaml:mission_chest_biwu_zhaoqin.effect_payload</t>
        </is>
      </c>
    </row>
    <row r="205" ht="36" customHeight="1">
      <c r="A205" s="8" t="inlineStr">
        <is>
          <t>biwu_zhaoqin</t>
        </is>
      </c>
      <c r="B205" s="8" t="inlineStr">
        <is>
          <t>比武招亲</t>
        </is>
      </c>
      <c r="C205" s="8" t="inlineStr">
        <is>
          <t>mission_chest_biwu_zhaoqin</t>
        </is>
      </c>
      <c r="D205" s="8" t="inlineStr">
        <is>
          <t>比武招亲宝箱</t>
        </is>
      </c>
      <c r="E205" s="8" t="inlineStr">
        <is>
          <t>随机关熊图纸附带（同次命中）</t>
        </is>
      </c>
      <c r="F205" s="8" t="inlineStr">
        <is>
          <t>tiemu</t>
        </is>
      </c>
      <c r="G205" s="8" t="inlineStr">
        <is>
          <t>铁木</t>
        </is>
      </c>
      <c r="H205" s="8" t="inlineStr">
        <is>
          <t>green</t>
        </is>
      </c>
      <c r="I205" s="8" t="inlineStr">
        <is>
          <t>resource</t>
        </is>
      </c>
      <c r="J205" s="8" t="n">
        <v>0.05</v>
      </c>
      <c r="K205" s="8" t="n">
        <v>1</v>
      </c>
      <c r="L205" s="8" t="n">
        <v>1</v>
      </c>
      <c r="M205" s="8" t="n">
        <v>7</v>
      </c>
      <c r="N205" s="8" t="n">
        <v>7</v>
      </c>
      <c r="O205" s="8">
        <f>J205*K205/L205</f>
        <v>0.05</v>
      </c>
      <c r="P205" s="8">
        <f>(M205+N205)/2</f>
        <v>7.0</v>
      </c>
      <c r="Q205" s="8">
        <f>O205*P205</f>
        <v>0.35000000000000003</v>
      </c>
      <c r="R205" s="8" t="n">
        <v>0</v>
      </c>
      <c r="S205" s="8">
        <f>Q205*R205</f>
        <v>0.0</v>
      </c>
      <c r="T205" s="8" t="n"/>
      <c r="U205" s="8" t="inlineStr"/>
      <c r="V205" s="8" t="inlineStr">
        <is>
          <t>data/item_templates.yaml:mission_chest_biwu_zhaoqin.effect_payload</t>
        </is>
      </c>
    </row>
    <row r="206" ht="36" customHeight="1">
      <c r="A206" s="8" t="inlineStr">
        <is>
          <t>biwu_zhaoqin</t>
        </is>
      </c>
      <c r="B206" s="8" t="inlineStr">
        <is>
          <t>比武招亲</t>
        </is>
      </c>
      <c r="C206" s="8" t="inlineStr">
        <is>
          <t>mission_chest_biwu_zhaoqin</t>
        </is>
      </c>
      <c r="D206" s="8" t="inlineStr">
        <is>
          <t>比武招亲宝箱</t>
        </is>
      </c>
      <c r="E206" s="8" t="inlineStr">
        <is>
          <t>随机关熊图纸附带（同次命中）</t>
        </is>
      </c>
      <c r="F206" s="8" t="inlineStr">
        <is>
          <t>heiyuanshi</t>
        </is>
      </c>
      <c r="G206" s="8" t="inlineStr">
        <is>
          <t>黑原石</t>
        </is>
      </c>
      <c r="H206" s="8" t="inlineStr">
        <is>
          <t>green</t>
        </is>
      </c>
      <c r="I206" s="8" t="inlineStr">
        <is>
          <t>resource</t>
        </is>
      </c>
      <c r="J206" s="8" t="n">
        <v>0.05</v>
      </c>
      <c r="K206" s="8" t="n">
        <v>1</v>
      </c>
      <c r="L206" s="8" t="n">
        <v>1</v>
      </c>
      <c r="M206" s="8" t="n">
        <v>6</v>
      </c>
      <c r="N206" s="8" t="n">
        <v>6</v>
      </c>
      <c r="O206" s="8">
        <f>J206*K206/L206</f>
        <v>0.05</v>
      </c>
      <c r="P206" s="8">
        <f>(M206+N206)/2</f>
        <v>6.0</v>
      </c>
      <c r="Q206" s="8">
        <f>O206*P206</f>
        <v>0.30000000000000004</v>
      </c>
      <c r="R206" s="8" t="n">
        <v>0</v>
      </c>
      <c r="S206" s="8">
        <f>Q206*R206</f>
        <v>0.0</v>
      </c>
      <c r="T206" s="8" t="n"/>
      <c r="U206" s="8" t="inlineStr"/>
      <c r="V206" s="8" t="inlineStr">
        <is>
          <t>data/item_templates.yaml:mission_chest_biwu_zhaoqin.effect_payload</t>
        </is>
      </c>
    </row>
    <row r="207" ht="36" customHeight="1">
      <c r="A207" s="8" t="inlineStr">
        <is>
          <t>biwu_zhaoqin</t>
        </is>
      </c>
      <c r="B207" s="8" t="inlineStr">
        <is>
          <t>比武招亲</t>
        </is>
      </c>
      <c r="C207" s="8" t="inlineStr">
        <is>
          <t>mission_chest_biwu_zhaoqin</t>
        </is>
      </c>
      <c r="D207" s="8" t="inlineStr">
        <is>
          <t>比武招亲宝箱</t>
        </is>
      </c>
      <c r="E207" s="8" t="inlineStr">
        <is>
          <t>随机关熊图纸附带（同次命中）</t>
        </is>
      </c>
      <c r="F207" s="8" t="inlineStr">
        <is>
          <t>jingangmei</t>
        </is>
      </c>
      <c r="G207" s="8" t="inlineStr">
        <is>
          <t>金刚煤</t>
        </is>
      </c>
      <c r="H207" s="8" t="inlineStr">
        <is>
          <t>green</t>
        </is>
      </c>
      <c r="I207" s="8" t="inlineStr">
        <is>
          <t>resource</t>
        </is>
      </c>
      <c r="J207" s="8" t="n">
        <v>0.05</v>
      </c>
      <c r="K207" s="8" t="n">
        <v>1</v>
      </c>
      <c r="L207" s="8" t="n">
        <v>1</v>
      </c>
      <c r="M207" s="8" t="n">
        <v>5</v>
      </c>
      <c r="N207" s="8" t="n">
        <v>5</v>
      </c>
      <c r="O207" s="8">
        <f>J207*K207/L207</f>
        <v>0.05</v>
      </c>
      <c r="P207" s="8">
        <f>(M207+N207)/2</f>
        <v>5.0</v>
      </c>
      <c r="Q207" s="8">
        <f>O207*P207</f>
        <v>0.25</v>
      </c>
      <c r="R207" s="8" t="n">
        <v>0</v>
      </c>
      <c r="S207" s="8">
        <f>Q207*R207</f>
        <v>0.0</v>
      </c>
      <c r="T207" s="8" t="n"/>
      <c r="U207" s="8" t="inlineStr"/>
      <c r="V207" s="8" t="inlineStr">
        <is>
          <t>data/item_templates.yaml:mission_chest_biwu_zhaoqin.effect_payload</t>
        </is>
      </c>
    </row>
    <row r="208" ht="36" customHeight="1">
      <c r="A208" s="8" t="inlineStr">
        <is>
          <t>biwu_zhaoqin</t>
        </is>
      </c>
      <c r="B208" s="8" t="inlineStr">
        <is>
          <t>比武招亲</t>
        </is>
      </c>
      <c r="C208" s="8" t="inlineStr">
        <is>
          <t>mission_chest_biwu_zhaoqin</t>
        </is>
      </c>
      <c r="D208" s="8" t="inlineStr">
        <is>
          <t>比武招亲宝箱</t>
        </is>
      </c>
      <c r="E208" s="8" t="inlineStr">
        <is>
          <t>随机关熊图纸附带（同次命中）</t>
        </is>
      </c>
      <c r="F208" s="8" t="inlineStr">
        <is>
          <t>paozi</t>
        </is>
      </c>
      <c r="G208" s="8" t="inlineStr">
        <is>
          <t>刨子</t>
        </is>
      </c>
      <c r="H208" s="8" t="inlineStr">
        <is>
          <t>black</t>
        </is>
      </c>
      <c r="I208" s="8" t="inlineStr">
        <is>
          <t>resource</t>
        </is>
      </c>
      <c r="J208" s="8" t="n">
        <v>0.05</v>
      </c>
      <c r="K208" s="8" t="n">
        <v>1</v>
      </c>
      <c r="L208" s="8" t="n">
        <v>1</v>
      </c>
      <c r="M208" s="8" t="n">
        <v>4</v>
      </c>
      <c r="N208" s="8" t="n">
        <v>4</v>
      </c>
      <c r="O208" s="8">
        <f>J208*K208/L208</f>
        <v>0.05</v>
      </c>
      <c r="P208" s="8">
        <f>(M208+N208)/2</f>
        <v>4.0</v>
      </c>
      <c r="Q208" s="8">
        <f>O208*P208</f>
        <v>0.2</v>
      </c>
      <c r="R208" s="8" t="n">
        <v>0</v>
      </c>
      <c r="S208" s="8">
        <f>Q208*R208</f>
        <v>0.0</v>
      </c>
      <c r="T208" s="8" t="n"/>
      <c r="U208" s="8" t="inlineStr"/>
      <c r="V208" s="8" t="inlineStr">
        <is>
          <t>data/item_templates.yaml:mission_chest_biwu_zhaoqin.effect_payload</t>
        </is>
      </c>
    </row>
    <row r="209" ht="36" customHeight="1">
      <c r="A209" s="8" t="inlineStr">
        <is>
          <t>biwu_zhaoqin</t>
        </is>
      </c>
      <c r="B209" s="8" t="inlineStr">
        <is>
          <t>比武招亲</t>
        </is>
      </c>
      <c r="C209" s="8" t="inlineStr">
        <is>
          <t>mission_chest_biwu_zhaoqin</t>
        </is>
      </c>
      <c r="D209" s="8" t="inlineStr">
        <is>
          <t>比武招亲宝箱</t>
        </is>
      </c>
      <c r="E209" s="8" t="inlineStr">
        <is>
          <t>随机关熊图纸附带（同次命中）</t>
        </is>
      </c>
      <c r="F209" s="8" t="inlineStr">
        <is>
          <t>zaozi</t>
        </is>
      </c>
      <c r="G209" s="8" t="inlineStr">
        <is>
          <t>凿子</t>
        </is>
      </c>
      <c r="H209" s="8" t="inlineStr">
        <is>
          <t>black</t>
        </is>
      </c>
      <c r="I209" s="8" t="inlineStr">
        <is>
          <t>resource</t>
        </is>
      </c>
      <c r="J209" s="8" t="n">
        <v>0.05</v>
      </c>
      <c r="K209" s="8" t="n">
        <v>1</v>
      </c>
      <c r="L209" s="8" t="n">
        <v>1</v>
      </c>
      <c r="M209" s="8" t="n">
        <v>4</v>
      </c>
      <c r="N209" s="8" t="n">
        <v>4</v>
      </c>
      <c r="O209" s="8">
        <f>J209*K209/L209</f>
        <v>0.05</v>
      </c>
      <c r="P209" s="8">
        <f>(M209+N209)/2</f>
        <v>4.0</v>
      </c>
      <c r="Q209" s="8">
        <f>O209*P209</f>
        <v>0.2</v>
      </c>
      <c r="R209" s="8" t="n">
        <v>0</v>
      </c>
      <c r="S209" s="8">
        <f>Q209*R209</f>
        <v>0.0</v>
      </c>
      <c r="T209" s="8" t="n"/>
      <c r="U209" s="8" t="inlineStr"/>
      <c r="V209" s="8" t="inlineStr">
        <is>
          <t>data/item_templates.yaml:mission_chest_biwu_zhaoqin.effect_payload</t>
        </is>
      </c>
    </row>
    <row r="210" ht="36" customHeight="1">
      <c r="A210" s="8" t="inlineStr">
        <is>
          <t>biwu_zhaoqin</t>
        </is>
      </c>
      <c r="B210" s="8" t="inlineStr">
        <is>
          <t>比武招亲</t>
        </is>
      </c>
      <c r="C210" s="8" t="inlineStr">
        <is>
          <t>mission_chest_biwu_zhaoqin</t>
        </is>
      </c>
      <c r="D210" s="8" t="inlineStr">
        <is>
          <t>比武招亲宝箱</t>
        </is>
      </c>
      <c r="E210" s="8" t="inlineStr">
        <is>
          <t>随机关熊图纸附带（同次命中）</t>
        </is>
      </c>
      <c r="F210" s="8" t="inlineStr">
        <is>
          <t>gaolu</t>
        </is>
      </c>
      <c r="G210" s="8" t="inlineStr">
        <is>
          <t>高炉</t>
        </is>
      </c>
      <c r="H210" s="8" t="inlineStr">
        <is>
          <t>blue</t>
        </is>
      </c>
      <c r="I210" s="8" t="inlineStr">
        <is>
          <t>resource</t>
        </is>
      </c>
      <c r="J210" s="8" t="n">
        <v>0.05</v>
      </c>
      <c r="K210" s="8" t="n">
        <v>1</v>
      </c>
      <c r="L210" s="8" t="n">
        <v>1</v>
      </c>
      <c r="M210" s="8" t="n">
        <v>1</v>
      </c>
      <c r="N210" s="8" t="n">
        <v>1</v>
      </c>
      <c r="O210" s="8">
        <f>J210*K210/L210</f>
        <v>0.05</v>
      </c>
      <c r="P210" s="8">
        <f>(M210+N210)/2</f>
        <v>1.0</v>
      </c>
      <c r="Q210" s="8">
        <f>O210*P210</f>
        <v>0.05</v>
      </c>
      <c r="R210" s="8" t="n">
        <v>0</v>
      </c>
      <c r="S210" s="8">
        <f>Q210*R210</f>
        <v>0.0</v>
      </c>
      <c r="T210" s="8" t="n"/>
      <c r="U210" s="8" t="inlineStr"/>
      <c r="V210" s="8" t="inlineStr">
        <is>
          <t>data/item_templates.yaml:mission_chest_biwu_zhaoqin.effect_payload</t>
        </is>
      </c>
    </row>
    <row r="211" ht="36" customHeight="1">
      <c r="A211" s="8" t="inlineStr">
        <is>
          <t>biwu_zhaoqin</t>
        </is>
      </c>
      <c r="B211" s="8" t="inlineStr">
        <is>
          <t>比武招亲</t>
        </is>
      </c>
      <c r="C211" s="8" t="inlineStr">
        <is>
          <t>mission_chest_biwu_zhaoqin</t>
        </is>
      </c>
      <c r="D211" s="8" t="inlineStr">
        <is>
          <t>比武招亲宝箱</t>
        </is>
      </c>
      <c r="E211" s="8" t="inlineStr">
        <is>
          <t>随机关熊图纸附带（同次命中）</t>
        </is>
      </c>
      <c r="F211" s="8" t="inlineStr">
        <is>
          <t>earth_stone</t>
        </is>
      </c>
      <c r="G211" s="8" t="inlineStr">
        <is>
          <t>大地之石</t>
        </is>
      </c>
      <c r="H211" s="8" t="inlineStr">
        <is>
          <t>blue</t>
        </is>
      </c>
      <c r="I211" s="8" t="inlineStr">
        <is>
          <t>resource</t>
        </is>
      </c>
      <c r="J211" s="8" t="n">
        <v>0.05</v>
      </c>
      <c r="K211" s="8" t="n">
        <v>1</v>
      </c>
      <c r="L211" s="8" t="n">
        <v>1</v>
      </c>
      <c r="M211" s="8" t="n">
        <v>1</v>
      </c>
      <c r="N211" s="8" t="n">
        <v>1</v>
      </c>
      <c r="O211" s="8">
        <f>J211*K211/L211</f>
        <v>0.05</v>
      </c>
      <c r="P211" s="8">
        <f>(M211+N211)/2</f>
        <v>1.0</v>
      </c>
      <c r="Q211" s="8">
        <f>O211*P211</f>
        <v>0.05</v>
      </c>
      <c r="R211" s="8" t="n">
        <v>0</v>
      </c>
      <c r="S211" s="8">
        <f>Q211*R211</f>
        <v>0.0</v>
      </c>
      <c r="T211" s="8" t="n"/>
      <c r="U211" s="8" t="inlineStr"/>
      <c r="V211" s="8" t="inlineStr">
        <is>
          <t>data/item_templates.yaml:mission_chest_biwu_zhaoqin.effect_payload</t>
        </is>
      </c>
    </row>
    <row r="212" ht="36" customHeight="1">
      <c r="A212" s="8" t="inlineStr">
        <is>
          <t>biwu_zhaoqin</t>
        </is>
      </c>
      <c r="B212" s="8" t="inlineStr">
        <is>
          <t>比武招亲</t>
        </is>
      </c>
      <c r="C212" s="8" t="inlineStr">
        <is>
          <t>mission_chest_biwu_zhaoqin</t>
        </is>
      </c>
      <c r="D212" s="8" t="inlineStr">
        <is>
          <t>比武招亲宝箱</t>
        </is>
      </c>
      <c r="E212" s="8" t="inlineStr">
        <is>
          <t>随机关熊图纸附带（同次命中）</t>
        </is>
      </c>
      <c r="F212" s="8" t="inlineStr">
        <is>
          <t>fire_stone</t>
        </is>
      </c>
      <c r="G212" s="8" t="inlineStr">
        <is>
          <t>火焰之石</t>
        </is>
      </c>
      <c r="H212" s="8" t="inlineStr">
        <is>
          <t>blue</t>
        </is>
      </c>
      <c r="I212" s="8" t="inlineStr">
        <is>
          <t>resource</t>
        </is>
      </c>
      <c r="J212" s="8" t="n">
        <v>0.05</v>
      </c>
      <c r="K212" s="8" t="n">
        <v>1</v>
      </c>
      <c r="L212" s="8" t="n">
        <v>1</v>
      </c>
      <c r="M212" s="8" t="n">
        <v>1</v>
      </c>
      <c r="N212" s="8" t="n">
        <v>1</v>
      </c>
      <c r="O212" s="8">
        <f>J212*K212/L212</f>
        <v>0.05</v>
      </c>
      <c r="P212" s="8">
        <f>(M212+N212)/2</f>
        <v>1.0</v>
      </c>
      <c r="Q212" s="8">
        <f>O212*P212</f>
        <v>0.05</v>
      </c>
      <c r="R212" s="8" t="n">
        <v>0</v>
      </c>
      <c r="S212" s="8">
        <f>Q212*R212</f>
        <v>0.0</v>
      </c>
      <c r="T212" s="8" t="n"/>
      <c r="U212" s="8" t="inlineStr"/>
      <c r="V212" s="8" t="inlineStr">
        <is>
          <t>data/item_templates.yaml:mission_chest_biwu_zhaoqin.effect_payload</t>
        </is>
      </c>
    </row>
    <row r="213" ht="36" customHeight="1">
      <c r="A213" s="8" t="inlineStr">
        <is>
          <t>tianpeng_dijiao_1</t>
        </is>
      </c>
      <c r="B213" s="8" t="inlineStr">
        <is>
          <t>天蓬元帅的地窖（第一层）</t>
        </is>
      </c>
      <c r="C213" s="8" t="inlineStr">
        <is>
          <t>mission_chest_tianpeng_dijiao_1</t>
        </is>
      </c>
      <c r="D213" s="8" t="inlineStr">
        <is>
          <t>天蓬地窖一层宝箱</t>
        </is>
      </c>
      <c r="E213" s="8" t="inlineStr">
        <is>
          <t>必得</t>
        </is>
      </c>
      <c r="F213" s="8" t="inlineStr">
        <is>
          <t>experience_fruit</t>
        </is>
      </c>
      <c r="G213" s="8" t="inlineStr">
        <is>
          <t>经验果</t>
        </is>
      </c>
      <c r="H213" s="8" t="inlineStr">
        <is>
          <t>green</t>
        </is>
      </c>
      <c r="I213" s="8" t="inlineStr">
        <is>
          <t>experience_items</t>
        </is>
      </c>
      <c r="J213" s="8" t="n">
        <v>1</v>
      </c>
      <c r="K213" s="8" t="n">
        <v>1</v>
      </c>
      <c r="L213" s="8" t="n">
        <v>1</v>
      </c>
      <c r="M213" s="8" t="n">
        <v>60</v>
      </c>
      <c r="N213" s="8" t="n">
        <v>60</v>
      </c>
      <c r="O213" s="8">
        <f>J213*K213/L213</f>
        <v>1.0</v>
      </c>
      <c r="P213" s="8">
        <f>(M213+N213)/2</f>
        <v>60.0</v>
      </c>
      <c r="Q213" s="8">
        <f>O213*P213</f>
        <v>60.0</v>
      </c>
      <c r="R213" s="8" t="n">
        <v>1</v>
      </c>
      <c r="S213" s="8">
        <f>Q213*R213</f>
        <v>60.0</v>
      </c>
      <c r="T213" s="8" t="n"/>
      <c r="U213" s="8" t="inlineStr"/>
      <c r="V213" s="8" t="inlineStr">
        <is>
          <t>data/item_templates.yaml:mission_chest_tianpeng_dijiao_1.effect_payload</t>
        </is>
      </c>
    </row>
    <row r="214" ht="36" customHeight="1">
      <c r="A214" s="8" t="inlineStr">
        <is>
          <t>tianpeng_dijiao_1</t>
        </is>
      </c>
      <c r="B214" s="8" t="inlineStr">
        <is>
          <t>天蓬元帅的地窖（第一层）</t>
        </is>
      </c>
      <c r="C214" s="8" t="inlineStr">
        <is>
          <t>mission_chest_tianpeng_dijiao_1</t>
        </is>
      </c>
      <c r="D214" s="8" t="inlineStr">
        <is>
          <t>天蓬地窖一层宝箱</t>
        </is>
      </c>
      <c r="E214" s="8" t="inlineStr">
        <is>
          <t>必得</t>
        </is>
      </c>
      <c r="F214" s="8" t="inlineStr">
        <is>
          <t>experience_pineapple</t>
        </is>
      </c>
      <c r="G214" s="8" t="inlineStr">
        <is>
          <t>经验菠萝</t>
        </is>
      </c>
      <c r="H214" s="8" t="inlineStr">
        <is>
          <t>blue</t>
        </is>
      </c>
      <c r="I214" s="8" t="inlineStr">
        <is>
          <t>experience_items</t>
        </is>
      </c>
      <c r="J214" s="8" t="n">
        <v>1</v>
      </c>
      <c r="K214" s="8" t="n">
        <v>1</v>
      </c>
      <c r="L214" s="8" t="n">
        <v>1</v>
      </c>
      <c r="M214" s="8" t="n">
        <v>15</v>
      </c>
      <c r="N214" s="8" t="n">
        <v>15</v>
      </c>
      <c r="O214" s="8">
        <f>J214*K214/L214</f>
        <v>1.0</v>
      </c>
      <c r="P214" s="8">
        <f>(M214+N214)/2</f>
        <v>15.0</v>
      </c>
      <c r="Q214" s="8">
        <f>O214*P214</f>
        <v>15.0</v>
      </c>
      <c r="R214" s="8" t="n">
        <v>16</v>
      </c>
      <c r="S214" s="8">
        <f>Q214*R214</f>
        <v>240.0</v>
      </c>
      <c r="T214" s="8" t="n"/>
      <c r="U214" s="8" t="inlineStr"/>
      <c r="V214" s="8" t="inlineStr">
        <is>
          <t>data/item_templates.yaml:mission_chest_tianpeng_dijiao_1.effect_payload</t>
        </is>
      </c>
    </row>
    <row r="215" ht="36" customHeight="1">
      <c r="A215" s="8" t="inlineStr">
        <is>
          <t>tianpeng_dijiao_1</t>
        </is>
      </c>
      <c r="B215" s="8" t="inlineStr">
        <is>
          <t>天蓬元帅的地窖（第一层）</t>
        </is>
      </c>
      <c r="C215" s="8" t="inlineStr">
        <is>
          <t>mission_chest_tianpeng_dijiao_1</t>
        </is>
      </c>
      <c r="D215" s="8" t="inlineStr">
        <is>
          <t>天蓬地窖一层宝箱</t>
        </is>
      </c>
      <c r="E215" s="8" t="inlineStr">
        <is>
          <t>必得</t>
        </is>
      </c>
      <c r="F215" s="8" t="inlineStr">
        <is>
          <t>buxuedan</t>
        </is>
      </c>
      <c r="G215" s="8" t="inlineStr">
        <is>
          <t>补血丹</t>
        </is>
      </c>
      <c r="H215" s="8" t="inlineStr">
        <is>
          <t>black</t>
        </is>
      </c>
      <c r="I215" s="8" t="inlineStr">
        <is>
          <t>medicine</t>
        </is>
      </c>
      <c r="J215" s="8" t="n">
        <v>1</v>
      </c>
      <c r="K215" s="8" t="n">
        <v>1</v>
      </c>
      <c r="L215" s="8" t="n">
        <v>1</v>
      </c>
      <c r="M215" s="8" t="n">
        <v>2</v>
      </c>
      <c r="N215" s="8" t="n">
        <v>2</v>
      </c>
      <c r="O215" s="8">
        <f>J215*K215/L215</f>
        <v>1.0</v>
      </c>
      <c r="P215" s="8">
        <f>(M215+N215)/2</f>
        <v>2.0</v>
      </c>
      <c r="Q215" s="8">
        <f>O215*P215</f>
        <v>2.0</v>
      </c>
      <c r="R215" s="8" t="n">
        <v>0</v>
      </c>
      <c r="S215" s="8">
        <f>Q215*R215</f>
        <v>0.0</v>
      </c>
      <c r="T215" s="8" t="n"/>
      <c r="U215" s="8" t="inlineStr"/>
      <c r="V215" s="8" t="inlineStr">
        <is>
          <t>data/item_templates.yaml:mission_chest_tianpeng_dijiao_1.effect_payload</t>
        </is>
      </c>
    </row>
    <row r="216" ht="36" customHeight="1">
      <c r="A216" s="8" t="inlineStr">
        <is>
          <t>tianpeng_dijiao_1</t>
        </is>
      </c>
      <c r="B216" s="8" t="inlineStr">
        <is>
          <t>天蓬元帅的地窖（第一层）</t>
        </is>
      </c>
      <c r="C216" s="8" t="inlineStr">
        <is>
          <t>mission_chest_tianpeng_dijiao_1</t>
        </is>
      </c>
      <c r="D216" s="8" t="inlineStr">
        <is>
          <t>天蓬地窖一层宝箱</t>
        </is>
      </c>
      <c r="E216" s="8" t="inlineStr">
        <is>
          <t>book_red_lotus_dance</t>
        </is>
      </c>
      <c r="F216" s="8" t="inlineStr">
        <is>
          <t>book_red_lotus_dance</t>
        </is>
      </c>
      <c r="G216" s="8" t="inlineStr">
        <is>
          <t>《红莲之舞》秘术</t>
        </is>
      </c>
      <c r="H216" s="8" t="inlineStr">
        <is>
          <t>blue</t>
        </is>
      </c>
      <c r="I216" s="8" t="inlineStr">
        <is>
          <t>skill_book</t>
        </is>
      </c>
      <c r="J216" s="8" t="n">
        <v>0.05</v>
      </c>
      <c r="K216" s="8" t="n">
        <v>1</v>
      </c>
      <c r="L216" s="8" t="n">
        <v>1</v>
      </c>
      <c r="M216" s="8" t="n">
        <v>1</v>
      </c>
      <c r="N216" s="8" t="n">
        <v>1</v>
      </c>
      <c r="O216" s="8">
        <f>J216*K216/L216</f>
        <v>0.05</v>
      </c>
      <c r="P216" s="8">
        <f>(M216+N216)/2</f>
        <v>1.0</v>
      </c>
      <c r="Q216" s="8">
        <f>O216*P216</f>
        <v>0.05</v>
      </c>
      <c r="R216" s="8" t="n">
        <v>0</v>
      </c>
      <c r="S216" s="8">
        <f>Q216*R216</f>
        <v>0.0</v>
      </c>
      <c r="T216" s="8" t="n"/>
      <c r="U216" s="8" t="inlineStr"/>
      <c r="V216" s="8" t="inlineStr">
        <is>
          <t>data/item_templates.yaml:mission_chest_tianpeng_dijiao_1.effect_payload</t>
        </is>
      </c>
    </row>
    <row r="217" ht="36" customHeight="1">
      <c r="A217" s="8" t="inlineStr">
        <is>
          <t>tianpeng_dijiao_1</t>
        </is>
      </c>
      <c r="B217" s="8" t="inlineStr">
        <is>
          <t>天蓬元帅的地窖（第一层）</t>
        </is>
      </c>
      <c r="C217" s="8" t="inlineStr">
        <is>
          <t>mission_chest_tianpeng_dijiao_1</t>
        </is>
      </c>
      <c r="D217" s="8" t="inlineStr">
        <is>
          <t>天蓬地窖一层宝箱</t>
        </is>
      </c>
      <c r="E217" s="8" t="inlineStr">
        <is>
          <t>book_tangseng_sermon</t>
        </is>
      </c>
      <c r="F217" s="8" t="inlineStr">
        <is>
          <t>book_tangseng_sermon</t>
        </is>
      </c>
      <c r="G217" s="8" t="inlineStr">
        <is>
          <t>《唐僧说禅》秘术</t>
        </is>
      </c>
      <c r="H217" s="8" t="inlineStr">
        <is>
          <t>blue</t>
        </is>
      </c>
      <c r="I217" s="8" t="inlineStr">
        <is>
          <t>skill_book</t>
        </is>
      </c>
      <c r="J217" s="8" t="n">
        <v>0.03</v>
      </c>
      <c r="K217" s="8" t="n">
        <v>1</v>
      </c>
      <c r="L217" s="8" t="n">
        <v>1</v>
      </c>
      <c r="M217" s="8" t="n">
        <v>1</v>
      </c>
      <c r="N217" s="8" t="n">
        <v>1</v>
      </c>
      <c r="O217" s="8">
        <f>J217*K217/L217</f>
        <v>0.03</v>
      </c>
      <c r="P217" s="8">
        <f>(M217+N217)/2</f>
        <v>1.0</v>
      </c>
      <c r="Q217" s="8">
        <f>O217*P217</f>
        <v>0.03</v>
      </c>
      <c r="R217" s="8" t="n">
        <v>0</v>
      </c>
      <c r="S217" s="8">
        <f>Q217*R217</f>
        <v>0.0</v>
      </c>
      <c r="T217" s="8" t="n"/>
      <c r="U217" s="8" t="inlineStr"/>
      <c r="V217" s="8" t="inlineStr">
        <is>
          <t>data/item_templates.yaml:mission_chest_tianpeng_dijiao_1.effect_payload</t>
        </is>
      </c>
    </row>
    <row r="218" ht="36" customHeight="1">
      <c r="A218" s="8" t="inlineStr">
        <is>
          <t>tianpeng_dijiao_1</t>
        </is>
      </c>
      <c r="B218" s="8" t="inlineStr">
        <is>
          <t>天蓬元帅的地窖（第一层）</t>
        </is>
      </c>
      <c r="C218" s="8" t="inlineStr">
        <is>
          <t>mission_chest_tianpeng_dijiao_1</t>
        </is>
      </c>
      <c r="D218" s="8" t="inlineStr">
        <is>
          <t>天蓬地窖一层宝箱</t>
        </is>
      </c>
      <c r="E218" s="8" t="inlineStr">
        <is>
          <t>主题装备</t>
        </is>
      </c>
      <c r="F218" s="8" t="inlineStr">
        <is>
          <t>equip_junzijian</t>
        </is>
      </c>
      <c r="G218" s="8" t="inlineStr">
        <is>
          <t>君子剑</t>
        </is>
      </c>
      <c r="H218" s="8" t="inlineStr">
        <is>
          <t>blue</t>
        </is>
      </c>
      <c r="I218" s="8" t="inlineStr">
        <is>
          <t>equip_weapon</t>
        </is>
      </c>
      <c r="J218" s="8" t="n">
        <v>0.47</v>
      </c>
      <c r="K218" s="8" t="n">
        <v>10000</v>
      </c>
      <c r="L218" s="8" t="n">
        <v>47000</v>
      </c>
      <c r="M218" s="8" t="n">
        <v>1</v>
      </c>
      <c r="N218" s="8" t="n">
        <v>1</v>
      </c>
      <c r="O218" s="8">
        <f>J218*K218/L218</f>
        <v>0.1</v>
      </c>
      <c r="P218" s="8">
        <f>(M218+N218)/2</f>
        <v>1.0</v>
      </c>
      <c r="Q218" s="8">
        <f>O218*P218</f>
        <v>0.1</v>
      </c>
      <c r="R218" s="8" t="n">
        <v>0</v>
      </c>
      <c r="S218" s="8">
        <f>Q218*R218</f>
        <v>0.0</v>
      </c>
      <c r="T218" s="8" t="n"/>
      <c r="U218" s="8" t="inlineStr"/>
      <c r="V218" s="8" t="inlineStr">
        <is>
          <t>data/item_templates.yaml:mission_chest_tianpeng_dijiao_1.effect_payload</t>
        </is>
      </c>
    </row>
    <row r="219" ht="36" customHeight="1">
      <c r="A219" s="8" t="inlineStr">
        <is>
          <t>tianpeng_dijiao_1</t>
        </is>
      </c>
      <c r="B219" s="8" t="inlineStr">
        <is>
          <t>天蓬元帅的地窖（第一层）</t>
        </is>
      </c>
      <c r="C219" s="8" t="inlineStr">
        <is>
          <t>mission_chest_tianpeng_dijiao_1</t>
        </is>
      </c>
      <c r="D219" s="8" t="inlineStr">
        <is>
          <t>天蓬地窖一层宝箱</t>
        </is>
      </c>
      <c r="E219" s="8" t="inlineStr">
        <is>
          <t>主题装备</t>
        </is>
      </c>
      <c r="F219" s="8" t="inlineStr">
        <is>
          <t>equip_yupei</t>
        </is>
      </c>
      <c r="G219" s="8" t="inlineStr">
        <is>
          <t>玉佩</t>
        </is>
      </c>
      <c r="H219" s="8" t="inlineStr">
        <is>
          <t>green</t>
        </is>
      </c>
      <c r="I219" s="8" t="inlineStr">
        <is>
          <t>equip_ornament</t>
        </is>
      </c>
      <c r="J219" s="8" t="n">
        <v>0.47</v>
      </c>
      <c r="K219" s="8" t="n">
        <v>6000</v>
      </c>
      <c r="L219" s="8" t="n">
        <v>47000</v>
      </c>
      <c r="M219" s="8" t="n">
        <v>1</v>
      </c>
      <c r="N219" s="8" t="n">
        <v>1</v>
      </c>
      <c r="O219" s="8">
        <f>J219*K219/L219</f>
        <v>0.06</v>
      </c>
      <c r="P219" s="8">
        <f>(M219+N219)/2</f>
        <v>1.0</v>
      </c>
      <c r="Q219" s="8">
        <f>O219*P219</f>
        <v>0.06</v>
      </c>
      <c r="R219" s="8" t="n">
        <v>0</v>
      </c>
      <c r="S219" s="8">
        <f>Q219*R219</f>
        <v>0.0</v>
      </c>
      <c r="T219" s="8" t="n"/>
      <c r="U219" s="8" t="inlineStr"/>
      <c r="V219" s="8" t="inlineStr">
        <is>
          <t>data/item_templates.yaml:mission_chest_tianpeng_dijiao_1.effect_payload</t>
        </is>
      </c>
    </row>
    <row r="220" ht="36" customHeight="1">
      <c r="A220" s="8" t="inlineStr">
        <is>
          <t>tianpeng_dijiao_1</t>
        </is>
      </c>
      <c r="B220" s="8" t="inlineStr">
        <is>
          <t>天蓬元帅的地窖（第一层）</t>
        </is>
      </c>
      <c r="C220" s="8" t="inlineStr">
        <is>
          <t>mission_chest_tianpeng_dijiao_1</t>
        </is>
      </c>
      <c r="D220" s="8" t="inlineStr">
        <is>
          <t>天蓬地窖一层宝箱</t>
        </is>
      </c>
      <c r="E220" s="8" t="inlineStr">
        <is>
          <t>主题装备</t>
        </is>
      </c>
      <c r="F220" s="8" t="inlineStr">
        <is>
          <t>equip_fudai</t>
        </is>
      </c>
      <c r="G220" s="8" t="inlineStr">
        <is>
          <t>福袋</t>
        </is>
      </c>
      <c r="H220" s="8" t="inlineStr">
        <is>
          <t>green</t>
        </is>
      </c>
      <c r="I220" s="8" t="inlineStr">
        <is>
          <t>equip_ornament</t>
        </is>
      </c>
      <c r="J220" s="8" t="n">
        <v>0.47</v>
      </c>
      <c r="K220" s="8" t="n">
        <v>6000</v>
      </c>
      <c r="L220" s="8" t="n">
        <v>47000</v>
      </c>
      <c r="M220" s="8" t="n">
        <v>1</v>
      </c>
      <c r="N220" s="8" t="n">
        <v>1</v>
      </c>
      <c r="O220" s="8">
        <f>J220*K220/L220</f>
        <v>0.06</v>
      </c>
      <c r="P220" s="8">
        <f>(M220+N220)/2</f>
        <v>1.0</v>
      </c>
      <c r="Q220" s="8">
        <f>O220*P220</f>
        <v>0.06</v>
      </c>
      <c r="R220" s="8" t="n">
        <v>0</v>
      </c>
      <c r="S220" s="8">
        <f>Q220*R220</f>
        <v>0.0</v>
      </c>
      <c r="T220" s="8" t="n"/>
      <c r="U220" s="8" t="inlineStr"/>
      <c r="V220" s="8" t="inlineStr">
        <is>
          <t>data/item_templates.yaml:mission_chest_tianpeng_dijiao_1.effect_payload</t>
        </is>
      </c>
    </row>
    <row r="221" ht="36" customHeight="1">
      <c r="A221" s="8" t="inlineStr">
        <is>
          <t>tianpeng_dijiao_1</t>
        </is>
      </c>
      <c r="B221" s="8" t="inlineStr">
        <is>
          <t>天蓬元帅的地窖（第一层）</t>
        </is>
      </c>
      <c r="C221" s="8" t="inlineStr">
        <is>
          <t>mission_chest_tianpeng_dijiao_1</t>
        </is>
      </c>
      <c r="D221" s="8" t="inlineStr">
        <is>
          <t>天蓬地窖一层宝箱</t>
        </is>
      </c>
      <c r="E221" s="8" t="inlineStr">
        <is>
          <t>主题装备</t>
        </is>
      </c>
      <c r="F221" s="8" t="inlineStr">
        <is>
          <t>equip_xuanjiazhanbao</t>
        </is>
      </c>
      <c r="G221" s="8" t="inlineStr">
        <is>
          <t>玄甲战袍</t>
        </is>
      </c>
      <c r="H221" s="8" t="inlineStr">
        <is>
          <t>blue</t>
        </is>
      </c>
      <c r="I221" s="8" t="inlineStr">
        <is>
          <t>equip_armor</t>
        </is>
      </c>
      <c r="J221" s="8" t="n">
        <v>0.47</v>
      </c>
      <c r="K221" s="8" t="n">
        <v>5000</v>
      </c>
      <c r="L221" s="8" t="n">
        <v>47000</v>
      </c>
      <c r="M221" s="8" t="n">
        <v>1</v>
      </c>
      <c r="N221" s="8" t="n">
        <v>1</v>
      </c>
      <c r="O221" s="8">
        <f>J221*K221/L221</f>
        <v>0.05</v>
      </c>
      <c r="P221" s="8">
        <f>(M221+N221)/2</f>
        <v>1.0</v>
      </c>
      <c r="Q221" s="8">
        <f>O221*P221</f>
        <v>0.05</v>
      </c>
      <c r="R221" s="8" t="n">
        <v>0</v>
      </c>
      <c r="S221" s="8">
        <f>Q221*R221</f>
        <v>0.0</v>
      </c>
      <c r="T221" s="8" t="n"/>
      <c r="U221" s="8" t="inlineStr"/>
      <c r="V221" s="8" t="inlineStr">
        <is>
          <t>data/item_templates.yaml:mission_chest_tianpeng_dijiao_1.effect_payload</t>
        </is>
      </c>
    </row>
    <row r="222" ht="36" customHeight="1">
      <c r="A222" s="8" t="inlineStr">
        <is>
          <t>tianpeng_dijiao_1</t>
        </is>
      </c>
      <c r="B222" s="8" t="inlineStr">
        <is>
          <t>天蓬元帅的地窖（第一层）</t>
        </is>
      </c>
      <c r="C222" s="8" t="inlineStr">
        <is>
          <t>mission_chest_tianpeng_dijiao_1</t>
        </is>
      </c>
      <c r="D222" s="8" t="inlineStr">
        <is>
          <t>天蓬地窖一层宝箱</t>
        </is>
      </c>
      <c r="E222" s="8" t="inlineStr">
        <is>
          <t>主题装备</t>
        </is>
      </c>
      <c r="F222" s="8" t="inlineStr">
        <is>
          <t>equip_xuanbinggong</t>
        </is>
      </c>
      <c r="G222" s="8" t="inlineStr">
        <is>
          <t>玄冰弓</t>
        </is>
      </c>
      <c r="H222" s="8" t="inlineStr">
        <is>
          <t>blue</t>
        </is>
      </c>
      <c r="I222" s="8" t="inlineStr">
        <is>
          <t>equip_weapon</t>
        </is>
      </c>
      <c r="J222" s="8" t="n">
        <v>0.47</v>
      </c>
      <c r="K222" s="8" t="n">
        <v>6000</v>
      </c>
      <c r="L222" s="8" t="n">
        <v>47000</v>
      </c>
      <c r="M222" s="8" t="n">
        <v>1</v>
      </c>
      <c r="N222" s="8" t="n">
        <v>1</v>
      </c>
      <c r="O222" s="8">
        <f>J222*K222/L222</f>
        <v>0.06</v>
      </c>
      <c r="P222" s="8">
        <f>(M222+N222)/2</f>
        <v>1.0</v>
      </c>
      <c r="Q222" s="8">
        <f>O222*P222</f>
        <v>0.06</v>
      </c>
      <c r="R222" s="8" t="n">
        <v>0</v>
      </c>
      <c r="S222" s="8">
        <f>Q222*R222</f>
        <v>0.0</v>
      </c>
      <c r="T222" s="8" t="n"/>
      <c r="U222" s="8" t="inlineStr"/>
      <c r="V222" s="8" t="inlineStr">
        <is>
          <t>data/item_templates.yaml:mission_chest_tianpeng_dijiao_1.effect_payload</t>
        </is>
      </c>
    </row>
    <row r="223" ht="36" customHeight="1">
      <c r="A223" s="8" t="inlineStr">
        <is>
          <t>tianpeng_dijiao_1</t>
        </is>
      </c>
      <c r="B223" s="8" t="inlineStr">
        <is>
          <t>天蓬元帅的地窖（第一层）</t>
        </is>
      </c>
      <c r="C223" s="8" t="inlineStr">
        <is>
          <t>mission_chest_tianpeng_dijiao_1</t>
        </is>
      </c>
      <c r="D223" s="8" t="inlineStr">
        <is>
          <t>天蓬地窖一层宝箱</t>
        </is>
      </c>
      <c r="E223" s="8" t="inlineStr">
        <is>
          <t>主题装备</t>
        </is>
      </c>
      <c r="F223" s="8" t="inlineStr">
        <is>
          <t>equip_fengyuzan</t>
        </is>
      </c>
      <c r="G223" s="8" t="inlineStr">
        <is>
          <t>凤羽簪</t>
        </is>
      </c>
      <c r="H223" s="8" t="inlineStr">
        <is>
          <t>blue</t>
        </is>
      </c>
      <c r="I223" s="8" t="inlineStr">
        <is>
          <t>equip_ornament</t>
        </is>
      </c>
      <c r="J223" s="8" t="n">
        <v>0.47</v>
      </c>
      <c r="K223" s="8" t="n">
        <v>7000</v>
      </c>
      <c r="L223" s="8" t="n">
        <v>47000</v>
      </c>
      <c r="M223" s="8" t="n">
        <v>1</v>
      </c>
      <c r="N223" s="8" t="n">
        <v>1</v>
      </c>
      <c r="O223" s="8">
        <f>J223*K223/L223</f>
        <v>0.07</v>
      </c>
      <c r="P223" s="8">
        <f>(M223+N223)/2</f>
        <v>1.0</v>
      </c>
      <c r="Q223" s="8">
        <f>O223*P223</f>
        <v>0.07</v>
      </c>
      <c r="R223" s="8" t="n">
        <v>0</v>
      </c>
      <c r="S223" s="8">
        <f>Q223*R223</f>
        <v>0.0</v>
      </c>
      <c r="T223" s="8" t="n"/>
      <c r="U223" s="8" t="inlineStr"/>
      <c r="V223" s="8" t="inlineStr">
        <is>
          <t>data/item_templates.yaml:mission_chest_tianpeng_dijiao_1.effect_payload</t>
        </is>
      </c>
    </row>
    <row r="224" ht="36" customHeight="1">
      <c r="A224" s="8" t="inlineStr">
        <is>
          <t>tianpeng_dijiao_1</t>
        </is>
      </c>
      <c r="B224" s="8" t="inlineStr">
        <is>
          <t>天蓬元帅的地窖（第一层）</t>
        </is>
      </c>
      <c r="C224" s="8" t="inlineStr">
        <is>
          <t>mission_chest_tianpeng_dijiao_1</t>
        </is>
      </c>
      <c r="D224" s="8" t="inlineStr">
        <is>
          <t>天蓬地窖一层宝箱</t>
        </is>
      </c>
      <c r="E224" s="8" t="inlineStr">
        <is>
          <t>主题装备</t>
        </is>
      </c>
      <c r="F224" s="8" t="inlineStr">
        <is>
          <t>equip_xingshashouchuan</t>
        </is>
      </c>
      <c r="G224" s="8" t="inlineStr">
        <is>
          <t>星砂手串</t>
        </is>
      </c>
      <c r="H224" s="8" t="inlineStr">
        <is>
          <t>blue</t>
        </is>
      </c>
      <c r="I224" s="8" t="inlineStr">
        <is>
          <t>equip_ornament</t>
        </is>
      </c>
      <c r="J224" s="8" t="n">
        <v>0.47</v>
      </c>
      <c r="K224" s="8" t="n">
        <v>7000</v>
      </c>
      <c r="L224" s="8" t="n">
        <v>47000</v>
      </c>
      <c r="M224" s="8" t="n">
        <v>1</v>
      </c>
      <c r="N224" s="8" t="n">
        <v>1</v>
      </c>
      <c r="O224" s="8">
        <f>J224*K224/L224</f>
        <v>0.07</v>
      </c>
      <c r="P224" s="8">
        <f>(M224+N224)/2</f>
        <v>1.0</v>
      </c>
      <c r="Q224" s="8">
        <f>O224*P224</f>
        <v>0.07</v>
      </c>
      <c r="R224" s="8" t="n">
        <v>0</v>
      </c>
      <c r="S224" s="8">
        <f>Q224*R224</f>
        <v>0.0</v>
      </c>
      <c r="T224" s="8" t="n"/>
      <c r="U224" s="8" t="inlineStr"/>
      <c r="V224" s="8" t="inlineStr">
        <is>
          <t>data/item_templates.yaml:mission_chest_tianpeng_dijiao_1.effect_payload</t>
        </is>
      </c>
    </row>
    <row r="225" ht="36" customHeight="1">
      <c r="A225" s="8" t="inlineStr">
        <is>
          <t>tianpeng_dijiao_2</t>
        </is>
      </c>
      <c r="B225" s="8" t="inlineStr">
        <is>
          <t>天蓬元帅的地窖（第二层）</t>
        </is>
      </c>
      <c r="C225" s="8" t="inlineStr">
        <is>
          <t>mission_chest_tianpeng_dijiao_2</t>
        </is>
      </c>
      <c r="D225" s="8" t="inlineStr">
        <is>
          <t>天蓬地窖二层宝箱</t>
        </is>
      </c>
      <c r="E225" s="8" t="inlineStr">
        <is>
          <t>必得</t>
        </is>
      </c>
      <c r="F225" s="8" t="inlineStr">
        <is>
          <t>experience_fruit</t>
        </is>
      </c>
      <c r="G225" s="8" t="inlineStr">
        <is>
          <t>经验果</t>
        </is>
      </c>
      <c r="H225" s="8" t="inlineStr">
        <is>
          <t>green</t>
        </is>
      </c>
      <c r="I225" s="8" t="inlineStr">
        <is>
          <t>experience_items</t>
        </is>
      </c>
      <c r="J225" s="8" t="n">
        <v>1</v>
      </c>
      <c r="K225" s="8" t="n">
        <v>1</v>
      </c>
      <c r="L225" s="8" t="n">
        <v>1</v>
      </c>
      <c r="M225" s="8" t="n">
        <v>96</v>
      </c>
      <c r="N225" s="8" t="n">
        <v>96</v>
      </c>
      <c r="O225" s="8">
        <f>J225*K225/L225</f>
        <v>1.0</v>
      </c>
      <c r="P225" s="8">
        <f>(M225+N225)/2</f>
        <v>96.0</v>
      </c>
      <c r="Q225" s="8">
        <f>O225*P225</f>
        <v>96.0</v>
      </c>
      <c r="R225" s="8" t="n">
        <v>1</v>
      </c>
      <c r="S225" s="8">
        <f>Q225*R225</f>
        <v>96.0</v>
      </c>
      <c r="T225" s="8" t="n"/>
      <c r="U225" s="8" t="inlineStr"/>
      <c r="V225" s="8" t="inlineStr">
        <is>
          <t>data/item_templates.yaml:mission_chest_tianpeng_dijiao_2.effect_payload</t>
        </is>
      </c>
    </row>
    <row r="226" ht="36" customHeight="1">
      <c r="A226" s="8" t="inlineStr">
        <is>
          <t>tianpeng_dijiao_2</t>
        </is>
      </c>
      <c r="B226" s="8" t="inlineStr">
        <is>
          <t>天蓬元帅的地窖（第二层）</t>
        </is>
      </c>
      <c r="C226" s="8" t="inlineStr">
        <is>
          <t>mission_chest_tianpeng_dijiao_2</t>
        </is>
      </c>
      <c r="D226" s="8" t="inlineStr">
        <is>
          <t>天蓬地窖二层宝箱</t>
        </is>
      </c>
      <c r="E226" s="8" t="inlineStr">
        <is>
          <t>必得</t>
        </is>
      </c>
      <c r="F226" s="8" t="inlineStr">
        <is>
          <t>buxuedan</t>
        </is>
      </c>
      <c r="G226" s="8" t="inlineStr">
        <is>
          <t>补血丹</t>
        </is>
      </c>
      <c r="H226" s="8" t="inlineStr">
        <is>
          <t>black</t>
        </is>
      </c>
      <c r="I226" s="8" t="inlineStr">
        <is>
          <t>medicine</t>
        </is>
      </c>
      <c r="J226" s="8" t="n">
        <v>1</v>
      </c>
      <c r="K226" s="8" t="n">
        <v>1</v>
      </c>
      <c r="L226" s="8" t="n">
        <v>1</v>
      </c>
      <c r="M226" s="8" t="n">
        <v>4</v>
      </c>
      <c r="N226" s="8" t="n">
        <v>4</v>
      </c>
      <c r="O226" s="8">
        <f>J226*K226/L226</f>
        <v>1.0</v>
      </c>
      <c r="P226" s="8">
        <f>(M226+N226)/2</f>
        <v>4.0</v>
      </c>
      <c r="Q226" s="8">
        <f>O226*P226</f>
        <v>4.0</v>
      </c>
      <c r="R226" s="8" t="n">
        <v>0</v>
      </c>
      <c r="S226" s="8">
        <f>Q226*R226</f>
        <v>0.0</v>
      </c>
      <c r="T226" s="8" t="n"/>
      <c r="U226" s="8" t="inlineStr"/>
      <c r="V226" s="8" t="inlineStr">
        <is>
          <t>data/item_templates.yaml:mission_chest_tianpeng_dijiao_2.effect_payload</t>
        </is>
      </c>
    </row>
    <row r="227" ht="36" customHeight="1">
      <c r="A227" s="8" t="inlineStr">
        <is>
          <t>tianpeng_dijiao_2</t>
        </is>
      </c>
      <c r="B227" s="8" t="inlineStr">
        <is>
          <t>天蓬元帅的地窖（第二层）</t>
        </is>
      </c>
      <c r="C227" s="8" t="inlineStr">
        <is>
          <t>mission_chest_tianpeng_dijiao_2</t>
        </is>
      </c>
      <c r="D227" s="8" t="inlineStr">
        <is>
          <t>天蓬地窖二层宝箱</t>
        </is>
      </c>
      <c r="E227" s="8" t="inlineStr">
        <is>
          <t>experience_pineapple</t>
        </is>
      </c>
      <c r="F227" s="8" t="inlineStr">
        <is>
          <t>experience_pineapple</t>
        </is>
      </c>
      <c r="G227" s="8" t="inlineStr">
        <is>
          <t>经验菠萝</t>
        </is>
      </c>
      <c r="H227" s="8" t="inlineStr">
        <is>
          <t>blue</t>
        </is>
      </c>
      <c r="I227" s="8" t="inlineStr">
        <is>
          <t>experience_items</t>
        </is>
      </c>
      <c r="J227" s="8" t="n">
        <v>0.99</v>
      </c>
      <c r="K227" s="8" t="n">
        <v>1</v>
      </c>
      <c r="L227" s="8" t="n">
        <v>1</v>
      </c>
      <c r="M227" s="8" t="n">
        <v>20</v>
      </c>
      <c r="N227" s="8" t="n">
        <v>20</v>
      </c>
      <c r="O227" s="8">
        <f>J227*K227/L227</f>
        <v>0.99</v>
      </c>
      <c r="P227" s="8">
        <f>(M227+N227)/2</f>
        <v>20.0</v>
      </c>
      <c r="Q227" s="8">
        <f>O227*P227</f>
        <v>19.8</v>
      </c>
      <c r="R227" s="8" t="n">
        <v>16</v>
      </c>
      <c r="S227" s="8">
        <f>Q227*R227</f>
        <v>316.8</v>
      </c>
      <c r="T227" s="8" t="n"/>
      <c r="U227" s="8" t="inlineStr"/>
      <c r="V227" s="8" t="inlineStr">
        <is>
          <t>data/item_templates.yaml:mission_chest_tianpeng_dijiao_2.effect_payload</t>
        </is>
      </c>
    </row>
    <row r="228" ht="36" customHeight="1">
      <c r="A228" s="8" t="inlineStr">
        <is>
          <t>tianpeng_dijiao_2</t>
        </is>
      </c>
      <c r="B228" s="8" t="inlineStr">
        <is>
          <t>天蓬元帅的地窖（第二层）</t>
        </is>
      </c>
      <c r="C228" s="8" t="inlineStr">
        <is>
          <t>mission_chest_tianpeng_dijiao_2</t>
        </is>
      </c>
      <c r="D228" s="8" t="inlineStr">
        <is>
          <t>天蓬地窖二层宝箱</t>
        </is>
      </c>
      <c r="E228" s="8" t="inlineStr">
        <is>
          <t>blueprint_huxianjian</t>
        </is>
      </c>
      <c r="F228" s="8" t="inlineStr">
        <is>
          <t>blueprint_huxianjian</t>
        </is>
      </c>
      <c r="G228" s="8" t="inlineStr">
        <is>
          <t>狐仙剑图纸</t>
        </is>
      </c>
      <c r="H228" s="8" t="inlineStr">
        <is>
          <t>purple</t>
        </is>
      </c>
      <c r="I228" s="8" t="inlineStr">
        <is>
          <t>tool</t>
        </is>
      </c>
      <c r="J228" s="8" t="n">
        <v>0.05</v>
      </c>
      <c r="K228" s="8" t="n">
        <v>1</v>
      </c>
      <c r="L228" s="8" t="n">
        <v>1</v>
      </c>
      <c r="M228" s="8" t="n">
        <v>1</v>
      </c>
      <c r="N228" s="8" t="n">
        <v>1</v>
      </c>
      <c r="O228" s="8">
        <f>J228*K228/L228</f>
        <v>0.05</v>
      </c>
      <c r="P228" s="8">
        <f>(M228+N228)/2</f>
        <v>1.0</v>
      </c>
      <c r="Q228" s="8">
        <f>O228*P228</f>
        <v>0.05</v>
      </c>
      <c r="R228" s="8" t="n">
        <v>0</v>
      </c>
      <c r="S228" s="8">
        <f>Q228*R228</f>
        <v>0.0</v>
      </c>
      <c r="T228" s="8" t="n">
        <v>7</v>
      </c>
      <c r="U228" s="8" t="inlineStr">
        <is>
          <t>狐仙剑</t>
        </is>
      </c>
      <c r="V228" s="8" t="inlineStr">
        <is>
          <t>data/item_templates.yaml:mission_chest_tianpeng_dijiao_2.effect_payload</t>
        </is>
      </c>
    </row>
    <row r="229" ht="36" customHeight="1">
      <c r="A229" s="8" t="inlineStr">
        <is>
          <t>tianpeng_dijiao_2</t>
        </is>
      </c>
      <c r="B229" s="8" t="inlineStr">
        <is>
          <t>天蓬元帅的地窖（第二层）</t>
        </is>
      </c>
      <c r="C229" s="8" t="inlineStr">
        <is>
          <t>mission_chest_tianpeng_dijiao_2</t>
        </is>
      </c>
      <c r="D229" s="8" t="inlineStr">
        <is>
          <t>天蓬地窖二层宝箱</t>
        </is>
      </c>
      <c r="E229" s="8" t="inlineStr">
        <is>
          <t>blueprint_huxianpao</t>
        </is>
      </c>
      <c r="F229" s="8" t="inlineStr">
        <is>
          <t>blueprint_huxianpao</t>
        </is>
      </c>
      <c r="G229" s="8" t="inlineStr">
        <is>
          <t>狐仙袍图纸</t>
        </is>
      </c>
      <c r="H229" s="8" t="inlineStr">
        <is>
          <t>purple</t>
        </is>
      </c>
      <c r="I229" s="8" t="inlineStr">
        <is>
          <t>tool</t>
        </is>
      </c>
      <c r="J229" s="8" t="n">
        <v>0.1</v>
      </c>
      <c r="K229" s="8" t="n">
        <v>1</v>
      </c>
      <c r="L229" s="8" t="n">
        <v>1</v>
      </c>
      <c r="M229" s="8" t="n">
        <v>1</v>
      </c>
      <c r="N229" s="8" t="n">
        <v>1</v>
      </c>
      <c r="O229" s="8">
        <f>J229*K229/L229</f>
        <v>0.1</v>
      </c>
      <c r="P229" s="8">
        <f>(M229+N229)/2</f>
        <v>1.0</v>
      </c>
      <c r="Q229" s="8">
        <f>O229*P229</f>
        <v>0.1</v>
      </c>
      <c r="R229" s="8" t="n">
        <v>0</v>
      </c>
      <c r="S229" s="8">
        <f>Q229*R229</f>
        <v>0.0</v>
      </c>
      <c r="T229" s="8" t="n">
        <v>7</v>
      </c>
      <c r="U229" s="8" t="inlineStr">
        <is>
          <t>狐仙袍</t>
        </is>
      </c>
      <c r="V229" s="8" t="inlineStr">
        <is>
          <t>data/item_templates.yaml:mission_chest_tianpeng_dijiao_2.effect_payload</t>
        </is>
      </c>
    </row>
    <row r="230" ht="36" customHeight="1">
      <c r="A230" s="8" t="inlineStr">
        <is>
          <t>tianpeng_dijiao_2</t>
        </is>
      </c>
      <c r="B230" s="8" t="inlineStr">
        <is>
          <t>天蓬元帅的地窖（第二层）</t>
        </is>
      </c>
      <c r="C230" s="8" t="inlineStr">
        <is>
          <t>mission_chest_tianpeng_dijiao_2</t>
        </is>
      </c>
      <c r="D230" s="8" t="inlineStr">
        <is>
          <t>天蓬地窖二层宝箱</t>
        </is>
      </c>
      <c r="E230" s="8" t="inlineStr">
        <is>
          <t>blueprint_huxianxie</t>
        </is>
      </c>
      <c r="F230" s="8" t="inlineStr">
        <is>
          <t>blueprint_huxianxie</t>
        </is>
      </c>
      <c r="G230" s="8" t="inlineStr">
        <is>
          <t>狐仙鞋图纸</t>
        </is>
      </c>
      <c r="H230" s="8" t="inlineStr">
        <is>
          <t>purple</t>
        </is>
      </c>
      <c r="I230" s="8" t="inlineStr">
        <is>
          <t>tool</t>
        </is>
      </c>
      <c r="J230" s="8" t="n">
        <v>0.1</v>
      </c>
      <c r="K230" s="8" t="n">
        <v>1</v>
      </c>
      <c r="L230" s="8" t="n">
        <v>1</v>
      </c>
      <c r="M230" s="8" t="n">
        <v>1</v>
      </c>
      <c r="N230" s="8" t="n">
        <v>1</v>
      </c>
      <c r="O230" s="8">
        <f>J230*K230/L230</f>
        <v>0.1</v>
      </c>
      <c r="P230" s="8">
        <f>(M230+N230)/2</f>
        <v>1.0</v>
      </c>
      <c r="Q230" s="8">
        <f>O230*P230</f>
        <v>0.1</v>
      </c>
      <c r="R230" s="8" t="n">
        <v>0</v>
      </c>
      <c r="S230" s="8">
        <f>Q230*R230</f>
        <v>0.0</v>
      </c>
      <c r="T230" s="8" t="n">
        <v>7</v>
      </c>
      <c r="U230" s="8" t="inlineStr">
        <is>
          <t>狐仙鞋</t>
        </is>
      </c>
      <c r="V230" s="8" t="inlineStr">
        <is>
          <t>data/item_templates.yaml:mission_chest_tianpeng_dijiao_2.effect_payload</t>
        </is>
      </c>
    </row>
    <row r="231" ht="36" customHeight="1">
      <c r="A231" s="8" t="inlineStr">
        <is>
          <t>tianpeng_dijiao_2</t>
        </is>
      </c>
      <c r="B231" s="8" t="inlineStr">
        <is>
          <t>天蓬元帅的地窖（第二层）</t>
        </is>
      </c>
      <c r="C231" s="8" t="inlineStr">
        <is>
          <t>mission_chest_tianpeng_dijiao_2</t>
        </is>
      </c>
      <c r="D231" s="8" t="inlineStr">
        <is>
          <t>天蓬地窖二层宝箱</t>
        </is>
      </c>
      <c r="E231" s="8" t="inlineStr">
        <is>
          <t>主题装备</t>
        </is>
      </c>
      <c r="F231" s="8" t="inlineStr">
        <is>
          <t>equip_zhaoyaojing</t>
        </is>
      </c>
      <c r="G231" s="8" t="inlineStr">
        <is>
          <t>照妖镜</t>
        </is>
      </c>
      <c r="H231" s="8" t="inlineStr">
        <is>
          <t>blue</t>
        </is>
      </c>
      <c r="I231" s="8" t="inlineStr">
        <is>
          <t>equip_ornament</t>
        </is>
      </c>
      <c r="J231" s="8" t="n">
        <v>0.55</v>
      </c>
      <c r="K231" s="8" t="n">
        <v>15000</v>
      </c>
      <c r="L231" s="8" t="n">
        <v>55000</v>
      </c>
      <c r="M231" s="8" t="n">
        <v>1</v>
      </c>
      <c r="N231" s="8" t="n">
        <v>1</v>
      </c>
      <c r="O231" s="8">
        <f>J231*K231/L231</f>
        <v>0.15</v>
      </c>
      <c r="P231" s="8">
        <f>(M231+N231)/2</f>
        <v>1.0</v>
      </c>
      <c r="Q231" s="8">
        <f>O231*P231</f>
        <v>0.15</v>
      </c>
      <c r="R231" s="8" t="n">
        <v>0</v>
      </c>
      <c r="S231" s="8">
        <f>Q231*R231</f>
        <v>0.0</v>
      </c>
      <c r="T231" s="8" t="n"/>
      <c r="U231" s="8" t="inlineStr"/>
      <c r="V231" s="8" t="inlineStr">
        <is>
          <t>data/item_templates.yaml:mission_chest_tianpeng_dijiao_2.effect_payload</t>
        </is>
      </c>
    </row>
    <row r="232" ht="36" customHeight="1">
      <c r="A232" s="8" t="inlineStr">
        <is>
          <t>tianpeng_dijiao_2</t>
        </is>
      </c>
      <c r="B232" s="8" t="inlineStr">
        <is>
          <t>天蓬元帅的地窖（第二层）</t>
        </is>
      </c>
      <c r="C232" s="8" t="inlineStr">
        <is>
          <t>mission_chest_tianpeng_dijiao_2</t>
        </is>
      </c>
      <c r="D232" s="8" t="inlineStr">
        <is>
          <t>天蓬地窖二层宝箱</t>
        </is>
      </c>
      <c r="E232" s="8" t="inlineStr">
        <is>
          <t>主题装备</t>
        </is>
      </c>
      <c r="F232" s="8" t="inlineStr">
        <is>
          <t>equip_qiankunquan</t>
        </is>
      </c>
      <c r="G232" s="8" t="inlineStr">
        <is>
          <t>乾坤圈</t>
        </is>
      </c>
      <c r="H232" s="8" t="inlineStr">
        <is>
          <t>blue</t>
        </is>
      </c>
      <c r="I232" s="8" t="inlineStr">
        <is>
          <t>equip_ornament</t>
        </is>
      </c>
      <c r="J232" s="8" t="n">
        <v>0.55</v>
      </c>
      <c r="K232" s="8" t="n">
        <v>10000</v>
      </c>
      <c r="L232" s="8" t="n">
        <v>55000</v>
      </c>
      <c r="M232" s="8" t="n">
        <v>1</v>
      </c>
      <c r="N232" s="8" t="n">
        <v>1</v>
      </c>
      <c r="O232" s="8">
        <f>J232*K232/L232</f>
        <v>0.1</v>
      </c>
      <c r="P232" s="8">
        <f>(M232+N232)/2</f>
        <v>1.0</v>
      </c>
      <c r="Q232" s="8">
        <f>O232*P232</f>
        <v>0.1</v>
      </c>
      <c r="R232" s="8" t="n">
        <v>0</v>
      </c>
      <c r="S232" s="8">
        <f>Q232*R232</f>
        <v>0.0</v>
      </c>
      <c r="T232" s="8" t="n"/>
      <c r="U232" s="8" t="inlineStr"/>
      <c r="V232" s="8" t="inlineStr">
        <is>
          <t>data/item_templates.yaml:mission_chest_tianpeng_dijiao_2.effect_payload</t>
        </is>
      </c>
    </row>
    <row r="233" ht="36" customHeight="1">
      <c r="A233" s="8" t="inlineStr">
        <is>
          <t>tianpeng_dijiao_2</t>
        </is>
      </c>
      <c r="B233" s="8" t="inlineStr">
        <is>
          <t>天蓬元帅的地窖（第二层）</t>
        </is>
      </c>
      <c r="C233" s="8" t="inlineStr">
        <is>
          <t>mission_chest_tianpeng_dijiao_2</t>
        </is>
      </c>
      <c r="D233" s="8" t="inlineStr">
        <is>
          <t>天蓬地窖二层宝箱</t>
        </is>
      </c>
      <c r="E233" s="8" t="inlineStr">
        <is>
          <t>主题装备</t>
        </is>
      </c>
      <c r="F233" s="8" t="inlineStr">
        <is>
          <t>equip_tianjiluopan</t>
        </is>
      </c>
      <c r="G233" s="8" t="inlineStr">
        <is>
          <t>天机罗盘</t>
        </is>
      </c>
      <c r="H233" s="8" t="inlineStr">
        <is>
          <t>blue</t>
        </is>
      </c>
      <c r="I233" s="8" t="inlineStr">
        <is>
          <t>equip_ornament</t>
        </is>
      </c>
      <c r="J233" s="8" t="n">
        <v>0.55</v>
      </c>
      <c r="K233" s="8" t="n">
        <v>10000</v>
      </c>
      <c r="L233" s="8" t="n">
        <v>55000</v>
      </c>
      <c r="M233" s="8" t="n">
        <v>1</v>
      </c>
      <c r="N233" s="8" t="n">
        <v>1</v>
      </c>
      <c r="O233" s="8">
        <f>J233*K233/L233</f>
        <v>0.1</v>
      </c>
      <c r="P233" s="8">
        <f>(M233+N233)/2</f>
        <v>1.0</v>
      </c>
      <c r="Q233" s="8">
        <f>O233*P233</f>
        <v>0.1</v>
      </c>
      <c r="R233" s="8" t="n">
        <v>0</v>
      </c>
      <c r="S233" s="8">
        <f>Q233*R233</f>
        <v>0.0</v>
      </c>
      <c r="T233" s="8" t="n"/>
      <c r="U233" s="8" t="inlineStr"/>
      <c r="V233" s="8" t="inlineStr">
        <is>
          <t>data/item_templates.yaml:mission_chest_tianpeng_dijiao_2.effect_payload</t>
        </is>
      </c>
    </row>
    <row r="234" ht="36" customHeight="1">
      <c r="A234" s="8" t="inlineStr">
        <is>
          <t>tianpeng_dijiao_2</t>
        </is>
      </c>
      <c r="B234" s="8" t="inlineStr">
        <is>
          <t>天蓬元帅的地窖（第二层）</t>
        </is>
      </c>
      <c r="C234" s="8" t="inlineStr">
        <is>
          <t>mission_chest_tianpeng_dijiao_2</t>
        </is>
      </c>
      <c r="D234" s="8" t="inlineStr">
        <is>
          <t>天蓬地窖二层宝箱</t>
        </is>
      </c>
      <c r="E234" s="8" t="inlineStr">
        <is>
          <t>主题装备</t>
        </is>
      </c>
      <c r="F234" s="8" t="inlineStr">
        <is>
          <t>equip_lingwenyubi</t>
        </is>
      </c>
      <c r="G234" s="8" t="inlineStr">
        <is>
          <t>灵纹玉笔</t>
        </is>
      </c>
      <c r="H234" s="8" t="inlineStr">
        <is>
          <t>blue</t>
        </is>
      </c>
      <c r="I234" s="8" t="inlineStr">
        <is>
          <t>equip_ornament</t>
        </is>
      </c>
      <c r="J234" s="8" t="n">
        <v>0.55</v>
      </c>
      <c r="K234" s="8" t="n">
        <v>10000</v>
      </c>
      <c r="L234" s="8" t="n">
        <v>55000</v>
      </c>
      <c r="M234" s="8" t="n">
        <v>1</v>
      </c>
      <c r="N234" s="8" t="n">
        <v>1</v>
      </c>
      <c r="O234" s="8">
        <f>J234*K234/L234</f>
        <v>0.1</v>
      </c>
      <c r="P234" s="8">
        <f>(M234+N234)/2</f>
        <v>1.0</v>
      </c>
      <c r="Q234" s="8">
        <f>O234*P234</f>
        <v>0.1</v>
      </c>
      <c r="R234" s="8" t="n">
        <v>0</v>
      </c>
      <c r="S234" s="8">
        <f>Q234*R234</f>
        <v>0.0</v>
      </c>
      <c r="T234" s="8" t="n"/>
      <c r="U234" s="8" t="inlineStr"/>
      <c r="V234" s="8" t="inlineStr">
        <is>
          <t>data/item_templates.yaml:mission_chest_tianpeng_dijiao_2.effect_payload</t>
        </is>
      </c>
    </row>
    <row r="235" ht="36" customHeight="1">
      <c r="A235" s="8" t="inlineStr">
        <is>
          <t>tianpeng_dijiao_2</t>
        </is>
      </c>
      <c r="B235" s="8" t="inlineStr">
        <is>
          <t>天蓬元帅的地窖（第二层）</t>
        </is>
      </c>
      <c r="C235" s="8" t="inlineStr">
        <is>
          <t>mission_chest_tianpeng_dijiao_2</t>
        </is>
      </c>
      <c r="D235" s="8" t="inlineStr">
        <is>
          <t>天蓬地窖二层宝箱</t>
        </is>
      </c>
      <c r="E235" s="8" t="inlineStr">
        <is>
          <t>主题装备</t>
        </is>
      </c>
      <c r="F235" s="8" t="inlineStr">
        <is>
          <t>equip_guanxingdeng</t>
        </is>
      </c>
      <c r="G235" s="8" t="inlineStr">
        <is>
          <t>观星灯</t>
        </is>
      </c>
      <c r="H235" s="8" t="inlineStr">
        <is>
          <t>blue</t>
        </is>
      </c>
      <c r="I235" s="8" t="inlineStr">
        <is>
          <t>equip_ornament</t>
        </is>
      </c>
      <c r="J235" s="8" t="n">
        <v>0.55</v>
      </c>
      <c r="K235" s="8" t="n">
        <v>10000</v>
      </c>
      <c r="L235" s="8" t="n">
        <v>55000</v>
      </c>
      <c r="M235" s="8" t="n">
        <v>1</v>
      </c>
      <c r="N235" s="8" t="n">
        <v>1</v>
      </c>
      <c r="O235" s="8">
        <f>J235*K235/L235</f>
        <v>0.1</v>
      </c>
      <c r="P235" s="8">
        <f>(M235+N235)/2</f>
        <v>1.0</v>
      </c>
      <c r="Q235" s="8">
        <f>O235*P235</f>
        <v>0.1</v>
      </c>
      <c r="R235" s="8" t="n">
        <v>0</v>
      </c>
      <c r="S235" s="8">
        <f>Q235*R235</f>
        <v>0.0</v>
      </c>
      <c r="T235" s="8" t="n"/>
      <c r="U235" s="8" t="inlineStr"/>
      <c r="V235" s="8" t="inlineStr">
        <is>
          <t>data/item_templates.yaml:mission_chest_tianpeng_dijiao_2.effect_payload</t>
        </is>
      </c>
    </row>
    <row r="236" ht="36" customHeight="1">
      <c r="A236" s="8" t="inlineStr">
        <is>
          <t>jiguan_chuniao</t>
        </is>
      </c>
      <c r="B236" s="8" t="inlineStr">
        <is>
          <t>机关雏鸟</t>
        </is>
      </c>
      <c r="C236" s="8" t="inlineStr">
        <is>
          <t>mission_chest_jiguan_chuniao</t>
        </is>
      </c>
      <c r="D236" s="8" t="inlineStr">
        <is>
          <t>机关雏鸟宝箱</t>
        </is>
      </c>
      <c r="E236" s="8" t="inlineStr">
        <is>
          <t>必得</t>
        </is>
      </c>
      <c r="F236" s="8" t="inlineStr">
        <is>
          <t>experience_fruit</t>
        </is>
      </c>
      <c r="G236" s="8" t="inlineStr">
        <is>
          <t>经验果</t>
        </is>
      </c>
      <c r="H236" s="8" t="inlineStr">
        <is>
          <t>green</t>
        </is>
      </c>
      <c r="I236" s="8" t="inlineStr">
        <is>
          <t>experience_items</t>
        </is>
      </c>
      <c r="J236" s="8" t="n">
        <v>1</v>
      </c>
      <c r="K236" s="8" t="n">
        <v>1</v>
      </c>
      <c r="L236" s="8" t="n">
        <v>1</v>
      </c>
      <c r="M236" s="8" t="n">
        <v>28</v>
      </c>
      <c r="N236" s="8" t="n">
        <v>28</v>
      </c>
      <c r="O236" s="8">
        <f>J236*K236/L236</f>
        <v>1.0</v>
      </c>
      <c r="P236" s="8">
        <f>(M236+N236)/2</f>
        <v>28.0</v>
      </c>
      <c r="Q236" s="8">
        <f>O236*P236</f>
        <v>28.0</v>
      </c>
      <c r="R236" s="8" t="n">
        <v>1</v>
      </c>
      <c r="S236" s="8">
        <f>Q236*R236</f>
        <v>28.0</v>
      </c>
      <c r="T236" s="8" t="n"/>
      <c r="U236" s="8" t="inlineStr"/>
      <c r="V236" s="8" t="inlineStr">
        <is>
          <t>data/item_templates.yaml:mission_chest_jiguan_chuniao.effect_payload</t>
        </is>
      </c>
    </row>
    <row r="237" ht="36" customHeight="1">
      <c r="A237" s="8" t="inlineStr">
        <is>
          <t>jiguan_chuniao</t>
        </is>
      </c>
      <c r="B237" s="8" t="inlineStr">
        <is>
          <t>机关雏鸟</t>
        </is>
      </c>
      <c r="C237" s="8" t="inlineStr">
        <is>
          <t>mission_chest_jiguan_chuniao</t>
        </is>
      </c>
      <c r="D237" s="8" t="inlineStr">
        <is>
          <t>机关雏鸟宝箱</t>
        </is>
      </c>
      <c r="E237" s="8" t="inlineStr">
        <is>
          <t>必得</t>
        </is>
      </c>
      <c r="F237" s="8" t="inlineStr">
        <is>
          <t>buxuedan</t>
        </is>
      </c>
      <c r="G237" s="8" t="inlineStr">
        <is>
          <t>补血丹</t>
        </is>
      </c>
      <c r="H237" s="8" t="inlineStr">
        <is>
          <t>black</t>
        </is>
      </c>
      <c r="I237" s="8" t="inlineStr">
        <is>
          <t>medicine</t>
        </is>
      </c>
      <c r="J237" s="8" t="n">
        <v>1</v>
      </c>
      <c r="K237" s="8" t="n">
        <v>1</v>
      </c>
      <c r="L237" s="8" t="n">
        <v>1</v>
      </c>
      <c r="M237" s="8" t="n">
        <v>2</v>
      </c>
      <c r="N237" s="8" t="n">
        <v>2</v>
      </c>
      <c r="O237" s="8">
        <f>J237*K237/L237</f>
        <v>1.0</v>
      </c>
      <c r="P237" s="8">
        <f>(M237+N237)/2</f>
        <v>2.0</v>
      </c>
      <c r="Q237" s="8">
        <f>O237*P237</f>
        <v>2.0</v>
      </c>
      <c r="R237" s="8" t="n">
        <v>0</v>
      </c>
      <c r="S237" s="8">
        <f>Q237*R237</f>
        <v>0.0</v>
      </c>
      <c r="T237" s="8" t="n"/>
      <c r="U237" s="8" t="inlineStr"/>
      <c r="V237" s="8" t="inlineStr">
        <is>
          <t>data/item_templates.yaml:mission_chest_jiguan_chuniao.effect_payload</t>
        </is>
      </c>
    </row>
    <row r="238" ht="36" customHeight="1">
      <c r="A238" s="8" t="inlineStr">
        <is>
          <t>jiguan_chuniao</t>
        </is>
      </c>
      <c r="B238" s="8" t="inlineStr">
        <is>
          <t>机关雏鸟</t>
        </is>
      </c>
      <c r="C238" s="8" t="inlineStr">
        <is>
          <t>mission_chest_jiguan_chuniao</t>
        </is>
      </c>
      <c r="D238" s="8" t="inlineStr">
        <is>
          <t>机关雏鸟宝箱</t>
        </is>
      </c>
      <c r="E238" s="8" t="inlineStr">
        <is>
          <t>必得</t>
        </is>
      </c>
      <c r="F238" s="8" t="inlineStr">
        <is>
          <t>tong</t>
        </is>
      </c>
      <c r="G238" s="8" t="inlineStr">
        <is>
          <t>铜</t>
        </is>
      </c>
      <c r="H238" s="8" t="inlineStr">
        <is>
          <t>black</t>
        </is>
      </c>
      <c r="I238" s="8" t="inlineStr">
        <is>
          <t>resource</t>
        </is>
      </c>
      <c r="J238" s="8" t="n">
        <v>1</v>
      </c>
      <c r="K238" s="8" t="n">
        <v>1</v>
      </c>
      <c r="L238" s="8" t="n">
        <v>1</v>
      </c>
      <c r="M238" s="8" t="n">
        <v>8</v>
      </c>
      <c r="N238" s="8" t="n">
        <v>8</v>
      </c>
      <c r="O238" s="8">
        <f>J238*K238/L238</f>
        <v>1.0</v>
      </c>
      <c r="P238" s="8">
        <f>(M238+N238)/2</f>
        <v>8.0</v>
      </c>
      <c r="Q238" s="8">
        <f>O238*P238</f>
        <v>8.0</v>
      </c>
      <c r="R238" s="8" t="n">
        <v>0</v>
      </c>
      <c r="S238" s="8">
        <f>Q238*R238</f>
        <v>0.0</v>
      </c>
      <c r="T238" s="8" t="n"/>
      <c r="U238" s="8" t="inlineStr"/>
      <c r="V238" s="8" t="inlineStr">
        <is>
          <t>data/item_templates.yaml:mission_chest_jiguan_chuniao.effect_payload</t>
        </is>
      </c>
    </row>
    <row r="239" ht="36" customHeight="1">
      <c r="A239" s="8" t="inlineStr">
        <is>
          <t>jiguan_chuniao</t>
        </is>
      </c>
      <c r="B239" s="8" t="inlineStr">
        <is>
          <t>机关雏鸟</t>
        </is>
      </c>
      <c r="C239" s="8" t="inlineStr">
        <is>
          <t>mission_chest_jiguan_chuniao</t>
        </is>
      </c>
      <c r="D239" s="8" t="inlineStr">
        <is>
          <t>机关雏鸟宝箱</t>
        </is>
      </c>
      <c r="E239" s="8" t="inlineStr">
        <is>
          <t>必得</t>
        </is>
      </c>
      <c r="F239" s="8" t="inlineStr">
        <is>
          <t>xi</t>
        </is>
      </c>
      <c r="G239" s="8" t="inlineStr">
        <is>
          <t>锡</t>
        </is>
      </c>
      <c r="H239" s="8" t="inlineStr">
        <is>
          <t>black</t>
        </is>
      </c>
      <c r="I239" s="8" t="inlineStr">
        <is>
          <t>resource</t>
        </is>
      </c>
      <c r="J239" s="8" t="n">
        <v>1</v>
      </c>
      <c r="K239" s="8" t="n">
        <v>1</v>
      </c>
      <c r="L239" s="8" t="n">
        <v>1</v>
      </c>
      <c r="M239" s="8" t="n">
        <v>5</v>
      </c>
      <c r="N239" s="8" t="n">
        <v>5</v>
      </c>
      <c r="O239" s="8">
        <f>J239*K239/L239</f>
        <v>1.0</v>
      </c>
      <c r="P239" s="8">
        <f>(M239+N239)/2</f>
        <v>5.0</v>
      </c>
      <c r="Q239" s="8">
        <f>O239*P239</f>
        <v>5.0</v>
      </c>
      <c r="R239" s="8" t="n">
        <v>0</v>
      </c>
      <c r="S239" s="8">
        <f>Q239*R239</f>
        <v>0.0</v>
      </c>
      <c r="T239" s="8" t="n"/>
      <c r="U239" s="8" t="inlineStr"/>
      <c r="V239" s="8" t="inlineStr">
        <is>
          <t>data/item_templates.yaml:mission_chest_jiguan_chuniao.effect_payload</t>
        </is>
      </c>
    </row>
    <row r="240" ht="36" customHeight="1">
      <c r="A240" s="8" t="inlineStr">
        <is>
          <t>jiguan_chuniao</t>
        </is>
      </c>
      <c r="B240" s="8" t="inlineStr">
        <is>
          <t>机关雏鸟</t>
        </is>
      </c>
      <c r="C240" s="8" t="inlineStr">
        <is>
          <t>mission_chest_jiguan_chuniao</t>
        </is>
      </c>
      <c r="D240" s="8" t="inlineStr">
        <is>
          <t>机关雏鸟宝箱</t>
        </is>
      </c>
      <c r="E240" s="8" t="inlineStr">
        <is>
          <t>必得</t>
        </is>
      </c>
      <c r="F240" s="8" t="inlineStr">
        <is>
          <t>tie</t>
        </is>
      </c>
      <c r="G240" s="8" t="inlineStr">
        <is>
          <t>铁</t>
        </is>
      </c>
      <c r="H240" s="8" t="inlineStr">
        <is>
          <t>black</t>
        </is>
      </c>
      <c r="I240" s="8" t="inlineStr">
        <is>
          <t>resource</t>
        </is>
      </c>
      <c r="J240" s="8" t="n">
        <v>1</v>
      </c>
      <c r="K240" s="8" t="n">
        <v>1</v>
      </c>
      <c r="L240" s="8" t="n">
        <v>1</v>
      </c>
      <c r="M240" s="8" t="n">
        <v>3</v>
      </c>
      <c r="N240" s="8" t="n">
        <v>3</v>
      </c>
      <c r="O240" s="8">
        <f>J240*K240/L240</f>
        <v>1.0</v>
      </c>
      <c r="P240" s="8">
        <f>(M240+N240)/2</f>
        <v>3.0</v>
      </c>
      <c r="Q240" s="8">
        <f>O240*P240</f>
        <v>3.0</v>
      </c>
      <c r="R240" s="8" t="n">
        <v>0</v>
      </c>
      <c r="S240" s="8">
        <f>Q240*R240</f>
        <v>0.0</v>
      </c>
      <c r="T240" s="8" t="n"/>
      <c r="U240" s="8" t="inlineStr"/>
      <c r="V240" s="8" t="inlineStr">
        <is>
          <t>data/item_templates.yaml:mission_chest_jiguan_chuniao.effect_payload</t>
        </is>
      </c>
    </row>
    <row r="241" ht="36" customHeight="1">
      <c r="A241" s="8" t="inlineStr">
        <is>
          <t>jiguan_chuniao</t>
        </is>
      </c>
      <c r="B241" s="8" t="inlineStr">
        <is>
          <t>机关雏鸟</t>
        </is>
      </c>
      <c r="C241" s="8" t="inlineStr">
        <is>
          <t>mission_chest_jiguan_chuniao</t>
        </is>
      </c>
      <c r="D241" s="8" t="inlineStr">
        <is>
          <t>机关雏鸟宝箱</t>
        </is>
      </c>
      <c r="E241" s="8" t="inlineStr">
        <is>
          <t>book_thunder_nine_heavens</t>
        </is>
      </c>
      <c r="F241" s="8" t="inlineStr">
        <is>
          <t>book_thunder_nine_heavens</t>
        </is>
      </c>
      <c r="G241" s="8" t="inlineStr">
        <is>
          <t>《雷动九天》秘术</t>
        </is>
      </c>
      <c r="H241" s="8" t="inlineStr">
        <is>
          <t>blue</t>
        </is>
      </c>
      <c r="I241" s="8" t="inlineStr">
        <is>
          <t>skill_book</t>
        </is>
      </c>
      <c r="J241" s="8" t="n">
        <v>0.04</v>
      </c>
      <c r="K241" s="8" t="n">
        <v>1</v>
      </c>
      <c r="L241" s="8" t="n">
        <v>1</v>
      </c>
      <c r="M241" s="8" t="n">
        <v>1</v>
      </c>
      <c r="N241" s="8" t="n">
        <v>1</v>
      </c>
      <c r="O241" s="8">
        <f>J241*K241/L241</f>
        <v>0.04</v>
      </c>
      <c r="P241" s="8">
        <f>(M241+N241)/2</f>
        <v>1.0</v>
      </c>
      <c r="Q241" s="8">
        <f>O241*P241</f>
        <v>0.04</v>
      </c>
      <c r="R241" s="8" t="n">
        <v>0</v>
      </c>
      <c r="S241" s="8">
        <f>Q241*R241</f>
        <v>0.0</v>
      </c>
      <c r="T241" s="8" t="n"/>
      <c r="U241" s="8" t="inlineStr"/>
      <c r="V241" s="8" t="inlineStr">
        <is>
          <t>data/item_templates.yaml:mission_chest_jiguan_chuniao.effect_payload</t>
        </is>
      </c>
    </row>
    <row r="242" ht="36" customHeight="1">
      <c r="A242" s="8" t="inlineStr">
        <is>
          <t>jiguan_chuniao</t>
        </is>
      </c>
      <c r="B242" s="8" t="inlineStr">
        <is>
          <t>机关雏鸟</t>
        </is>
      </c>
      <c r="C242" s="8" t="inlineStr">
        <is>
          <t>mission_chest_jiguan_chuniao</t>
        </is>
      </c>
      <c r="D242" s="8" t="inlineStr">
        <is>
          <t>机关雏鸟宝箱</t>
        </is>
      </c>
      <c r="E242" s="8" t="inlineStr">
        <is>
          <t>主题装备</t>
        </is>
      </c>
      <c r="F242" s="8" t="inlineStr">
        <is>
          <t>equip_feiyunzui</t>
        </is>
      </c>
      <c r="G242" s="8" t="inlineStr">
        <is>
          <t>飞云锥</t>
        </is>
      </c>
      <c r="H242" s="8" t="inlineStr">
        <is>
          <t>blue</t>
        </is>
      </c>
      <c r="I242" s="8" t="inlineStr">
        <is>
          <t>equip_mount</t>
        </is>
      </c>
      <c r="J242" s="8" t="n">
        <v>0.15</v>
      </c>
      <c r="K242" s="8" t="n">
        <v>10000</v>
      </c>
      <c r="L242" s="8" t="n">
        <v>15000</v>
      </c>
      <c r="M242" s="8" t="n">
        <v>1</v>
      </c>
      <c r="N242" s="8" t="n">
        <v>1</v>
      </c>
      <c r="O242" s="8">
        <f>J242*K242/L242</f>
        <v>0.1</v>
      </c>
      <c r="P242" s="8">
        <f>(M242+N242)/2</f>
        <v>1.0</v>
      </c>
      <c r="Q242" s="8">
        <f>O242*P242</f>
        <v>0.1</v>
      </c>
      <c r="R242" s="8" t="n">
        <v>0</v>
      </c>
      <c r="S242" s="8">
        <f>Q242*R242</f>
        <v>0.0</v>
      </c>
      <c r="T242" s="8" t="n"/>
      <c r="U242" s="8" t="inlineStr"/>
      <c r="V242" s="8" t="inlineStr">
        <is>
          <t>data/item_templates.yaml:mission_chest_jiguan_chuniao.effect_payload</t>
        </is>
      </c>
    </row>
    <row r="243" ht="36" customHeight="1">
      <c r="A243" s="8" t="inlineStr">
        <is>
          <t>jiguan_chuniao</t>
        </is>
      </c>
      <c r="B243" s="8" t="inlineStr">
        <is>
          <t>机关雏鸟</t>
        </is>
      </c>
      <c r="C243" s="8" t="inlineStr">
        <is>
          <t>mission_chest_jiguan_chuniao</t>
        </is>
      </c>
      <c r="D243" s="8" t="inlineStr">
        <is>
          <t>机关雏鸟宝箱</t>
        </is>
      </c>
      <c r="E243" s="8" t="inlineStr">
        <is>
          <t>主题装备</t>
        </is>
      </c>
      <c r="F243" s="8" t="inlineStr">
        <is>
          <t>equip_luopan</t>
        </is>
      </c>
      <c r="G243" s="8" t="inlineStr">
        <is>
          <t>罗盘</t>
        </is>
      </c>
      <c r="H243" s="8" t="inlineStr">
        <is>
          <t>green</t>
        </is>
      </c>
      <c r="I243" s="8" t="inlineStr">
        <is>
          <t>equip_ornament</t>
        </is>
      </c>
      <c r="J243" s="8" t="n">
        <v>0.15</v>
      </c>
      <c r="K243" s="8" t="n">
        <v>5000</v>
      </c>
      <c r="L243" s="8" t="n">
        <v>15000</v>
      </c>
      <c r="M243" s="8" t="n">
        <v>1</v>
      </c>
      <c r="N243" s="8" t="n">
        <v>1</v>
      </c>
      <c r="O243" s="8">
        <f>J243*K243/L243</f>
        <v>0.05</v>
      </c>
      <c r="P243" s="8">
        <f>(M243+N243)/2</f>
        <v>1.0</v>
      </c>
      <c r="Q243" s="8">
        <f>O243*P243</f>
        <v>0.05</v>
      </c>
      <c r="R243" s="8" t="n">
        <v>0</v>
      </c>
      <c r="S243" s="8">
        <f>Q243*R243</f>
        <v>0.0</v>
      </c>
      <c r="T243" s="8" t="n"/>
      <c r="U243" s="8" t="inlineStr"/>
      <c r="V243" s="8" t="inlineStr">
        <is>
          <t>data/item_templates.yaml:mission_chest_jiguan_chuniao.effect_payload</t>
        </is>
      </c>
    </row>
    <row r="244" ht="36" customHeight="1">
      <c r="A244" s="8" t="inlineStr">
        <is>
          <t>jiguan_chuniao</t>
        </is>
      </c>
      <c r="B244" s="8" t="inlineStr">
        <is>
          <t>机关雏鸟</t>
        </is>
      </c>
      <c r="C244" s="8" t="inlineStr">
        <is>
          <t>mission_chest_jiguan_chuniao</t>
        </is>
      </c>
      <c r="D244" s="8" t="inlineStr">
        <is>
          <t>机关雏鸟宝箱</t>
        </is>
      </c>
      <c r="E244" s="8" t="inlineStr">
        <is>
          <t>机关雏鸟主图纸</t>
        </is>
      </c>
      <c r="F244" s="8" t="inlineStr">
        <is>
          <t>blueprint_jiguanchuniao</t>
        </is>
      </c>
      <c r="G244" s="8" t="inlineStr">
        <is>
          <t>机关雏鸟图纸</t>
        </is>
      </c>
      <c r="H244" s="8" t="inlineStr">
        <is>
          <t>blue</t>
        </is>
      </c>
      <c r="I244" s="8" t="inlineStr">
        <is>
          <t>tool</t>
        </is>
      </c>
      <c r="J244" s="8" t="n">
        <v>0.4</v>
      </c>
      <c r="K244" s="8" t="n">
        <v>1</v>
      </c>
      <c r="L244" s="8" t="n">
        <v>1</v>
      </c>
      <c r="M244" s="8" t="n">
        <v>1</v>
      </c>
      <c r="N244" s="8" t="n">
        <v>1</v>
      </c>
      <c r="O244" s="8">
        <f>J244*K244/L244</f>
        <v>0.4</v>
      </c>
      <c r="P244" s="8">
        <f>(M244+N244)/2</f>
        <v>1.0</v>
      </c>
      <c r="Q244" s="8">
        <f>O244*P244</f>
        <v>0.4</v>
      </c>
      <c r="R244" s="8" t="n">
        <v>0</v>
      </c>
      <c r="S244" s="8">
        <f>Q244*R244</f>
        <v>0.0</v>
      </c>
      <c r="T244" s="8" t="n">
        <v>8</v>
      </c>
      <c r="U244" s="8" t="inlineStr">
        <is>
          <t>机关雏鸟</t>
        </is>
      </c>
      <c r="V244" s="8" t="inlineStr">
        <is>
          <t>data/item_templates.yaml:mission_chest_jiguan_chuniao.effect_payload</t>
        </is>
      </c>
    </row>
    <row r="245" ht="36" customHeight="1">
      <c r="A245" s="8" t="inlineStr">
        <is>
          <t>jiguan_chuniao</t>
        </is>
      </c>
      <c r="B245" s="8" t="inlineStr">
        <is>
          <t>机关雏鸟</t>
        </is>
      </c>
      <c r="C245" s="8" t="inlineStr">
        <is>
          <t>mission_chest_jiguan_chuniao</t>
        </is>
      </c>
      <c r="D245" s="8" t="inlineStr">
        <is>
          <t>机关雏鸟宝箱</t>
        </is>
      </c>
      <c r="E245" s="8" t="inlineStr">
        <is>
          <t>blueprint_mechanism_blue</t>
        </is>
      </c>
      <c r="F245" s="8" t="inlineStr">
        <is>
          <t>blueprint_jixiemao</t>
        </is>
      </c>
      <c r="G245" s="8" t="inlineStr">
        <is>
          <t>机械猫图纸</t>
        </is>
      </c>
      <c r="H245" s="8" t="inlineStr">
        <is>
          <t>blue</t>
        </is>
      </c>
      <c r="I245" s="8" t="inlineStr">
        <is>
          <t>tool</t>
        </is>
      </c>
      <c r="J245" s="8" t="n">
        <v>0.2</v>
      </c>
      <c r="K245" s="8" t="n">
        <v>1</v>
      </c>
      <c r="L245" s="8" t="n">
        <v>3</v>
      </c>
      <c r="M245" s="8" t="n">
        <v>1</v>
      </c>
      <c r="N245" s="8" t="n">
        <v>1</v>
      </c>
      <c r="O245" s="8">
        <f>J245*K245/L245</f>
        <v>0.06666666666666667</v>
      </c>
      <c r="P245" s="8">
        <f>(M245+N245)/2</f>
        <v>1.0</v>
      </c>
      <c r="Q245" s="8">
        <f>O245*P245</f>
        <v>0.06666666666666667</v>
      </c>
      <c r="R245" s="8" t="n">
        <v>0</v>
      </c>
      <c r="S245" s="8">
        <f>Q245*R245</f>
        <v>0.0</v>
      </c>
      <c r="T245" s="8" t="n">
        <v>8</v>
      </c>
      <c r="U245" s="8" t="inlineStr">
        <is>
          <t>机械猫</t>
        </is>
      </c>
      <c r="V245" s="8" t="inlineStr">
        <is>
          <t>data/item_templates.yaml:mission_chest_jiguan_chuniao.effect_payload</t>
        </is>
      </c>
    </row>
    <row r="246" ht="36" customHeight="1">
      <c r="A246" s="8" t="inlineStr">
        <is>
          <t>jiguan_chuniao</t>
        </is>
      </c>
      <c r="B246" s="8" t="inlineStr">
        <is>
          <t>机关雏鸟</t>
        </is>
      </c>
      <c r="C246" s="8" t="inlineStr">
        <is>
          <t>mission_chest_jiguan_chuniao</t>
        </is>
      </c>
      <c r="D246" s="8" t="inlineStr">
        <is>
          <t>机关雏鸟宝箱</t>
        </is>
      </c>
      <c r="E246" s="8" t="inlineStr">
        <is>
          <t>blueprint_mechanism_blue</t>
        </is>
      </c>
      <c r="F246" s="8" t="inlineStr">
        <is>
          <t>blueprint_kuileimuren</t>
        </is>
      </c>
      <c r="G246" s="8" t="inlineStr">
        <is>
          <t>傀儡木人图纸</t>
        </is>
      </c>
      <c r="H246" s="8" t="inlineStr">
        <is>
          <t>blue</t>
        </is>
      </c>
      <c r="I246" s="8" t="inlineStr">
        <is>
          <t>tool</t>
        </is>
      </c>
      <c r="J246" s="8" t="n">
        <v>0.2</v>
      </c>
      <c r="K246" s="8" t="n">
        <v>1</v>
      </c>
      <c r="L246" s="8" t="n">
        <v>3</v>
      </c>
      <c r="M246" s="8" t="n">
        <v>1</v>
      </c>
      <c r="N246" s="8" t="n">
        <v>1</v>
      </c>
      <c r="O246" s="8">
        <f>J246*K246/L246</f>
        <v>0.06666666666666667</v>
      </c>
      <c r="P246" s="8">
        <f>(M246+N246)/2</f>
        <v>1.0</v>
      </c>
      <c r="Q246" s="8">
        <f>O246*P246</f>
        <v>0.06666666666666667</v>
      </c>
      <c r="R246" s="8" t="n">
        <v>0</v>
      </c>
      <c r="S246" s="8">
        <f>Q246*R246</f>
        <v>0.0</v>
      </c>
      <c r="T246" s="8" t="n">
        <v>8</v>
      </c>
      <c r="U246" s="8" t="inlineStr">
        <is>
          <t>傀儡木人</t>
        </is>
      </c>
      <c r="V246" s="8" t="inlineStr">
        <is>
          <t>data/item_templates.yaml:mission_chest_jiguan_chuniao.effect_payload</t>
        </is>
      </c>
    </row>
    <row r="247" ht="36" customHeight="1">
      <c r="A247" s="8" t="inlineStr">
        <is>
          <t>jiguan_chuniao</t>
        </is>
      </c>
      <c r="B247" s="8" t="inlineStr">
        <is>
          <t>机关雏鸟</t>
        </is>
      </c>
      <c r="C247" s="8" t="inlineStr">
        <is>
          <t>mission_chest_jiguan_chuniao</t>
        </is>
      </c>
      <c r="D247" s="8" t="inlineStr">
        <is>
          <t>机关雏鸟宝箱</t>
        </is>
      </c>
      <c r="E247" s="8" t="inlineStr">
        <is>
          <t>blueprint_mechanism_blue</t>
        </is>
      </c>
      <c r="F247" s="8" t="inlineStr">
        <is>
          <t>blueprint_qingji</t>
        </is>
      </c>
      <c r="G247" s="8" t="inlineStr">
        <is>
          <t>庆忌图纸</t>
        </is>
      </c>
      <c r="H247" s="8" t="inlineStr">
        <is>
          <t>blue</t>
        </is>
      </c>
      <c r="I247" s="8" t="inlineStr">
        <is>
          <t>tool</t>
        </is>
      </c>
      <c r="J247" s="8" t="n">
        <v>0.2</v>
      </c>
      <c r="K247" s="8" t="n">
        <v>1</v>
      </c>
      <c r="L247" s="8" t="n">
        <v>3</v>
      </c>
      <c r="M247" s="8" t="n">
        <v>1</v>
      </c>
      <c r="N247" s="8" t="n">
        <v>1</v>
      </c>
      <c r="O247" s="8">
        <f>J247*K247/L247</f>
        <v>0.06666666666666667</v>
      </c>
      <c r="P247" s="8">
        <f>(M247+N247)/2</f>
        <v>1.0</v>
      </c>
      <c r="Q247" s="8">
        <f>O247*P247</f>
        <v>0.06666666666666667</v>
      </c>
      <c r="R247" s="8" t="n">
        <v>0</v>
      </c>
      <c r="S247" s="8">
        <f>Q247*R247</f>
        <v>0.0</v>
      </c>
      <c r="T247" s="8" t="n">
        <v>8</v>
      </c>
      <c r="U247" s="8" t="inlineStr">
        <is>
          <t>庆忌</t>
        </is>
      </c>
      <c r="V247" s="8" t="inlineStr">
        <is>
          <t>data/item_templates.yaml:mission_chest_jiguan_chuniao.effect_payload</t>
        </is>
      </c>
    </row>
    <row r="248" ht="36" customHeight="1">
      <c r="A248" s="8" t="inlineStr">
        <is>
          <t>jiguan_chuniao</t>
        </is>
      </c>
      <c r="B248" s="8" t="inlineStr">
        <is>
          <t>机关雏鸟</t>
        </is>
      </c>
      <c r="C248" s="8" t="inlineStr">
        <is>
          <t>mission_chest_jiguan_chuniao</t>
        </is>
      </c>
      <c r="D248" s="8" t="inlineStr">
        <is>
          <t>机关雏鸟宝箱</t>
        </is>
      </c>
      <c r="E248" s="8" t="inlineStr">
        <is>
          <t>随机关雏鸟图纸附带（同次命中）</t>
        </is>
      </c>
      <c r="F248" s="8" t="inlineStr">
        <is>
          <t>tong</t>
        </is>
      </c>
      <c r="G248" s="8" t="inlineStr">
        <is>
          <t>铜</t>
        </is>
      </c>
      <c r="H248" s="8" t="inlineStr">
        <is>
          <t>black</t>
        </is>
      </c>
      <c r="I248" s="8" t="inlineStr">
        <is>
          <t>resource</t>
        </is>
      </c>
      <c r="J248" s="8" t="n">
        <v>0.4</v>
      </c>
      <c r="K248" s="8" t="n">
        <v>1</v>
      </c>
      <c r="L248" s="8" t="n">
        <v>1</v>
      </c>
      <c r="M248" s="8" t="n">
        <v>25</v>
      </c>
      <c r="N248" s="8" t="n">
        <v>25</v>
      </c>
      <c r="O248" s="8">
        <f>J248*K248/L248</f>
        <v>0.4</v>
      </c>
      <c r="P248" s="8">
        <f>(M248+N248)/2</f>
        <v>25.0</v>
      </c>
      <c r="Q248" s="8">
        <f>O248*P248</f>
        <v>10.0</v>
      </c>
      <c r="R248" s="8" t="n">
        <v>0</v>
      </c>
      <c r="S248" s="8">
        <f>Q248*R248</f>
        <v>0.0</v>
      </c>
      <c r="T248" s="8" t="n"/>
      <c r="U248" s="8" t="inlineStr"/>
      <c r="V248" s="8" t="inlineStr">
        <is>
          <t>data/item_templates.yaml:mission_chest_jiguan_chuniao.effect_payload</t>
        </is>
      </c>
    </row>
    <row r="249" ht="36" customHeight="1">
      <c r="A249" s="8" t="inlineStr">
        <is>
          <t>jiguan_chuniao</t>
        </is>
      </c>
      <c r="B249" s="8" t="inlineStr">
        <is>
          <t>机关雏鸟</t>
        </is>
      </c>
      <c r="C249" s="8" t="inlineStr">
        <is>
          <t>mission_chest_jiguan_chuniao</t>
        </is>
      </c>
      <c r="D249" s="8" t="inlineStr">
        <is>
          <t>机关雏鸟宝箱</t>
        </is>
      </c>
      <c r="E249" s="8" t="inlineStr">
        <is>
          <t>随机关雏鸟图纸附带（同次命中）</t>
        </is>
      </c>
      <c r="F249" s="8" t="inlineStr">
        <is>
          <t>xi</t>
        </is>
      </c>
      <c r="G249" s="8" t="inlineStr">
        <is>
          <t>锡</t>
        </is>
      </c>
      <c r="H249" s="8" t="inlineStr">
        <is>
          <t>black</t>
        </is>
      </c>
      <c r="I249" s="8" t="inlineStr">
        <is>
          <t>resource</t>
        </is>
      </c>
      <c r="J249" s="8" t="n">
        <v>0.4</v>
      </c>
      <c r="K249" s="8" t="n">
        <v>1</v>
      </c>
      <c r="L249" s="8" t="n">
        <v>1</v>
      </c>
      <c r="M249" s="8" t="n">
        <v>17</v>
      </c>
      <c r="N249" s="8" t="n">
        <v>17</v>
      </c>
      <c r="O249" s="8">
        <f>J249*K249/L249</f>
        <v>0.4</v>
      </c>
      <c r="P249" s="8">
        <f>(M249+N249)/2</f>
        <v>17.0</v>
      </c>
      <c r="Q249" s="8">
        <f>O249*P249</f>
        <v>6.800000000000001</v>
      </c>
      <c r="R249" s="8" t="n">
        <v>0</v>
      </c>
      <c r="S249" s="8">
        <f>Q249*R249</f>
        <v>0.0</v>
      </c>
      <c r="T249" s="8" t="n"/>
      <c r="U249" s="8" t="inlineStr"/>
      <c r="V249" s="8" t="inlineStr">
        <is>
          <t>data/item_templates.yaml:mission_chest_jiguan_chuniao.effect_payload</t>
        </is>
      </c>
    </row>
    <row r="250" ht="36" customHeight="1">
      <c r="A250" s="8" t="inlineStr">
        <is>
          <t>jiguan_chuniao</t>
        </is>
      </c>
      <c r="B250" s="8" t="inlineStr">
        <is>
          <t>机关雏鸟</t>
        </is>
      </c>
      <c r="C250" s="8" t="inlineStr">
        <is>
          <t>mission_chest_jiguan_chuniao</t>
        </is>
      </c>
      <c r="D250" s="8" t="inlineStr">
        <is>
          <t>机关雏鸟宝箱</t>
        </is>
      </c>
      <c r="E250" s="8" t="inlineStr">
        <is>
          <t>随机关雏鸟图纸附带（同次命中）</t>
        </is>
      </c>
      <c r="F250" s="8" t="inlineStr">
        <is>
          <t>tie</t>
        </is>
      </c>
      <c r="G250" s="8" t="inlineStr">
        <is>
          <t>铁</t>
        </is>
      </c>
      <c r="H250" s="8" t="inlineStr">
        <is>
          <t>black</t>
        </is>
      </c>
      <c r="I250" s="8" t="inlineStr">
        <is>
          <t>resource</t>
        </is>
      </c>
      <c r="J250" s="8" t="n">
        <v>0.4</v>
      </c>
      <c r="K250" s="8" t="n">
        <v>1</v>
      </c>
      <c r="L250" s="8" t="n">
        <v>1</v>
      </c>
      <c r="M250" s="8" t="n">
        <v>12</v>
      </c>
      <c r="N250" s="8" t="n">
        <v>12</v>
      </c>
      <c r="O250" s="8">
        <f>J250*K250/L250</f>
        <v>0.4</v>
      </c>
      <c r="P250" s="8">
        <f>(M250+N250)/2</f>
        <v>12.0</v>
      </c>
      <c r="Q250" s="8">
        <f>O250*P250</f>
        <v>4.800000000000001</v>
      </c>
      <c r="R250" s="8" t="n">
        <v>0</v>
      </c>
      <c r="S250" s="8">
        <f>Q250*R250</f>
        <v>0.0</v>
      </c>
      <c r="T250" s="8" t="n"/>
      <c r="U250" s="8" t="inlineStr"/>
      <c r="V250" s="8" t="inlineStr">
        <is>
          <t>data/item_templates.yaml:mission_chest_jiguan_chuniao.effect_payload</t>
        </is>
      </c>
    </row>
    <row r="251" ht="36" customHeight="1">
      <c r="A251" s="8" t="inlineStr">
        <is>
          <t>jiguan_chuniao</t>
        </is>
      </c>
      <c r="B251" s="8" t="inlineStr">
        <is>
          <t>机关雏鸟</t>
        </is>
      </c>
      <c r="C251" s="8" t="inlineStr">
        <is>
          <t>mission_chest_jiguan_chuniao</t>
        </is>
      </c>
      <c r="D251" s="8" t="inlineStr">
        <is>
          <t>机关雏鸟宝箱</t>
        </is>
      </c>
      <c r="E251" s="8" t="inlineStr">
        <is>
          <t>随机关雏鸟图纸附带（同次命中）</t>
        </is>
      </c>
      <c r="F251" s="8" t="inlineStr">
        <is>
          <t>wood_essence</t>
        </is>
      </c>
      <c r="G251" s="8" t="inlineStr">
        <is>
          <t>木质精华</t>
        </is>
      </c>
      <c r="H251" s="8" t="inlineStr">
        <is>
          <t>green</t>
        </is>
      </c>
      <c r="I251" s="8" t="inlineStr">
        <is>
          <t>resource</t>
        </is>
      </c>
      <c r="J251" s="8" t="n">
        <v>0.4</v>
      </c>
      <c r="K251" s="8" t="n">
        <v>1</v>
      </c>
      <c r="L251" s="8" t="n">
        <v>1</v>
      </c>
      <c r="M251" s="8" t="n">
        <v>1</v>
      </c>
      <c r="N251" s="8" t="n">
        <v>1</v>
      </c>
      <c r="O251" s="8">
        <f>J251*K251/L251</f>
        <v>0.4</v>
      </c>
      <c r="P251" s="8">
        <f>(M251+N251)/2</f>
        <v>1.0</v>
      </c>
      <c r="Q251" s="8">
        <f>O251*P251</f>
        <v>0.4</v>
      </c>
      <c r="R251" s="8" t="n">
        <v>0</v>
      </c>
      <c r="S251" s="8">
        <f>Q251*R251</f>
        <v>0.0</v>
      </c>
      <c r="T251" s="8" t="n"/>
      <c r="U251" s="8" t="inlineStr"/>
      <c r="V251" s="8" t="inlineStr">
        <is>
          <t>data/item_templates.yaml:mission_chest_jiguan_chuniao.effect_payload</t>
        </is>
      </c>
    </row>
    <row r="252" ht="36" customHeight="1">
      <c r="A252" s="8" t="inlineStr">
        <is>
          <t>jiguan_chuniao</t>
        </is>
      </c>
      <c r="B252" s="8" t="inlineStr">
        <is>
          <t>机关雏鸟</t>
        </is>
      </c>
      <c r="C252" s="8" t="inlineStr">
        <is>
          <t>mission_chest_jiguan_chuniao</t>
        </is>
      </c>
      <c r="D252" s="8" t="inlineStr">
        <is>
          <t>机关雏鸟宝箱</t>
        </is>
      </c>
      <c r="E252" s="8" t="inlineStr">
        <is>
          <t>随机关雏鸟图纸附带（同次命中）</t>
        </is>
      </c>
      <c r="F252" s="8" t="inlineStr">
        <is>
          <t>copper_essence</t>
        </is>
      </c>
      <c r="G252" s="8" t="inlineStr">
        <is>
          <t>铜质精华</t>
        </is>
      </c>
      <c r="H252" s="8" t="inlineStr">
        <is>
          <t>green</t>
        </is>
      </c>
      <c r="I252" s="8" t="inlineStr">
        <is>
          <t>resource</t>
        </is>
      </c>
      <c r="J252" s="8" t="n">
        <v>0.4</v>
      </c>
      <c r="K252" s="8" t="n">
        <v>1</v>
      </c>
      <c r="L252" s="8" t="n">
        <v>1</v>
      </c>
      <c r="M252" s="8" t="n">
        <v>1</v>
      </c>
      <c r="N252" s="8" t="n">
        <v>1</v>
      </c>
      <c r="O252" s="8">
        <f>J252*K252/L252</f>
        <v>0.4</v>
      </c>
      <c r="P252" s="8">
        <f>(M252+N252)/2</f>
        <v>1.0</v>
      </c>
      <c r="Q252" s="8">
        <f>O252*P252</f>
        <v>0.4</v>
      </c>
      <c r="R252" s="8" t="n">
        <v>0</v>
      </c>
      <c r="S252" s="8">
        <f>Q252*R252</f>
        <v>0.0</v>
      </c>
      <c r="T252" s="8" t="n"/>
      <c r="U252" s="8" t="inlineStr"/>
      <c r="V252" s="8" t="inlineStr">
        <is>
          <t>data/item_templates.yaml:mission_chest_jiguan_chuniao.effect_payload</t>
        </is>
      </c>
    </row>
    <row r="253" ht="36" customHeight="1">
      <c r="A253" s="8" t="inlineStr">
        <is>
          <t>jiguan_chuniao</t>
        </is>
      </c>
      <c r="B253" s="8" t="inlineStr">
        <is>
          <t>机关雏鸟</t>
        </is>
      </c>
      <c r="C253" s="8" t="inlineStr">
        <is>
          <t>mission_chest_jiguan_chuniao</t>
        </is>
      </c>
      <c r="D253" s="8" t="inlineStr">
        <is>
          <t>机关雏鸟宝箱</t>
        </is>
      </c>
      <c r="E253" s="8" t="inlineStr">
        <is>
          <t>随机关雏鸟图纸附带（同次命中）</t>
        </is>
      </c>
      <c r="F253" s="8" t="inlineStr">
        <is>
          <t>xuan_tie_essence</t>
        </is>
      </c>
      <c r="G253" s="8" t="inlineStr">
        <is>
          <t>玄铁精华</t>
        </is>
      </c>
      <c r="H253" s="8" t="inlineStr">
        <is>
          <t>blue</t>
        </is>
      </c>
      <c r="I253" s="8" t="inlineStr">
        <is>
          <t>resource</t>
        </is>
      </c>
      <c r="J253" s="8" t="n">
        <v>0.4</v>
      </c>
      <c r="K253" s="8" t="n">
        <v>1</v>
      </c>
      <c r="L253" s="8" t="n">
        <v>1</v>
      </c>
      <c r="M253" s="8" t="n">
        <v>1</v>
      </c>
      <c r="N253" s="8" t="n">
        <v>1</v>
      </c>
      <c r="O253" s="8">
        <f>J253*K253/L253</f>
        <v>0.4</v>
      </c>
      <c r="P253" s="8">
        <f>(M253+N253)/2</f>
        <v>1.0</v>
      </c>
      <c r="Q253" s="8">
        <f>O253*P253</f>
        <v>0.4</v>
      </c>
      <c r="R253" s="8" t="n">
        <v>0</v>
      </c>
      <c r="S253" s="8">
        <f>Q253*R253</f>
        <v>0.0</v>
      </c>
      <c r="T253" s="8" t="n"/>
      <c r="U253" s="8" t="inlineStr"/>
      <c r="V253" s="8" t="inlineStr">
        <is>
          <t>data/item_templates.yaml:mission_chest_jiguan_chuniao.effect_payload</t>
        </is>
      </c>
    </row>
    <row r="254" ht="36" customHeight="1">
      <c r="A254" s="8" t="inlineStr">
        <is>
          <t>jiguan_chuniao</t>
        </is>
      </c>
      <c r="B254" s="8" t="inlineStr">
        <is>
          <t>机关雏鸟</t>
        </is>
      </c>
      <c r="C254" s="8" t="inlineStr">
        <is>
          <t>mission_chest_jiguan_chuniao</t>
        </is>
      </c>
      <c r="D254" s="8" t="inlineStr">
        <is>
          <t>机关雏鸟宝箱</t>
        </is>
      </c>
      <c r="E254" s="8" t="inlineStr">
        <is>
          <t>随机关雏鸟图纸附带（同次命中）</t>
        </is>
      </c>
      <c r="F254" s="8" t="inlineStr">
        <is>
          <t>zitanmu</t>
        </is>
      </c>
      <c r="G254" s="8" t="inlineStr">
        <is>
          <t>紫檀木</t>
        </is>
      </c>
      <c r="H254" s="8" t="inlineStr">
        <is>
          <t>green</t>
        </is>
      </c>
      <c r="I254" s="8" t="inlineStr">
        <is>
          <t>resource</t>
        </is>
      </c>
      <c r="J254" s="8" t="n">
        <v>0.4</v>
      </c>
      <c r="K254" s="8" t="n">
        <v>1</v>
      </c>
      <c r="L254" s="8" t="n">
        <v>1</v>
      </c>
      <c r="M254" s="8" t="n">
        <v>2</v>
      </c>
      <c r="N254" s="8" t="n">
        <v>2</v>
      </c>
      <c r="O254" s="8">
        <f>J254*K254/L254</f>
        <v>0.4</v>
      </c>
      <c r="P254" s="8">
        <f>(M254+N254)/2</f>
        <v>2.0</v>
      </c>
      <c r="Q254" s="8">
        <f>O254*P254</f>
        <v>0.8</v>
      </c>
      <c r="R254" s="8" t="n">
        <v>0</v>
      </c>
      <c r="S254" s="8">
        <f>Q254*R254</f>
        <v>0.0</v>
      </c>
      <c r="T254" s="8" t="n"/>
      <c r="U254" s="8" t="inlineStr"/>
      <c r="V254" s="8" t="inlineStr">
        <is>
          <t>data/item_templates.yaml:mission_chest_jiguan_chuniao.effect_payload</t>
        </is>
      </c>
    </row>
    <row r="255" ht="36" customHeight="1">
      <c r="A255" s="8" t="inlineStr">
        <is>
          <t>jiguan_chuniao</t>
        </is>
      </c>
      <c r="B255" s="8" t="inlineStr">
        <is>
          <t>机关雏鸟</t>
        </is>
      </c>
      <c r="C255" s="8" t="inlineStr">
        <is>
          <t>mission_chest_jiguan_chuniao</t>
        </is>
      </c>
      <c r="D255" s="8" t="inlineStr">
        <is>
          <t>机关雏鸟宝箱</t>
        </is>
      </c>
      <c r="E255" s="8" t="inlineStr">
        <is>
          <t>随机关雏鸟图纸附带（同次命中）</t>
        </is>
      </c>
      <c r="F255" s="8" t="inlineStr">
        <is>
          <t>shuiqumu</t>
        </is>
      </c>
      <c r="G255" s="8" t="inlineStr">
        <is>
          <t>水曲木</t>
        </is>
      </c>
      <c r="H255" s="8" t="inlineStr">
        <is>
          <t>black</t>
        </is>
      </c>
      <c r="I255" s="8" t="inlineStr">
        <is>
          <t>resource</t>
        </is>
      </c>
      <c r="J255" s="8" t="n">
        <v>0.4</v>
      </c>
      <c r="K255" s="8" t="n">
        <v>1</v>
      </c>
      <c r="L255" s="8" t="n">
        <v>1</v>
      </c>
      <c r="M255" s="8" t="n">
        <v>4</v>
      </c>
      <c r="N255" s="8" t="n">
        <v>4</v>
      </c>
      <c r="O255" s="8">
        <f>J255*K255/L255</f>
        <v>0.4</v>
      </c>
      <c r="P255" s="8">
        <f>(M255+N255)/2</f>
        <v>4.0</v>
      </c>
      <c r="Q255" s="8">
        <f>O255*P255</f>
        <v>1.6</v>
      </c>
      <c r="R255" s="8" t="n">
        <v>0</v>
      </c>
      <c r="S255" s="8">
        <f>Q255*R255</f>
        <v>0.0</v>
      </c>
      <c r="T255" s="8" t="n"/>
      <c r="U255" s="8" t="inlineStr"/>
      <c r="V255" s="8" t="inlineStr">
        <is>
          <t>data/item_templates.yaml:mission_chest_jiguan_chuniao.effect_payload</t>
        </is>
      </c>
    </row>
    <row r="256" ht="36" customHeight="1">
      <c r="A256" s="8" t="inlineStr">
        <is>
          <t>jiguan_chuniao</t>
        </is>
      </c>
      <c r="B256" s="8" t="inlineStr">
        <is>
          <t>机关雏鸟</t>
        </is>
      </c>
      <c r="C256" s="8" t="inlineStr">
        <is>
          <t>mission_chest_jiguan_chuniao</t>
        </is>
      </c>
      <c r="D256" s="8" t="inlineStr">
        <is>
          <t>机关雏鸟宝箱</t>
        </is>
      </c>
      <c r="E256" s="8" t="inlineStr">
        <is>
          <t>随机关雏鸟图纸附带（同次命中）</t>
        </is>
      </c>
      <c r="F256" s="8" t="inlineStr">
        <is>
          <t>tiemu</t>
        </is>
      </c>
      <c r="G256" s="8" t="inlineStr">
        <is>
          <t>铁木</t>
        </is>
      </c>
      <c r="H256" s="8" t="inlineStr">
        <is>
          <t>green</t>
        </is>
      </c>
      <c r="I256" s="8" t="inlineStr">
        <is>
          <t>resource</t>
        </is>
      </c>
      <c r="J256" s="8" t="n">
        <v>0.4</v>
      </c>
      <c r="K256" s="8" t="n">
        <v>1</v>
      </c>
      <c r="L256" s="8" t="n">
        <v>1</v>
      </c>
      <c r="M256" s="8" t="n">
        <v>1</v>
      </c>
      <c r="N256" s="8" t="n">
        <v>1</v>
      </c>
      <c r="O256" s="8">
        <f>J256*K256/L256</f>
        <v>0.4</v>
      </c>
      <c r="P256" s="8">
        <f>(M256+N256)/2</f>
        <v>1.0</v>
      </c>
      <c r="Q256" s="8">
        <f>O256*P256</f>
        <v>0.4</v>
      </c>
      <c r="R256" s="8" t="n">
        <v>0</v>
      </c>
      <c r="S256" s="8">
        <f>Q256*R256</f>
        <v>0.0</v>
      </c>
      <c r="T256" s="8" t="n"/>
      <c r="U256" s="8" t="inlineStr"/>
      <c r="V256" s="8" t="inlineStr">
        <is>
          <t>data/item_templates.yaml:mission_chest_jiguan_chuniao.effect_payload</t>
        </is>
      </c>
    </row>
    <row r="257" ht="36" customHeight="1">
      <c r="A257" s="8" t="inlineStr">
        <is>
          <t>jiguan_chuniao</t>
        </is>
      </c>
      <c r="B257" s="8" t="inlineStr">
        <is>
          <t>机关雏鸟</t>
        </is>
      </c>
      <c r="C257" s="8" t="inlineStr">
        <is>
          <t>mission_chest_jiguan_chuniao</t>
        </is>
      </c>
      <c r="D257" s="8" t="inlineStr">
        <is>
          <t>机关雏鸟宝箱</t>
        </is>
      </c>
      <c r="E257" s="8" t="inlineStr">
        <is>
          <t>随机关雏鸟图纸附带（同次命中）</t>
        </is>
      </c>
      <c r="F257" s="8" t="inlineStr">
        <is>
          <t>heiyuanshi</t>
        </is>
      </c>
      <c r="G257" s="8" t="inlineStr">
        <is>
          <t>黑原石</t>
        </is>
      </c>
      <c r="H257" s="8" t="inlineStr">
        <is>
          <t>green</t>
        </is>
      </c>
      <c r="I257" s="8" t="inlineStr">
        <is>
          <t>resource</t>
        </is>
      </c>
      <c r="J257" s="8" t="n">
        <v>0.4</v>
      </c>
      <c r="K257" s="8" t="n">
        <v>1</v>
      </c>
      <c r="L257" s="8" t="n">
        <v>1</v>
      </c>
      <c r="M257" s="8" t="n">
        <v>2</v>
      </c>
      <c r="N257" s="8" t="n">
        <v>2</v>
      </c>
      <c r="O257" s="8">
        <f>J257*K257/L257</f>
        <v>0.4</v>
      </c>
      <c r="P257" s="8">
        <f>(M257+N257)/2</f>
        <v>2.0</v>
      </c>
      <c r="Q257" s="8">
        <f>O257*P257</f>
        <v>0.8</v>
      </c>
      <c r="R257" s="8" t="n">
        <v>0</v>
      </c>
      <c r="S257" s="8">
        <f>Q257*R257</f>
        <v>0.0</v>
      </c>
      <c r="T257" s="8" t="n"/>
      <c r="U257" s="8" t="inlineStr"/>
      <c r="V257" s="8" t="inlineStr">
        <is>
          <t>data/item_templates.yaml:mission_chest_jiguan_chuniao.effect_payload</t>
        </is>
      </c>
    </row>
    <row r="258" ht="36" customHeight="1">
      <c r="A258" s="8" t="inlineStr">
        <is>
          <t>jiguan_chuniao</t>
        </is>
      </c>
      <c r="B258" s="8" t="inlineStr">
        <is>
          <t>机关雏鸟</t>
        </is>
      </c>
      <c r="C258" s="8" t="inlineStr">
        <is>
          <t>mission_chest_jiguan_chuniao</t>
        </is>
      </c>
      <c r="D258" s="8" t="inlineStr">
        <is>
          <t>机关雏鸟宝箱</t>
        </is>
      </c>
      <c r="E258" s="8" t="inlineStr">
        <is>
          <t>随机关雏鸟图纸附带（同次命中）</t>
        </is>
      </c>
      <c r="F258" s="8" t="inlineStr">
        <is>
          <t>jingangmei</t>
        </is>
      </c>
      <c r="G258" s="8" t="inlineStr">
        <is>
          <t>金刚煤</t>
        </is>
      </c>
      <c r="H258" s="8" t="inlineStr">
        <is>
          <t>green</t>
        </is>
      </c>
      <c r="I258" s="8" t="inlineStr">
        <is>
          <t>resource</t>
        </is>
      </c>
      <c r="J258" s="8" t="n">
        <v>0.4</v>
      </c>
      <c r="K258" s="8" t="n">
        <v>1</v>
      </c>
      <c r="L258" s="8" t="n">
        <v>1</v>
      </c>
      <c r="M258" s="8" t="n">
        <v>1</v>
      </c>
      <c r="N258" s="8" t="n">
        <v>1</v>
      </c>
      <c r="O258" s="8">
        <f>J258*K258/L258</f>
        <v>0.4</v>
      </c>
      <c r="P258" s="8">
        <f>(M258+N258)/2</f>
        <v>1.0</v>
      </c>
      <c r="Q258" s="8">
        <f>O258*P258</f>
        <v>0.4</v>
      </c>
      <c r="R258" s="8" t="n">
        <v>0</v>
      </c>
      <c r="S258" s="8">
        <f>Q258*R258</f>
        <v>0.0</v>
      </c>
      <c r="T258" s="8" t="n"/>
      <c r="U258" s="8" t="inlineStr"/>
      <c r="V258" s="8" t="inlineStr">
        <is>
          <t>data/item_templates.yaml:mission_chest_jiguan_chuniao.effect_payload</t>
        </is>
      </c>
    </row>
    <row r="259" ht="36" customHeight="1">
      <c r="A259" s="8" t="inlineStr">
        <is>
          <t>jiguan_chuniao</t>
        </is>
      </c>
      <c r="B259" s="8" t="inlineStr">
        <is>
          <t>机关雏鸟</t>
        </is>
      </c>
      <c r="C259" s="8" t="inlineStr">
        <is>
          <t>mission_chest_jiguan_chuniao</t>
        </is>
      </c>
      <c r="D259" s="8" t="inlineStr">
        <is>
          <t>机关雏鸟宝箱</t>
        </is>
      </c>
      <c r="E259" s="8" t="inlineStr">
        <is>
          <t>随机关雏鸟图纸附带（同次命中）</t>
        </is>
      </c>
      <c r="F259" s="8" t="inlineStr">
        <is>
          <t>paozi</t>
        </is>
      </c>
      <c r="G259" s="8" t="inlineStr">
        <is>
          <t>刨子</t>
        </is>
      </c>
      <c r="H259" s="8" t="inlineStr">
        <is>
          <t>black</t>
        </is>
      </c>
      <c r="I259" s="8" t="inlineStr">
        <is>
          <t>resource</t>
        </is>
      </c>
      <c r="J259" s="8" t="n">
        <v>0.4</v>
      </c>
      <c r="K259" s="8" t="n">
        <v>1</v>
      </c>
      <c r="L259" s="8" t="n">
        <v>1</v>
      </c>
      <c r="M259" s="8" t="n">
        <v>2</v>
      </c>
      <c r="N259" s="8" t="n">
        <v>2</v>
      </c>
      <c r="O259" s="8">
        <f>J259*K259/L259</f>
        <v>0.4</v>
      </c>
      <c r="P259" s="8">
        <f>(M259+N259)/2</f>
        <v>2.0</v>
      </c>
      <c r="Q259" s="8">
        <f>O259*P259</f>
        <v>0.8</v>
      </c>
      <c r="R259" s="8" t="n">
        <v>0</v>
      </c>
      <c r="S259" s="8">
        <f>Q259*R259</f>
        <v>0.0</v>
      </c>
      <c r="T259" s="8" t="n"/>
      <c r="U259" s="8" t="inlineStr"/>
      <c r="V259" s="8" t="inlineStr">
        <is>
          <t>data/item_templates.yaml:mission_chest_jiguan_chuniao.effect_payload</t>
        </is>
      </c>
    </row>
    <row r="260" ht="36" customHeight="1">
      <c r="A260" s="8" t="inlineStr">
        <is>
          <t>jiguan_chuniao</t>
        </is>
      </c>
      <c r="B260" s="8" t="inlineStr">
        <is>
          <t>机关雏鸟</t>
        </is>
      </c>
      <c r="C260" s="8" t="inlineStr">
        <is>
          <t>mission_chest_jiguan_chuniao</t>
        </is>
      </c>
      <c r="D260" s="8" t="inlineStr">
        <is>
          <t>机关雏鸟宝箱</t>
        </is>
      </c>
      <c r="E260" s="8" t="inlineStr">
        <is>
          <t>随机关雏鸟图纸附带（同次命中）</t>
        </is>
      </c>
      <c r="F260" s="8" t="inlineStr">
        <is>
          <t>zaozi</t>
        </is>
      </c>
      <c r="G260" s="8" t="inlineStr">
        <is>
          <t>凿子</t>
        </is>
      </c>
      <c r="H260" s="8" t="inlineStr">
        <is>
          <t>black</t>
        </is>
      </c>
      <c r="I260" s="8" t="inlineStr">
        <is>
          <t>resource</t>
        </is>
      </c>
      <c r="J260" s="8" t="n">
        <v>0.4</v>
      </c>
      <c r="K260" s="8" t="n">
        <v>1</v>
      </c>
      <c r="L260" s="8" t="n">
        <v>1</v>
      </c>
      <c r="M260" s="8" t="n">
        <v>1</v>
      </c>
      <c r="N260" s="8" t="n">
        <v>1</v>
      </c>
      <c r="O260" s="8">
        <f>J260*K260/L260</f>
        <v>0.4</v>
      </c>
      <c r="P260" s="8">
        <f>(M260+N260)/2</f>
        <v>1.0</v>
      </c>
      <c r="Q260" s="8">
        <f>O260*P260</f>
        <v>0.4</v>
      </c>
      <c r="R260" s="8" t="n">
        <v>0</v>
      </c>
      <c r="S260" s="8">
        <f>Q260*R260</f>
        <v>0.0</v>
      </c>
      <c r="T260" s="8" t="n"/>
      <c r="U260" s="8" t="inlineStr"/>
      <c r="V260" s="8" t="inlineStr">
        <is>
          <t>data/item_templates.yaml:mission_chest_jiguan_chuniao.effect_payload</t>
        </is>
      </c>
    </row>
    <row r="261" ht="36" customHeight="1">
      <c r="A261" s="8" t="inlineStr">
        <is>
          <t>jiguan_chuniao</t>
        </is>
      </c>
      <c r="B261" s="8" t="inlineStr">
        <is>
          <t>机关雏鸟</t>
        </is>
      </c>
      <c r="C261" s="8" t="inlineStr">
        <is>
          <t>mission_chest_jiguan_chuniao</t>
        </is>
      </c>
      <c r="D261" s="8" t="inlineStr">
        <is>
          <t>机关雏鸟宝箱</t>
        </is>
      </c>
      <c r="E261" s="8" t="inlineStr">
        <is>
          <t>随机关雏鸟图纸附带（同次命中）</t>
        </is>
      </c>
      <c r="F261" s="8" t="inlineStr">
        <is>
          <t>air_stone</t>
        </is>
      </c>
      <c r="G261" s="8" t="inlineStr">
        <is>
          <t>空气之石</t>
        </is>
      </c>
      <c r="H261" s="8" t="inlineStr">
        <is>
          <t>blue</t>
        </is>
      </c>
      <c r="I261" s="8" t="inlineStr">
        <is>
          <t>resource</t>
        </is>
      </c>
      <c r="J261" s="8" t="n">
        <v>0.4</v>
      </c>
      <c r="K261" s="8" t="n">
        <v>1</v>
      </c>
      <c r="L261" s="8" t="n">
        <v>1</v>
      </c>
      <c r="M261" s="8" t="n">
        <v>1</v>
      </c>
      <c r="N261" s="8" t="n">
        <v>1</v>
      </c>
      <c r="O261" s="8">
        <f>J261*K261/L261</f>
        <v>0.4</v>
      </c>
      <c r="P261" s="8">
        <f>(M261+N261)/2</f>
        <v>1.0</v>
      </c>
      <c r="Q261" s="8">
        <f>O261*P261</f>
        <v>0.4</v>
      </c>
      <c r="R261" s="8" t="n">
        <v>0</v>
      </c>
      <c r="S261" s="8">
        <f>Q261*R261</f>
        <v>0.0</v>
      </c>
      <c r="T261" s="8" t="n"/>
      <c r="U261" s="8" t="inlineStr"/>
      <c r="V261" s="8" t="inlineStr">
        <is>
          <t>data/item_templates.yaml:mission_chest_jiguan_chuniao.effect_payload</t>
        </is>
      </c>
    </row>
    <row r="262" ht="36" customHeight="1">
      <c r="A262" s="8" t="inlineStr">
        <is>
          <t>jiguan_chuniao</t>
        </is>
      </c>
      <c r="B262" s="8" t="inlineStr">
        <is>
          <t>机关雏鸟</t>
        </is>
      </c>
      <c r="C262" s="8" t="inlineStr">
        <is>
          <t>mission_chest_jiguan_chuniao</t>
        </is>
      </c>
      <c r="D262" s="8" t="inlineStr">
        <is>
          <t>机关雏鸟宝箱</t>
        </is>
      </c>
      <c r="E262" s="8" t="inlineStr">
        <is>
          <t>随机关雏鸟图纸附带（同次命中）</t>
        </is>
      </c>
      <c r="F262" s="8" t="inlineStr">
        <is>
          <t>water_stone</t>
        </is>
      </c>
      <c r="G262" s="8" t="inlineStr">
        <is>
          <t>纯水之石</t>
        </is>
      </c>
      <c r="H262" s="8" t="inlineStr">
        <is>
          <t>blue</t>
        </is>
      </c>
      <c r="I262" s="8" t="inlineStr">
        <is>
          <t>resource</t>
        </is>
      </c>
      <c r="J262" s="8" t="n">
        <v>0.4</v>
      </c>
      <c r="K262" s="8" t="n">
        <v>1</v>
      </c>
      <c r="L262" s="8" t="n">
        <v>1</v>
      </c>
      <c r="M262" s="8" t="n">
        <v>1</v>
      </c>
      <c r="N262" s="8" t="n">
        <v>1</v>
      </c>
      <c r="O262" s="8">
        <f>J262*K262/L262</f>
        <v>0.4</v>
      </c>
      <c r="P262" s="8">
        <f>(M262+N262)/2</f>
        <v>1.0</v>
      </c>
      <c r="Q262" s="8">
        <f>O262*P262</f>
        <v>0.4</v>
      </c>
      <c r="R262" s="8" t="n">
        <v>0</v>
      </c>
      <c r="S262" s="8">
        <f>Q262*R262</f>
        <v>0.0</v>
      </c>
      <c r="T262" s="8" t="n"/>
      <c r="U262" s="8" t="inlineStr"/>
      <c r="V262" s="8" t="inlineStr">
        <is>
          <t>data/item_templates.yaml:mission_chest_jiguan_chuniao.effect_payload</t>
        </is>
      </c>
    </row>
    <row r="263" ht="36" customHeight="1">
      <c r="A263" s="8" t="inlineStr">
        <is>
          <t>jiguan_chuniao</t>
        </is>
      </c>
      <c r="B263" s="8" t="inlineStr">
        <is>
          <t>机关雏鸟</t>
        </is>
      </c>
      <c r="C263" s="8" t="inlineStr">
        <is>
          <t>mission_chest_jiguan_chuniao</t>
        </is>
      </c>
      <c r="D263" s="8" t="inlineStr">
        <is>
          <t>机关雏鸟宝箱</t>
        </is>
      </c>
      <c r="E263" s="8" t="inlineStr">
        <is>
          <t>随机械猫图纸附带（同次命中）</t>
        </is>
      </c>
      <c r="F263" s="8" t="inlineStr">
        <is>
          <t>tong</t>
        </is>
      </c>
      <c r="G263" s="8" t="inlineStr">
        <is>
          <t>铜</t>
        </is>
      </c>
      <c r="H263" s="8" t="inlineStr">
        <is>
          <t>black</t>
        </is>
      </c>
      <c r="I263" s="8" t="inlineStr">
        <is>
          <t>resource</t>
        </is>
      </c>
      <c r="J263" s="8" t="n">
        <v>0.06666666666666667</v>
      </c>
      <c r="K263" s="8" t="n">
        <v>1</v>
      </c>
      <c r="L263" s="8" t="n">
        <v>1</v>
      </c>
      <c r="M263" s="8" t="n">
        <v>24</v>
      </c>
      <c r="N263" s="8" t="n">
        <v>24</v>
      </c>
      <c r="O263" s="8">
        <f>J263*K263/L263</f>
        <v>0.06666666666666667</v>
      </c>
      <c r="P263" s="8">
        <f>(M263+N263)/2</f>
        <v>24.0</v>
      </c>
      <c r="Q263" s="8">
        <f>O263*P263</f>
        <v>1.6</v>
      </c>
      <c r="R263" s="8" t="n">
        <v>0</v>
      </c>
      <c r="S263" s="8">
        <f>Q263*R263</f>
        <v>0.0</v>
      </c>
      <c r="T263" s="8" t="n"/>
      <c r="U263" s="8" t="inlineStr"/>
      <c r="V263" s="8" t="inlineStr">
        <is>
          <t>data/item_templates.yaml:mission_chest_jiguan_chuniao.effect_payload</t>
        </is>
      </c>
    </row>
    <row r="264" ht="36" customHeight="1">
      <c r="A264" s="8" t="inlineStr">
        <is>
          <t>jiguan_chuniao</t>
        </is>
      </c>
      <c r="B264" s="8" t="inlineStr">
        <is>
          <t>机关雏鸟</t>
        </is>
      </c>
      <c r="C264" s="8" t="inlineStr">
        <is>
          <t>mission_chest_jiguan_chuniao</t>
        </is>
      </c>
      <c r="D264" s="8" t="inlineStr">
        <is>
          <t>机关雏鸟宝箱</t>
        </is>
      </c>
      <c r="E264" s="8" t="inlineStr">
        <is>
          <t>随机械猫图纸附带（同次命中）</t>
        </is>
      </c>
      <c r="F264" s="8" t="inlineStr">
        <is>
          <t>xi</t>
        </is>
      </c>
      <c r="G264" s="8" t="inlineStr">
        <is>
          <t>锡</t>
        </is>
      </c>
      <c r="H264" s="8" t="inlineStr">
        <is>
          <t>black</t>
        </is>
      </c>
      <c r="I264" s="8" t="inlineStr">
        <is>
          <t>resource</t>
        </is>
      </c>
      <c r="J264" s="8" t="n">
        <v>0.06666666666666667</v>
      </c>
      <c r="K264" s="8" t="n">
        <v>1</v>
      </c>
      <c r="L264" s="8" t="n">
        <v>1</v>
      </c>
      <c r="M264" s="8" t="n">
        <v>16</v>
      </c>
      <c r="N264" s="8" t="n">
        <v>16</v>
      </c>
      <c r="O264" s="8">
        <f>J264*K264/L264</f>
        <v>0.06666666666666667</v>
      </c>
      <c r="P264" s="8">
        <f>(M264+N264)/2</f>
        <v>16.0</v>
      </c>
      <c r="Q264" s="8">
        <f>O264*P264</f>
        <v>1.0666666666666667</v>
      </c>
      <c r="R264" s="8" t="n">
        <v>0</v>
      </c>
      <c r="S264" s="8">
        <f>Q264*R264</f>
        <v>0.0</v>
      </c>
      <c r="T264" s="8" t="n"/>
      <c r="U264" s="8" t="inlineStr"/>
      <c r="V264" s="8" t="inlineStr">
        <is>
          <t>data/item_templates.yaml:mission_chest_jiguan_chuniao.effect_payload</t>
        </is>
      </c>
    </row>
    <row r="265" ht="36" customHeight="1">
      <c r="A265" s="8" t="inlineStr">
        <is>
          <t>jiguan_chuniao</t>
        </is>
      </c>
      <c r="B265" s="8" t="inlineStr">
        <is>
          <t>机关雏鸟</t>
        </is>
      </c>
      <c r="C265" s="8" t="inlineStr">
        <is>
          <t>mission_chest_jiguan_chuniao</t>
        </is>
      </c>
      <c r="D265" s="8" t="inlineStr">
        <is>
          <t>机关雏鸟宝箱</t>
        </is>
      </c>
      <c r="E265" s="8" t="inlineStr">
        <is>
          <t>随机械猫图纸附带（同次命中）</t>
        </is>
      </c>
      <c r="F265" s="8" t="inlineStr">
        <is>
          <t>tie</t>
        </is>
      </c>
      <c r="G265" s="8" t="inlineStr">
        <is>
          <t>铁</t>
        </is>
      </c>
      <c r="H265" s="8" t="inlineStr">
        <is>
          <t>black</t>
        </is>
      </c>
      <c r="I265" s="8" t="inlineStr">
        <is>
          <t>resource</t>
        </is>
      </c>
      <c r="J265" s="8" t="n">
        <v>0.06666666666666667</v>
      </c>
      <c r="K265" s="8" t="n">
        <v>1</v>
      </c>
      <c r="L265" s="8" t="n">
        <v>1</v>
      </c>
      <c r="M265" s="8" t="n">
        <v>12</v>
      </c>
      <c r="N265" s="8" t="n">
        <v>12</v>
      </c>
      <c r="O265" s="8">
        <f>J265*K265/L265</f>
        <v>0.06666666666666667</v>
      </c>
      <c r="P265" s="8">
        <f>(M265+N265)/2</f>
        <v>12.0</v>
      </c>
      <c r="Q265" s="8">
        <f>O265*P265</f>
        <v>0.8</v>
      </c>
      <c r="R265" s="8" t="n">
        <v>0</v>
      </c>
      <c r="S265" s="8">
        <f>Q265*R265</f>
        <v>0.0</v>
      </c>
      <c r="T265" s="8" t="n"/>
      <c r="U265" s="8" t="inlineStr"/>
      <c r="V265" s="8" t="inlineStr">
        <is>
          <t>data/item_templates.yaml:mission_chest_jiguan_chuniao.effect_payload</t>
        </is>
      </c>
    </row>
    <row r="266" ht="36" customHeight="1">
      <c r="A266" s="8" t="inlineStr">
        <is>
          <t>jiguan_chuniao</t>
        </is>
      </c>
      <c r="B266" s="8" t="inlineStr">
        <is>
          <t>机关雏鸟</t>
        </is>
      </c>
      <c r="C266" s="8" t="inlineStr">
        <is>
          <t>mission_chest_jiguan_chuniao</t>
        </is>
      </c>
      <c r="D266" s="8" t="inlineStr">
        <is>
          <t>机关雏鸟宝箱</t>
        </is>
      </c>
      <c r="E266" s="8" t="inlineStr">
        <is>
          <t>随机械猫图纸附带（同次命中）</t>
        </is>
      </c>
      <c r="F266" s="8" t="inlineStr">
        <is>
          <t>wood_essence</t>
        </is>
      </c>
      <c r="G266" s="8" t="inlineStr">
        <is>
          <t>木质精华</t>
        </is>
      </c>
      <c r="H266" s="8" t="inlineStr">
        <is>
          <t>green</t>
        </is>
      </c>
      <c r="I266" s="8" t="inlineStr">
        <is>
          <t>resource</t>
        </is>
      </c>
      <c r="J266" s="8" t="n">
        <v>0.06666666666666667</v>
      </c>
      <c r="K266" s="8" t="n">
        <v>1</v>
      </c>
      <c r="L266" s="8" t="n">
        <v>1</v>
      </c>
      <c r="M266" s="8" t="n">
        <v>1</v>
      </c>
      <c r="N266" s="8" t="n">
        <v>1</v>
      </c>
      <c r="O266" s="8">
        <f>J266*K266/L266</f>
        <v>0.06666666666666667</v>
      </c>
      <c r="P266" s="8">
        <f>(M266+N266)/2</f>
        <v>1.0</v>
      </c>
      <c r="Q266" s="8">
        <f>O266*P266</f>
        <v>0.06666666666666667</v>
      </c>
      <c r="R266" s="8" t="n">
        <v>0</v>
      </c>
      <c r="S266" s="8">
        <f>Q266*R266</f>
        <v>0.0</v>
      </c>
      <c r="T266" s="8" t="n"/>
      <c r="U266" s="8" t="inlineStr"/>
      <c r="V266" s="8" t="inlineStr">
        <is>
          <t>data/item_templates.yaml:mission_chest_jiguan_chuniao.effect_payload</t>
        </is>
      </c>
    </row>
    <row r="267" ht="36" customHeight="1">
      <c r="A267" s="8" t="inlineStr">
        <is>
          <t>jiguan_chuniao</t>
        </is>
      </c>
      <c r="B267" s="8" t="inlineStr">
        <is>
          <t>机关雏鸟</t>
        </is>
      </c>
      <c r="C267" s="8" t="inlineStr">
        <is>
          <t>mission_chest_jiguan_chuniao</t>
        </is>
      </c>
      <c r="D267" s="8" t="inlineStr">
        <is>
          <t>机关雏鸟宝箱</t>
        </is>
      </c>
      <c r="E267" s="8" t="inlineStr">
        <is>
          <t>随机械猫图纸附带（同次命中）</t>
        </is>
      </c>
      <c r="F267" s="8" t="inlineStr">
        <is>
          <t>copper_essence</t>
        </is>
      </c>
      <c r="G267" s="8" t="inlineStr">
        <is>
          <t>铜质精华</t>
        </is>
      </c>
      <c r="H267" s="8" t="inlineStr">
        <is>
          <t>green</t>
        </is>
      </c>
      <c r="I267" s="8" t="inlineStr">
        <is>
          <t>resource</t>
        </is>
      </c>
      <c r="J267" s="8" t="n">
        <v>0.06666666666666667</v>
      </c>
      <c r="K267" s="8" t="n">
        <v>1</v>
      </c>
      <c r="L267" s="8" t="n">
        <v>1</v>
      </c>
      <c r="M267" s="8" t="n">
        <v>1</v>
      </c>
      <c r="N267" s="8" t="n">
        <v>1</v>
      </c>
      <c r="O267" s="8">
        <f>J267*K267/L267</f>
        <v>0.06666666666666667</v>
      </c>
      <c r="P267" s="8">
        <f>(M267+N267)/2</f>
        <v>1.0</v>
      </c>
      <c r="Q267" s="8">
        <f>O267*P267</f>
        <v>0.06666666666666667</v>
      </c>
      <c r="R267" s="8" t="n">
        <v>0</v>
      </c>
      <c r="S267" s="8">
        <f>Q267*R267</f>
        <v>0.0</v>
      </c>
      <c r="T267" s="8" t="n"/>
      <c r="U267" s="8" t="inlineStr"/>
      <c r="V267" s="8" t="inlineStr">
        <is>
          <t>data/item_templates.yaml:mission_chest_jiguan_chuniao.effect_payload</t>
        </is>
      </c>
    </row>
    <row r="268" ht="36" customHeight="1">
      <c r="A268" s="8" t="inlineStr">
        <is>
          <t>jiguan_chuniao</t>
        </is>
      </c>
      <c r="B268" s="8" t="inlineStr">
        <is>
          <t>机关雏鸟</t>
        </is>
      </c>
      <c r="C268" s="8" t="inlineStr">
        <is>
          <t>mission_chest_jiguan_chuniao</t>
        </is>
      </c>
      <c r="D268" s="8" t="inlineStr">
        <is>
          <t>机关雏鸟宝箱</t>
        </is>
      </c>
      <c r="E268" s="8" t="inlineStr">
        <is>
          <t>随机械猫图纸附带（同次命中）</t>
        </is>
      </c>
      <c r="F268" s="8" t="inlineStr">
        <is>
          <t>xuan_tie_essence</t>
        </is>
      </c>
      <c r="G268" s="8" t="inlineStr">
        <is>
          <t>玄铁精华</t>
        </is>
      </c>
      <c r="H268" s="8" t="inlineStr">
        <is>
          <t>blue</t>
        </is>
      </c>
      <c r="I268" s="8" t="inlineStr">
        <is>
          <t>resource</t>
        </is>
      </c>
      <c r="J268" s="8" t="n">
        <v>0.06666666666666667</v>
      </c>
      <c r="K268" s="8" t="n">
        <v>1</v>
      </c>
      <c r="L268" s="8" t="n">
        <v>1</v>
      </c>
      <c r="M268" s="8" t="n">
        <v>1</v>
      </c>
      <c r="N268" s="8" t="n">
        <v>1</v>
      </c>
      <c r="O268" s="8">
        <f>J268*K268/L268</f>
        <v>0.06666666666666667</v>
      </c>
      <c r="P268" s="8">
        <f>(M268+N268)/2</f>
        <v>1.0</v>
      </c>
      <c r="Q268" s="8">
        <f>O268*P268</f>
        <v>0.06666666666666667</v>
      </c>
      <c r="R268" s="8" t="n">
        <v>0</v>
      </c>
      <c r="S268" s="8">
        <f>Q268*R268</f>
        <v>0.0</v>
      </c>
      <c r="T268" s="8" t="n"/>
      <c r="U268" s="8" t="inlineStr"/>
      <c r="V268" s="8" t="inlineStr">
        <is>
          <t>data/item_templates.yaml:mission_chest_jiguan_chuniao.effect_payload</t>
        </is>
      </c>
    </row>
    <row r="269" ht="36" customHeight="1">
      <c r="A269" s="8" t="inlineStr">
        <is>
          <t>jiguan_chuniao</t>
        </is>
      </c>
      <c r="B269" s="8" t="inlineStr">
        <is>
          <t>机关雏鸟</t>
        </is>
      </c>
      <c r="C269" s="8" t="inlineStr">
        <is>
          <t>mission_chest_jiguan_chuniao</t>
        </is>
      </c>
      <c r="D269" s="8" t="inlineStr">
        <is>
          <t>机关雏鸟宝箱</t>
        </is>
      </c>
      <c r="E269" s="8" t="inlineStr">
        <is>
          <t>随机械猫图纸附带（同次命中）</t>
        </is>
      </c>
      <c r="F269" s="8" t="inlineStr">
        <is>
          <t>zitanmu</t>
        </is>
      </c>
      <c r="G269" s="8" t="inlineStr">
        <is>
          <t>紫檀木</t>
        </is>
      </c>
      <c r="H269" s="8" t="inlineStr">
        <is>
          <t>green</t>
        </is>
      </c>
      <c r="I269" s="8" t="inlineStr">
        <is>
          <t>resource</t>
        </is>
      </c>
      <c r="J269" s="8" t="n">
        <v>0.06666666666666667</v>
      </c>
      <c r="K269" s="8" t="n">
        <v>1</v>
      </c>
      <c r="L269" s="8" t="n">
        <v>1</v>
      </c>
      <c r="M269" s="8" t="n">
        <v>2</v>
      </c>
      <c r="N269" s="8" t="n">
        <v>2</v>
      </c>
      <c r="O269" s="8">
        <f>J269*K269/L269</f>
        <v>0.06666666666666667</v>
      </c>
      <c r="P269" s="8">
        <f>(M269+N269)/2</f>
        <v>2.0</v>
      </c>
      <c r="Q269" s="8">
        <f>O269*P269</f>
        <v>0.13333333333333333</v>
      </c>
      <c r="R269" s="8" t="n">
        <v>0</v>
      </c>
      <c r="S269" s="8">
        <f>Q269*R269</f>
        <v>0.0</v>
      </c>
      <c r="T269" s="8" t="n"/>
      <c r="U269" s="8" t="inlineStr"/>
      <c r="V269" s="8" t="inlineStr">
        <is>
          <t>data/item_templates.yaml:mission_chest_jiguan_chuniao.effect_payload</t>
        </is>
      </c>
    </row>
    <row r="270" ht="36" customHeight="1">
      <c r="A270" s="8" t="inlineStr">
        <is>
          <t>jiguan_chuniao</t>
        </is>
      </c>
      <c r="B270" s="8" t="inlineStr">
        <is>
          <t>机关雏鸟</t>
        </is>
      </c>
      <c r="C270" s="8" t="inlineStr">
        <is>
          <t>mission_chest_jiguan_chuniao</t>
        </is>
      </c>
      <c r="D270" s="8" t="inlineStr">
        <is>
          <t>机关雏鸟宝箱</t>
        </is>
      </c>
      <c r="E270" s="8" t="inlineStr">
        <is>
          <t>随机械猫图纸附带（同次命中）</t>
        </is>
      </c>
      <c r="F270" s="8" t="inlineStr">
        <is>
          <t>tiemu</t>
        </is>
      </c>
      <c r="G270" s="8" t="inlineStr">
        <is>
          <t>铁木</t>
        </is>
      </c>
      <c r="H270" s="8" t="inlineStr">
        <is>
          <t>green</t>
        </is>
      </c>
      <c r="I270" s="8" t="inlineStr">
        <is>
          <t>resource</t>
        </is>
      </c>
      <c r="J270" s="8" t="n">
        <v>0.06666666666666667</v>
      </c>
      <c r="K270" s="8" t="n">
        <v>1</v>
      </c>
      <c r="L270" s="8" t="n">
        <v>1</v>
      </c>
      <c r="M270" s="8" t="n">
        <v>3</v>
      </c>
      <c r="N270" s="8" t="n">
        <v>3</v>
      </c>
      <c r="O270" s="8">
        <f>J270*K270/L270</f>
        <v>0.06666666666666667</v>
      </c>
      <c r="P270" s="8">
        <f>(M270+N270)/2</f>
        <v>3.0</v>
      </c>
      <c r="Q270" s="8">
        <f>O270*P270</f>
        <v>0.2</v>
      </c>
      <c r="R270" s="8" t="n">
        <v>0</v>
      </c>
      <c r="S270" s="8">
        <f>Q270*R270</f>
        <v>0.0</v>
      </c>
      <c r="T270" s="8" t="n"/>
      <c r="U270" s="8" t="inlineStr"/>
      <c r="V270" s="8" t="inlineStr">
        <is>
          <t>data/item_templates.yaml:mission_chest_jiguan_chuniao.effect_payload</t>
        </is>
      </c>
    </row>
    <row r="271" ht="36" customHeight="1">
      <c r="A271" s="8" t="inlineStr">
        <is>
          <t>jiguan_chuniao</t>
        </is>
      </c>
      <c r="B271" s="8" t="inlineStr">
        <is>
          <t>机关雏鸟</t>
        </is>
      </c>
      <c r="C271" s="8" t="inlineStr">
        <is>
          <t>mission_chest_jiguan_chuniao</t>
        </is>
      </c>
      <c r="D271" s="8" t="inlineStr">
        <is>
          <t>机关雏鸟宝箱</t>
        </is>
      </c>
      <c r="E271" s="8" t="inlineStr">
        <is>
          <t>随机械猫图纸附带（同次命中）</t>
        </is>
      </c>
      <c r="F271" s="8" t="inlineStr">
        <is>
          <t>heiyuanshi</t>
        </is>
      </c>
      <c r="G271" s="8" t="inlineStr">
        <is>
          <t>黑原石</t>
        </is>
      </c>
      <c r="H271" s="8" t="inlineStr">
        <is>
          <t>green</t>
        </is>
      </c>
      <c r="I271" s="8" t="inlineStr">
        <is>
          <t>resource</t>
        </is>
      </c>
      <c r="J271" s="8" t="n">
        <v>0.06666666666666667</v>
      </c>
      <c r="K271" s="8" t="n">
        <v>1</v>
      </c>
      <c r="L271" s="8" t="n">
        <v>1</v>
      </c>
      <c r="M271" s="8" t="n">
        <v>3</v>
      </c>
      <c r="N271" s="8" t="n">
        <v>3</v>
      </c>
      <c r="O271" s="8">
        <f>J271*K271/L271</f>
        <v>0.06666666666666667</v>
      </c>
      <c r="P271" s="8">
        <f>(M271+N271)/2</f>
        <v>3.0</v>
      </c>
      <c r="Q271" s="8">
        <f>O271*P271</f>
        <v>0.2</v>
      </c>
      <c r="R271" s="8" t="n">
        <v>0</v>
      </c>
      <c r="S271" s="8">
        <f>Q271*R271</f>
        <v>0.0</v>
      </c>
      <c r="T271" s="8" t="n"/>
      <c r="U271" s="8" t="inlineStr"/>
      <c r="V271" s="8" t="inlineStr">
        <is>
          <t>data/item_templates.yaml:mission_chest_jiguan_chuniao.effect_payload</t>
        </is>
      </c>
    </row>
    <row r="272" ht="36" customHeight="1">
      <c r="A272" s="8" t="inlineStr">
        <is>
          <t>jiguan_chuniao</t>
        </is>
      </c>
      <c r="B272" s="8" t="inlineStr">
        <is>
          <t>机关雏鸟</t>
        </is>
      </c>
      <c r="C272" s="8" t="inlineStr">
        <is>
          <t>mission_chest_jiguan_chuniao</t>
        </is>
      </c>
      <c r="D272" s="8" t="inlineStr">
        <is>
          <t>机关雏鸟宝箱</t>
        </is>
      </c>
      <c r="E272" s="8" t="inlineStr">
        <is>
          <t>随机械猫图纸附带（同次命中）</t>
        </is>
      </c>
      <c r="F272" s="8" t="inlineStr">
        <is>
          <t>jingangmei</t>
        </is>
      </c>
      <c r="G272" s="8" t="inlineStr">
        <is>
          <t>金刚煤</t>
        </is>
      </c>
      <c r="H272" s="8" t="inlineStr">
        <is>
          <t>green</t>
        </is>
      </c>
      <c r="I272" s="8" t="inlineStr">
        <is>
          <t>resource</t>
        </is>
      </c>
      <c r="J272" s="8" t="n">
        <v>0.06666666666666667</v>
      </c>
      <c r="K272" s="8" t="n">
        <v>1</v>
      </c>
      <c r="L272" s="8" t="n">
        <v>1</v>
      </c>
      <c r="M272" s="8" t="n">
        <v>2</v>
      </c>
      <c r="N272" s="8" t="n">
        <v>2</v>
      </c>
      <c r="O272" s="8">
        <f>J272*K272/L272</f>
        <v>0.06666666666666667</v>
      </c>
      <c r="P272" s="8">
        <f>(M272+N272)/2</f>
        <v>2.0</v>
      </c>
      <c r="Q272" s="8">
        <f>O272*P272</f>
        <v>0.13333333333333333</v>
      </c>
      <c r="R272" s="8" t="n">
        <v>0</v>
      </c>
      <c r="S272" s="8">
        <f>Q272*R272</f>
        <v>0.0</v>
      </c>
      <c r="T272" s="8" t="n"/>
      <c r="U272" s="8" t="inlineStr"/>
      <c r="V272" s="8" t="inlineStr">
        <is>
          <t>data/item_templates.yaml:mission_chest_jiguan_chuniao.effect_payload</t>
        </is>
      </c>
    </row>
    <row r="273" ht="36" customHeight="1">
      <c r="A273" s="8" t="inlineStr">
        <is>
          <t>jiguan_chuniao</t>
        </is>
      </c>
      <c r="B273" s="8" t="inlineStr">
        <is>
          <t>机关雏鸟</t>
        </is>
      </c>
      <c r="C273" s="8" t="inlineStr">
        <is>
          <t>mission_chest_jiguan_chuniao</t>
        </is>
      </c>
      <c r="D273" s="8" t="inlineStr">
        <is>
          <t>机关雏鸟宝箱</t>
        </is>
      </c>
      <c r="E273" s="8" t="inlineStr">
        <is>
          <t>随机械猫图纸附带（同次命中）</t>
        </is>
      </c>
      <c r="F273" s="8" t="inlineStr">
        <is>
          <t>paozi</t>
        </is>
      </c>
      <c r="G273" s="8" t="inlineStr">
        <is>
          <t>刨子</t>
        </is>
      </c>
      <c r="H273" s="8" t="inlineStr">
        <is>
          <t>black</t>
        </is>
      </c>
      <c r="I273" s="8" t="inlineStr">
        <is>
          <t>resource</t>
        </is>
      </c>
      <c r="J273" s="8" t="n">
        <v>0.06666666666666667</v>
      </c>
      <c r="K273" s="8" t="n">
        <v>1</v>
      </c>
      <c r="L273" s="8" t="n">
        <v>1</v>
      </c>
      <c r="M273" s="8" t="n">
        <v>2</v>
      </c>
      <c r="N273" s="8" t="n">
        <v>2</v>
      </c>
      <c r="O273" s="8">
        <f>J273*K273/L273</f>
        <v>0.06666666666666667</v>
      </c>
      <c r="P273" s="8">
        <f>(M273+N273)/2</f>
        <v>2.0</v>
      </c>
      <c r="Q273" s="8">
        <f>O273*P273</f>
        <v>0.13333333333333333</v>
      </c>
      <c r="R273" s="8" t="n">
        <v>0</v>
      </c>
      <c r="S273" s="8">
        <f>Q273*R273</f>
        <v>0.0</v>
      </c>
      <c r="T273" s="8" t="n"/>
      <c r="U273" s="8" t="inlineStr"/>
      <c r="V273" s="8" t="inlineStr">
        <is>
          <t>data/item_templates.yaml:mission_chest_jiguan_chuniao.effect_payload</t>
        </is>
      </c>
    </row>
    <row r="274" ht="36" customHeight="1">
      <c r="A274" s="8" t="inlineStr">
        <is>
          <t>jiguan_chuniao</t>
        </is>
      </c>
      <c r="B274" s="8" t="inlineStr">
        <is>
          <t>机关雏鸟</t>
        </is>
      </c>
      <c r="C274" s="8" t="inlineStr">
        <is>
          <t>mission_chest_jiguan_chuniao</t>
        </is>
      </c>
      <c r="D274" s="8" t="inlineStr">
        <is>
          <t>机关雏鸟宝箱</t>
        </is>
      </c>
      <c r="E274" s="8" t="inlineStr">
        <is>
          <t>随机械猫图纸附带（同次命中）</t>
        </is>
      </c>
      <c r="F274" s="8" t="inlineStr">
        <is>
          <t>zaozi</t>
        </is>
      </c>
      <c r="G274" s="8" t="inlineStr">
        <is>
          <t>凿子</t>
        </is>
      </c>
      <c r="H274" s="8" t="inlineStr">
        <is>
          <t>black</t>
        </is>
      </c>
      <c r="I274" s="8" t="inlineStr">
        <is>
          <t>resource</t>
        </is>
      </c>
      <c r="J274" s="8" t="n">
        <v>0.06666666666666667</v>
      </c>
      <c r="K274" s="8" t="n">
        <v>1</v>
      </c>
      <c r="L274" s="8" t="n">
        <v>1</v>
      </c>
      <c r="M274" s="8" t="n">
        <v>2</v>
      </c>
      <c r="N274" s="8" t="n">
        <v>2</v>
      </c>
      <c r="O274" s="8">
        <f>J274*K274/L274</f>
        <v>0.06666666666666667</v>
      </c>
      <c r="P274" s="8">
        <f>(M274+N274)/2</f>
        <v>2.0</v>
      </c>
      <c r="Q274" s="8">
        <f>O274*P274</f>
        <v>0.13333333333333333</v>
      </c>
      <c r="R274" s="8" t="n">
        <v>0</v>
      </c>
      <c r="S274" s="8">
        <f>Q274*R274</f>
        <v>0.0</v>
      </c>
      <c r="T274" s="8" t="n"/>
      <c r="U274" s="8" t="inlineStr"/>
      <c r="V274" s="8" t="inlineStr">
        <is>
          <t>data/item_templates.yaml:mission_chest_jiguan_chuniao.effect_payload</t>
        </is>
      </c>
    </row>
    <row r="275" ht="36" customHeight="1">
      <c r="A275" s="8" t="inlineStr">
        <is>
          <t>jiguan_chuniao</t>
        </is>
      </c>
      <c r="B275" s="8" t="inlineStr">
        <is>
          <t>机关雏鸟</t>
        </is>
      </c>
      <c r="C275" s="8" t="inlineStr">
        <is>
          <t>mission_chest_jiguan_chuniao</t>
        </is>
      </c>
      <c r="D275" s="8" t="inlineStr">
        <is>
          <t>机关雏鸟宝箱</t>
        </is>
      </c>
      <c r="E275" s="8" t="inlineStr">
        <is>
          <t>随机械猫图纸附带（同次命中）</t>
        </is>
      </c>
      <c r="F275" s="8" t="inlineStr">
        <is>
          <t>air_stone</t>
        </is>
      </c>
      <c r="G275" s="8" t="inlineStr">
        <is>
          <t>空气之石</t>
        </is>
      </c>
      <c r="H275" s="8" t="inlineStr">
        <is>
          <t>blue</t>
        </is>
      </c>
      <c r="I275" s="8" t="inlineStr">
        <is>
          <t>resource</t>
        </is>
      </c>
      <c r="J275" s="8" t="n">
        <v>0.06666666666666667</v>
      </c>
      <c r="K275" s="8" t="n">
        <v>1</v>
      </c>
      <c r="L275" s="8" t="n">
        <v>1</v>
      </c>
      <c r="M275" s="8" t="n">
        <v>1</v>
      </c>
      <c r="N275" s="8" t="n">
        <v>1</v>
      </c>
      <c r="O275" s="8">
        <f>J275*K275/L275</f>
        <v>0.06666666666666667</v>
      </c>
      <c r="P275" s="8">
        <f>(M275+N275)/2</f>
        <v>1.0</v>
      </c>
      <c r="Q275" s="8">
        <f>O275*P275</f>
        <v>0.06666666666666667</v>
      </c>
      <c r="R275" s="8" t="n">
        <v>0</v>
      </c>
      <c r="S275" s="8">
        <f>Q275*R275</f>
        <v>0.0</v>
      </c>
      <c r="T275" s="8" t="n"/>
      <c r="U275" s="8" t="inlineStr"/>
      <c r="V275" s="8" t="inlineStr">
        <is>
          <t>data/item_templates.yaml:mission_chest_jiguan_chuniao.effect_payload</t>
        </is>
      </c>
    </row>
    <row r="276" ht="36" customHeight="1">
      <c r="A276" s="8" t="inlineStr">
        <is>
          <t>jiguan_chuniao</t>
        </is>
      </c>
      <c r="B276" s="8" t="inlineStr">
        <is>
          <t>机关雏鸟</t>
        </is>
      </c>
      <c r="C276" s="8" t="inlineStr">
        <is>
          <t>mission_chest_jiguan_chuniao</t>
        </is>
      </c>
      <c r="D276" s="8" t="inlineStr">
        <is>
          <t>机关雏鸟宝箱</t>
        </is>
      </c>
      <c r="E276" s="8" t="inlineStr">
        <is>
          <t>随傀儡木人图纸附带（同次命中）</t>
        </is>
      </c>
      <c r="F276" s="8" t="inlineStr">
        <is>
          <t>tong</t>
        </is>
      </c>
      <c r="G276" s="8" t="inlineStr">
        <is>
          <t>铜</t>
        </is>
      </c>
      <c r="H276" s="8" t="inlineStr">
        <is>
          <t>black</t>
        </is>
      </c>
      <c r="I276" s="8" t="inlineStr">
        <is>
          <t>resource</t>
        </is>
      </c>
      <c r="J276" s="8" t="n">
        <v>0.06666666666666667</v>
      </c>
      <c r="K276" s="8" t="n">
        <v>1</v>
      </c>
      <c r="L276" s="8" t="n">
        <v>1</v>
      </c>
      <c r="M276" s="8" t="n">
        <v>26</v>
      </c>
      <c r="N276" s="8" t="n">
        <v>26</v>
      </c>
      <c r="O276" s="8">
        <f>J276*K276/L276</f>
        <v>0.06666666666666667</v>
      </c>
      <c r="P276" s="8">
        <f>(M276+N276)/2</f>
        <v>26.0</v>
      </c>
      <c r="Q276" s="8">
        <f>O276*P276</f>
        <v>1.7333333333333334</v>
      </c>
      <c r="R276" s="8" t="n">
        <v>0</v>
      </c>
      <c r="S276" s="8">
        <f>Q276*R276</f>
        <v>0.0</v>
      </c>
      <c r="T276" s="8" t="n"/>
      <c r="U276" s="8" t="inlineStr"/>
      <c r="V276" s="8" t="inlineStr">
        <is>
          <t>data/item_templates.yaml:mission_chest_jiguan_chuniao.effect_payload</t>
        </is>
      </c>
    </row>
    <row r="277" ht="36" customHeight="1">
      <c r="A277" s="8" t="inlineStr">
        <is>
          <t>jiguan_chuniao</t>
        </is>
      </c>
      <c r="B277" s="8" t="inlineStr">
        <is>
          <t>机关雏鸟</t>
        </is>
      </c>
      <c r="C277" s="8" t="inlineStr">
        <is>
          <t>mission_chest_jiguan_chuniao</t>
        </is>
      </c>
      <c r="D277" s="8" t="inlineStr">
        <is>
          <t>机关雏鸟宝箱</t>
        </is>
      </c>
      <c r="E277" s="8" t="inlineStr">
        <is>
          <t>随傀儡木人图纸附带（同次命中）</t>
        </is>
      </c>
      <c r="F277" s="8" t="inlineStr">
        <is>
          <t>xi</t>
        </is>
      </c>
      <c r="G277" s="8" t="inlineStr">
        <is>
          <t>锡</t>
        </is>
      </c>
      <c r="H277" s="8" t="inlineStr">
        <is>
          <t>black</t>
        </is>
      </c>
      <c r="I277" s="8" t="inlineStr">
        <is>
          <t>resource</t>
        </is>
      </c>
      <c r="J277" s="8" t="n">
        <v>0.06666666666666667</v>
      </c>
      <c r="K277" s="8" t="n">
        <v>1</v>
      </c>
      <c r="L277" s="8" t="n">
        <v>1</v>
      </c>
      <c r="M277" s="8" t="n">
        <v>18</v>
      </c>
      <c r="N277" s="8" t="n">
        <v>18</v>
      </c>
      <c r="O277" s="8">
        <f>J277*K277/L277</f>
        <v>0.06666666666666667</v>
      </c>
      <c r="P277" s="8">
        <f>(M277+N277)/2</f>
        <v>18.0</v>
      </c>
      <c r="Q277" s="8">
        <f>O277*P277</f>
        <v>1.2</v>
      </c>
      <c r="R277" s="8" t="n">
        <v>0</v>
      </c>
      <c r="S277" s="8">
        <f>Q277*R277</f>
        <v>0.0</v>
      </c>
      <c r="T277" s="8" t="n"/>
      <c r="U277" s="8" t="inlineStr"/>
      <c r="V277" s="8" t="inlineStr">
        <is>
          <t>data/item_templates.yaml:mission_chest_jiguan_chuniao.effect_payload</t>
        </is>
      </c>
    </row>
    <row r="278" ht="36" customHeight="1">
      <c r="A278" s="8" t="inlineStr">
        <is>
          <t>jiguan_chuniao</t>
        </is>
      </c>
      <c r="B278" s="8" t="inlineStr">
        <is>
          <t>机关雏鸟</t>
        </is>
      </c>
      <c r="C278" s="8" t="inlineStr">
        <is>
          <t>mission_chest_jiguan_chuniao</t>
        </is>
      </c>
      <c r="D278" s="8" t="inlineStr">
        <is>
          <t>机关雏鸟宝箱</t>
        </is>
      </c>
      <c r="E278" s="8" t="inlineStr">
        <is>
          <t>随傀儡木人图纸附带（同次命中）</t>
        </is>
      </c>
      <c r="F278" s="8" t="inlineStr">
        <is>
          <t>tie</t>
        </is>
      </c>
      <c r="G278" s="8" t="inlineStr">
        <is>
          <t>铁</t>
        </is>
      </c>
      <c r="H278" s="8" t="inlineStr">
        <is>
          <t>black</t>
        </is>
      </c>
      <c r="I278" s="8" t="inlineStr">
        <is>
          <t>resource</t>
        </is>
      </c>
      <c r="J278" s="8" t="n">
        <v>0.06666666666666667</v>
      </c>
      <c r="K278" s="8" t="n">
        <v>1</v>
      </c>
      <c r="L278" s="8" t="n">
        <v>1</v>
      </c>
      <c r="M278" s="8" t="n">
        <v>14</v>
      </c>
      <c r="N278" s="8" t="n">
        <v>14</v>
      </c>
      <c r="O278" s="8">
        <f>J278*K278/L278</f>
        <v>0.06666666666666667</v>
      </c>
      <c r="P278" s="8">
        <f>(M278+N278)/2</f>
        <v>14.0</v>
      </c>
      <c r="Q278" s="8">
        <f>O278*P278</f>
        <v>0.9333333333333333</v>
      </c>
      <c r="R278" s="8" t="n">
        <v>0</v>
      </c>
      <c r="S278" s="8">
        <f>Q278*R278</f>
        <v>0.0</v>
      </c>
      <c r="T278" s="8" t="n"/>
      <c r="U278" s="8" t="inlineStr"/>
      <c r="V278" s="8" t="inlineStr">
        <is>
          <t>data/item_templates.yaml:mission_chest_jiguan_chuniao.effect_payload</t>
        </is>
      </c>
    </row>
    <row r="279" ht="36" customHeight="1">
      <c r="A279" s="8" t="inlineStr">
        <is>
          <t>jiguan_chuniao</t>
        </is>
      </c>
      <c r="B279" s="8" t="inlineStr">
        <is>
          <t>机关雏鸟</t>
        </is>
      </c>
      <c r="C279" s="8" t="inlineStr">
        <is>
          <t>mission_chest_jiguan_chuniao</t>
        </is>
      </c>
      <c r="D279" s="8" t="inlineStr">
        <is>
          <t>机关雏鸟宝箱</t>
        </is>
      </c>
      <c r="E279" s="8" t="inlineStr">
        <is>
          <t>随傀儡木人图纸附带（同次命中）</t>
        </is>
      </c>
      <c r="F279" s="8" t="inlineStr">
        <is>
          <t>wood_essence</t>
        </is>
      </c>
      <c r="G279" s="8" t="inlineStr">
        <is>
          <t>木质精华</t>
        </is>
      </c>
      <c r="H279" s="8" t="inlineStr">
        <is>
          <t>green</t>
        </is>
      </c>
      <c r="I279" s="8" t="inlineStr">
        <is>
          <t>resource</t>
        </is>
      </c>
      <c r="J279" s="8" t="n">
        <v>0.06666666666666667</v>
      </c>
      <c r="K279" s="8" t="n">
        <v>1</v>
      </c>
      <c r="L279" s="8" t="n">
        <v>1</v>
      </c>
      <c r="M279" s="8" t="n">
        <v>1</v>
      </c>
      <c r="N279" s="8" t="n">
        <v>1</v>
      </c>
      <c r="O279" s="8">
        <f>J279*K279/L279</f>
        <v>0.06666666666666667</v>
      </c>
      <c r="P279" s="8">
        <f>(M279+N279)/2</f>
        <v>1.0</v>
      </c>
      <c r="Q279" s="8">
        <f>O279*P279</f>
        <v>0.06666666666666667</v>
      </c>
      <c r="R279" s="8" t="n">
        <v>0</v>
      </c>
      <c r="S279" s="8">
        <f>Q279*R279</f>
        <v>0.0</v>
      </c>
      <c r="T279" s="8" t="n"/>
      <c r="U279" s="8" t="inlineStr"/>
      <c r="V279" s="8" t="inlineStr">
        <is>
          <t>data/item_templates.yaml:mission_chest_jiguan_chuniao.effect_payload</t>
        </is>
      </c>
    </row>
    <row r="280" ht="36" customHeight="1">
      <c r="A280" s="8" t="inlineStr">
        <is>
          <t>jiguan_chuniao</t>
        </is>
      </c>
      <c r="B280" s="8" t="inlineStr">
        <is>
          <t>机关雏鸟</t>
        </is>
      </c>
      <c r="C280" s="8" t="inlineStr">
        <is>
          <t>mission_chest_jiguan_chuniao</t>
        </is>
      </c>
      <c r="D280" s="8" t="inlineStr">
        <is>
          <t>机关雏鸟宝箱</t>
        </is>
      </c>
      <c r="E280" s="8" t="inlineStr">
        <is>
          <t>随傀儡木人图纸附带（同次命中）</t>
        </is>
      </c>
      <c r="F280" s="8" t="inlineStr">
        <is>
          <t>copper_essence</t>
        </is>
      </c>
      <c r="G280" s="8" t="inlineStr">
        <is>
          <t>铜质精华</t>
        </is>
      </c>
      <c r="H280" s="8" t="inlineStr">
        <is>
          <t>green</t>
        </is>
      </c>
      <c r="I280" s="8" t="inlineStr">
        <is>
          <t>resource</t>
        </is>
      </c>
      <c r="J280" s="8" t="n">
        <v>0.06666666666666667</v>
      </c>
      <c r="K280" s="8" t="n">
        <v>1</v>
      </c>
      <c r="L280" s="8" t="n">
        <v>1</v>
      </c>
      <c r="M280" s="8" t="n">
        <v>2</v>
      </c>
      <c r="N280" s="8" t="n">
        <v>2</v>
      </c>
      <c r="O280" s="8">
        <f>J280*K280/L280</f>
        <v>0.06666666666666667</v>
      </c>
      <c r="P280" s="8">
        <f>(M280+N280)/2</f>
        <v>2.0</v>
      </c>
      <c r="Q280" s="8">
        <f>O280*P280</f>
        <v>0.13333333333333333</v>
      </c>
      <c r="R280" s="8" t="n">
        <v>0</v>
      </c>
      <c r="S280" s="8">
        <f>Q280*R280</f>
        <v>0.0</v>
      </c>
      <c r="T280" s="8" t="n"/>
      <c r="U280" s="8" t="inlineStr"/>
      <c r="V280" s="8" t="inlineStr">
        <is>
          <t>data/item_templates.yaml:mission_chest_jiguan_chuniao.effect_payload</t>
        </is>
      </c>
    </row>
    <row r="281" ht="36" customHeight="1">
      <c r="A281" s="8" t="inlineStr">
        <is>
          <t>jiguan_chuniao</t>
        </is>
      </c>
      <c r="B281" s="8" t="inlineStr">
        <is>
          <t>机关雏鸟</t>
        </is>
      </c>
      <c r="C281" s="8" t="inlineStr">
        <is>
          <t>mission_chest_jiguan_chuniao</t>
        </is>
      </c>
      <c r="D281" s="8" t="inlineStr">
        <is>
          <t>机关雏鸟宝箱</t>
        </is>
      </c>
      <c r="E281" s="8" t="inlineStr">
        <is>
          <t>随傀儡木人图纸附带（同次命中）</t>
        </is>
      </c>
      <c r="F281" s="8" t="inlineStr">
        <is>
          <t>xuan_tie_essence</t>
        </is>
      </c>
      <c r="G281" s="8" t="inlineStr">
        <is>
          <t>玄铁精华</t>
        </is>
      </c>
      <c r="H281" s="8" t="inlineStr">
        <is>
          <t>blue</t>
        </is>
      </c>
      <c r="I281" s="8" t="inlineStr">
        <is>
          <t>resource</t>
        </is>
      </c>
      <c r="J281" s="8" t="n">
        <v>0.06666666666666667</v>
      </c>
      <c r="K281" s="8" t="n">
        <v>1</v>
      </c>
      <c r="L281" s="8" t="n">
        <v>1</v>
      </c>
      <c r="M281" s="8" t="n">
        <v>1</v>
      </c>
      <c r="N281" s="8" t="n">
        <v>1</v>
      </c>
      <c r="O281" s="8">
        <f>J281*K281/L281</f>
        <v>0.06666666666666667</v>
      </c>
      <c r="P281" s="8">
        <f>(M281+N281)/2</f>
        <v>1.0</v>
      </c>
      <c r="Q281" s="8">
        <f>O281*P281</f>
        <v>0.06666666666666667</v>
      </c>
      <c r="R281" s="8" t="n">
        <v>0</v>
      </c>
      <c r="S281" s="8">
        <f>Q281*R281</f>
        <v>0.0</v>
      </c>
      <c r="T281" s="8" t="n"/>
      <c r="U281" s="8" t="inlineStr"/>
      <c r="V281" s="8" t="inlineStr">
        <is>
          <t>data/item_templates.yaml:mission_chest_jiguan_chuniao.effect_payload</t>
        </is>
      </c>
    </row>
    <row r="282" ht="36" customHeight="1">
      <c r="A282" s="8" t="inlineStr">
        <is>
          <t>jiguan_chuniao</t>
        </is>
      </c>
      <c r="B282" s="8" t="inlineStr">
        <is>
          <t>机关雏鸟</t>
        </is>
      </c>
      <c r="C282" s="8" t="inlineStr">
        <is>
          <t>mission_chest_jiguan_chuniao</t>
        </is>
      </c>
      <c r="D282" s="8" t="inlineStr">
        <is>
          <t>机关雏鸟宝箱</t>
        </is>
      </c>
      <c r="E282" s="8" t="inlineStr">
        <is>
          <t>随傀儡木人图纸附带（同次命中）</t>
        </is>
      </c>
      <c r="F282" s="8" t="inlineStr">
        <is>
          <t>shuiqumu</t>
        </is>
      </c>
      <c r="G282" s="8" t="inlineStr">
        <is>
          <t>水曲木</t>
        </is>
      </c>
      <c r="H282" s="8" t="inlineStr">
        <is>
          <t>black</t>
        </is>
      </c>
      <c r="I282" s="8" t="inlineStr">
        <is>
          <t>resource</t>
        </is>
      </c>
      <c r="J282" s="8" t="n">
        <v>0.06666666666666667</v>
      </c>
      <c r="K282" s="8" t="n">
        <v>1</v>
      </c>
      <c r="L282" s="8" t="n">
        <v>1</v>
      </c>
      <c r="M282" s="8" t="n">
        <v>3</v>
      </c>
      <c r="N282" s="8" t="n">
        <v>3</v>
      </c>
      <c r="O282" s="8">
        <f>J282*K282/L282</f>
        <v>0.06666666666666667</v>
      </c>
      <c r="P282" s="8">
        <f>(M282+N282)/2</f>
        <v>3.0</v>
      </c>
      <c r="Q282" s="8">
        <f>O282*P282</f>
        <v>0.2</v>
      </c>
      <c r="R282" s="8" t="n">
        <v>0</v>
      </c>
      <c r="S282" s="8">
        <f>Q282*R282</f>
        <v>0.0</v>
      </c>
      <c r="T282" s="8" t="n"/>
      <c r="U282" s="8" t="inlineStr"/>
      <c r="V282" s="8" t="inlineStr">
        <is>
          <t>data/item_templates.yaml:mission_chest_jiguan_chuniao.effect_payload</t>
        </is>
      </c>
    </row>
    <row r="283" ht="36" customHeight="1">
      <c r="A283" s="8" t="inlineStr">
        <is>
          <t>jiguan_chuniao</t>
        </is>
      </c>
      <c r="B283" s="8" t="inlineStr">
        <is>
          <t>机关雏鸟</t>
        </is>
      </c>
      <c r="C283" s="8" t="inlineStr">
        <is>
          <t>mission_chest_jiguan_chuniao</t>
        </is>
      </c>
      <c r="D283" s="8" t="inlineStr">
        <is>
          <t>机关雏鸟宝箱</t>
        </is>
      </c>
      <c r="E283" s="8" t="inlineStr">
        <is>
          <t>随傀儡木人图纸附带（同次命中）</t>
        </is>
      </c>
      <c r="F283" s="8" t="inlineStr">
        <is>
          <t>tiemu</t>
        </is>
      </c>
      <c r="G283" s="8" t="inlineStr">
        <is>
          <t>铁木</t>
        </is>
      </c>
      <c r="H283" s="8" t="inlineStr">
        <is>
          <t>green</t>
        </is>
      </c>
      <c r="I283" s="8" t="inlineStr">
        <is>
          <t>resource</t>
        </is>
      </c>
      <c r="J283" s="8" t="n">
        <v>0.06666666666666667</v>
      </c>
      <c r="K283" s="8" t="n">
        <v>1</v>
      </c>
      <c r="L283" s="8" t="n">
        <v>1</v>
      </c>
      <c r="M283" s="8" t="n">
        <v>5</v>
      </c>
      <c r="N283" s="8" t="n">
        <v>5</v>
      </c>
      <c r="O283" s="8">
        <f>J283*K283/L283</f>
        <v>0.06666666666666667</v>
      </c>
      <c r="P283" s="8">
        <f>(M283+N283)/2</f>
        <v>5.0</v>
      </c>
      <c r="Q283" s="8">
        <f>O283*P283</f>
        <v>0.3333333333333333</v>
      </c>
      <c r="R283" s="8" t="n">
        <v>0</v>
      </c>
      <c r="S283" s="8">
        <f>Q283*R283</f>
        <v>0.0</v>
      </c>
      <c r="T283" s="8" t="n"/>
      <c r="U283" s="8" t="inlineStr"/>
      <c r="V283" s="8" t="inlineStr">
        <is>
          <t>data/item_templates.yaml:mission_chest_jiguan_chuniao.effect_payload</t>
        </is>
      </c>
    </row>
    <row r="284" ht="36" customHeight="1">
      <c r="A284" s="8" t="inlineStr">
        <is>
          <t>jiguan_chuniao</t>
        </is>
      </c>
      <c r="B284" s="8" t="inlineStr">
        <is>
          <t>机关雏鸟</t>
        </is>
      </c>
      <c r="C284" s="8" t="inlineStr">
        <is>
          <t>mission_chest_jiguan_chuniao</t>
        </is>
      </c>
      <c r="D284" s="8" t="inlineStr">
        <is>
          <t>机关雏鸟宝箱</t>
        </is>
      </c>
      <c r="E284" s="8" t="inlineStr">
        <is>
          <t>随傀儡木人图纸附带（同次命中）</t>
        </is>
      </c>
      <c r="F284" s="8" t="inlineStr">
        <is>
          <t>heiyuanshi</t>
        </is>
      </c>
      <c r="G284" s="8" t="inlineStr">
        <is>
          <t>黑原石</t>
        </is>
      </c>
      <c r="H284" s="8" t="inlineStr">
        <is>
          <t>green</t>
        </is>
      </c>
      <c r="I284" s="8" t="inlineStr">
        <is>
          <t>resource</t>
        </is>
      </c>
      <c r="J284" s="8" t="n">
        <v>0.06666666666666667</v>
      </c>
      <c r="K284" s="8" t="n">
        <v>1</v>
      </c>
      <c r="L284" s="8" t="n">
        <v>1</v>
      </c>
      <c r="M284" s="8" t="n">
        <v>1</v>
      </c>
      <c r="N284" s="8" t="n">
        <v>1</v>
      </c>
      <c r="O284" s="8">
        <f>J284*K284/L284</f>
        <v>0.06666666666666667</v>
      </c>
      <c r="P284" s="8">
        <f>(M284+N284)/2</f>
        <v>1.0</v>
      </c>
      <c r="Q284" s="8">
        <f>O284*P284</f>
        <v>0.06666666666666667</v>
      </c>
      <c r="R284" s="8" t="n">
        <v>0</v>
      </c>
      <c r="S284" s="8">
        <f>Q284*R284</f>
        <v>0.0</v>
      </c>
      <c r="T284" s="8" t="n"/>
      <c r="U284" s="8" t="inlineStr"/>
      <c r="V284" s="8" t="inlineStr">
        <is>
          <t>data/item_templates.yaml:mission_chest_jiguan_chuniao.effect_payload</t>
        </is>
      </c>
    </row>
    <row r="285" ht="36" customHeight="1">
      <c r="A285" s="8" t="inlineStr">
        <is>
          <t>jiguan_chuniao</t>
        </is>
      </c>
      <c r="B285" s="8" t="inlineStr">
        <is>
          <t>机关雏鸟</t>
        </is>
      </c>
      <c r="C285" s="8" t="inlineStr">
        <is>
          <t>mission_chest_jiguan_chuniao</t>
        </is>
      </c>
      <c r="D285" s="8" t="inlineStr">
        <is>
          <t>机关雏鸟宝箱</t>
        </is>
      </c>
      <c r="E285" s="8" t="inlineStr">
        <is>
          <t>随傀儡木人图纸附带（同次命中）</t>
        </is>
      </c>
      <c r="F285" s="8" t="inlineStr">
        <is>
          <t>jingangmei</t>
        </is>
      </c>
      <c r="G285" s="8" t="inlineStr">
        <is>
          <t>金刚煤</t>
        </is>
      </c>
      <c r="H285" s="8" t="inlineStr">
        <is>
          <t>green</t>
        </is>
      </c>
      <c r="I285" s="8" t="inlineStr">
        <is>
          <t>resource</t>
        </is>
      </c>
      <c r="J285" s="8" t="n">
        <v>0.06666666666666667</v>
      </c>
      <c r="K285" s="8" t="n">
        <v>1</v>
      </c>
      <c r="L285" s="8" t="n">
        <v>1</v>
      </c>
      <c r="M285" s="8" t="n">
        <v>2</v>
      </c>
      <c r="N285" s="8" t="n">
        <v>2</v>
      </c>
      <c r="O285" s="8">
        <f>J285*K285/L285</f>
        <v>0.06666666666666667</v>
      </c>
      <c r="P285" s="8">
        <f>(M285+N285)/2</f>
        <v>2.0</v>
      </c>
      <c r="Q285" s="8">
        <f>O285*P285</f>
        <v>0.13333333333333333</v>
      </c>
      <c r="R285" s="8" t="n">
        <v>0</v>
      </c>
      <c r="S285" s="8">
        <f>Q285*R285</f>
        <v>0.0</v>
      </c>
      <c r="T285" s="8" t="n"/>
      <c r="U285" s="8" t="inlineStr"/>
      <c r="V285" s="8" t="inlineStr">
        <is>
          <t>data/item_templates.yaml:mission_chest_jiguan_chuniao.effect_payload</t>
        </is>
      </c>
    </row>
    <row r="286" ht="36" customHeight="1">
      <c r="A286" s="8" t="inlineStr">
        <is>
          <t>jiguan_chuniao</t>
        </is>
      </c>
      <c r="B286" s="8" t="inlineStr">
        <is>
          <t>机关雏鸟</t>
        </is>
      </c>
      <c r="C286" s="8" t="inlineStr">
        <is>
          <t>mission_chest_jiguan_chuniao</t>
        </is>
      </c>
      <c r="D286" s="8" t="inlineStr">
        <is>
          <t>机关雏鸟宝箱</t>
        </is>
      </c>
      <c r="E286" s="8" t="inlineStr">
        <is>
          <t>随傀儡木人图纸附带（同次命中）</t>
        </is>
      </c>
      <c r="F286" s="8" t="inlineStr">
        <is>
          <t>paozi</t>
        </is>
      </c>
      <c r="G286" s="8" t="inlineStr">
        <is>
          <t>刨子</t>
        </is>
      </c>
      <c r="H286" s="8" t="inlineStr">
        <is>
          <t>black</t>
        </is>
      </c>
      <c r="I286" s="8" t="inlineStr">
        <is>
          <t>resource</t>
        </is>
      </c>
      <c r="J286" s="8" t="n">
        <v>0.06666666666666667</v>
      </c>
      <c r="K286" s="8" t="n">
        <v>1</v>
      </c>
      <c r="L286" s="8" t="n">
        <v>1</v>
      </c>
      <c r="M286" s="8" t="n">
        <v>3</v>
      </c>
      <c r="N286" s="8" t="n">
        <v>3</v>
      </c>
      <c r="O286" s="8">
        <f>J286*K286/L286</f>
        <v>0.06666666666666667</v>
      </c>
      <c r="P286" s="8">
        <f>(M286+N286)/2</f>
        <v>3.0</v>
      </c>
      <c r="Q286" s="8">
        <f>O286*P286</f>
        <v>0.2</v>
      </c>
      <c r="R286" s="8" t="n">
        <v>0</v>
      </c>
      <c r="S286" s="8">
        <f>Q286*R286</f>
        <v>0.0</v>
      </c>
      <c r="T286" s="8" t="n"/>
      <c r="U286" s="8" t="inlineStr"/>
      <c r="V286" s="8" t="inlineStr">
        <is>
          <t>data/item_templates.yaml:mission_chest_jiguan_chuniao.effect_payload</t>
        </is>
      </c>
    </row>
    <row r="287" ht="36" customHeight="1">
      <c r="A287" s="8" t="inlineStr">
        <is>
          <t>jiguan_chuniao</t>
        </is>
      </c>
      <c r="B287" s="8" t="inlineStr">
        <is>
          <t>机关雏鸟</t>
        </is>
      </c>
      <c r="C287" s="8" t="inlineStr">
        <is>
          <t>mission_chest_jiguan_chuniao</t>
        </is>
      </c>
      <c r="D287" s="8" t="inlineStr">
        <is>
          <t>机关雏鸟宝箱</t>
        </is>
      </c>
      <c r="E287" s="8" t="inlineStr">
        <is>
          <t>随傀儡木人图纸附带（同次命中）</t>
        </is>
      </c>
      <c r="F287" s="8" t="inlineStr">
        <is>
          <t>zaozi</t>
        </is>
      </c>
      <c r="G287" s="8" t="inlineStr">
        <is>
          <t>凿子</t>
        </is>
      </c>
      <c r="H287" s="8" t="inlineStr">
        <is>
          <t>black</t>
        </is>
      </c>
      <c r="I287" s="8" t="inlineStr">
        <is>
          <t>resource</t>
        </is>
      </c>
      <c r="J287" s="8" t="n">
        <v>0.06666666666666667</v>
      </c>
      <c r="K287" s="8" t="n">
        <v>1</v>
      </c>
      <c r="L287" s="8" t="n">
        <v>1</v>
      </c>
      <c r="M287" s="8" t="n">
        <v>2</v>
      </c>
      <c r="N287" s="8" t="n">
        <v>2</v>
      </c>
      <c r="O287" s="8">
        <f>J287*K287/L287</f>
        <v>0.06666666666666667</v>
      </c>
      <c r="P287" s="8">
        <f>(M287+N287)/2</f>
        <v>2.0</v>
      </c>
      <c r="Q287" s="8">
        <f>O287*P287</f>
        <v>0.13333333333333333</v>
      </c>
      <c r="R287" s="8" t="n">
        <v>0</v>
      </c>
      <c r="S287" s="8">
        <f>Q287*R287</f>
        <v>0.0</v>
      </c>
      <c r="T287" s="8" t="n"/>
      <c r="U287" s="8" t="inlineStr"/>
      <c r="V287" s="8" t="inlineStr">
        <is>
          <t>data/item_templates.yaml:mission_chest_jiguan_chuniao.effect_payload</t>
        </is>
      </c>
    </row>
    <row r="288" ht="36" customHeight="1">
      <c r="A288" s="8" t="inlineStr">
        <is>
          <t>jiguan_chuniao</t>
        </is>
      </c>
      <c r="B288" s="8" t="inlineStr">
        <is>
          <t>机关雏鸟</t>
        </is>
      </c>
      <c r="C288" s="8" t="inlineStr">
        <is>
          <t>mission_chest_jiguan_chuniao</t>
        </is>
      </c>
      <c r="D288" s="8" t="inlineStr">
        <is>
          <t>机关雏鸟宝箱</t>
        </is>
      </c>
      <c r="E288" s="8" t="inlineStr">
        <is>
          <t>随傀儡木人图纸附带（同次命中）</t>
        </is>
      </c>
      <c r="F288" s="8" t="inlineStr">
        <is>
          <t>earth_stone</t>
        </is>
      </c>
      <c r="G288" s="8" t="inlineStr">
        <is>
          <t>大地之石</t>
        </is>
      </c>
      <c r="H288" s="8" t="inlineStr">
        <is>
          <t>blue</t>
        </is>
      </c>
      <c r="I288" s="8" t="inlineStr">
        <is>
          <t>resource</t>
        </is>
      </c>
      <c r="J288" s="8" t="n">
        <v>0.06666666666666667</v>
      </c>
      <c r="K288" s="8" t="n">
        <v>1</v>
      </c>
      <c r="L288" s="8" t="n">
        <v>1</v>
      </c>
      <c r="M288" s="8" t="n">
        <v>1</v>
      </c>
      <c r="N288" s="8" t="n">
        <v>1</v>
      </c>
      <c r="O288" s="8">
        <f>J288*K288/L288</f>
        <v>0.06666666666666667</v>
      </c>
      <c r="P288" s="8">
        <f>(M288+N288)/2</f>
        <v>1.0</v>
      </c>
      <c r="Q288" s="8">
        <f>O288*P288</f>
        <v>0.06666666666666667</v>
      </c>
      <c r="R288" s="8" t="n">
        <v>0</v>
      </c>
      <c r="S288" s="8">
        <f>Q288*R288</f>
        <v>0.0</v>
      </c>
      <c r="T288" s="8" t="n"/>
      <c r="U288" s="8" t="inlineStr"/>
      <c r="V288" s="8" t="inlineStr">
        <is>
          <t>data/item_templates.yaml:mission_chest_jiguan_chuniao.effect_payload</t>
        </is>
      </c>
    </row>
    <row r="289" ht="36" customHeight="1">
      <c r="A289" s="8" t="inlineStr">
        <is>
          <t>jiguan_chuniao</t>
        </is>
      </c>
      <c r="B289" s="8" t="inlineStr">
        <is>
          <t>机关雏鸟</t>
        </is>
      </c>
      <c r="C289" s="8" t="inlineStr">
        <is>
          <t>mission_chest_jiguan_chuniao</t>
        </is>
      </c>
      <c r="D289" s="8" t="inlineStr">
        <is>
          <t>机关雏鸟宝箱</t>
        </is>
      </c>
      <c r="E289" s="8" t="inlineStr">
        <is>
          <t>随庆忌图纸附带（同次命中）</t>
        </is>
      </c>
      <c r="F289" s="8" t="inlineStr">
        <is>
          <t>tong</t>
        </is>
      </c>
      <c r="G289" s="8" t="inlineStr">
        <is>
          <t>铜</t>
        </is>
      </c>
      <c r="H289" s="8" t="inlineStr">
        <is>
          <t>black</t>
        </is>
      </c>
      <c r="I289" s="8" t="inlineStr">
        <is>
          <t>resource</t>
        </is>
      </c>
      <c r="J289" s="8" t="n">
        <v>0.06666666666666667</v>
      </c>
      <c r="K289" s="8" t="n">
        <v>1</v>
      </c>
      <c r="L289" s="8" t="n">
        <v>1</v>
      </c>
      <c r="M289" s="8" t="n">
        <v>23</v>
      </c>
      <c r="N289" s="8" t="n">
        <v>23</v>
      </c>
      <c r="O289" s="8">
        <f>J289*K289/L289</f>
        <v>0.06666666666666667</v>
      </c>
      <c r="P289" s="8">
        <f>(M289+N289)/2</f>
        <v>23.0</v>
      </c>
      <c r="Q289" s="8">
        <f>O289*P289</f>
        <v>1.5333333333333332</v>
      </c>
      <c r="R289" s="8" t="n">
        <v>0</v>
      </c>
      <c r="S289" s="8">
        <f>Q289*R289</f>
        <v>0.0</v>
      </c>
      <c r="T289" s="8" t="n"/>
      <c r="U289" s="8" t="inlineStr"/>
      <c r="V289" s="8" t="inlineStr">
        <is>
          <t>data/item_templates.yaml:mission_chest_jiguan_chuniao.effect_payload</t>
        </is>
      </c>
    </row>
    <row r="290" ht="36" customHeight="1">
      <c r="A290" s="8" t="inlineStr">
        <is>
          <t>jiguan_chuniao</t>
        </is>
      </c>
      <c r="B290" s="8" t="inlineStr">
        <is>
          <t>机关雏鸟</t>
        </is>
      </c>
      <c r="C290" s="8" t="inlineStr">
        <is>
          <t>mission_chest_jiguan_chuniao</t>
        </is>
      </c>
      <c r="D290" s="8" t="inlineStr">
        <is>
          <t>机关雏鸟宝箱</t>
        </is>
      </c>
      <c r="E290" s="8" t="inlineStr">
        <is>
          <t>随庆忌图纸附带（同次命中）</t>
        </is>
      </c>
      <c r="F290" s="8" t="inlineStr">
        <is>
          <t>xi</t>
        </is>
      </c>
      <c r="G290" s="8" t="inlineStr">
        <is>
          <t>锡</t>
        </is>
      </c>
      <c r="H290" s="8" t="inlineStr">
        <is>
          <t>black</t>
        </is>
      </c>
      <c r="I290" s="8" t="inlineStr">
        <is>
          <t>resource</t>
        </is>
      </c>
      <c r="J290" s="8" t="n">
        <v>0.06666666666666667</v>
      </c>
      <c r="K290" s="8" t="n">
        <v>1</v>
      </c>
      <c r="L290" s="8" t="n">
        <v>1</v>
      </c>
      <c r="M290" s="8" t="n">
        <v>14</v>
      </c>
      <c r="N290" s="8" t="n">
        <v>14</v>
      </c>
      <c r="O290" s="8">
        <f>J290*K290/L290</f>
        <v>0.06666666666666667</v>
      </c>
      <c r="P290" s="8">
        <f>(M290+N290)/2</f>
        <v>14.0</v>
      </c>
      <c r="Q290" s="8">
        <f>O290*P290</f>
        <v>0.9333333333333333</v>
      </c>
      <c r="R290" s="8" t="n">
        <v>0</v>
      </c>
      <c r="S290" s="8">
        <f>Q290*R290</f>
        <v>0.0</v>
      </c>
      <c r="T290" s="8" t="n"/>
      <c r="U290" s="8" t="inlineStr"/>
      <c r="V290" s="8" t="inlineStr">
        <is>
          <t>data/item_templates.yaml:mission_chest_jiguan_chuniao.effect_payload</t>
        </is>
      </c>
    </row>
    <row r="291" ht="36" customHeight="1">
      <c r="A291" s="8" t="inlineStr">
        <is>
          <t>jiguan_chuniao</t>
        </is>
      </c>
      <c r="B291" s="8" t="inlineStr">
        <is>
          <t>机关雏鸟</t>
        </is>
      </c>
      <c r="C291" s="8" t="inlineStr">
        <is>
          <t>mission_chest_jiguan_chuniao</t>
        </is>
      </c>
      <c r="D291" s="8" t="inlineStr">
        <is>
          <t>机关雏鸟宝箱</t>
        </is>
      </c>
      <c r="E291" s="8" t="inlineStr">
        <is>
          <t>随庆忌图纸附带（同次命中）</t>
        </is>
      </c>
      <c r="F291" s="8" t="inlineStr">
        <is>
          <t>tie</t>
        </is>
      </c>
      <c r="G291" s="8" t="inlineStr">
        <is>
          <t>铁</t>
        </is>
      </c>
      <c r="H291" s="8" t="inlineStr">
        <is>
          <t>black</t>
        </is>
      </c>
      <c r="I291" s="8" t="inlineStr">
        <is>
          <t>resource</t>
        </is>
      </c>
      <c r="J291" s="8" t="n">
        <v>0.06666666666666667</v>
      </c>
      <c r="K291" s="8" t="n">
        <v>1</v>
      </c>
      <c r="L291" s="8" t="n">
        <v>1</v>
      </c>
      <c r="M291" s="8" t="n">
        <v>11</v>
      </c>
      <c r="N291" s="8" t="n">
        <v>11</v>
      </c>
      <c r="O291" s="8">
        <f>J291*K291/L291</f>
        <v>0.06666666666666667</v>
      </c>
      <c r="P291" s="8">
        <f>(M291+N291)/2</f>
        <v>11.0</v>
      </c>
      <c r="Q291" s="8">
        <f>O291*P291</f>
        <v>0.7333333333333333</v>
      </c>
      <c r="R291" s="8" t="n">
        <v>0</v>
      </c>
      <c r="S291" s="8">
        <f>Q291*R291</f>
        <v>0.0</v>
      </c>
      <c r="T291" s="8" t="n"/>
      <c r="U291" s="8" t="inlineStr"/>
      <c r="V291" s="8" t="inlineStr">
        <is>
          <t>data/item_templates.yaml:mission_chest_jiguan_chuniao.effect_payload</t>
        </is>
      </c>
    </row>
    <row r="292" ht="36" customHeight="1">
      <c r="A292" s="8" t="inlineStr">
        <is>
          <t>jiguan_chuniao</t>
        </is>
      </c>
      <c r="B292" s="8" t="inlineStr">
        <is>
          <t>机关雏鸟</t>
        </is>
      </c>
      <c r="C292" s="8" t="inlineStr">
        <is>
          <t>mission_chest_jiguan_chuniao</t>
        </is>
      </c>
      <c r="D292" s="8" t="inlineStr">
        <is>
          <t>机关雏鸟宝箱</t>
        </is>
      </c>
      <c r="E292" s="8" t="inlineStr">
        <is>
          <t>随庆忌图纸附带（同次命中）</t>
        </is>
      </c>
      <c r="F292" s="8" t="inlineStr">
        <is>
          <t>wood_essence</t>
        </is>
      </c>
      <c r="G292" s="8" t="inlineStr">
        <is>
          <t>木质精华</t>
        </is>
      </c>
      <c r="H292" s="8" t="inlineStr">
        <is>
          <t>green</t>
        </is>
      </c>
      <c r="I292" s="8" t="inlineStr">
        <is>
          <t>resource</t>
        </is>
      </c>
      <c r="J292" s="8" t="n">
        <v>0.06666666666666667</v>
      </c>
      <c r="K292" s="8" t="n">
        <v>1</v>
      </c>
      <c r="L292" s="8" t="n">
        <v>1</v>
      </c>
      <c r="M292" s="8" t="n">
        <v>1</v>
      </c>
      <c r="N292" s="8" t="n">
        <v>1</v>
      </c>
      <c r="O292" s="8">
        <f>J292*K292/L292</f>
        <v>0.06666666666666667</v>
      </c>
      <c r="P292" s="8">
        <f>(M292+N292)/2</f>
        <v>1.0</v>
      </c>
      <c r="Q292" s="8">
        <f>O292*P292</f>
        <v>0.06666666666666667</v>
      </c>
      <c r="R292" s="8" t="n">
        <v>0</v>
      </c>
      <c r="S292" s="8">
        <f>Q292*R292</f>
        <v>0.0</v>
      </c>
      <c r="T292" s="8" t="n"/>
      <c r="U292" s="8" t="inlineStr"/>
      <c r="V292" s="8" t="inlineStr">
        <is>
          <t>data/item_templates.yaml:mission_chest_jiguan_chuniao.effect_payload</t>
        </is>
      </c>
    </row>
    <row r="293" ht="36" customHeight="1">
      <c r="A293" s="8" t="inlineStr">
        <is>
          <t>jiguan_chuniao</t>
        </is>
      </c>
      <c r="B293" s="8" t="inlineStr">
        <is>
          <t>机关雏鸟</t>
        </is>
      </c>
      <c r="C293" s="8" t="inlineStr">
        <is>
          <t>mission_chest_jiguan_chuniao</t>
        </is>
      </c>
      <c r="D293" s="8" t="inlineStr">
        <is>
          <t>机关雏鸟宝箱</t>
        </is>
      </c>
      <c r="E293" s="8" t="inlineStr">
        <is>
          <t>随庆忌图纸附带（同次命中）</t>
        </is>
      </c>
      <c r="F293" s="8" t="inlineStr">
        <is>
          <t>copper_essence</t>
        </is>
      </c>
      <c r="G293" s="8" t="inlineStr">
        <is>
          <t>铜质精华</t>
        </is>
      </c>
      <c r="H293" s="8" t="inlineStr">
        <is>
          <t>green</t>
        </is>
      </c>
      <c r="I293" s="8" t="inlineStr">
        <is>
          <t>resource</t>
        </is>
      </c>
      <c r="J293" s="8" t="n">
        <v>0.06666666666666667</v>
      </c>
      <c r="K293" s="8" t="n">
        <v>1</v>
      </c>
      <c r="L293" s="8" t="n">
        <v>1</v>
      </c>
      <c r="M293" s="8" t="n">
        <v>1</v>
      </c>
      <c r="N293" s="8" t="n">
        <v>1</v>
      </c>
      <c r="O293" s="8">
        <f>J293*K293/L293</f>
        <v>0.06666666666666667</v>
      </c>
      <c r="P293" s="8">
        <f>(M293+N293)/2</f>
        <v>1.0</v>
      </c>
      <c r="Q293" s="8">
        <f>O293*P293</f>
        <v>0.06666666666666667</v>
      </c>
      <c r="R293" s="8" t="n">
        <v>0</v>
      </c>
      <c r="S293" s="8">
        <f>Q293*R293</f>
        <v>0.0</v>
      </c>
      <c r="T293" s="8" t="n"/>
      <c r="U293" s="8" t="inlineStr"/>
      <c r="V293" s="8" t="inlineStr">
        <is>
          <t>data/item_templates.yaml:mission_chest_jiguan_chuniao.effect_payload</t>
        </is>
      </c>
    </row>
    <row r="294" ht="36" customHeight="1">
      <c r="A294" s="8" t="inlineStr">
        <is>
          <t>jiguan_chuniao</t>
        </is>
      </c>
      <c r="B294" s="8" t="inlineStr">
        <is>
          <t>机关雏鸟</t>
        </is>
      </c>
      <c r="C294" s="8" t="inlineStr">
        <is>
          <t>mission_chest_jiguan_chuniao</t>
        </is>
      </c>
      <c r="D294" s="8" t="inlineStr">
        <is>
          <t>机关雏鸟宝箱</t>
        </is>
      </c>
      <c r="E294" s="8" t="inlineStr">
        <is>
          <t>随庆忌图纸附带（同次命中）</t>
        </is>
      </c>
      <c r="F294" s="8" t="inlineStr">
        <is>
          <t>xuan_tie_essence</t>
        </is>
      </c>
      <c r="G294" s="8" t="inlineStr">
        <is>
          <t>玄铁精华</t>
        </is>
      </c>
      <c r="H294" s="8" t="inlineStr">
        <is>
          <t>blue</t>
        </is>
      </c>
      <c r="I294" s="8" t="inlineStr">
        <is>
          <t>resource</t>
        </is>
      </c>
      <c r="J294" s="8" t="n">
        <v>0.06666666666666667</v>
      </c>
      <c r="K294" s="8" t="n">
        <v>1</v>
      </c>
      <c r="L294" s="8" t="n">
        <v>1</v>
      </c>
      <c r="M294" s="8" t="n">
        <v>1</v>
      </c>
      <c r="N294" s="8" t="n">
        <v>1</v>
      </c>
      <c r="O294" s="8">
        <f>J294*K294/L294</f>
        <v>0.06666666666666667</v>
      </c>
      <c r="P294" s="8">
        <f>(M294+N294)/2</f>
        <v>1.0</v>
      </c>
      <c r="Q294" s="8">
        <f>O294*P294</f>
        <v>0.06666666666666667</v>
      </c>
      <c r="R294" s="8" t="n">
        <v>0</v>
      </c>
      <c r="S294" s="8">
        <f>Q294*R294</f>
        <v>0.0</v>
      </c>
      <c r="T294" s="8" t="n"/>
      <c r="U294" s="8" t="inlineStr"/>
      <c r="V294" s="8" t="inlineStr">
        <is>
          <t>data/item_templates.yaml:mission_chest_jiguan_chuniao.effect_payload</t>
        </is>
      </c>
    </row>
    <row r="295" ht="36" customHeight="1">
      <c r="A295" s="8" t="inlineStr">
        <is>
          <t>jiguan_chuniao</t>
        </is>
      </c>
      <c r="B295" s="8" t="inlineStr">
        <is>
          <t>机关雏鸟</t>
        </is>
      </c>
      <c r="C295" s="8" t="inlineStr">
        <is>
          <t>mission_chest_jiguan_chuniao</t>
        </is>
      </c>
      <c r="D295" s="8" t="inlineStr">
        <is>
          <t>机关雏鸟宝箱</t>
        </is>
      </c>
      <c r="E295" s="8" t="inlineStr">
        <is>
          <t>随庆忌图纸附带（同次命中）</t>
        </is>
      </c>
      <c r="F295" s="8" t="inlineStr">
        <is>
          <t>zitanmu</t>
        </is>
      </c>
      <c r="G295" s="8" t="inlineStr">
        <is>
          <t>紫檀木</t>
        </is>
      </c>
      <c r="H295" s="8" t="inlineStr">
        <is>
          <t>green</t>
        </is>
      </c>
      <c r="I295" s="8" t="inlineStr">
        <is>
          <t>resource</t>
        </is>
      </c>
      <c r="J295" s="8" t="n">
        <v>0.06666666666666667</v>
      </c>
      <c r="K295" s="8" t="n">
        <v>1</v>
      </c>
      <c r="L295" s="8" t="n">
        <v>1</v>
      </c>
      <c r="M295" s="8" t="n">
        <v>3</v>
      </c>
      <c r="N295" s="8" t="n">
        <v>3</v>
      </c>
      <c r="O295" s="8">
        <f>J295*K295/L295</f>
        <v>0.06666666666666667</v>
      </c>
      <c r="P295" s="8">
        <f>(M295+N295)/2</f>
        <v>3.0</v>
      </c>
      <c r="Q295" s="8">
        <f>O295*P295</f>
        <v>0.2</v>
      </c>
      <c r="R295" s="8" t="n">
        <v>0</v>
      </c>
      <c r="S295" s="8">
        <f>Q295*R295</f>
        <v>0.0</v>
      </c>
      <c r="T295" s="8" t="n"/>
      <c r="U295" s="8" t="inlineStr"/>
      <c r="V295" s="8" t="inlineStr">
        <is>
          <t>data/item_templates.yaml:mission_chest_jiguan_chuniao.effect_payload</t>
        </is>
      </c>
    </row>
    <row r="296" ht="36" customHeight="1">
      <c r="A296" s="8" t="inlineStr">
        <is>
          <t>jiguan_chuniao</t>
        </is>
      </c>
      <c r="B296" s="8" t="inlineStr">
        <is>
          <t>机关雏鸟</t>
        </is>
      </c>
      <c r="C296" s="8" t="inlineStr">
        <is>
          <t>mission_chest_jiguan_chuniao</t>
        </is>
      </c>
      <c r="D296" s="8" t="inlineStr">
        <is>
          <t>机关雏鸟宝箱</t>
        </is>
      </c>
      <c r="E296" s="8" t="inlineStr">
        <is>
          <t>随庆忌图纸附带（同次命中）</t>
        </is>
      </c>
      <c r="F296" s="8" t="inlineStr">
        <is>
          <t>tiemu</t>
        </is>
      </c>
      <c r="G296" s="8" t="inlineStr">
        <is>
          <t>铁木</t>
        </is>
      </c>
      <c r="H296" s="8" t="inlineStr">
        <is>
          <t>green</t>
        </is>
      </c>
      <c r="I296" s="8" t="inlineStr">
        <is>
          <t>resource</t>
        </is>
      </c>
      <c r="J296" s="8" t="n">
        <v>0.06666666666666667</v>
      </c>
      <c r="K296" s="8" t="n">
        <v>1</v>
      </c>
      <c r="L296" s="8" t="n">
        <v>1</v>
      </c>
      <c r="M296" s="8" t="n">
        <v>1</v>
      </c>
      <c r="N296" s="8" t="n">
        <v>1</v>
      </c>
      <c r="O296" s="8">
        <f>J296*K296/L296</f>
        <v>0.06666666666666667</v>
      </c>
      <c r="P296" s="8">
        <f>(M296+N296)/2</f>
        <v>1.0</v>
      </c>
      <c r="Q296" s="8">
        <f>O296*P296</f>
        <v>0.06666666666666667</v>
      </c>
      <c r="R296" s="8" t="n">
        <v>0</v>
      </c>
      <c r="S296" s="8">
        <f>Q296*R296</f>
        <v>0.0</v>
      </c>
      <c r="T296" s="8" t="n"/>
      <c r="U296" s="8" t="inlineStr"/>
      <c r="V296" s="8" t="inlineStr">
        <is>
          <t>data/item_templates.yaml:mission_chest_jiguan_chuniao.effect_payload</t>
        </is>
      </c>
    </row>
    <row r="297" ht="36" customHeight="1">
      <c r="A297" s="8" t="inlineStr">
        <is>
          <t>jiguan_chuniao</t>
        </is>
      </c>
      <c r="B297" s="8" t="inlineStr">
        <is>
          <t>机关雏鸟</t>
        </is>
      </c>
      <c r="C297" s="8" t="inlineStr">
        <is>
          <t>mission_chest_jiguan_chuniao</t>
        </is>
      </c>
      <c r="D297" s="8" t="inlineStr">
        <is>
          <t>机关雏鸟宝箱</t>
        </is>
      </c>
      <c r="E297" s="8" t="inlineStr">
        <is>
          <t>随庆忌图纸附带（同次命中）</t>
        </is>
      </c>
      <c r="F297" s="8" t="inlineStr">
        <is>
          <t>heiyuanshi</t>
        </is>
      </c>
      <c r="G297" s="8" t="inlineStr">
        <is>
          <t>黑原石</t>
        </is>
      </c>
      <c r="H297" s="8" t="inlineStr">
        <is>
          <t>green</t>
        </is>
      </c>
      <c r="I297" s="8" t="inlineStr">
        <is>
          <t>resource</t>
        </is>
      </c>
      <c r="J297" s="8" t="n">
        <v>0.06666666666666667</v>
      </c>
      <c r="K297" s="8" t="n">
        <v>1</v>
      </c>
      <c r="L297" s="8" t="n">
        <v>1</v>
      </c>
      <c r="M297" s="8" t="n">
        <v>3</v>
      </c>
      <c r="N297" s="8" t="n">
        <v>3</v>
      </c>
      <c r="O297" s="8">
        <f>J297*K297/L297</f>
        <v>0.06666666666666667</v>
      </c>
      <c r="P297" s="8">
        <f>(M297+N297)/2</f>
        <v>3.0</v>
      </c>
      <c r="Q297" s="8">
        <f>O297*P297</f>
        <v>0.2</v>
      </c>
      <c r="R297" s="8" t="n">
        <v>0</v>
      </c>
      <c r="S297" s="8">
        <f>Q297*R297</f>
        <v>0.0</v>
      </c>
      <c r="T297" s="8" t="n"/>
      <c r="U297" s="8" t="inlineStr"/>
      <c r="V297" s="8" t="inlineStr">
        <is>
          <t>data/item_templates.yaml:mission_chest_jiguan_chuniao.effect_payload</t>
        </is>
      </c>
    </row>
    <row r="298" ht="36" customHeight="1">
      <c r="A298" s="8" t="inlineStr">
        <is>
          <t>jiguan_chuniao</t>
        </is>
      </c>
      <c r="B298" s="8" t="inlineStr">
        <is>
          <t>机关雏鸟</t>
        </is>
      </c>
      <c r="C298" s="8" t="inlineStr">
        <is>
          <t>mission_chest_jiguan_chuniao</t>
        </is>
      </c>
      <c r="D298" s="8" t="inlineStr">
        <is>
          <t>机关雏鸟宝箱</t>
        </is>
      </c>
      <c r="E298" s="8" t="inlineStr">
        <is>
          <t>随庆忌图纸附带（同次命中）</t>
        </is>
      </c>
      <c r="F298" s="8" t="inlineStr">
        <is>
          <t>jingangmei</t>
        </is>
      </c>
      <c r="G298" s="8" t="inlineStr">
        <is>
          <t>金刚煤</t>
        </is>
      </c>
      <c r="H298" s="8" t="inlineStr">
        <is>
          <t>green</t>
        </is>
      </c>
      <c r="I298" s="8" t="inlineStr">
        <is>
          <t>resource</t>
        </is>
      </c>
      <c r="J298" s="8" t="n">
        <v>0.06666666666666667</v>
      </c>
      <c r="K298" s="8" t="n">
        <v>1</v>
      </c>
      <c r="L298" s="8" t="n">
        <v>1</v>
      </c>
      <c r="M298" s="8" t="n">
        <v>2</v>
      </c>
      <c r="N298" s="8" t="n">
        <v>2</v>
      </c>
      <c r="O298" s="8">
        <f>J298*K298/L298</f>
        <v>0.06666666666666667</v>
      </c>
      <c r="P298" s="8">
        <f>(M298+N298)/2</f>
        <v>2.0</v>
      </c>
      <c r="Q298" s="8">
        <f>O298*P298</f>
        <v>0.13333333333333333</v>
      </c>
      <c r="R298" s="8" t="n">
        <v>0</v>
      </c>
      <c r="S298" s="8">
        <f>Q298*R298</f>
        <v>0.0</v>
      </c>
      <c r="T298" s="8" t="n"/>
      <c r="U298" s="8" t="inlineStr"/>
      <c r="V298" s="8" t="inlineStr">
        <is>
          <t>data/item_templates.yaml:mission_chest_jiguan_chuniao.effect_payload</t>
        </is>
      </c>
    </row>
    <row r="299" ht="36" customHeight="1">
      <c r="A299" s="8" t="inlineStr">
        <is>
          <t>jiguan_chuniao</t>
        </is>
      </c>
      <c r="B299" s="8" t="inlineStr">
        <is>
          <t>机关雏鸟</t>
        </is>
      </c>
      <c r="C299" s="8" t="inlineStr">
        <is>
          <t>mission_chest_jiguan_chuniao</t>
        </is>
      </c>
      <c r="D299" s="8" t="inlineStr">
        <is>
          <t>机关雏鸟宝箱</t>
        </is>
      </c>
      <c r="E299" s="8" t="inlineStr">
        <is>
          <t>随庆忌图纸附带（同次命中）</t>
        </is>
      </c>
      <c r="F299" s="8" t="inlineStr">
        <is>
          <t>paozi</t>
        </is>
      </c>
      <c r="G299" s="8" t="inlineStr">
        <is>
          <t>刨子</t>
        </is>
      </c>
      <c r="H299" s="8" t="inlineStr">
        <is>
          <t>black</t>
        </is>
      </c>
      <c r="I299" s="8" t="inlineStr">
        <is>
          <t>resource</t>
        </is>
      </c>
      <c r="J299" s="8" t="n">
        <v>0.06666666666666667</v>
      </c>
      <c r="K299" s="8" t="n">
        <v>1</v>
      </c>
      <c r="L299" s="8" t="n">
        <v>1</v>
      </c>
      <c r="M299" s="8" t="n">
        <v>1</v>
      </c>
      <c r="N299" s="8" t="n">
        <v>1</v>
      </c>
      <c r="O299" s="8">
        <f>J299*K299/L299</f>
        <v>0.06666666666666667</v>
      </c>
      <c r="P299" s="8">
        <f>(M299+N299)/2</f>
        <v>1.0</v>
      </c>
      <c r="Q299" s="8">
        <f>O299*P299</f>
        <v>0.06666666666666667</v>
      </c>
      <c r="R299" s="8" t="n">
        <v>0</v>
      </c>
      <c r="S299" s="8">
        <f>Q299*R299</f>
        <v>0.0</v>
      </c>
      <c r="T299" s="8" t="n"/>
      <c r="U299" s="8" t="inlineStr"/>
      <c r="V299" s="8" t="inlineStr">
        <is>
          <t>data/item_templates.yaml:mission_chest_jiguan_chuniao.effect_payload</t>
        </is>
      </c>
    </row>
    <row r="300" ht="36" customHeight="1">
      <c r="A300" s="8" t="inlineStr">
        <is>
          <t>jiguan_chuniao</t>
        </is>
      </c>
      <c r="B300" s="8" t="inlineStr">
        <is>
          <t>机关雏鸟</t>
        </is>
      </c>
      <c r="C300" s="8" t="inlineStr">
        <is>
          <t>mission_chest_jiguan_chuniao</t>
        </is>
      </c>
      <c r="D300" s="8" t="inlineStr">
        <is>
          <t>机关雏鸟宝箱</t>
        </is>
      </c>
      <c r="E300" s="8" t="inlineStr">
        <is>
          <t>随庆忌图纸附带（同次命中）</t>
        </is>
      </c>
      <c r="F300" s="8" t="inlineStr">
        <is>
          <t>zaozi</t>
        </is>
      </c>
      <c r="G300" s="8" t="inlineStr">
        <is>
          <t>凿子</t>
        </is>
      </c>
      <c r="H300" s="8" t="inlineStr">
        <is>
          <t>black</t>
        </is>
      </c>
      <c r="I300" s="8" t="inlineStr">
        <is>
          <t>resource</t>
        </is>
      </c>
      <c r="J300" s="8" t="n">
        <v>0.06666666666666667</v>
      </c>
      <c r="K300" s="8" t="n">
        <v>1</v>
      </c>
      <c r="L300" s="8" t="n">
        <v>1</v>
      </c>
      <c r="M300" s="8" t="n">
        <v>2</v>
      </c>
      <c r="N300" s="8" t="n">
        <v>2</v>
      </c>
      <c r="O300" s="8">
        <f>J300*K300/L300</f>
        <v>0.06666666666666667</v>
      </c>
      <c r="P300" s="8">
        <f>(M300+N300)/2</f>
        <v>2.0</v>
      </c>
      <c r="Q300" s="8">
        <f>O300*P300</f>
        <v>0.13333333333333333</v>
      </c>
      <c r="R300" s="8" t="n">
        <v>0</v>
      </c>
      <c r="S300" s="8">
        <f>Q300*R300</f>
        <v>0.0</v>
      </c>
      <c r="T300" s="8" t="n"/>
      <c r="U300" s="8" t="inlineStr"/>
      <c r="V300" s="8" t="inlineStr">
        <is>
          <t>data/item_templates.yaml:mission_chest_jiguan_chuniao.effect_payload</t>
        </is>
      </c>
    </row>
    <row r="301" ht="36" customHeight="1">
      <c r="A301" s="8" t="inlineStr">
        <is>
          <t>jiguan_chuniao</t>
        </is>
      </c>
      <c r="B301" s="8" t="inlineStr">
        <is>
          <t>机关雏鸟</t>
        </is>
      </c>
      <c r="C301" s="8" t="inlineStr">
        <is>
          <t>mission_chest_jiguan_chuniao</t>
        </is>
      </c>
      <c r="D301" s="8" t="inlineStr">
        <is>
          <t>机关雏鸟宝箱</t>
        </is>
      </c>
      <c r="E301" s="8" t="inlineStr">
        <is>
          <t>随庆忌图纸附带（同次命中）</t>
        </is>
      </c>
      <c r="F301" s="8" t="inlineStr">
        <is>
          <t>air_stone</t>
        </is>
      </c>
      <c r="G301" s="8" t="inlineStr">
        <is>
          <t>空气之石</t>
        </is>
      </c>
      <c r="H301" s="8" t="inlineStr">
        <is>
          <t>blue</t>
        </is>
      </c>
      <c r="I301" s="8" t="inlineStr">
        <is>
          <t>resource</t>
        </is>
      </c>
      <c r="J301" s="8" t="n">
        <v>0.06666666666666667</v>
      </c>
      <c r="K301" s="8" t="n">
        <v>1</v>
      </c>
      <c r="L301" s="8" t="n">
        <v>1</v>
      </c>
      <c r="M301" s="8" t="n">
        <v>1</v>
      </c>
      <c r="N301" s="8" t="n">
        <v>1</v>
      </c>
      <c r="O301" s="8">
        <f>J301*K301/L301</f>
        <v>0.06666666666666667</v>
      </c>
      <c r="P301" s="8">
        <f>(M301+N301)/2</f>
        <v>1.0</v>
      </c>
      <c r="Q301" s="8">
        <f>O301*P301</f>
        <v>0.06666666666666667</v>
      </c>
      <c r="R301" s="8" t="n">
        <v>0</v>
      </c>
      <c r="S301" s="8">
        <f>Q301*R301</f>
        <v>0.0</v>
      </c>
      <c r="T301" s="8" t="n"/>
      <c r="U301" s="8" t="inlineStr"/>
      <c r="V301" s="8" t="inlineStr">
        <is>
          <t>data/item_templates.yaml:mission_chest_jiguan_chuniao.effect_payload</t>
        </is>
      </c>
    </row>
    <row r="302" ht="36" customHeight="1">
      <c r="A302" s="8" t="inlineStr">
        <is>
          <t>dongtian_fudi</t>
        </is>
      </c>
      <c r="B302" s="8" t="inlineStr">
        <is>
          <t>洞天福地</t>
        </is>
      </c>
      <c r="C302" s="8" t="inlineStr">
        <is>
          <t>mission_chest_dongtian_fudi</t>
        </is>
      </c>
      <c r="D302" s="8" t="inlineStr">
        <is>
          <t>洞天福地宝箱</t>
        </is>
      </c>
      <c r="E302" s="8" t="inlineStr">
        <is>
          <t>必得</t>
        </is>
      </c>
      <c r="F302" s="8" t="inlineStr">
        <is>
          <t>experience_fruit</t>
        </is>
      </c>
      <c r="G302" s="8" t="inlineStr">
        <is>
          <t>经验果</t>
        </is>
      </c>
      <c r="H302" s="8" t="inlineStr">
        <is>
          <t>green</t>
        </is>
      </c>
      <c r="I302" s="8" t="inlineStr">
        <is>
          <t>experience_items</t>
        </is>
      </c>
      <c r="J302" s="8" t="n">
        <v>1</v>
      </c>
      <c r="K302" s="8" t="n">
        <v>1</v>
      </c>
      <c r="L302" s="8" t="n">
        <v>1</v>
      </c>
      <c r="M302" s="8" t="n">
        <v>30</v>
      </c>
      <c r="N302" s="8" t="n">
        <v>30</v>
      </c>
      <c r="O302" s="8">
        <f>J302*K302/L302</f>
        <v>1.0</v>
      </c>
      <c r="P302" s="8">
        <f>(M302+N302)/2</f>
        <v>30.0</v>
      </c>
      <c r="Q302" s="8">
        <f>O302*P302</f>
        <v>30.0</v>
      </c>
      <c r="R302" s="8" t="n">
        <v>1</v>
      </c>
      <c r="S302" s="8">
        <f>Q302*R302</f>
        <v>30.0</v>
      </c>
      <c r="T302" s="8" t="n"/>
      <c r="U302" s="8" t="inlineStr"/>
      <c r="V302" s="8" t="inlineStr">
        <is>
          <t>data/item_templates.yaml:mission_chest_dongtian_fudi.effect_payload</t>
        </is>
      </c>
    </row>
    <row r="303" ht="36" customHeight="1">
      <c r="A303" s="8" t="inlineStr">
        <is>
          <t>dongtian_fudi</t>
        </is>
      </c>
      <c r="B303" s="8" t="inlineStr">
        <is>
          <t>洞天福地</t>
        </is>
      </c>
      <c r="C303" s="8" t="inlineStr">
        <is>
          <t>mission_chest_dongtian_fudi</t>
        </is>
      </c>
      <c r="D303" s="8" t="inlineStr">
        <is>
          <t>洞天福地宝箱</t>
        </is>
      </c>
      <c r="E303" s="8" t="inlineStr">
        <is>
          <t>必得</t>
        </is>
      </c>
      <c r="F303" s="8" t="inlineStr">
        <is>
          <t>experience_watermelon</t>
        </is>
      </c>
      <c r="G303" s="8" t="inlineStr">
        <is>
          <t>经验西瓜</t>
        </is>
      </c>
      <c r="H303" s="8" t="inlineStr">
        <is>
          <t>purple</t>
        </is>
      </c>
      <c r="I303" s="8" t="inlineStr">
        <is>
          <t>experience_items</t>
        </is>
      </c>
      <c r="J303" s="8" t="n">
        <v>1</v>
      </c>
      <c r="K303" s="8" t="n">
        <v>1</v>
      </c>
      <c r="L303" s="8" t="n">
        <v>1</v>
      </c>
      <c r="M303" s="8" t="n">
        <v>5</v>
      </c>
      <c r="N303" s="8" t="n">
        <v>5</v>
      </c>
      <c r="O303" s="8">
        <f>J303*K303/L303</f>
        <v>1.0</v>
      </c>
      <c r="P303" s="8">
        <f>(M303+N303)/2</f>
        <v>5.0</v>
      </c>
      <c r="Q303" s="8">
        <f>O303*P303</f>
        <v>5.0</v>
      </c>
      <c r="R303" s="8" t="n">
        <v>24</v>
      </c>
      <c r="S303" s="8">
        <f>Q303*R303</f>
        <v>120.0</v>
      </c>
      <c r="T303" s="8" t="n"/>
      <c r="U303" s="8" t="inlineStr"/>
      <c r="V303" s="8" t="inlineStr">
        <is>
          <t>data/item_templates.yaml:mission_chest_dongtian_fudi.effect_payload</t>
        </is>
      </c>
    </row>
    <row r="304" ht="36" customHeight="1">
      <c r="A304" s="8" t="inlineStr">
        <is>
          <t>dongtian_fudi</t>
        </is>
      </c>
      <c r="B304" s="8" t="inlineStr">
        <is>
          <t>洞天福地</t>
        </is>
      </c>
      <c r="C304" s="8" t="inlineStr">
        <is>
          <t>mission_chest_dongtian_fudi</t>
        </is>
      </c>
      <c r="D304" s="8" t="inlineStr">
        <is>
          <t>洞天福地宝箱</t>
        </is>
      </c>
      <c r="E304" s="8" t="inlineStr">
        <is>
          <t>必得</t>
        </is>
      </c>
      <c r="F304" s="8" t="inlineStr">
        <is>
          <t>buxuedan</t>
        </is>
      </c>
      <c r="G304" s="8" t="inlineStr">
        <is>
          <t>补血丹</t>
        </is>
      </c>
      <c r="H304" s="8" t="inlineStr">
        <is>
          <t>black</t>
        </is>
      </c>
      <c r="I304" s="8" t="inlineStr">
        <is>
          <t>medicine</t>
        </is>
      </c>
      <c r="J304" s="8" t="n">
        <v>1</v>
      </c>
      <c r="K304" s="8" t="n">
        <v>1</v>
      </c>
      <c r="L304" s="8" t="n">
        <v>1</v>
      </c>
      <c r="M304" s="8" t="n">
        <v>4</v>
      </c>
      <c r="N304" s="8" t="n">
        <v>4</v>
      </c>
      <c r="O304" s="8">
        <f>J304*K304/L304</f>
        <v>1.0</v>
      </c>
      <c r="P304" s="8">
        <f>(M304+N304)/2</f>
        <v>4.0</v>
      </c>
      <c r="Q304" s="8">
        <f>O304*P304</f>
        <v>4.0</v>
      </c>
      <c r="R304" s="8" t="n">
        <v>0</v>
      </c>
      <c r="S304" s="8">
        <f>Q304*R304</f>
        <v>0.0</v>
      </c>
      <c r="T304" s="8" t="n"/>
      <c r="U304" s="8" t="inlineStr"/>
      <c r="V304" s="8" t="inlineStr">
        <is>
          <t>data/item_templates.yaml:mission_chest_dongtian_fudi.effect_payload</t>
        </is>
      </c>
    </row>
    <row r="305" ht="36" customHeight="1">
      <c r="A305" s="8" t="inlineStr">
        <is>
          <t>dongtian_fudi</t>
        </is>
      </c>
      <c r="B305" s="8" t="inlineStr">
        <is>
          <t>洞天福地</t>
        </is>
      </c>
      <c r="C305" s="8" t="inlineStr">
        <is>
          <t>mission_chest_dongtian_fudi</t>
        </is>
      </c>
      <c r="D305" s="8" t="inlineStr">
        <is>
          <t>洞天福地宝箱</t>
        </is>
      </c>
      <c r="E305" s="8" t="inlineStr">
        <is>
          <t>必得</t>
        </is>
      </c>
      <c r="F305" s="8" t="inlineStr">
        <is>
          <t>tong</t>
        </is>
      </c>
      <c r="G305" s="8" t="inlineStr">
        <is>
          <t>铜</t>
        </is>
      </c>
      <c r="H305" s="8" t="inlineStr">
        <is>
          <t>black</t>
        </is>
      </c>
      <c r="I305" s="8" t="inlineStr">
        <is>
          <t>resource</t>
        </is>
      </c>
      <c r="J305" s="8" t="n">
        <v>1</v>
      </c>
      <c r="K305" s="8" t="n">
        <v>1</v>
      </c>
      <c r="L305" s="8" t="n">
        <v>1</v>
      </c>
      <c r="M305" s="8" t="n">
        <v>12</v>
      </c>
      <c r="N305" s="8" t="n">
        <v>12</v>
      </c>
      <c r="O305" s="8">
        <f>J305*K305/L305</f>
        <v>1.0</v>
      </c>
      <c r="P305" s="8">
        <f>(M305+N305)/2</f>
        <v>12.0</v>
      </c>
      <c r="Q305" s="8">
        <f>O305*P305</f>
        <v>12.0</v>
      </c>
      <c r="R305" s="8" t="n">
        <v>0</v>
      </c>
      <c r="S305" s="8">
        <f>Q305*R305</f>
        <v>0.0</v>
      </c>
      <c r="T305" s="8" t="n"/>
      <c r="U305" s="8" t="inlineStr"/>
      <c r="V305" s="8" t="inlineStr">
        <is>
          <t>data/item_templates.yaml:mission_chest_dongtian_fudi.effect_payload</t>
        </is>
      </c>
    </row>
    <row r="306" ht="36" customHeight="1">
      <c r="A306" s="8" t="inlineStr">
        <is>
          <t>dongtian_fudi</t>
        </is>
      </c>
      <c r="B306" s="8" t="inlineStr">
        <is>
          <t>洞天福地</t>
        </is>
      </c>
      <c r="C306" s="8" t="inlineStr">
        <is>
          <t>mission_chest_dongtian_fudi</t>
        </is>
      </c>
      <c r="D306" s="8" t="inlineStr">
        <is>
          <t>洞天福地宝箱</t>
        </is>
      </c>
      <c r="E306" s="8" t="inlineStr">
        <is>
          <t>必得</t>
        </is>
      </c>
      <c r="F306" s="8" t="inlineStr">
        <is>
          <t>xi</t>
        </is>
      </c>
      <c r="G306" s="8" t="inlineStr">
        <is>
          <t>锡</t>
        </is>
      </c>
      <c r="H306" s="8" t="inlineStr">
        <is>
          <t>black</t>
        </is>
      </c>
      <c r="I306" s="8" t="inlineStr">
        <is>
          <t>resource</t>
        </is>
      </c>
      <c r="J306" s="8" t="n">
        <v>1</v>
      </c>
      <c r="K306" s="8" t="n">
        <v>1</v>
      </c>
      <c r="L306" s="8" t="n">
        <v>1</v>
      </c>
      <c r="M306" s="8" t="n">
        <v>8</v>
      </c>
      <c r="N306" s="8" t="n">
        <v>8</v>
      </c>
      <c r="O306" s="8">
        <f>J306*K306/L306</f>
        <v>1.0</v>
      </c>
      <c r="P306" s="8">
        <f>(M306+N306)/2</f>
        <v>8.0</v>
      </c>
      <c r="Q306" s="8">
        <f>O306*P306</f>
        <v>8.0</v>
      </c>
      <c r="R306" s="8" t="n">
        <v>0</v>
      </c>
      <c r="S306" s="8">
        <f>Q306*R306</f>
        <v>0.0</v>
      </c>
      <c r="T306" s="8" t="n"/>
      <c r="U306" s="8" t="inlineStr"/>
      <c r="V306" s="8" t="inlineStr">
        <is>
          <t>data/item_templates.yaml:mission_chest_dongtian_fudi.effect_payload</t>
        </is>
      </c>
    </row>
    <row r="307" ht="36" customHeight="1">
      <c r="A307" s="8" t="inlineStr">
        <is>
          <t>dongtian_fudi</t>
        </is>
      </c>
      <c r="B307" s="8" t="inlineStr">
        <is>
          <t>洞天福地</t>
        </is>
      </c>
      <c r="C307" s="8" t="inlineStr">
        <is>
          <t>mission_chest_dongtian_fudi</t>
        </is>
      </c>
      <c r="D307" s="8" t="inlineStr">
        <is>
          <t>洞天福地宝箱</t>
        </is>
      </c>
      <c r="E307" s="8" t="inlineStr">
        <is>
          <t>必得</t>
        </is>
      </c>
      <c r="F307" s="8" t="inlineStr">
        <is>
          <t>tie</t>
        </is>
      </c>
      <c r="G307" s="8" t="inlineStr">
        <is>
          <t>铁</t>
        </is>
      </c>
      <c r="H307" s="8" t="inlineStr">
        <is>
          <t>black</t>
        </is>
      </c>
      <c r="I307" s="8" t="inlineStr">
        <is>
          <t>resource</t>
        </is>
      </c>
      <c r="J307" s="8" t="n">
        <v>1</v>
      </c>
      <c r="K307" s="8" t="n">
        <v>1</v>
      </c>
      <c r="L307" s="8" t="n">
        <v>1</v>
      </c>
      <c r="M307" s="8" t="n">
        <v>5</v>
      </c>
      <c r="N307" s="8" t="n">
        <v>5</v>
      </c>
      <c r="O307" s="8">
        <f>J307*K307/L307</f>
        <v>1.0</v>
      </c>
      <c r="P307" s="8">
        <f>(M307+N307)/2</f>
        <v>5.0</v>
      </c>
      <c r="Q307" s="8">
        <f>O307*P307</f>
        <v>5.0</v>
      </c>
      <c r="R307" s="8" t="n">
        <v>0</v>
      </c>
      <c r="S307" s="8">
        <f>Q307*R307</f>
        <v>0.0</v>
      </c>
      <c r="T307" s="8" t="n"/>
      <c r="U307" s="8" t="inlineStr"/>
      <c r="V307" s="8" t="inlineStr">
        <is>
          <t>data/item_templates.yaml:mission_chest_dongtian_fudi.effect_payload</t>
        </is>
      </c>
    </row>
    <row r="308" ht="36" customHeight="1">
      <c r="A308" s="8" t="inlineStr">
        <is>
          <t>dongtian_fudi</t>
        </is>
      </c>
      <c r="B308" s="8" t="inlineStr">
        <is>
          <t>洞天福地</t>
        </is>
      </c>
      <c r="C308" s="8" t="inlineStr">
        <is>
          <t>mission_chest_dongtian_fudi</t>
        </is>
      </c>
      <c r="D308" s="8" t="inlineStr">
        <is>
          <t>洞天福地宝箱</t>
        </is>
      </c>
      <c r="E308" s="8" t="inlineStr">
        <is>
          <t>xidianka</t>
        </is>
      </c>
      <c r="F308" s="8" t="inlineStr">
        <is>
          <t>xidianka</t>
        </is>
      </c>
      <c r="G308" s="8" t="inlineStr">
        <is>
          <t>洗点卡</t>
        </is>
      </c>
      <c r="H308" s="8" t="inlineStr">
        <is>
          <t>blue</t>
        </is>
      </c>
      <c r="I308" s="8" t="inlineStr">
        <is>
          <t>tool</t>
        </is>
      </c>
      <c r="J308" s="8" t="n">
        <v>0.5</v>
      </c>
      <c r="K308" s="8" t="n">
        <v>1</v>
      </c>
      <c r="L308" s="8" t="n">
        <v>1</v>
      </c>
      <c r="M308" s="8" t="n">
        <v>1</v>
      </c>
      <c r="N308" s="8" t="n">
        <v>1</v>
      </c>
      <c r="O308" s="8">
        <f>J308*K308/L308</f>
        <v>0.5</v>
      </c>
      <c r="P308" s="8">
        <f>(M308+N308)/2</f>
        <v>1.0</v>
      </c>
      <c r="Q308" s="8">
        <f>O308*P308</f>
        <v>0.5</v>
      </c>
      <c r="R308" s="8" t="n">
        <v>0</v>
      </c>
      <c r="S308" s="8">
        <f>Q308*R308</f>
        <v>0.0</v>
      </c>
      <c r="T308" s="8" t="n"/>
      <c r="U308" s="8" t="inlineStr"/>
      <c r="V308" s="8" t="inlineStr">
        <is>
          <t>data/item_templates.yaml:mission_chest_dongtian_fudi.effect_payload</t>
        </is>
      </c>
    </row>
    <row r="309" ht="36" customHeight="1">
      <c r="A309" s="8" t="inlineStr">
        <is>
          <t>dongtian_fudi</t>
        </is>
      </c>
      <c r="B309" s="8" t="inlineStr">
        <is>
          <t>洞天福地</t>
        </is>
      </c>
      <c r="C309" s="8" t="inlineStr">
        <is>
          <t>mission_chest_dongtian_fudi</t>
        </is>
      </c>
      <c r="D309" s="8" t="inlineStr">
        <is>
          <t>洞天福地宝箱</t>
        </is>
      </c>
      <c r="E309" s="8" t="inlineStr">
        <is>
          <t>xisuidan</t>
        </is>
      </c>
      <c r="F309" s="8" t="inlineStr">
        <is>
          <t>xisuidan</t>
        </is>
      </c>
      <c r="G309" s="8" t="inlineStr">
        <is>
          <t>洗髓丹</t>
        </is>
      </c>
      <c r="H309" s="8" t="inlineStr">
        <is>
          <t>orange</t>
        </is>
      </c>
      <c r="I309" s="8" t="inlineStr">
        <is>
          <t>tool</t>
        </is>
      </c>
      <c r="J309" s="8" t="n">
        <v>0.05</v>
      </c>
      <c r="K309" s="8" t="n">
        <v>1</v>
      </c>
      <c r="L309" s="8" t="n">
        <v>1</v>
      </c>
      <c r="M309" s="8" t="n">
        <v>1</v>
      </c>
      <c r="N309" s="8" t="n">
        <v>1</v>
      </c>
      <c r="O309" s="8">
        <f>J309*K309/L309</f>
        <v>0.05</v>
      </c>
      <c r="P309" s="8">
        <f>(M309+N309)/2</f>
        <v>1.0</v>
      </c>
      <c r="Q309" s="8">
        <f>O309*P309</f>
        <v>0.05</v>
      </c>
      <c r="R309" s="8" t="n">
        <v>0</v>
      </c>
      <c r="S309" s="8">
        <f>Q309*R309</f>
        <v>0.0</v>
      </c>
      <c r="T309" s="8" t="n"/>
      <c r="U309" s="8" t="inlineStr"/>
      <c r="V309" s="8" t="inlineStr">
        <is>
          <t>data/item_templates.yaml:mission_chest_dongtian_fudi.effect_payload</t>
        </is>
      </c>
    </row>
    <row r="310" ht="36" customHeight="1">
      <c r="A310" s="8" t="inlineStr">
        <is>
          <t>dongtian_fudi</t>
        </is>
      </c>
      <c r="B310" s="8" t="inlineStr">
        <is>
          <t>洞天福地</t>
        </is>
      </c>
      <c r="C310" s="8" t="inlineStr">
        <is>
          <t>mission_chest_dongtian_fudi</t>
        </is>
      </c>
      <c r="D310" s="8" t="inlineStr">
        <is>
          <t>洞天福地宝箱</t>
        </is>
      </c>
      <c r="E310" s="8" t="inlineStr">
        <is>
          <t>equip_pojunxue</t>
        </is>
      </c>
      <c r="F310" s="8" t="inlineStr">
        <is>
          <t>equip_pojunxue</t>
        </is>
      </c>
      <c r="G310" s="8" t="inlineStr">
        <is>
          <t>破军靴</t>
        </is>
      </c>
      <c r="H310" s="8" t="inlineStr">
        <is>
          <t>blue</t>
        </is>
      </c>
      <c r="I310" s="8" t="inlineStr">
        <is>
          <t>equip_shoes</t>
        </is>
      </c>
      <c r="J310" s="8" t="n">
        <v>0.1</v>
      </c>
      <c r="K310" s="8" t="n">
        <v>1</v>
      </c>
      <c r="L310" s="8" t="n">
        <v>1</v>
      </c>
      <c r="M310" s="8" t="n">
        <v>1</v>
      </c>
      <c r="N310" s="8" t="n">
        <v>1</v>
      </c>
      <c r="O310" s="8">
        <f>J310*K310/L310</f>
        <v>0.1</v>
      </c>
      <c r="P310" s="8">
        <f>(M310+N310)/2</f>
        <v>1.0</v>
      </c>
      <c r="Q310" s="8">
        <f>O310*P310</f>
        <v>0.1</v>
      </c>
      <c r="R310" s="8" t="n">
        <v>0</v>
      </c>
      <c r="S310" s="8">
        <f>Q310*R310</f>
        <v>0.0</v>
      </c>
      <c r="T310" s="8" t="n"/>
      <c r="U310" s="8" t="inlineStr"/>
      <c r="V310" s="8" t="inlineStr">
        <is>
          <t>data/item_templates.yaml:mission_chest_dongtian_fudi.effect_payload</t>
        </is>
      </c>
    </row>
    <row r="311" ht="36" customHeight="1">
      <c r="A311" s="8" t="inlineStr">
        <is>
          <t>dongtian_fudi</t>
        </is>
      </c>
      <c r="B311" s="8" t="inlineStr">
        <is>
          <t>洞天福地</t>
        </is>
      </c>
      <c r="C311" s="8" t="inlineStr">
        <is>
          <t>mission_chest_dongtian_fudi</t>
        </is>
      </c>
      <c r="D311" s="8" t="inlineStr">
        <is>
          <t>洞天福地宝箱</t>
        </is>
      </c>
      <c r="E311" s="8" t="inlineStr">
        <is>
          <t>洞天军备与灵物</t>
        </is>
      </c>
      <c r="F311" s="8" t="inlineStr">
        <is>
          <t>equip_pojunji</t>
        </is>
      </c>
      <c r="G311" s="8" t="inlineStr">
        <is>
          <t>破军戟</t>
        </is>
      </c>
      <c r="H311" s="8" t="inlineStr">
        <is>
          <t>purple</t>
        </is>
      </c>
      <c r="I311" s="8" t="inlineStr">
        <is>
          <t>equip_weapon</t>
        </is>
      </c>
      <c r="J311" s="8" t="n">
        <v>0.6</v>
      </c>
      <c r="K311" s="8" t="n">
        <v>16</v>
      </c>
      <c r="L311" s="8" t="n">
        <v>60</v>
      </c>
      <c r="M311" s="8" t="n">
        <v>1</v>
      </c>
      <c r="N311" s="8" t="n">
        <v>1</v>
      </c>
      <c r="O311" s="8">
        <f>J311*K311/L311</f>
        <v>0.16</v>
      </c>
      <c r="P311" s="8">
        <f>(M311+N311)/2</f>
        <v>1.0</v>
      </c>
      <c r="Q311" s="8">
        <f>O311*P311</f>
        <v>0.16</v>
      </c>
      <c r="R311" s="8" t="n">
        <v>0</v>
      </c>
      <c r="S311" s="8">
        <f>Q311*R311</f>
        <v>0.0</v>
      </c>
      <c r="T311" s="8" t="n"/>
      <c r="U311" s="8" t="inlineStr"/>
      <c r="V311" s="8" t="inlineStr">
        <is>
          <t>data/item_templates.yaml:mission_chest_dongtian_fudi.effect_payload</t>
        </is>
      </c>
    </row>
    <row r="312" ht="36" customHeight="1">
      <c r="A312" s="8" t="inlineStr">
        <is>
          <t>dongtian_fudi</t>
        </is>
      </c>
      <c r="B312" s="8" t="inlineStr">
        <is>
          <t>洞天福地</t>
        </is>
      </c>
      <c r="C312" s="8" t="inlineStr">
        <is>
          <t>mission_chest_dongtian_fudi</t>
        </is>
      </c>
      <c r="D312" s="8" t="inlineStr">
        <is>
          <t>洞天福地宝箱</t>
        </is>
      </c>
      <c r="E312" s="8" t="inlineStr">
        <is>
          <t>洞天军备与灵物</t>
        </is>
      </c>
      <c r="F312" s="8" t="inlineStr">
        <is>
          <t>equip_pojunkui</t>
        </is>
      </c>
      <c r="G312" s="8" t="inlineStr">
        <is>
          <t>破军盔</t>
        </is>
      </c>
      <c r="H312" s="8" t="inlineStr">
        <is>
          <t>purple</t>
        </is>
      </c>
      <c r="I312" s="8" t="inlineStr">
        <is>
          <t>equip_helmet</t>
        </is>
      </c>
      <c r="J312" s="8" t="n">
        <v>0.6</v>
      </c>
      <c r="K312" s="8" t="n">
        <v>16</v>
      </c>
      <c r="L312" s="8" t="n">
        <v>60</v>
      </c>
      <c r="M312" s="8" t="n">
        <v>1</v>
      </c>
      <c r="N312" s="8" t="n">
        <v>1</v>
      </c>
      <c r="O312" s="8">
        <f>J312*K312/L312</f>
        <v>0.16</v>
      </c>
      <c r="P312" s="8">
        <f>(M312+N312)/2</f>
        <v>1.0</v>
      </c>
      <c r="Q312" s="8">
        <f>O312*P312</f>
        <v>0.16</v>
      </c>
      <c r="R312" s="8" t="n">
        <v>0</v>
      </c>
      <c r="S312" s="8">
        <f>Q312*R312</f>
        <v>0.0</v>
      </c>
      <c r="T312" s="8" t="n"/>
      <c r="U312" s="8" t="inlineStr"/>
      <c r="V312" s="8" t="inlineStr">
        <is>
          <t>data/item_templates.yaml:mission_chest_dongtian_fudi.effect_payload</t>
        </is>
      </c>
    </row>
    <row r="313" ht="36" customHeight="1">
      <c r="A313" s="8" t="inlineStr">
        <is>
          <t>dongtian_fudi</t>
        </is>
      </c>
      <c r="B313" s="8" t="inlineStr">
        <is>
          <t>洞天福地</t>
        </is>
      </c>
      <c r="C313" s="8" t="inlineStr">
        <is>
          <t>mission_chest_dongtian_fudi</t>
        </is>
      </c>
      <c r="D313" s="8" t="inlineStr">
        <is>
          <t>洞天福地宝箱</t>
        </is>
      </c>
      <c r="E313" s="8" t="inlineStr">
        <is>
          <t>洞天军备与灵物</t>
        </is>
      </c>
      <c r="F313" s="8" t="inlineStr">
        <is>
          <t>equip_pojunzhanjia</t>
        </is>
      </c>
      <c r="G313" s="8" t="inlineStr">
        <is>
          <t>破军战甲</t>
        </is>
      </c>
      <c r="H313" s="8" t="inlineStr">
        <is>
          <t>purple</t>
        </is>
      </c>
      <c r="I313" s="8" t="inlineStr">
        <is>
          <t>equip_armor</t>
        </is>
      </c>
      <c r="J313" s="8" t="n">
        <v>0.6</v>
      </c>
      <c r="K313" s="8" t="n">
        <v>16</v>
      </c>
      <c r="L313" s="8" t="n">
        <v>60</v>
      </c>
      <c r="M313" s="8" t="n">
        <v>1</v>
      </c>
      <c r="N313" s="8" t="n">
        <v>1</v>
      </c>
      <c r="O313" s="8">
        <f>J313*K313/L313</f>
        <v>0.16</v>
      </c>
      <c r="P313" s="8">
        <f>(M313+N313)/2</f>
        <v>1.0</v>
      </c>
      <c r="Q313" s="8">
        <f>O313*P313</f>
        <v>0.16</v>
      </c>
      <c r="R313" s="8" t="n">
        <v>0</v>
      </c>
      <c r="S313" s="8">
        <f>Q313*R313</f>
        <v>0.0</v>
      </c>
      <c r="T313" s="8" t="n"/>
      <c r="U313" s="8" t="inlineStr"/>
      <c r="V313" s="8" t="inlineStr">
        <is>
          <t>data/item_templates.yaml:mission_chest_dongtian_fudi.effect_payload</t>
        </is>
      </c>
    </row>
    <row r="314" ht="36" customHeight="1">
      <c r="A314" s="8" t="inlineStr">
        <is>
          <t>dongtian_fudi</t>
        </is>
      </c>
      <c r="B314" s="8" t="inlineStr">
        <is>
          <t>洞天福地</t>
        </is>
      </c>
      <c r="C314" s="8" t="inlineStr">
        <is>
          <t>mission_chest_dongtian_fudi</t>
        </is>
      </c>
      <c r="D314" s="8" t="inlineStr">
        <is>
          <t>洞天福地宝箱</t>
        </is>
      </c>
      <c r="E314" s="8" t="inlineStr">
        <is>
          <t>洞天军备与灵物</t>
        </is>
      </c>
      <c r="F314" s="8" t="inlineStr">
        <is>
          <t>equip_longjingzhu</t>
        </is>
      </c>
      <c r="G314" s="8" t="inlineStr">
        <is>
          <t>龙睛珠</t>
        </is>
      </c>
      <c r="H314" s="8" t="inlineStr">
        <is>
          <t>purple</t>
        </is>
      </c>
      <c r="I314" s="8" t="inlineStr">
        <is>
          <t>equip_ornament</t>
        </is>
      </c>
      <c r="J314" s="8" t="n">
        <v>0.6</v>
      </c>
      <c r="K314" s="8" t="n">
        <v>6</v>
      </c>
      <c r="L314" s="8" t="n">
        <v>60</v>
      </c>
      <c r="M314" s="8" t="n">
        <v>1</v>
      </c>
      <c r="N314" s="8" t="n">
        <v>1</v>
      </c>
      <c r="O314" s="8">
        <f>J314*K314/L314</f>
        <v>0.05999999999999999</v>
      </c>
      <c r="P314" s="8">
        <f>(M314+N314)/2</f>
        <v>1.0</v>
      </c>
      <c r="Q314" s="8">
        <f>O314*P314</f>
        <v>0.05999999999999999</v>
      </c>
      <c r="R314" s="8" t="n">
        <v>0</v>
      </c>
      <c r="S314" s="8">
        <f>Q314*R314</f>
        <v>0.0</v>
      </c>
      <c r="T314" s="8" t="n"/>
      <c r="U314" s="8" t="inlineStr"/>
      <c r="V314" s="8" t="inlineStr">
        <is>
          <t>data/item_templates.yaml:mission_chest_dongtian_fudi.effect_payload</t>
        </is>
      </c>
    </row>
    <row r="315" ht="36" customHeight="1">
      <c r="A315" s="8" t="inlineStr">
        <is>
          <t>dongtian_fudi</t>
        </is>
      </c>
      <c r="B315" s="8" t="inlineStr">
        <is>
          <t>洞天福地</t>
        </is>
      </c>
      <c r="C315" s="8" t="inlineStr">
        <is>
          <t>mission_chest_dongtian_fudi</t>
        </is>
      </c>
      <c r="D315" s="8" t="inlineStr">
        <is>
          <t>洞天福地宝箱</t>
        </is>
      </c>
      <c r="E315" s="8" t="inlineStr">
        <is>
          <t>洞天军备与灵物</t>
        </is>
      </c>
      <c r="F315" s="8" t="inlineStr">
        <is>
          <t>equip_qingshuanglu</t>
        </is>
      </c>
      <c r="G315" s="8" t="inlineStr">
        <is>
          <t>青霜鹿</t>
        </is>
      </c>
      <c r="H315" s="8" t="inlineStr">
        <is>
          <t>purple</t>
        </is>
      </c>
      <c r="I315" s="8" t="inlineStr">
        <is>
          <t>equip_mount</t>
        </is>
      </c>
      <c r="J315" s="8" t="n">
        <v>0.6</v>
      </c>
      <c r="K315" s="8" t="n">
        <v>6</v>
      </c>
      <c r="L315" s="8" t="n">
        <v>60</v>
      </c>
      <c r="M315" s="8" t="n">
        <v>1</v>
      </c>
      <c r="N315" s="8" t="n">
        <v>1</v>
      </c>
      <c r="O315" s="8">
        <f>J315*K315/L315</f>
        <v>0.05999999999999999</v>
      </c>
      <c r="P315" s="8">
        <f>(M315+N315)/2</f>
        <v>1.0</v>
      </c>
      <c r="Q315" s="8">
        <f>O315*P315</f>
        <v>0.05999999999999999</v>
      </c>
      <c r="R315" s="8" t="n">
        <v>0</v>
      </c>
      <c r="S315" s="8">
        <f>Q315*R315</f>
        <v>0.0</v>
      </c>
      <c r="T315" s="8" t="n"/>
      <c r="U315" s="8" t="inlineStr"/>
      <c r="V315" s="8" t="inlineStr">
        <is>
          <t>data/item_templates.yaml:mission_chest_dongtian_fudi.effect_payload</t>
        </is>
      </c>
    </row>
    <row r="316" ht="36" customHeight="1">
      <c r="A316" s="8" t="inlineStr">
        <is>
          <t>jiufeng_feihuan</t>
        </is>
      </c>
      <c r="B316" s="8" t="inlineStr">
        <is>
          <t>九峰匪患</t>
        </is>
      </c>
      <c r="C316" s="8" t="inlineStr">
        <is>
          <t>mission_chest_jiufeng_feihuan</t>
        </is>
      </c>
      <c r="D316" s="8" t="inlineStr">
        <is>
          <t>九峰匪患宝箱</t>
        </is>
      </c>
      <c r="E316" s="8" t="inlineStr">
        <is>
          <t>必得</t>
        </is>
      </c>
      <c r="F316" s="8" t="inlineStr">
        <is>
          <t>experience_fruit</t>
        </is>
      </c>
      <c r="G316" s="8" t="inlineStr">
        <is>
          <t>经验果</t>
        </is>
      </c>
      <c r="H316" s="8" t="inlineStr">
        <is>
          <t>green</t>
        </is>
      </c>
      <c r="I316" s="8" t="inlineStr">
        <is>
          <t>experience_items</t>
        </is>
      </c>
      <c r="J316" s="8" t="n">
        <v>1</v>
      </c>
      <c r="K316" s="8" t="n">
        <v>1</v>
      </c>
      <c r="L316" s="8" t="n">
        <v>1</v>
      </c>
      <c r="M316" s="8" t="n">
        <v>21</v>
      </c>
      <c r="N316" s="8" t="n">
        <v>21</v>
      </c>
      <c r="O316" s="8">
        <f>J316*K316/L316</f>
        <v>1.0</v>
      </c>
      <c r="P316" s="8">
        <f>(M316+N316)/2</f>
        <v>21.0</v>
      </c>
      <c r="Q316" s="8">
        <f>O316*P316</f>
        <v>21.0</v>
      </c>
      <c r="R316" s="8" t="n">
        <v>1</v>
      </c>
      <c r="S316" s="8">
        <f>Q316*R316</f>
        <v>21.0</v>
      </c>
      <c r="T316" s="8" t="n"/>
      <c r="U316" s="8" t="inlineStr"/>
      <c r="V316" s="8" t="inlineStr">
        <is>
          <t>data/item_templates.yaml:mission_chest_jiufeng_feihuan.effect_payload</t>
        </is>
      </c>
    </row>
    <row r="317" ht="36" customHeight="1">
      <c r="A317" s="8" t="inlineStr">
        <is>
          <t>jiufeng_feihuan</t>
        </is>
      </c>
      <c r="B317" s="8" t="inlineStr">
        <is>
          <t>九峰匪患</t>
        </is>
      </c>
      <c r="C317" s="8" t="inlineStr">
        <is>
          <t>mission_chest_jiufeng_feihuan</t>
        </is>
      </c>
      <c r="D317" s="8" t="inlineStr">
        <is>
          <t>九峰匪患宝箱</t>
        </is>
      </c>
      <c r="E317" s="8" t="inlineStr">
        <is>
          <t>必得</t>
        </is>
      </c>
      <c r="F317" s="8" t="inlineStr">
        <is>
          <t>equip_lingboxie</t>
        </is>
      </c>
      <c r="G317" s="8" t="inlineStr">
        <is>
          <t>凌波鞋</t>
        </is>
      </c>
      <c r="H317" s="8" t="inlineStr">
        <is>
          <t>blue</t>
        </is>
      </c>
      <c r="I317" s="8" t="inlineStr">
        <is>
          <t>equip_shoes</t>
        </is>
      </c>
      <c r="J317" s="8" t="n">
        <v>1</v>
      </c>
      <c r="K317" s="8" t="n">
        <v>1</v>
      </c>
      <c r="L317" s="8" t="n">
        <v>1</v>
      </c>
      <c r="M317" s="8" t="n">
        <v>1</v>
      </c>
      <c r="N317" s="8" t="n">
        <v>1</v>
      </c>
      <c r="O317" s="8">
        <f>J317*K317/L317</f>
        <v>1.0</v>
      </c>
      <c r="P317" s="8">
        <f>(M317+N317)/2</f>
        <v>1.0</v>
      </c>
      <c r="Q317" s="8">
        <f>O317*P317</f>
        <v>1.0</v>
      </c>
      <c r="R317" s="8" t="n">
        <v>0</v>
      </c>
      <c r="S317" s="8">
        <f>Q317*R317</f>
        <v>0.0</v>
      </c>
      <c r="T317" s="8" t="n"/>
      <c r="U317" s="8" t="inlineStr"/>
      <c r="V317" s="8" t="inlineStr">
        <is>
          <t>data/item_templates.yaml:mission_chest_jiufeng_feihuan.effect_payload</t>
        </is>
      </c>
    </row>
    <row r="318" ht="36" customHeight="1">
      <c r="A318" s="8" t="inlineStr">
        <is>
          <t>jiufeng_feihuan</t>
        </is>
      </c>
      <c r="B318" s="8" t="inlineStr">
        <is>
          <t>九峰匪患</t>
        </is>
      </c>
      <c r="C318" s="8" t="inlineStr">
        <is>
          <t>mission_chest_jiufeng_feihuan</t>
        </is>
      </c>
      <c r="D318" s="8" t="inlineStr">
        <is>
          <t>九峰匪患宝箱</t>
        </is>
      </c>
      <c r="E318" s="8" t="inlineStr">
        <is>
          <t>必得</t>
        </is>
      </c>
      <c r="F318" s="8" t="inlineStr">
        <is>
          <t>buxuedan</t>
        </is>
      </c>
      <c r="G318" s="8" t="inlineStr">
        <is>
          <t>补血丹</t>
        </is>
      </c>
      <c r="H318" s="8" t="inlineStr">
        <is>
          <t>black</t>
        </is>
      </c>
      <c r="I318" s="8" t="inlineStr">
        <is>
          <t>medicine</t>
        </is>
      </c>
      <c r="J318" s="8" t="n">
        <v>1</v>
      </c>
      <c r="K318" s="8" t="n">
        <v>1</v>
      </c>
      <c r="L318" s="8" t="n">
        <v>1</v>
      </c>
      <c r="M318" s="8" t="n">
        <v>2</v>
      </c>
      <c r="N318" s="8" t="n">
        <v>2</v>
      </c>
      <c r="O318" s="8">
        <f>J318*K318/L318</f>
        <v>1.0</v>
      </c>
      <c r="P318" s="8">
        <f>(M318+N318)/2</f>
        <v>2.0</v>
      </c>
      <c r="Q318" s="8">
        <f>O318*P318</f>
        <v>2.0</v>
      </c>
      <c r="R318" s="8" t="n">
        <v>0</v>
      </c>
      <c r="S318" s="8">
        <f>Q318*R318</f>
        <v>0.0</v>
      </c>
      <c r="T318" s="8" t="n"/>
      <c r="U318" s="8" t="inlineStr"/>
      <c r="V318" s="8" t="inlineStr">
        <is>
          <t>data/item_templates.yaml:mission_chest_jiufeng_feihuan.effect_payload</t>
        </is>
      </c>
    </row>
    <row r="319" ht="36" customHeight="1">
      <c r="A319" s="8" t="inlineStr">
        <is>
          <t>jiufeng_feihuan</t>
        </is>
      </c>
      <c r="B319" s="8" t="inlineStr">
        <is>
          <t>九峰匪患</t>
        </is>
      </c>
      <c r="C319" s="8" t="inlineStr">
        <is>
          <t>mission_chest_jiufeng_feihuan</t>
        </is>
      </c>
      <c r="D319" s="8" t="inlineStr">
        <is>
          <t>九峰匪患宝箱</t>
        </is>
      </c>
      <c r="E319" s="8" t="inlineStr">
        <is>
          <t>必得</t>
        </is>
      </c>
      <c r="F319" s="8" t="inlineStr">
        <is>
          <t>tong</t>
        </is>
      </c>
      <c r="G319" s="8" t="inlineStr">
        <is>
          <t>铜</t>
        </is>
      </c>
      <c r="H319" s="8" t="inlineStr">
        <is>
          <t>black</t>
        </is>
      </c>
      <c r="I319" s="8" t="inlineStr">
        <is>
          <t>resource</t>
        </is>
      </c>
      <c r="J319" s="8" t="n">
        <v>1</v>
      </c>
      <c r="K319" s="8" t="n">
        <v>1</v>
      </c>
      <c r="L319" s="8" t="n">
        <v>1</v>
      </c>
      <c r="M319" s="8" t="n">
        <v>8</v>
      </c>
      <c r="N319" s="8" t="n">
        <v>8</v>
      </c>
      <c r="O319" s="8">
        <f>J319*K319/L319</f>
        <v>1.0</v>
      </c>
      <c r="P319" s="8">
        <f>(M319+N319)/2</f>
        <v>8.0</v>
      </c>
      <c r="Q319" s="8">
        <f>O319*P319</f>
        <v>8.0</v>
      </c>
      <c r="R319" s="8" t="n">
        <v>0</v>
      </c>
      <c r="S319" s="8">
        <f>Q319*R319</f>
        <v>0.0</v>
      </c>
      <c r="T319" s="8" t="n"/>
      <c r="U319" s="8" t="inlineStr"/>
      <c r="V319" s="8" t="inlineStr">
        <is>
          <t>data/item_templates.yaml:mission_chest_jiufeng_feihuan.effect_payload</t>
        </is>
      </c>
    </row>
    <row r="320" ht="36" customHeight="1">
      <c r="A320" s="8" t="inlineStr">
        <is>
          <t>jiufeng_feihuan</t>
        </is>
      </c>
      <c r="B320" s="8" t="inlineStr">
        <is>
          <t>九峰匪患</t>
        </is>
      </c>
      <c r="C320" s="8" t="inlineStr">
        <is>
          <t>mission_chest_jiufeng_feihuan</t>
        </is>
      </c>
      <c r="D320" s="8" t="inlineStr">
        <is>
          <t>九峰匪患宝箱</t>
        </is>
      </c>
      <c r="E320" s="8" t="inlineStr">
        <is>
          <t>必得</t>
        </is>
      </c>
      <c r="F320" s="8" t="inlineStr">
        <is>
          <t>xi</t>
        </is>
      </c>
      <c r="G320" s="8" t="inlineStr">
        <is>
          <t>锡</t>
        </is>
      </c>
      <c r="H320" s="8" t="inlineStr">
        <is>
          <t>black</t>
        </is>
      </c>
      <c r="I320" s="8" t="inlineStr">
        <is>
          <t>resource</t>
        </is>
      </c>
      <c r="J320" s="8" t="n">
        <v>1</v>
      </c>
      <c r="K320" s="8" t="n">
        <v>1</v>
      </c>
      <c r="L320" s="8" t="n">
        <v>1</v>
      </c>
      <c r="M320" s="8" t="n">
        <v>5</v>
      </c>
      <c r="N320" s="8" t="n">
        <v>5</v>
      </c>
      <c r="O320" s="8">
        <f>J320*K320/L320</f>
        <v>1.0</v>
      </c>
      <c r="P320" s="8">
        <f>(M320+N320)/2</f>
        <v>5.0</v>
      </c>
      <c r="Q320" s="8">
        <f>O320*P320</f>
        <v>5.0</v>
      </c>
      <c r="R320" s="8" t="n">
        <v>0</v>
      </c>
      <c r="S320" s="8">
        <f>Q320*R320</f>
        <v>0.0</v>
      </c>
      <c r="T320" s="8" t="n"/>
      <c r="U320" s="8" t="inlineStr"/>
      <c r="V320" s="8" t="inlineStr">
        <is>
          <t>data/item_templates.yaml:mission_chest_jiufeng_feihuan.effect_payload</t>
        </is>
      </c>
    </row>
    <row r="321" ht="36" customHeight="1">
      <c r="A321" s="8" t="inlineStr">
        <is>
          <t>jiufeng_feihuan</t>
        </is>
      </c>
      <c r="B321" s="8" t="inlineStr">
        <is>
          <t>九峰匪患</t>
        </is>
      </c>
      <c r="C321" s="8" t="inlineStr">
        <is>
          <t>mission_chest_jiufeng_feihuan</t>
        </is>
      </c>
      <c r="D321" s="8" t="inlineStr">
        <is>
          <t>九峰匪患宝箱</t>
        </is>
      </c>
      <c r="E321" s="8" t="inlineStr">
        <is>
          <t>必得</t>
        </is>
      </c>
      <c r="F321" s="8" t="inlineStr">
        <is>
          <t>tie</t>
        </is>
      </c>
      <c r="G321" s="8" t="inlineStr">
        <is>
          <t>铁</t>
        </is>
      </c>
      <c r="H321" s="8" t="inlineStr">
        <is>
          <t>black</t>
        </is>
      </c>
      <c r="I321" s="8" t="inlineStr">
        <is>
          <t>resource</t>
        </is>
      </c>
      <c r="J321" s="8" t="n">
        <v>1</v>
      </c>
      <c r="K321" s="8" t="n">
        <v>1</v>
      </c>
      <c r="L321" s="8" t="n">
        <v>1</v>
      </c>
      <c r="M321" s="8" t="n">
        <v>3</v>
      </c>
      <c r="N321" s="8" t="n">
        <v>3</v>
      </c>
      <c r="O321" s="8">
        <f>J321*K321/L321</f>
        <v>1.0</v>
      </c>
      <c r="P321" s="8">
        <f>(M321+N321)/2</f>
        <v>3.0</v>
      </c>
      <c r="Q321" s="8">
        <f>O321*P321</f>
        <v>3.0</v>
      </c>
      <c r="R321" s="8" t="n">
        <v>0</v>
      </c>
      <c r="S321" s="8">
        <f>Q321*R321</f>
        <v>0.0</v>
      </c>
      <c r="T321" s="8" t="n"/>
      <c r="U321" s="8" t="inlineStr"/>
      <c r="V321" s="8" t="inlineStr">
        <is>
          <t>data/item_templates.yaml:mission_chest_jiufeng_feihuan.effect_payload</t>
        </is>
      </c>
    </row>
    <row r="322" ht="36" customHeight="1">
      <c r="A322" s="8" t="inlineStr">
        <is>
          <t>jiufeng_feihuan</t>
        </is>
      </c>
      <c r="B322" s="8" t="inlineStr">
        <is>
          <t>九峰匪患</t>
        </is>
      </c>
      <c r="C322" s="8" t="inlineStr">
        <is>
          <t>mission_chest_jiufeng_feihuan</t>
        </is>
      </c>
      <c r="D322" s="8" t="inlineStr">
        <is>
          <t>九峰匪患宝箱</t>
        </is>
      </c>
      <c r="E322" s="8" t="inlineStr">
        <is>
          <t>救援机关</t>
        </is>
      </c>
      <c r="F322" s="8" t="inlineStr">
        <is>
          <t>blueprint_muniuliuma</t>
        </is>
      </c>
      <c r="G322" s="8" t="inlineStr">
        <is>
          <t>木牛流马图纸</t>
        </is>
      </c>
      <c r="H322" s="8" t="inlineStr">
        <is>
          <t>purple</t>
        </is>
      </c>
      <c r="I322" s="8" t="inlineStr">
        <is>
          <t>tool</t>
        </is>
      </c>
      <c r="J322" s="8" t="n">
        <v>0.03</v>
      </c>
      <c r="K322" s="8" t="n">
        <v>1</v>
      </c>
      <c r="L322" s="8" t="n">
        <v>1</v>
      </c>
      <c r="M322" s="8" t="n">
        <v>1</v>
      </c>
      <c r="N322" s="8" t="n">
        <v>1</v>
      </c>
      <c r="O322" s="8">
        <f>J322*K322/L322</f>
        <v>0.03</v>
      </c>
      <c r="P322" s="8">
        <f>(M322+N322)/2</f>
        <v>1.0</v>
      </c>
      <c r="Q322" s="8">
        <f>O322*P322</f>
        <v>0.03</v>
      </c>
      <c r="R322" s="8" t="n">
        <v>0</v>
      </c>
      <c r="S322" s="8">
        <f>Q322*R322</f>
        <v>0.0</v>
      </c>
      <c r="T322" s="8" t="n">
        <v>10</v>
      </c>
      <c r="U322" s="8" t="inlineStr">
        <is>
          <t>木牛流马</t>
        </is>
      </c>
      <c r="V322" s="8" t="inlineStr">
        <is>
          <t>data/item_templates.yaml:mission_chest_jiufeng_feihuan.effect_payload</t>
        </is>
      </c>
    </row>
    <row r="323" ht="36" customHeight="1">
      <c r="A323" s="8" t="inlineStr">
        <is>
          <t>jiufeng_feihuan</t>
        </is>
      </c>
      <c r="B323" s="8" t="inlineStr">
        <is>
          <t>九峰匪患</t>
        </is>
      </c>
      <c r="C323" s="8" t="inlineStr">
        <is>
          <t>mission_chest_jiufeng_feihuan</t>
        </is>
      </c>
      <c r="D323" s="8" t="inlineStr">
        <is>
          <t>九峰匪患宝箱</t>
        </is>
      </c>
      <c r="E323" s="8" t="inlineStr">
        <is>
          <t>主题装备</t>
        </is>
      </c>
      <c r="F323" s="8" t="inlineStr">
        <is>
          <t>equip_yemantoukie</t>
        </is>
      </c>
      <c r="G323" s="8" t="inlineStr">
        <is>
          <t>野蛮头盔</t>
        </is>
      </c>
      <c r="H323" s="8" t="inlineStr">
        <is>
          <t>green</t>
        </is>
      </c>
      <c r="I323" s="8" t="inlineStr">
        <is>
          <t>equip_helmet</t>
        </is>
      </c>
      <c r="J323" s="8" t="n">
        <v>0.55</v>
      </c>
      <c r="K323" s="8" t="n">
        <v>10000</v>
      </c>
      <c r="L323" s="8" t="n">
        <v>55000</v>
      </c>
      <c r="M323" s="8" t="n">
        <v>1</v>
      </c>
      <c r="N323" s="8" t="n">
        <v>1</v>
      </c>
      <c r="O323" s="8">
        <f>J323*K323/L323</f>
        <v>0.1</v>
      </c>
      <c r="P323" s="8">
        <f>(M323+N323)/2</f>
        <v>1.0</v>
      </c>
      <c r="Q323" s="8">
        <f>O323*P323</f>
        <v>0.1</v>
      </c>
      <c r="R323" s="8" t="n">
        <v>0</v>
      </c>
      <c r="S323" s="8">
        <f>Q323*R323</f>
        <v>0.0</v>
      </c>
      <c r="T323" s="8" t="n"/>
      <c r="U323" s="8" t="inlineStr"/>
      <c r="V323" s="8" t="inlineStr">
        <is>
          <t>data/item_templates.yaml:mission_chest_jiufeng_feihuan.effect_payload</t>
        </is>
      </c>
    </row>
    <row r="324" ht="36" customHeight="1">
      <c r="A324" s="8" t="inlineStr">
        <is>
          <t>jiufeng_feihuan</t>
        </is>
      </c>
      <c r="B324" s="8" t="inlineStr">
        <is>
          <t>九峰匪患</t>
        </is>
      </c>
      <c r="C324" s="8" t="inlineStr">
        <is>
          <t>mission_chest_jiufeng_feihuan</t>
        </is>
      </c>
      <c r="D324" s="8" t="inlineStr">
        <is>
          <t>九峰匪患宝箱</t>
        </is>
      </c>
      <c r="E324" s="8" t="inlineStr">
        <is>
          <t>主题装备</t>
        </is>
      </c>
      <c r="F324" s="8" t="inlineStr">
        <is>
          <t>equip_yemankandao</t>
        </is>
      </c>
      <c r="G324" s="8" t="inlineStr">
        <is>
          <t>野蛮砍刀</t>
        </is>
      </c>
      <c r="H324" s="8" t="inlineStr">
        <is>
          <t>green</t>
        </is>
      </c>
      <c r="I324" s="8" t="inlineStr">
        <is>
          <t>equip_weapon</t>
        </is>
      </c>
      <c r="J324" s="8" t="n">
        <v>0.55</v>
      </c>
      <c r="K324" s="8" t="n">
        <v>10000</v>
      </c>
      <c r="L324" s="8" t="n">
        <v>55000</v>
      </c>
      <c r="M324" s="8" t="n">
        <v>1</v>
      </c>
      <c r="N324" s="8" t="n">
        <v>1</v>
      </c>
      <c r="O324" s="8">
        <f>J324*K324/L324</f>
        <v>0.1</v>
      </c>
      <c r="P324" s="8">
        <f>(M324+N324)/2</f>
        <v>1.0</v>
      </c>
      <c r="Q324" s="8">
        <f>O324*P324</f>
        <v>0.1</v>
      </c>
      <c r="R324" s="8" t="n">
        <v>0</v>
      </c>
      <c r="S324" s="8">
        <f>Q324*R324</f>
        <v>0.0</v>
      </c>
      <c r="T324" s="8" t="n"/>
      <c r="U324" s="8" t="inlineStr"/>
      <c r="V324" s="8" t="inlineStr">
        <is>
          <t>data/item_templates.yaml:mission_chest_jiufeng_feihuan.effect_payload</t>
        </is>
      </c>
    </row>
    <row r="325" ht="36" customHeight="1">
      <c r="A325" s="8" t="inlineStr">
        <is>
          <t>jiufeng_feihuan</t>
        </is>
      </c>
      <c r="B325" s="8" t="inlineStr">
        <is>
          <t>九峰匪患</t>
        </is>
      </c>
      <c r="C325" s="8" t="inlineStr">
        <is>
          <t>mission_chest_jiufeng_feihuan</t>
        </is>
      </c>
      <c r="D325" s="8" t="inlineStr">
        <is>
          <t>九峰匪患宝箱</t>
        </is>
      </c>
      <c r="E325" s="8" t="inlineStr">
        <is>
          <t>主题装备</t>
        </is>
      </c>
      <c r="F325" s="8" t="inlineStr">
        <is>
          <t>equip_zhuifengxue</t>
        </is>
      </c>
      <c r="G325" s="8" t="inlineStr">
        <is>
          <t>追风靴</t>
        </is>
      </c>
      <c r="H325" s="8" t="inlineStr">
        <is>
          <t>blue</t>
        </is>
      </c>
      <c r="I325" s="8" t="inlineStr">
        <is>
          <t>equip_shoes</t>
        </is>
      </c>
      <c r="J325" s="8" t="n">
        <v>0.55</v>
      </c>
      <c r="K325" s="8" t="n">
        <v>7000</v>
      </c>
      <c r="L325" s="8" t="n">
        <v>55000</v>
      </c>
      <c r="M325" s="8" t="n">
        <v>1</v>
      </c>
      <c r="N325" s="8" t="n">
        <v>1</v>
      </c>
      <c r="O325" s="8">
        <f>J325*K325/L325</f>
        <v>0.07</v>
      </c>
      <c r="P325" s="8">
        <f>(M325+N325)/2</f>
        <v>1.0</v>
      </c>
      <c r="Q325" s="8">
        <f>O325*P325</f>
        <v>0.07</v>
      </c>
      <c r="R325" s="8" t="n">
        <v>0</v>
      </c>
      <c r="S325" s="8">
        <f>Q325*R325</f>
        <v>0.0</v>
      </c>
      <c r="T325" s="8" t="n"/>
      <c r="U325" s="8" t="inlineStr"/>
      <c r="V325" s="8" t="inlineStr">
        <is>
          <t>data/item_templates.yaml:mission_chest_jiufeng_feihuan.effect_payload</t>
        </is>
      </c>
    </row>
    <row r="326" ht="36" customHeight="1">
      <c r="A326" s="8" t="inlineStr">
        <is>
          <t>jiufeng_feihuan</t>
        </is>
      </c>
      <c r="B326" s="8" t="inlineStr">
        <is>
          <t>九峰匪患</t>
        </is>
      </c>
      <c r="C326" s="8" t="inlineStr">
        <is>
          <t>mission_chest_jiufeng_feihuan</t>
        </is>
      </c>
      <c r="D326" s="8" t="inlineStr">
        <is>
          <t>九峰匪患宝箱</t>
        </is>
      </c>
      <c r="E326" s="8" t="inlineStr">
        <is>
          <t>主题装备</t>
        </is>
      </c>
      <c r="F326" s="8" t="inlineStr">
        <is>
          <t>equip_yingxingxue</t>
        </is>
      </c>
      <c r="G326" s="8" t="inlineStr">
        <is>
          <t>影行靴</t>
        </is>
      </c>
      <c r="H326" s="8" t="inlineStr">
        <is>
          <t>blue</t>
        </is>
      </c>
      <c r="I326" s="8" t="inlineStr">
        <is>
          <t>equip_shoes</t>
        </is>
      </c>
      <c r="J326" s="8" t="n">
        <v>0.55</v>
      </c>
      <c r="K326" s="8" t="n">
        <v>7000</v>
      </c>
      <c r="L326" s="8" t="n">
        <v>55000</v>
      </c>
      <c r="M326" s="8" t="n">
        <v>1</v>
      </c>
      <c r="N326" s="8" t="n">
        <v>1</v>
      </c>
      <c r="O326" s="8">
        <f>J326*K326/L326</f>
        <v>0.07</v>
      </c>
      <c r="P326" s="8">
        <f>(M326+N326)/2</f>
        <v>1.0</v>
      </c>
      <c r="Q326" s="8">
        <f>O326*P326</f>
        <v>0.07</v>
      </c>
      <c r="R326" s="8" t="n">
        <v>0</v>
      </c>
      <c r="S326" s="8">
        <f>Q326*R326</f>
        <v>0.0</v>
      </c>
      <c r="T326" s="8" t="n"/>
      <c r="U326" s="8" t="inlineStr"/>
      <c r="V326" s="8" t="inlineStr">
        <is>
          <t>data/item_templates.yaml:mission_chest_jiufeng_feihuan.effect_payload</t>
        </is>
      </c>
    </row>
    <row r="327" ht="36" customHeight="1">
      <c r="A327" s="8" t="inlineStr">
        <is>
          <t>jiufeng_feihuan</t>
        </is>
      </c>
      <c r="B327" s="8" t="inlineStr">
        <is>
          <t>九峰匪患</t>
        </is>
      </c>
      <c r="C327" s="8" t="inlineStr">
        <is>
          <t>mission_chest_jiufeng_feihuan</t>
        </is>
      </c>
      <c r="D327" s="8" t="inlineStr">
        <is>
          <t>九峰匪患宝箱</t>
        </is>
      </c>
      <c r="E327" s="8" t="inlineStr">
        <is>
          <t>主题装备</t>
        </is>
      </c>
      <c r="F327" s="8" t="inlineStr">
        <is>
          <t>equip_pojunxue</t>
        </is>
      </c>
      <c r="G327" s="8" t="inlineStr">
        <is>
          <t>破军靴</t>
        </is>
      </c>
      <c r="H327" s="8" t="inlineStr">
        <is>
          <t>blue</t>
        </is>
      </c>
      <c r="I327" s="8" t="inlineStr">
        <is>
          <t>equip_shoes</t>
        </is>
      </c>
      <c r="J327" s="8" t="n">
        <v>0.55</v>
      </c>
      <c r="K327" s="8" t="n">
        <v>6000</v>
      </c>
      <c r="L327" s="8" t="n">
        <v>55000</v>
      </c>
      <c r="M327" s="8" t="n">
        <v>1</v>
      </c>
      <c r="N327" s="8" t="n">
        <v>1</v>
      </c>
      <c r="O327" s="8">
        <f>J327*K327/L327</f>
        <v>0.06000000000000001</v>
      </c>
      <c r="P327" s="8">
        <f>(M327+N327)/2</f>
        <v>1.0</v>
      </c>
      <c r="Q327" s="8">
        <f>O327*P327</f>
        <v>0.06000000000000001</v>
      </c>
      <c r="R327" s="8" t="n">
        <v>0</v>
      </c>
      <c r="S327" s="8">
        <f>Q327*R327</f>
        <v>0.0</v>
      </c>
      <c r="T327" s="8" t="n"/>
      <c r="U327" s="8" t="inlineStr"/>
      <c r="V327" s="8" t="inlineStr">
        <is>
          <t>data/item_templates.yaml:mission_chest_jiufeng_feihuan.effect_payload</t>
        </is>
      </c>
    </row>
    <row r="328" ht="36" customHeight="1">
      <c r="A328" s="8" t="inlineStr">
        <is>
          <t>jiufeng_feihuan</t>
        </is>
      </c>
      <c r="B328" s="8" t="inlineStr">
        <is>
          <t>九峰匪患</t>
        </is>
      </c>
      <c r="C328" s="8" t="inlineStr">
        <is>
          <t>mission_chest_jiufeng_feihuan</t>
        </is>
      </c>
      <c r="D328" s="8" t="inlineStr">
        <is>
          <t>九峰匪患宝箱</t>
        </is>
      </c>
      <c r="E328" s="8" t="inlineStr">
        <is>
          <t>主题装备</t>
        </is>
      </c>
      <c r="F328" s="8" t="inlineStr">
        <is>
          <t>equip_jinlinxue</t>
        </is>
      </c>
      <c r="G328" s="8" t="inlineStr">
        <is>
          <t>金鳞靴</t>
        </is>
      </c>
      <c r="H328" s="8" t="inlineStr">
        <is>
          <t>blue</t>
        </is>
      </c>
      <c r="I328" s="8" t="inlineStr">
        <is>
          <t>equip_shoes</t>
        </is>
      </c>
      <c r="J328" s="8" t="n">
        <v>0.55</v>
      </c>
      <c r="K328" s="8" t="n">
        <v>6000</v>
      </c>
      <c r="L328" s="8" t="n">
        <v>55000</v>
      </c>
      <c r="M328" s="8" t="n">
        <v>1</v>
      </c>
      <c r="N328" s="8" t="n">
        <v>1</v>
      </c>
      <c r="O328" s="8">
        <f>J328*K328/L328</f>
        <v>0.06000000000000001</v>
      </c>
      <c r="P328" s="8">
        <f>(M328+N328)/2</f>
        <v>1.0</v>
      </c>
      <c r="Q328" s="8">
        <f>O328*P328</f>
        <v>0.06000000000000001</v>
      </c>
      <c r="R328" s="8" t="n">
        <v>0</v>
      </c>
      <c r="S328" s="8">
        <f>Q328*R328</f>
        <v>0.0</v>
      </c>
      <c r="T328" s="8" t="n"/>
      <c r="U328" s="8" t="inlineStr"/>
      <c r="V328" s="8" t="inlineStr">
        <is>
          <t>data/item_templates.yaml:mission_chest_jiufeng_feihuan.effect_payload</t>
        </is>
      </c>
    </row>
    <row r="329" ht="36" customHeight="1">
      <c r="A329" s="8" t="inlineStr">
        <is>
          <t>jiufeng_feihuan</t>
        </is>
      </c>
      <c r="B329" s="8" t="inlineStr">
        <is>
          <t>九峰匪患</t>
        </is>
      </c>
      <c r="C329" s="8" t="inlineStr">
        <is>
          <t>mission_chest_jiufeng_feihuan</t>
        </is>
      </c>
      <c r="D329" s="8" t="inlineStr">
        <is>
          <t>九峰匪患宝箱</t>
        </is>
      </c>
      <c r="E329" s="8" t="inlineStr">
        <is>
          <t>主题装备</t>
        </is>
      </c>
      <c r="F329" s="8" t="inlineStr">
        <is>
          <t>equip_qianliju</t>
        </is>
      </c>
      <c r="G329" s="8" t="inlineStr">
        <is>
          <t>千里驹</t>
        </is>
      </c>
      <c r="H329" s="8" t="inlineStr">
        <is>
          <t>blue</t>
        </is>
      </c>
      <c r="I329" s="8" t="inlineStr">
        <is>
          <t>equip_mount</t>
        </is>
      </c>
      <c r="J329" s="8" t="n">
        <v>0.55</v>
      </c>
      <c r="K329" s="8" t="n">
        <v>6000</v>
      </c>
      <c r="L329" s="8" t="n">
        <v>55000</v>
      </c>
      <c r="M329" s="8" t="n">
        <v>1</v>
      </c>
      <c r="N329" s="8" t="n">
        <v>1</v>
      </c>
      <c r="O329" s="8">
        <f>J329*K329/L329</f>
        <v>0.06000000000000001</v>
      </c>
      <c r="P329" s="8">
        <f>(M329+N329)/2</f>
        <v>1.0</v>
      </c>
      <c r="Q329" s="8">
        <f>O329*P329</f>
        <v>0.06000000000000001</v>
      </c>
      <c r="R329" s="8" t="n">
        <v>0</v>
      </c>
      <c r="S329" s="8">
        <f>Q329*R329</f>
        <v>0.0</v>
      </c>
      <c r="T329" s="8" t="n"/>
      <c r="U329" s="8" t="inlineStr"/>
      <c r="V329" s="8" t="inlineStr">
        <is>
          <t>data/item_templates.yaml:mission_chest_jiufeng_feihuan.effect_payload</t>
        </is>
      </c>
    </row>
    <row r="330" ht="36" customHeight="1">
      <c r="A330" s="8" t="inlineStr">
        <is>
          <t>jiufeng_feihuan</t>
        </is>
      </c>
      <c r="B330" s="8" t="inlineStr">
        <is>
          <t>九峰匪患</t>
        </is>
      </c>
      <c r="C330" s="8" t="inlineStr">
        <is>
          <t>mission_chest_jiufeng_feihuan</t>
        </is>
      </c>
      <c r="D330" s="8" t="inlineStr">
        <is>
          <t>九峰匪患宝箱</t>
        </is>
      </c>
      <c r="E330" s="8" t="inlineStr">
        <is>
          <t>主题装备</t>
        </is>
      </c>
      <c r="F330" s="8" t="inlineStr">
        <is>
          <t>equip_juanmaochitu</t>
        </is>
      </c>
      <c r="G330" s="8" t="inlineStr">
        <is>
          <t>卷毛赤兔</t>
        </is>
      </c>
      <c r="H330" s="8" t="inlineStr">
        <is>
          <t>blue</t>
        </is>
      </c>
      <c r="I330" s="8" t="inlineStr">
        <is>
          <t>equip_mount</t>
        </is>
      </c>
      <c r="J330" s="8" t="n">
        <v>0.55</v>
      </c>
      <c r="K330" s="8" t="n">
        <v>3000</v>
      </c>
      <c r="L330" s="8" t="n">
        <v>55000</v>
      </c>
      <c r="M330" s="8" t="n">
        <v>1</v>
      </c>
      <c r="N330" s="8" t="n">
        <v>1</v>
      </c>
      <c r="O330" s="8">
        <f>J330*K330/L330</f>
        <v>0.030000000000000006</v>
      </c>
      <c r="P330" s="8">
        <f>(M330+N330)/2</f>
        <v>1.0</v>
      </c>
      <c r="Q330" s="8">
        <f>O330*P330</f>
        <v>0.030000000000000006</v>
      </c>
      <c r="R330" s="8" t="n">
        <v>0</v>
      </c>
      <c r="S330" s="8">
        <f>Q330*R330</f>
        <v>0.0</v>
      </c>
      <c r="T330" s="8" t="n"/>
      <c r="U330" s="8" t="inlineStr"/>
      <c r="V330" s="8" t="inlineStr">
        <is>
          <t>data/item_templates.yaml:mission_chest_jiufeng_feihuan.effect_payload</t>
        </is>
      </c>
    </row>
    <row r="331" ht="36" customHeight="1">
      <c r="A331" s="8" t="inlineStr">
        <is>
          <t>jiufeng_feihuan</t>
        </is>
      </c>
      <c r="B331" s="8" t="inlineStr">
        <is>
          <t>九峰匪患</t>
        </is>
      </c>
      <c r="C331" s="8" t="inlineStr">
        <is>
          <t>mission_chest_jiufeng_feihuan</t>
        </is>
      </c>
      <c r="D331" s="8" t="inlineStr">
        <is>
          <t>九峰匪患宝箱</t>
        </is>
      </c>
      <c r="E331" s="8" t="inlineStr">
        <is>
          <t>随木牛流马图纸附带（同次命中）</t>
        </is>
      </c>
      <c r="F331" s="8" t="inlineStr">
        <is>
          <t>tong</t>
        </is>
      </c>
      <c r="G331" s="8" t="inlineStr">
        <is>
          <t>铜</t>
        </is>
      </c>
      <c r="H331" s="8" t="inlineStr">
        <is>
          <t>black</t>
        </is>
      </c>
      <c r="I331" s="8" t="inlineStr">
        <is>
          <t>resource</t>
        </is>
      </c>
      <c r="J331" s="8" t="n">
        <v>0.03</v>
      </c>
      <c r="K331" s="8" t="n">
        <v>1</v>
      </c>
      <c r="L331" s="8" t="n">
        <v>1</v>
      </c>
      <c r="M331" s="8" t="n">
        <v>32</v>
      </c>
      <c r="N331" s="8" t="n">
        <v>32</v>
      </c>
      <c r="O331" s="8">
        <f>J331*K331/L331</f>
        <v>0.03</v>
      </c>
      <c r="P331" s="8">
        <f>(M331+N331)/2</f>
        <v>32.0</v>
      </c>
      <c r="Q331" s="8">
        <f>O331*P331</f>
        <v>0.96</v>
      </c>
      <c r="R331" s="8" t="n">
        <v>0</v>
      </c>
      <c r="S331" s="8">
        <f>Q331*R331</f>
        <v>0.0</v>
      </c>
      <c r="T331" s="8" t="n"/>
      <c r="U331" s="8" t="inlineStr"/>
      <c r="V331" s="8" t="inlineStr">
        <is>
          <t>data/item_templates.yaml:mission_chest_jiufeng_feihuan.effect_payload</t>
        </is>
      </c>
    </row>
    <row r="332" ht="36" customHeight="1">
      <c r="A332" s="8" t="inlineStr">
        <is>
          <t>jiufeng_feihuan</t>
        </is>
      </c>
      <c r="B332" s="8" t="inlineStr">
        <is>
          <t>九峰匪患</t>
        </is>
      </c>
      <c r="C332" s="8" t="inlineStr">
        <is>
          <t>mission_chest_jiufeng_feihuan</t>
        </is>
      </c>
      <c r="D332" s="8" t="inlineStr">
        <is>
          <t>九峰匪患宝箱</t>
        </is>
      </c>
      <c r="E332" s="8" t="inlineStr">
        <is>
          <t>随木牛流马图纸附带（同次命中）</t>
        </is>
      </c>
      <c r="F332" s="8" t="inlineStr">
        <is>
          <t>xi</t>
        </is>
      </c>
      <c r="G332" s="8" t="inlineStr">
        <is>
          <t>锡</t>
        </is>
      </c>
      <c r="H332" s="8" t="inlineStr">
        <is>
          <t>black</t>
        </is>
      </c>
      <c r="I332" s="8" t="inlineStr">
        <is>
          <t>resource</t>
        </is>
      </c>
      <c r="J332" s="8" t="n">
        <v>0.03</v>
      </c>
      <c r="K332" s="8" t="n">
        <v>1</v>
      </c>
      <c r="L332" s="8" t="n">
        <v>1</v>
      </c>
      <c r="M332" s="8" t="n">
        <v>22</v>
      </c>
      <c r="N332" s="8" t="n">
        <v>22</v>
      </c>
      <c r="O332" s="8">
        <f>J332*K332/L332</f>
        <v>0.03</v>
      </c>
      <c r="P332" s="8">
        <f>(M332+N332)/2</f>
        <v>22.0</v>
      </c>
      <c r="Q332" s="8">
        <f>O332*P332</f>
        <v>0.6599999999999999</v>
      </c>
      <c r="R332" s="8" t="n">
        <v>0</v>
      </c>
      <c r="S332" s="8">
        <f>Q332*R332</f>
        <v>0.0</v>
      </c>
      <c r="T332" s="8" t="n"/>
      <c r="U332" s="8" t="inlineStr"/>
      <c r="V332" s="8" t="inlineStr">
        <is>
          <t>data/item_templates.yaml:mission_chest_jiufeng_feihuan.effect_payload</t>
        </is>
      </c>
    </row>
    <row r="333" ht="36" customHeight="1">
      <c r="A333" s="8" t="inlineStr">
        <is>
          <t>jiufeng_feihuan</t>
        </is>
      </c>
      <c r="B333" s="8" t="inlineStr">
        <is>
          <t>九峰匪患</t>
        </is>
      </c>
      <c r="C333" s="8" t="inlineStr">
        <is>
          <t>mission_chest_jiufeng_feihuan</t>
        </is>
      </c>
      <c r="D333" s="8" t="inlineStr">
        <is>
          <t>九峰匪患宝箱</t>
        </is>
      </c>
      <c r="E333" s="8" t="inlineStr">
        <is>
          <t>随木牛流马图纸附带（同次命中）</t>
        </is>
      </c>
      <c r="F333" s="8" t="inlineStr">
        <is>
          <t>tie</t>
        </is>
      </c>
      <c r="G333" s="8" t="inlineStr">
        <is>
          <t>铁</t>
        </is>
      </c>
      <c r="H333" s="8" t="inlineStr">
        <is>
          <t>black</t>
        </is>
      </c>
      <c r="I333" s="8" t="inlineStr">
        <is>
          <t>resource</t>
        </is>
      </c>
      <c r="J333" s="8" t="n">
        <v>0.03</v>
      </c>
      <c r="K333" s="8" t="n">
        <v>1</v>
      </c>
      <c r="L333" s="8" t="n">
        <v>1</v>
      </c>
      <c r="M333" s="8" t="n">
        <v>17</v>
      </c>
      <c r="N333" s="8" t="n">
        <v>17</v>
      </c>
      <c r="O333" s="8">
        <f>J333*K333/L333</f>
        <v>0.03</v>
      </c>
      <c r="P333" s="8">
        <f>(M333+N333)/2</f>
        <v>17.0</v>
      </c>
      <c r="Q333" s="8">
        <f>O333*P333</f>
        <v>0.51</v>
      </c>
      <c r="R333" s="8" t="n">
        <v>0</v>
      </c>
      <c r="S333" s="8">
        <f>Q333*R333</f>
        <v>0.0</v>
      </c>
      <c r="T333" s="8" t="n"/>
      <c r="U333" s="8" t="inlineStr"/>
      <c r="V333" s="8" t="inlineStr">
        <is>
          <t>data/item_templates.yaml:mission_chest_jiufeng_feihuan.effect_payload</t>
        </is>
      </c>
    </row>
    <row r="334" ht="36" customHeight="1">
      <c r="A334" s="8" t="inlineStr">
        <is>
          <t>jiufeng_feihuan</t>
        </is>
      </c>
      <c r="B334" s="8" t="inlineStr">
        <is>
          <t>九峰匪患</t>
        </is>
      </c>
      <c r="C334" s="8" t="inlineStr">
        <is>
          <t>mission_chest_jiufeng_feihuan</t>
        </is>
      </c>
      <c r="D334" s="8" t="inlineStr">
        <is>
          <t>九峰匪患宝箱</t>
        </is>
      </c>
      <c r="E334" s="8" t="inlineStr">
        <is>
          <t>随木牛流马图纸附带（同次命中）</t>
        </is>
      </c>
      <c r="F334" s="8" t="inlineStr">
        <is>
          <t>wood_essence</t>
        </is>
      </c>
      <c r="G334" s="8" t="inlineStr">
        <is>
          <t>木质精华</t>
        </is>
      </c>
      <c r="H334" s="8" t="inlineStr">
        <is>
          <t>green</t>
        </is>
      </c>
      <c r="I334" s="8" t="inlineStr">
        <is>
          <t>resource</t>
        </is>
      </c>
      <c r="J334" s="8" t="n">
        <v>0.03</v>
      </c>
      <c r="K334" s="8" t="n">
        <v>1</v>
      </c>
      <c r="L334" s="8" t="n">
        <v>1</v>
      </c>
      <c r="M334" s="8" t="n">
        <v>2</v>
      </c>
      <c r="N334" s="8" t="n">
        <v>2</v>
      </c>
      <c r="O334" s="8">
        <f>J334*K334/L334</f>
        <v>0.03</v>
      </c>
      <c r="P334" s="8">
        <f>(M334+N334)/2</f>
        <v>2.0</v>
      </c>
      <c r="Q334" s="8">
        <f>O334*P334</f>
        <v>0.06</v>
      </c>
      <c r="R334" s="8" t="n">
        <v>0</v>
      </c>
      <c r="S334" s="8">
        <f>Q334*R334</f>
        <v>0.0</v>
      </c>
      <c r="T334" s="8" t="n"/>
      <c r="U334" s="8" t="inlineStr"/>
      <c r="V334" s="8" t="inlineStr">
        <is>
          <t>data/item_templates.yaml:mission_chest_jiufeng_feihuan.effect_payload</t>
        </is>
      </c>
    </row>
    <row r="335" ht="36" customHeight="1">
      <c r="A335" s="8" t="inlineStr">
        <is>
          <t>jiufeng_feihuan</t>
        </is>
      </c>
      <c r="B335" s="8" t="inlineStr">
        <is>
          <t>九峰匪患</t>
        </is>
      </c>
      <c r="C335" s="8" t="inlineStr">
        <is>
          <t>mission_chest_jiufeng_feihuan</t>
        </is>
      </c>
      <c r="D335" s="8" t="inlineStr">
        <is>
          <t>九峰匪患宝箱</t>
        </is>
      </c>
      <c r="E335" s="8" t="inlineStr">
        <is>
          <t>随木牛流马图纸附带（同次命中）</t>
        </is>
      </c>
      <c r="F335" s="8" t="inlineStr">
        <is>
          <t>copper_essence</t>
        </is>
      </c>
      <c r="G335" s="8" t="inlineStr">
        <is>
          <t>铜质精华</t>
        </is>
      </c>
      <c r="H335" s="8" t="inlineStr">
        <is>
          <t>green</t>
        </is>
      </c>
      <c r="I335" s="8" t="inlineStr">
        <is>
          <t>resource</t>
        </is>
      </c>
      <c r="J335" s="8" t="n">
        <v>0.03</v>
      </c>
      <c r="K335" s="8" t="n">
        <v>1</v>
      </c>
      <c r="L335" s="8" t="n">
        <v>1</v>
      </c>
      <c r="M335" s="8" t="n">
        <v>2</v>
      </c>
      <c r="N335" s="8" t="n">
        <v>2</v>
      </c>
      <c r="O335" s="8">
        <f>J335*K335/L335</f>
        <v>0.03</v>
      </c>
      <c r="P335" s="8">
        <f>(M335+N335)/2</f>
        <v>2.0</v>
      </c>
      <c r="Q335" s="8">
        <f>O335*P335</f>
        <v>0.06</v>
      </c>
      <c r="R335" s="8" t="n">
        <v>0</v>
      </c>
      <c r="S335" s="8">
        <f>Q335*R335</f>
        <v>0.0</v>
      </c>
      <c r="T335" s="8" t="n"/>
      <c r="U335" s="8" t="inlineStr"/>
      <c r="V335" s="8" t="inlineStr">
        <is>
          <t>data/item_templates.yaml:mission_chest_jiufeng_feihuan.effect_payload</t>
        </is>
      </c>
    </row>
    <row r="336" ht="36" customHeight="1">
      <c r="A336" s="8" t="inlineStr">
        <is>
          <t>jiufeng_feihuan</t>
        </is>
      </c>
      <c r="B336" s="8" t="inlineStr">
        <is>
          <t>九峰匪患</t>
        </is>
      </c>
      <c r="C336" s="8" t="inlineStr">
        <is>
          <t>mission_chest_jiufeng_feihuan</t>
        </is>
      </c>
      <c r="D336" s="8" t="inlineStr">
        <is>
          <t>九峰匪患宝箱</t>
        </is>
      </c>
      <c r="E336" s="8" t="inlineStr">
        <is>
          <t>随木牛流马图纸附带（同次命中）</t>
        </is>
      </c>
      <c r="F336" s="8" t="inlineStr">
        <is>
          <t>xuan_tie_essence</t>
        </is>
      </c>
      <c r="G336" s="8" t="inlineStr">
        <is>
          <t>玄铁精华</t>
        </is>
      </c>
      <c r="H336" s="8" t="inlineStr">
        <is>
          <t>blue</t>
        </is>
      </c>
      <c r="I336" s="8" t="inlineStr">
        <is>
          <t>resource</t>
        </is>
      </c>
      <c r="J336" s="8" t="n">
        <v>0.03</v>
      </c>
      <c r="K336" s="8" t="n">
        <v>1</v>
      </c>
      <c r="L336" s="8" t="n">
        <v>1</v>
      </c>
      <c r="M336" s="8" t="n">
        <v>1</v>
      </c>
      <c r="N336" s="8" t="n">
        <v>1</v>
      </c>
      <c r="O336" s="8">
        <f>J336*K336/L336</f>
        <v>0.03</v>
      </c>
      <c r="P336" s="8">
        <f>(M336+N336)/2</f>
        <v>1.0</v>
      </c>
      <c r="Q336" s="8">
        <f>O336*P336</f>
        <v>0.03</v>
      </c>
      <c r="R336" s="8" t="n">
        <v>0</v>
      </c>
      <c r="S336" s="8">
        <f>Q336*R336</f>
        <v>0.0</v>
      </c>
      <c r="T336" s="8" t="n"/>
      <c r="U336" s="8" t="inlineStr"/>
      <c r="V336" s="8" t="inlineStr">
        <is>
          <t>data/item_templates.yaml:mission_chest_jiufeng_feihuan.effect_payload</t>
        </is>
      </c>
    </row>
    <row r="337" ht="36" customHeight="1">
      <c r="A337" s="8" t="inlineStr">
        <is>
          <t>jiufeng_feihuan</t>
        </is>
      </c>
      <c r="B337" s="8" t="inlineStr">
        <is>
          <t>九峰匪患</t>
        </is>
      </c>
      <c r="C337" s="8" t="inlineStr">
        <is>
          <t>mission_chest_jiufeng_feihuan</t>
        </is>
      </c>
      <c r="D337" s="8" t="inlineStr">
        <is>
          <t>九峰匪患宝箱</t>
        </is>
      </c>
      <c r="E337" s="8" t="inlineStr">
        <is>
          <t>随木牛流马图纸附带（同次命中）</t>
        </is>
      </c>
      <c r="F337" s="8" t="inlineStr">
        <is>
          <t>zitanmu</t>
        </is>
      </c>
      <c r="G337" s="8" t="inlineStr">
        <is>
          <t>紫檀木</t>
        </is>
      </c>
      <c r="H337" s="8" t="inlineStr">
        <is>
          <t>green</t>
        </is>
      </c>
      <c r="I337" s="8" t="inlineStr">
        <is>
          <t>resource</t>
        </is>
      </c>
      <c r="J337" s="8" t="n">
        <v>0.03</v>
      </c>
      <c r="K337" s="8" t="n">
        <v>1</v>
      </c>
      <c r="L337" s="8" t="n">
        <v>1</v>
      </c>
      <c r="M337" s="8" t="n">
        <v>4</v>
      </c>
      <c r="N337" s="8" t="n">
        <v>4</v>
      </c>
      <c r="O337" s="8">
        <f>J337*K337/L337</f>
        <v>0.03</v>
      </c>
      <c r="P337" s="8">
        <f>(M337+N337)/2</f>
        <v>4.0</v>
      </c>
      <c r="Q337" s="8">
        <f>O337*P337</f>
        <v>0.12</v>
      </c>
      <c r="R337" s="8" t="n">
        <v>0</v>
      </c>
      <c r="S337" s="8">
        <f>Q337*R337</f>
        <v>0.0</v>
      </c>
      <c r="T337" s="8" t="n"/>
      <c r="U337" s="8" t="inlineStr"/>
      <c r="V337" s="8" t="inlineStr">
        <is>
          <t>data/item_templates.yaml:mission_chest_jiufeng_feihuan.effect_payload</t>
        </is>
      </c>
    </row>
    <row r="338" ht="36" customHeight="1">
      <c r="A338" s="8" t="inlineStr">
        <is>
          <t>jiufeng_feihuan</t>
        </is>
      </c>
      <c r="B338" s="8" t="inlineStr">
        <is>
          <t>九峰匪患</t>
        </is>
      </c>
      <c r="C338" s="8" t="inlineStr">
        <is>
          <t>mission_chest_jiufeng_feihuan</t>
        </is>
      </c>
      <c r="D338" s="8" t="inlineStr">
        <is>
          <t>九峰匪患宝箱</t>
        </is>
      </c>
      <c r="E338" s="8" t="inlineStr">
        <is>
          <t>随木牛流马图纸附带（同次命中）</t>
        </is>
      </c>
      <c r="F338" s="8" t="inlineStr">
        <is>
          <t>shuiqumu</t>
        </is>
      </c>
      <c r="G338" s="8" t="inlineStr">
        <is>
          <t>水曲木</t>
        </is>
      </c>
      <c r="H338" s="8" t="inlineStr">
        <is>
          <t>black</t>
        </is>
      </c>
      <c r="I338" s="8" t="inlineStr">
        <is>
          <t>resource</t>
        </is>
      </c>
      <c r="J338" s="8" t="n">
        <v>0.03</v>
      </c>
      <c r="K338" s="8" t="n">
        <v>1</v>
      </c>
      <c r="L338" s="8" t="n">
        <v>1</v>
      </c>
      <c r="M338" s="8" t="n">
        <v>6</v>
      </c>
      <c r="N338" s="8" t="n">
        <v>6</v>
      </c>
      <c r="O338" s="8">
        <f>J338*K338/L338</f>
        <v>0.03</v>
      </c>
      <c r="P338" s="8">
        <f>(M338+N338)/2</f>
        <v>6.0</v>
      </c>
      <c r="Q338" s="8">
        <f>O338*P338</f>
        <v>0.18</v>
      </c>
      <c r="R338" s="8" t="n">
        <v>0</v>
      </c>
      <c r="S338" s="8">
        <f>Q338*R338</f>
        <v>0.0</v>
      </c>
      <c r="T338" s="8" t="n"/>
      <c r="U338" s="8" t="inlineStr"/>
      <c r="V338" s="8" t="inlineStr">
        <is>
          <t>data/item_templates.yaml:mission_chest_jiufeng_feihuan.effect_payload</t>
        </is>
      </c>
    </row>
    <row r="339" ht="36" customHeight="1">
      <c r="A339" s="8" t="inlineStr">
        <is>
          <t>jiufeng_feihuan</t>
        </is>
      </c>
      <c r="B339" s="8" t="inlineStr">
        <is>
          <t>九峰匪患</t>
        </is>
      </c>
      <c r="C339" s="8" t="inlineStr">
        <is>
          <t>mission_chest_jiufeng_feihuan</t>
        </is>
      </c>
      <c r="D339" s="8" t="inlineStr">
        <is>
          <t>九峰匪患宝箱</t>
        </is>
      </c>
      <c r="E339" s="8" t="inlineStr">
        <is>
          <t>随木牛流马图纸附带（同次命中）</t>
        </is>
      </c>
      <c r="F339" s="8" t="inlineStr">
        <is>
          <t>tiemu</t>
        </is>
      </c>
      <c r="G339" s="8" t="inlineStr">
        <is>
          <t>铁木</t>
        </is>
      </c>
      <c r="H339" s="8" t="inlineStr">
        <is>
          <t>green</t>
        </is>
      </c>
      <c r="I339" s="8" t="inlineStr">
        <is>
          <t>resource</t>
        </is>
      </c>
      <c r="J339" s="8" t="n">
        <v>0.03</v>
      </c>
      <c r="K339" s="8" t="n">
        <v>1</v>
      </c>
      <c r="L339" s="8" t="n">
        <v>1</v>
      </c>
      <c r="M339" s="8" t="n">
        <v>8</v>
      </c>
      <c r="N339" s="8" t="n">
        <v>8</v>
      </c>
      <c r="O339" s="8">
        <f>J339*K339/L339</f>
        <v>0.03</v>
      </c>
      <c r="P339" s="8">
        <f>(M339+N339)/2</f>
        <v>8.0</v>
      </c>
      <c r="Q339" s="8">
        <f>O339*P339</f>
        <v>0.24</v>
      </c>
      <c r="R339" s="8" t="n">
        <v>0</v>
      </c>
      <c r="S339" s="8">
        <f>Q339*R339</f>
        <v>0.0</v>
      </c>
      <c r="T339" s="8" t="n"/>
      <c r="U339" s="8" t="inlineStr"/>
      <c r="V339" s="8" t="inlineStr">
        <is>
          <t>data/item_templates.yaml:mission_chest_jiufeng_feihuan.effect_payload</t>
        </is>
      </c>
    </row>
    <row r="340" ht="36" customHeight="1">
      <c r="A340" s="8" t="inlineStr">
        <is>
          <t>jiufeng_feihuan</t>
        </is>
      </c>
      <c r="B340" s="8" t="inlineStr">
        <is>
          <t>九峰匪患</t>
        </is>
      </c>
      <c r="C340" s="8" t="inlineStr">
        <is>
          <t>mission_chest_jiufeng_feihuan</t>
        </is>
      </c>
      <c r="D340" s="8" t="inlineStr">
        <is>
          <t>九峰匪患宝箱</t>
        </is>
      </c>
      <c r="E340" s="8" t="inlineStr">
        <is>
          <t>随木牛流马图纸附带（同次命中）</t>
        </is>
      </c>
      <c r="F340" s="8" t="inlineStr">
        <is>
          <t>heiyuanshi</t>
        </is>
      </c>
      <c r="G340" s="8" t="inlineStr">
        <is>
          <t>黑原石</t>
        </is>
      </c>
      <c r="H340" s="8" t="inlineStr">
        <is>
          <t>green</t>
        </is>
      </c>
      <c r="I340" s="8" t="inlineStr">
        <is>
          <t>resource</t>
        </is>
      </c>
      <c r="J340" s="8" t="n">
        <v>0.03</v>
      </c>
      <c r="K340" s="8" t="n">
        <v>1</v>
      </c>
      <c r="L340" s="8" t="n">
        <v>1</v>
      </c>
      <c r="M340" s="8" t="n">
        <v>2</v>
      </c>
      <c r="N340" s="8" t="n">
        <v>2</v>
      </c>
      <c r="O340" s="8">
        <f>J340*K340/L340</f>
        <v>0.03</v>
      </c>
      <c r="P340" s="8">
        <f>(M340+N340)/2</f>
        <v>2.0</v>
      </c>
      <c r="Q340" s="8">
        <f>O340*P340</f>
        <v>0.06</v>
      </c>
      <c r="R340" s="8" t="n">
        <v>0</v>
      </c>
      <c r="S340" s="8">
        <f>Q340*R340</f>
        <v>0.0</v>
      </c>
      <c r="T340" s="8" t="n"/>
      <c r="U340" s="8" t="inlineStr"/>
      <c r="V340" s="8" t="inlineStr">
        <is>
          <t>data/item_templates.yaml:mission_chest_jiufeng_feihuan.effect_payload</t>
        </is>
      </c>
    </row>
    <row r="341" ht="36" customHeight="1">
      <c r="A341" s="8" t="inlineStr">
        <is>
          <t>jiufeng_feihuan</t>
        </is>
      </c>
      <c r="B341" s="8" t="inlineStr">
        <is>
          <t>九峰匪患</t>
        </is>
      </c>
      <c r="C341" s="8" t="inlineStr">
        <is>
          <t>mission_chest_jiufeng_feihuan</t>
        </is>
      </c>
      <c r="D341" s="8" t="inlineStr">
        <is>
          <t>九峰匪患宝箱</t>
        </is>
      </c>
      <c r="E341" s="8" t="inlineStr">
        <is>
          <t>随木牛流马图纸附带（同次命中）</t>
        </is>
      </c>
      <c r="F341" s="8" t="inlineStr">
        <is>
          <t>jingangmei</t>
        </is>
      </c>
      <c r="G341" s="8" t="inlineStr">
        <is>
          <t>金刚煤</t>
        </is>
      </c>
      <c r="H341" s="8" t="inlineStr">
        <is>
          <t>green</t>
        </is>
      </c>
      <c r="I341" s="8" t="inlineStr">
        <is>
          <t>resource</t>
        </is>
      </c>
      <c r="J341" s="8" t="n">
        <v>0.03</v>
      </c>
      <c r="K341" s="8" t="n">
        <v>1</v>
      </c>
      <c r="L341" s="8" t="n">
        <v>1</v>
      </c>
      <c r="M341" s="8" t="n">
        <v>4</v>
      </c>
      <c r="N341" s="8" t="n">
        <v>4</v>
      </c>
      <c r="O341" s="8">
        <f>J341*K341/L341</f>
        <v>0.03</v>
      </c>
      <c r="P341" s="8">
        <f>(M341+N341)/2</f>
        <v>4.0</v>
      </c>
      <c r="Q341" s="8">
        <f>O341*P341</f>
        <v>0.12</v>
      </c>
      <c r="R341" s="8" t="n">
        <v>0</v>
      </c>
      <c r="S341" s="8">
        <f>Q341*R341</f>
        <v>0.0</v>
      </c>
      <c r="T341" s="8" t="n"/>
      <c r="U341" s="8" t="inlineStr"/>
      <c r="V341" s="8" t="inlineStr">
        <is>
          <t>data/item_templates.yaml:mission_chest_jiufeng_feihuan.effect_payload</t>
        </is>
      </c>
    </row>
    <row r="342" ht="36" customHeight="1">
      <c r="A342" s="8" t="inlineStr">
        <is>
          <t>jiufeng_feihuan</t>
        </is>
      </c>
      <c r="B342" s="8" t="inlineStr">
        <is>
          <t>九峰匪患</t>
        </is>
      </c>
      <c r="C342" s="8" t="inlineStr">
        <is>
          <t>mission_chest_jiufeng_feihuan</t>
        </is>
      </c>
      <c r="D342" s="8" t="inlineStr">
        <is>
          <t>九峰匪患宝箱</t>
        </is>
      </c>
      <c r="E342" s="8" t="inlineStr">
        <is>
          <t>随木牛流马图纸附带（同次命中）</t>
        </is>
      </c>
      <c r="F342" s="8" t="inlineStr">
        <is>
          <t>paozi</t>
        </is>
      </c>
      <c r="G342" s="8" t="inlineStr">
        <is>
          <t>刨子</t>
        </is>
      </c>
      <c r="H342" s="8" t="inlineStr">
        <is>
          <t>black</t>
        </is>
      </c>
      <c r="I342" s="8" t="inlineStr">
        <is>
          <t>resource</t>
        </is>
      </c>
      <c r="J342" s="8" t="n">
        <v>0.03</v>
      </c>
      <c r="K342" s="8" t="n">
        <v>1</v>
      </c>
      <c r="L342" s="8" t="n">
        <v>1</v>
      </c>
      <c r="M342" s="8" t="n">
        <v>5</v>
      </c>
      <c r="N342" s="8" t="n">
        <v>5</v>
      </c>
      <c r="O342" s="8">
        <f>J342*K342/L342</f>
        <v>0.03</v>
      </c>
      <c r="P342" s="8">
        <f>(M342+N342)/2</f>
        <v>5.0</v>
      </c>
      <c r="Q342" s="8">
        <f>O342*P342</f>
        <v>0.15</v>
      </c>
      <c r="R342" s="8" t="n">
        <v>0</v>
      </c>
      <c r="S342" s="8">
        <f>Q342*R342</f>
        <v>0.0</v>
      </c>
      <c r="T342" s="8" t="n"/>
      <c r="U342" s="8" t="inlineStr"/>
      <c r="V342" s="8" t="inlineStr">
        <is>
          <t>data/item_templates.yaml:mission_chest_jiufeng_feihuan.effect_payload</t>
        </is>
      </c>
    </row>
    <row r="343" ht="36" customHeight="1">
      <c r="A343" s="8" t="inlineStr">
        <is>
          <t>jiufeng_feihuan</t>
        </is>
      </c>
      <c r="B343" s="8" t="inlineStr">
        <is>
          <t>九峰匪患</t>
        </is>
      </c>
      <c r="C343" s="8" t="inlineStr">
        <is>
          <t>mission_chest_jiufeng_feihuan</t>
        </is>
      </c>
      <c r="D343" s="8" t="inlineStr">
        <is>
          <t>九峰匪患宝箱</t>
        </is>
      </c>
      <c r="E343" s="8" t="inlineStr">
        <is>
          <t>随木牛流马图纸附带（同次命中）</t>
        </is>
      </c>
      <c r="F343" s="8" t="inlineStr">
        <is>
          <t>zaozi</t>
        </is>
      </c>
      <c r="G343" s="8" t="inlineStr">
        <is>
          <t>凿子</t>
        </is>
      </c>
      <c r="H343" s="8" t="inlineStr">
        <is>
          <t>black</t>
        </is>
      </c>
      <c r="I343" s="8" t="inlineStr">
        <is>
          <t>resource</t>
        </is>
      </c>
      <c r="J343" s="8" t="n">
        <v>0.03</v>
      </c>
      <c r="K343" s="8" t="n">
        <v>1</v>
      </c>
      <c r="L343" s="8" t="n">
        <v>1</v>
      </c>
      <c r="M343" s="8" t="n">
        <v>4</v>
      </c>
      <c r="N343" s="8" t="n">
        <v>4</v>
      </c>
      <c r="O343" s="8">
        <f>J343*K343/L343</f>
        <v>0.03</v>
      </c>
      <c r="P343" s="8">
        <f>(M343+N343)/2</f>
        <v>4.0</v>
      </c>
      <c r="Q343" s="8">
        <f>O343*P343</f>
        <v>0.12</v>
      </c>
      <c r="R343" s="8" t="n">
        <v>0</v>
      </c>
      <c r="S343" s="8">
        <f>Q343*R343</f>
        <v>0.0</v>
      </c>
      <c r="T343" s="8" t="n"/>
      <c r="U343" s="8" t="inlineStr"/>
      <c r="V343" s="8" t="inlineStr">
        <is>
          <t>data/item_templates.yaml:mission_chest_jiufeng_feihuan.effect_payload</t>
        </is>
      </c>
    </row>
    <row r="344" ht="36" customHeight="1">
      <c r="A344" s="8" t="inlineStr">
        <is>
          <t>jiufeng_feihuan</t>
        </is>
      </c>
      <c r="B344" s="8" t="inlineStr">
        <is>
          <t>九峰匪患</t>
        </is>
      </c>
      <c r="C344" s="8" t="inlineStr">
        <is>
          <t>mission_chest_jiufeng_feihuan</t>
        </is>
      </c>
      <c r="D344" s="8" t="inlineStr">
        <is>
          <t>九峰匪患宝箱</t>
        </is>
      </c>
      <c r="E344" s="8" t="inlineStr">
        <is>
          <t>随木牛流马图纸附带（同次命中）</t>
        </is>
      </c>
      <c r="F344" s="8" t="inlineStr">
        <is>
          <t>gaolu</t>
        </is>
      </c>
      <c r="G344" s="8" t="inlineStr">
        <is>
          <t>高炉</t>
        </is>
      </c>
      <c r="H344" s="8" t="inlineStr">
        <is>
          <t>blue</t>
        </is>
      </c>
      <c r="I344" s="8" t="inlineStr">
        <is>
          <t>resource</t>
        </is>
      </c>
      <c r="J344" s="8" t="n">
        <v>0.03</v>
      </c>
      <c r="K344" s="8" t="n">
        <v>1</v>
      </c>
      <c r="L344" s="8" t="n">
        <v>1</v>
      </c>
      <c r="M344" s="8" t="n">
        <v>1</v>
      </c>
      <c r="N344" s="8" t="n">
        <v>1</v>
      </c>
      <c r="O344" s="8">
        <f>J344*K344/L344</f>
        <v>0.03</v>
      </c>
      <c r="P344" s="8">
        <f>(M344+N344)/2</f>
        <v>1.0</v>
      </c>
      <c r="Q344" s="8">
        <f>O344*P344</f>
        <v>0.03</v>
      </c>
      <c r="R344" s="8" t="n">
        <v>0</v>
      </c>
      <c r="S344" s="8">
        <f>Q344*R344</f>
        <v>0.0</v>
      </c>
      <c r="T344" s="8" t="n"/>
      <c r="U344" s="8" t="inlineStr"/>
      <c r="V344" s="8" t="inlineStr">
        <is>
          <t>data/item_templates.yaml:mission_chest_jiufeng_feihuan.effect_payload</t>
        </is>
      </c>
    </row>
    <row r="345" ht="36" customHeight="1">
      <c r="A345" s="8" t="inlineStr">
        <is>
          <t>jiufeng_feihuan</t>
        </is>
      </c>
      <c r="B345" s="8" t="inlineStr">
        <is>
          <t>九峰匪患</t>
        </is>
      </c>
      <c r="C345" s="8" t="inlineStr">
        <is>
          <t>mission_chest_jiufeng_feihuan</t>
        </is>
      </c>
      <c r="D345" s="8" t="inlineStr">
        <is>
          <t>九峰匪患宝箱</t>
        </is>
      </c>
      <c r="E345" s="8" t="inlineStr">
        <is>
          <t>随木牛流马图纸附带（同次命中）</t>
        </is>
      </c>
      <c r="F345" s="8" t="inlineStr">
        <is>
          <t>earth_stone</t>
        </is>
      </c>
      <c r="G345" s="8" t="inlineStr">
        <is>
          <t>大地之石</t>
        </is>
      </c>
      <c r="H345" s="8" t="inlineStr">
        <is>
          <t>blue</t>
        </is>
      </c>
      <c r="I345" s="8" t="inlineStr">
        <is>
          <t>resource</t>
        </is>
      </c>
      <c r="J345" s="8" t="n">
        <v>0.03</v>
      </c>
      <c r="K345" s="8" t="n">
        <v>1</v>
      </c>
      <c r="L345" s="8" t="n">
        <v>1</v>
      </c>
      <c r="M345" s="8" t="n">
        <v>1</v>
      </c>
      <c r="N345" s="8" t="n">
        <v>1</v>
      </c>
      <c r="O345" s="8">
        <f>J345*K345/L345</f>
        <v>0.03</v>
      </c>
      <c r="P345" s="8">
        <f>(M345+N345)/2</f>
        <v>1.0</v>
      </c>
      <c r="Q345" s="8">
        <f>O345*P345</f>
        <v>0.03</v>
      </c>
      <c r="R345" s="8" t="n">
        <v>0</v>
      </c>
      <c r="S345" s="8">
        <f>Q345*R345</f>
        <v>0.0</v>
      </c>
      <c r="T345" s="8" t="n"/>
      <c r="U345" s="8" t="inlineStr"/>
      <c r="V345" s="8" t="inlineStr">
        <is>
          <t>data/item_templates.yaml:mission_chest_jiufeng_feihuan.effect_payload</t>
        </is>
      </c>
    </row>
    <row r="346" ht="36" customHeight="1">
      <c r="A346" s="8" t="inlineStr">
        <is>
          <t>jiufeng_feihuan</t>
        </is>
      </c>
      <c r="B346" s="8" t="inlineStr">
        <is>
          <t>九峰匪患</t>
        </is>
      </c>
      <c r="C346" s="8" t="inlineStr">
        <is>
          <t>mission_chest_jiufeng_feihuan</t>
        </is>
      </c>
      <c r="D346" s="8" t="inlineStr">
        <is>
          <t>九峰匪患宝箱</t>
        </is>
      </c>
      <c r="E346" s="8" t="inlineStr">
        <is>
          <t>随木牛流马图纸附带（同次命中）</t>
        </is>
      </c>
      <c r="F346" s="8" t="inlineStr">
        <is>
          <t>water_stone</t>
        </is>
      </c>
      <c r="G346" s="8" t="inlineStr">
        <is>
          <t>纯水之石</t>
        </is>
      </c>
      <c r="H346" s="8" t="inlineStr">
        <is>
          <t>blue</t>
        </is>
      </c>
      <c r="I346" s="8" t="inlineStr">
        <is>
          <t>resource</t>
        </is>
      </c>
      <c r="J346" s="8" t="n">
        <v>0.03</v>
      </c>
      <c r="K346" s="8" t="n">
        <v>1</v>
      </c>
      <c r="L346" s="8" t="n">
        <v>1</v>
      </c>
      <c r="M346" s="8" t="n">
        <v>1</v>
      </c>
      <c r="N346" s="8" t="n">
        <v>1</v>
      </c>
      <c r="O346" s="8">
        <f>J346*K346/L346</f>
        <v>0.03</v>
      </c>
      <c r="P346" s="8">
        <f>(M346+N346)/2</f>
        <v>1.0</v>
      </c>
      <c r="Q346" s="8">
        <f>O346*P346</f>
        <v>0.03</v>
      </c>
      <c r="R346" s="8" t="n">
        <v>0</v>
      </c>
      <c r="S346" s="8">
        <f>Q346*R346</f>
        <v>0.0</v>
      </c>
      <c r="T346" s="8" t="n"/>
      <c r="U346" s="8" t="inlineStr"/>
      <c r="V346" s="8" t="inlineStr">
        <is>
          <t>data/item_templates.yaml:mission_chest_jiufeng_feihuan.effect_payload</t>
        </is>
      </c>
    </row>
    <row r="347" ht="36" customHeight="1">
      <c r="A347" s="8" t="inlineStr">
        <is>
          <t>taozi_fenban</t>
        </is>
      </c>
      <c r="B347" s="8" t="inlineStr">
        <is>
          <t>我的桃子分你一半</t>
        </is>
      </c>
      <c r="C347" s="8" t="inlineStr">
        <is>
          <t>mission_chest_taozi_fenban</t>
        </is>
      </c>
      <c r="D347" s="8" t="inlineStr">
        <is>
          <t>分桃宝箱</t>
        </is>
      </c>
      <c r="E347" s="8" t="inlineStr">
        <is>
          <t>必得</t>
        </is>
      </c>
      <c r="F347" s="8" t="inlineStr">
        <is>
          <t>experience_fruit</t>
        </is>
      </c>
      <c r="G347" s="8" t="inlineStr">
        <is>
          <t>经验果</t>
        </is>
      </c>
      <c r="H347" s="8" t="inlineStr">
        <is>
          <t>green</t>
        </is>
      </c>
      <c r="I347" s="8" t="inlineStr">
        <is>
          <t>experience_items</t>
        </is>
      </c>
      <c r="J347" s="8" t="n">
        <v>1</v>
      </c>
      <c r="K347" s="8" t="n">
        <v>1</v>
      </c>
      <c r="L347" s="8" t="n">
        <v>1</v>
      </c>
      <c r="M347" s="8" t="n">
        <v>16</v>
      </c>
      <c r="N347" s="8" t="n">
        <v>16</v>
      </c>
      <c r="O347" s="8">
        <f>J347*K347/L347</f>
        <v>1.0</v>
      </c>
      <c r="P347" s="8">
        <f>(M347+N347)/2</f>
        <v>16.0</v>
      </c>
      <c r="Q347" s="8">
        <f>O347*P347</f>
        <v>16.0</v>
      </c>
      <c r="R347" s="8" t="n">
        <v>1</v>
      </c>
      <c r="S347" s="8">
        <f>Q347*R347</f>
        <v>16.0</v>
      </c>
      <c r="T347" s="8" t="n"/>
      <c r="U347" s="8" t="inlineStr"/>
      <c r="V347" s="8" t="inlineStr">
        <is>
          <t>data/item_templates.yaml:mission_chest_taozi_fenban.effect_payload</t>
        </is>
      </c>
    </row>
    <row r="348" ht="36" customHeight="1">
      <c r="A348" s="8" t="inlineStr">
        <is>
          <t>taozi_fenban</t>
        </is>
      </c>
      <c r="B348" s="8" t="inlineStr">
        <is>
          <t>我的桃子分你一半</t>
        </is>
      </c>
      <c r="C348" s="8" t="inlineStr">
        <is>
          <t>mission_chest_taozi_fenban</t>
        </is>
      </c>
      <c r="D348" s="8" t="inlineStr">
        <is>
          <t>分桃宝箱</t>
        </is>
      </c>
      <c r="E348" s="8" t="inlineStr">
        <is>
          <t>必得</t>
        </is>
      </c>
      <c r="F348" s="8" t="inlineStr">
        <is>
          <t>experience_peach</t>
        </is>
      </c>
      <c r="G348" s="8" t="inlineStr">
        <is>
          <t>经验桃子</t>
        </is>
      </c>
      <c r="H348" s="8" t="inlineStr">
        <is>
          <t>green</t>
        </is>
      </c>
      <c r="I348" s="8" t="inlineStr">
        <is>
          <t>experience_items</t>
        </is>
      </c>
      <c r="J348" s="8" t="n">
        <v>1</v>
      </c>
      <c r="K348" s="8" t="n">
        <v>1</v>
      </c>
      <c r="L348" s="8" t="n">
        <v>1</v>
      </c>
      <c r="M348" s="8" t="n">
        <v>15</v>
      </c>
      <c r="N348" s="8" t="n">
        <v>15</v>
      </c>
      <c r="O348" s="8">
        <f>J348*K348/L348</f>
        <v>1.0</v>
      </c>
      <c r="P348" s="8">
        <f>(M348+N348)/2</f>
        <v>15.0</v>
      </c>
      <c r="Q348" s="8">
        <f>O348*P348</f>
        <v>15.0</v>
      </c>
      <c r="R348" s="8" t="n">
        <v>8</v>
      </c>
      <c r="S348" s="8">
        <f>Q348*R348</f>
        <v>120.0</v>
      </c>
      <c r="T348" s="8" t="n"/>
      <c r="U348" s="8" t="inlineStr"/>
      <c r="V348" s="8" t="inlineStr">
        <is>
          <t>data/item_templates.yaml:mission_chest_taozi_fenban.effect_payload</t>
        </is>
      </c>
    </row>
    <row r="349" ht="36" customHeight="1">
      <c r="A349" s="8" t="inlineStr">
        <is>
          <t>taozi_fenban</t>
        </is>
      </c>
      <c r="B349" s="8" t="inlineStr">
        <is>
          <t>我的桃子分你一半</t>
        </is>
      </c>
      <c r="C349" s="8" t="inlineStr">
        <is>
          <t>mission_chest_taozi_fenban</t>
        </is>
      </c>
      <c r="D349" s="8" t="inlineStr">
        <is>
          <t>分桃宝箱</t>
        </is>
      </c>
      <c r="E349" s="8" t="inlineStr">
        <is>
          <t>必得</t>
        </is>
      </c>
      <c r="F349" s="8" t="inlineStr">
        <is>
          <t>zhixuesan</t>
        </is>
      </c>
      <c r="G349" s="8" t="inlineStr">
        <is>
          <t>止血散</t>
        </is>
      </c>
      <c r="H349" s="8" t="inlineStr">
        <is>
          <t>black</t>
        </is>
      </c>
      <c r="I349" s="8" t="inlineStr">
        <is>
          <t>medicine</t>
        </is>
      </c>
      <c r="J349" s="8" t="n">
        <v>1</v>
      </c>
      <c r="K349" s="8" t="n">
        <v>1</v>
      </c>
      <c r="L349" s="8" t="n">
        <v>1</v>
      </c>
      <c r="M349" s="8" t="n">
        <v>2</v>
      </c>
      <c r="N349" s="8" t="n">
        <v>2</v>
      </c>
      <c r="O349" s="8">
        <f>J349*K349/L349</f>
        <v>1.0</v>
      </c>
      <c r="P349" s="8">
        <f>(M349+N349)/2</f>
        <v>2.0</v>
      </c>
      <c r="Q349" s="8">
        <f>O349*P349</f>
        <v>2.0</v>
      </c>
      <c r="R349" s="8" t="n">
        <v>0</v>
      </c>
      <c r="S349" s="8">
        <f>Q349*R349</f>
        <v>0.0</v>
      </c>
      <c r="T349" s="8" t="n"/>
      <c r="U349" s="8" t="inlineStr"/>
      <c r="V349" s="8" t="inlineStr">
        <is>
          <t>data/item_templates.yaml:mission_chest_taozi_fenban.effect_payload</t>
        </is>
      </c>
    </row>
    <row r="350" ht="36" customHeight="1">
      <c r="A350" s="8" t="inlineStr">
        <is>
          <t>taozi_fenban</t>
        </is>
      </c>
      <c r="B350" s="8" t="inlineStr">
        <is>
          <t>我的桃子分你一半</t>
        </is>
      </c>
      <c r="C350" s="8" t="inlineStr">
        <is>
          <t>mission_chest_taozi_fenban</t>
        </is>
      </c>
      <c r="D350" s="8" t="inlineStr">
        <is>
          <t>分桃宝箱</t>
        </is>
      </c>
      <c r="E350" s="8" t="inlineStr">
        <is>
          <t>taozi_equipment_pool</t>
        </is>
      </c>
      <c r="F350" s="8" t="inlineStr">
        <is>
          <t>equip_qingzhujia</t>
        </is>
      </c>
      <c r="G350" s="8" t="inlineStr">
        <is>
          <t>青竹甲</t>
        </is>
      </c>
      <c r="H350" s="8" t="inlineStr">
        <is>
          <t>green</t>
        </is>
      </c>
      <c r="I350" s="8" t="inlineStr">
        <is>
          <t>equip_armor</t>
        </is>
      </c>
      <c r="J350" s="8" t="n">
        <v>0.85</v>
      </c>
      <c r="K350" s="8" t="n">
        <v>1</v>
      </c>
      <c r="L350" s="8" t="n">
        <v>11</v>
      </c>
      <c r="M350" s="8" t="n">
        <v>1</v>
      </c>
      <c r="N350" s="8" t="n">
        <v>1</v>
      </c>
      <c r="O350" s="8">
        <f>J350*K350/L350</f>
        <v>0.07727272727272727</v>
      </c>
      <c r="P350" s="8">
        <f>(M350+N350)/2</f>
        <v>1.0</v>
      </c>
      <c r="Q350" s="8">
        <f>O350*P350</f>
        <v>0.07727272727272727</v>
      </c>
      <c r="R350" s="8" t="n">
        <v>0</v>
      </c>
      <c r="S350" s="8">
        <f>Q350*R350</f>
        <v>0.0</v>
      </c>
      <c r="T350" s="8" t="n"/>
      <c r="U350" s="8" t="inlineStr"/>
      <c r="V350" s="8" t="inlineStr">
        <is>
          <t>data/item_templates.yaml:mission_chest_taozi_fenban.effect_payload</t>
        </is>
      </c>
    </row>
    <row r="351" ht="36" customHeight="1">
      <c r="A351" s="8" t="inlineStr">
        <is>
          <t>taozi_fenban</t>
        </is>
      </c>
      <c r="B351" s="8" t="inlineStr">
        <is>
          <t>我的桃子分你一半</t>
        </is>
      </c>
      <c r="C351" s="8" t="inlineStr">
        <is>
          <t>mission_chest_taozi_fenban</t>
        </is>
      </c>
      <c r="D351" s="8" t="inlineStr">
        <is>
          <t>分桃宝箱</t>
        </is>
      </c>
      <c r="E351" s="8" t="inlineStr">
        <is>
          <t>taozi_equipment_pool</t>
        </is>
      </c>
      <c r="F351" s="8" t="inlineStr">
        <is>
          <t>equip_qingtengguan</t>
        </is>
      </c>
      <c r="G351" s="8" t="inlineStr">
        <is>
          <t>青藤冠</t>
        </is>
      </c>
      <c r="H351" s="8" t="inlineStr">
        <is>
          <t>green</t>
        </is>
      </c>
      <c r="I351" s="8" t="inlineStr">
        <is>
          <t>equip_helmet</t>
        </is>
      </c>
      <c r="J351" s="8" t="n">
        <v>0.85</v>
      </c>
      <c r="K351" s="8" t="n">
        <v>1</v>
      </c>
      <c r="L351" s="8" t="n">
        <v>11</v>
      </c>
      <c r="M351" s="8" t="n">
        <v>1</v>
      </c>
      <c r="N351" s="8" t="n">
        <v>1</v>
      </c>
      <c r="O351" s="8">
        <f>J351*K351/L351</f>
        <v>0.07727272727272727</v>
      </c>
      <c r="P351" s="8">
        <f>(M351+N351)/2</f>
        <v>1.0</v>
      </c>
      <c r="Q351" s="8">
        <f>O351*P351</f>
        <v>0.07727272727272727</v>
      </c>
      <c r="R351" s="8" t="n">
        <v>0</v>
      </c>
      <c r="S351" s="8">
        <f>Q351*R351</f>
        <v>0.0</v>
      </c>
      <c r="T351" s="8" t="n"/>
      <c r="U351" s="8" t="inlineStr"/>
      <c r="V351" s="8" t="inlineStr">
        <is>
          <t>data/item_templates.yaml:mission_chest_taozi_fenban.effect_payload</t>
        </is>
      </c>
    </row>
    <row r="352" ht="36" customHeight="1">
      <c r="A352" s="8" t="inlineStr">
        <is>
          <t>taozi_fenban</t>
        </is>
      </c>
      <c r="B352" s="8" t="inlineStr">
        <is>
          <t>我的桃子分你一半</t>
        </is>
      </c>
      <c r="C352" s="8" t="inlineStr">
        <is>
          <t>mission_chest_taozi_fenban</t>
        </is>
      </c>
      <c r="D352" s="8" t="inlineStr">
        <is>
          <t>分桃宝箱</t>
        </is>
      </c>
      <c r="E352" s="8" t="inlineStr">
        <is>
          <t>taozi_equipment_pool</t>
        </is>
      </c>
      <c r="F352" s="8" t="inlineStr">
        <is>
          <t>equip_zhuyelu</t>
        </is>
      </c>
      <c r="G352" s="8" t="inlineStr">
        <is>
          <t>竹叶履</t>
        </is>
      </c>
      <c r="H352" s="8" t="inlineStr">
        <is>
          <t>green</t>
        </is>
      </c>
      <c r="I352" s="8" t="inlineStr">
        <is>
          <t>equip_shoes</t>
        </is>
      </c>
      <c r="J352" s="8" t="n">
        <v>0.85</v>
      </c>
      <c r="K352" s="8" t="n">
        <v>1</v>
      </c>
      <c r="L352" s="8" t="n">
        <v>11</v>
      </c>
      <c r="M352" s="8" t="n">
        <v>1</v>
      </c>
      <c r="N352" s="8" t="n">
        <v>1</v>
      </c>
      <c r="O352" s="8">
        <f>J352*K352/L352</f>
        <v>0.07727272727272727</v>
      </c>
      <c r="P352" s="8">
        <f>(M352+N352)/2</f>
        <v>1.0</v>
      </c>
      <c r="Q352" s="8">
        <f>O352*P352</f>
        <v>0.07727272727272727</v>
      </c>
      <c r="R352" s="8" t="n">
        <v>0</v>
      </c>
      <c r="S352" s="8">
        <f>Q352*R352</f>
        <v>0.0</v>
      </c>
      <c r="T352" s="8" t="n"/>
      <c r="U352" s="8" t="inlineStr"/>
      <c r="V352" s="8" t="inlineStr">
        <is>
          <t>data/item_templates.yaml:mission_chest_taozi_fenban.effect_payload</t>
        </is>
      </c>
    </row>
    <row r="353" ht="36" customHeight="1">
      <c r="A353" s="8" t="inlineStr">
        <is>
          <t>taozi_fenban</t>
        </is>
      </c>
      <c r="B353" s="8" t="inlineStr">
        <is>
          <t>我的桃子分你一半</t>
        </is>
      </c>
      <c r="C353" s="8" t="inlineStr">
        <is>
          <t>mission_chest_taozi_fenban</t>
        </is>
      </c>
      <c r="D353" s="8" t="inlineStr">
        <is>
          <t>分桃宝箱</t>
        </is>
      </c>
      <c r="E353" s="8" t="inlineStr">
        <is>
          <t>taozi_equipment_pool</t>
        </is>
      </c>
      <c r="F353" s="8" t="inlineStr">
        <is>
          <t>equip_tayunxue</t>
        </is>
      </c>
      <c r="G353" s="8" t="inlineStr">
        <is>
          <t>踏云靴</t>
        </is>
      </c>
      <c r="H353" s="8" t="inlineStr">
        <is>
          <t>green</t>
        </is>
      </c>
      <c r="I353" s="8" t="inlineStr">
        <is>
          <t>equip_shoes</t>
        </is>
      </c>
      <c r="J353" s="8" t="n">
        <v>0.85</v>
      </c>
      <c r="K353" s="8" t="n">
        <v>1</v>
      </c>
      <c r="L353" s="8" t="n">
        <v>11</v>
      </c>
      <c r="M353" s="8" t="n">
        <v>1</v>
      </c>
      <c r="N353" s="8" t="n">
        <v>1</v>
      </c>
      <c r="O353" s="8">
        <f>J353*K353/L353</f>
        <v>0.07727272727272727</v>
      </c>
      <c r="P353" s="8">
        <f>(M353+N353)/2</f>
        <v>1.0</v>
      </c>
      <c r="Q353" s="8">
        <f>O353*P353</f>
        <v>0.07727272727272727</v>
      </c>
      <c r="R353" s="8" t="n">
        <v>0</v>
      </c>
      <c r="S353" s="8">
        <f>Q353*R353</f>
        <v>0.0</v>
      </c>
      <c r="T353" s="8" t="n"/>
      <c r="U353" s="8" t="inlineStr"/>
      <c r="V353" s="8" t="inlineStr">
        <is>
          <t>data/item_templates.yaml:mission_chest_taozi_fenban.effect_payload</t>
        </is>
      </c>
    </row>
    <row r="354" ht="36" customHeight="1">
      <c r="A354" s="8" t="inlineStr">
        <is>
          <t>taozi_fenban</t>
        </is>
      </c>
      <c r="B354" s="8" t="inlineStr">
        <is>
          <t>我的桃子分你一半</t>
        </is>
      </c>
      <c r="C354" s="8" t="inlineStr">
        <is>
          <t>mission_chest_taozi_fenban</t>
        </is>
      </c>
      <c r="D354" s="8" t="inlineStr">
        <is>
          <t>分桃宝箱</t>
        </is>
      </c>
      <c r="E354" s="8" t="inlineStr">
        <is>
          <t>taozi_equipment_pool</t>
        </is>
      </c>
      <c r="F354" s="8" t="inlineStr">
        <is>
          <t>equip_jifengxue</t>
        </is>
      </c>
      <c r="G354" s="8" t="inlineStr">
        <is>
          <t>疾风靴</t>
        </is>
      </c>
      <c r="H354" s="8" t="inlineStr">
        <is>
          <t>green</t>
        </is>
      </c>
      <c r="I354" s="8" t="inlineStr">
        <is>
          <t>equip_shoes</t>
        </is>
      </c>
      <c r="J354" s="8" t="n">
        <v>0.85</v>
      </c>
      <c r="K354" s="8" t="n">
        <v>1</v>
      </c>
      <c r="L354" s="8" t="n">
        <v>11</v>
      </c>
      <c r="M354" s="8" t="n">
        <v>1</v>
      </c>
      <c r="N354" s="8" t="n">
        <v>1</v>
      </c>
      <c r="O354" s="8">
        <f>J354*K354/L354</f>
        <v>0.07727272727272727</v>
      </c>
      <c r="P354" s="8">
        <f>(M354+N354)/2</f>
        <v>1.0</v>
      </c>
      <c r="Q354" s="8">
        <f>O354*P354</f>
        <v>0.07727272727272727</v>
      </c>
      <c r="R354" s="8" t="n">
        <v>0</v>
      </c>
      <c r="S354" s="8">
        <f>Q354*R354</f>
        <v>0.0</v>
      </c>
      <c r="T354" s="8" t="n"/>
      <c r="U354" s="8" t="inlineStr"/>
      <c r="V354" s="8" t="inlineStr">
        <is>
          <t>data/item_templates.yaml:mission_chest_taozi_fenban.effect_payload</t>
        </is>
      </c>
    </row>
    <row r="355" ht="36" customHeight="1">
      <c r="A355" s="8" t="inlineStr">
        <is>
          <t>taozi_fenban</t>
        </is>
      </c>
      <c r="B355" s="8" t="inlineStr">
        <is>
          <t>我的桃子分你一半</t>
        </is>
      </c>
      <c r="C355" s="8" t="inlineStr">
        <is>
          <t>mission_chest_taozi_fenban</t>
        </is>
      </c>
      <c r="D355" s="8" t="inlineStr">
        <is>
          <t>分桃宝箱</t>
        </is>
      </c>
      <c r="E355" s="8" t="inlineStr">
        <is>
          <t>taozi_equipment_pool</t>
        </is>
      </c>
      <c r="F355" s="8" t="inlineStr">
        <is>
          <t>equip_hushenfu</t>
        </is>
      </c>
      <c r="G355" s="8" t="inlineStr">
        <is>
          <t>护身符</t>
        </is>
      </c>
      <c r="H355" s="8" t="inlineStr">
        <is>
          <t>green</t>
        </is>
      </c>
      <c r="I355" s="8" t="inlineStr">
        <is>
          <t>equip_ornament</t>
        </is>
      </c>
      <c r="J355" s="8" t="n">
        <v>0.85</v>
      </c>
      <c r="K355" s="8" t="n">
        <v>1</v>
      </c>
      <c r="L355" s="8" t="n">
        <v>11</v>
      </c>
      <c r="M355" s="8" t="n">
        <v>1</v>
      </c>
      <c r="N355" s="8" t="n">
        <v>1</v>
      </c>
      <c r="O355" s="8">
        <f>J355*K355/L355</f>
        <v>0.07727272727272727</v>
      </c>
      <c r="P355" s="8">
        <f>(M355+N355)/2</f>
        <v>1.0</v>
      </c>
      <c r="Q355" s="8">
        <f>O355*P355</f>
        <v>0.07727272727272727</v>
      </c>
      <c r="R355" s="8" t="n">
        <v>0</v>
      </c>
      <c r="S355" s="8">
        <f>Q355*R355</f>
        <v>0.0</v>
      </c>
      <c r="T355" s="8" t="n"/>
      <c r="U355" s="8" t="inlineStr"/>
      <c r="V355" s="8" t="inlineStr">
        <is>
          <t>data/item_templates.yaml:mission_chest_taozi_fenban.effect_payload</t>
        </is>
      </c>
    </row>
    <row r="356" ht="36" customHeight="1">
      <c r="A356" s="8" t="inlineStr">
        <is>
          <t>taozi_fenban</t>
        </is>
      </c>
      <c r="B356" s="8" t="inlineStr">
        <is>
          <t>我的桃子分你一半</t>
        </is>
      </c>
      <c r="C356" s="8" t="inlineStr">
        <is>
          <t>mission_chest_taozi_fenban</t>
        </is>
      </c>
      <c r="D356" s="8" t="inlineStr">
        <is>
          <t>分桃宝箱</t>
        </is>
      </c>
      <c r="E356" s="8" t="inlineStr">
        <is>
          <t>taozi_equipment_pool</t>
        </is>
      </c>
      <c r="F356" s="8" t="inlineStr">
        <is>
          <t>equip_taomupai</t>
        </is>
      </c>
      <c r="G356" s="8" t="inlineStr">
        <is>
          <t>桃木牌</t>
        </is>
      </c>
      <c r="H356" s="8" t="inlineStr">
        <is>
          <t>green</t>
        </is>
      </c>
      <c r="I356" s="8" t="inlineStr">
        <is>
          <t>equip_ornament</t>
        </is>
      </c>
      <c r="J356" s="8" t="n">
        <v>0.85</v>
      </c>
      <c r="K356" s="8" t="n">
        <v>1</v>
      </c>
      <c r="L356" s="8" t="n">
        <v>11</v>
      </c>
      <c r="M356" s="8" t="n">
        <v>1</v>
      </c>
      <c r="N356" s="8" t="n">
        <v>1</v>
      </c>
      <c r="O356" s="8">
        <f>J356*K356/L356</f>
        <v>0.07727272727272727</v>
      </c>
      <c r="P356" s="8">
        <f>(M356+N356)/2</f>
        <v>1.0</v>
      </c>
      <c r="Q356" s="8">
        <f>O356*P356</f>
        <v>0.07727272727272727</v>
      </c>
      <c r="R356" s="8" t="n">
        <v>0</v>
      </c>
      <c r="S356" s="8">
        <f>Q356*R356</f>
        <v>0.0</v>
      </c>
      <c r="T356" s="8" t="n"/>
      <c r="U356" s="8" t="inlineStr"/>
      <c r="V356" s="8" t="inlineStr">
        <is>
          <t>data/item_templates.yaml:mission_chest_taozi_fenban.effect_payload</t>
        </is>
      </c>
    </row>
    <row r="357" ht="36" customHeight="1">
      <c r="A357" s="8" t="inlineStr">
        <is>
          <t>taozi_fenban</t>
        </is>
      </c>
      <c r="B357" s="8" t="inlineStr">
        <is>
          <t>我的桃子分你一半</t>
        </is>
      </c>
      <c r="C357" s="8" t="inlineStr">
        <is>
          <t>mission_chest_taozi_fenban</t>
        </is>
      </c>
      <c r="D357" s="8" t="inlineStr">
        <is>
          <t>分桃宝箱</t>
        </is>
      </c>
      <c r="E357" s="8" t="inlineStr">
        <is>
          <t>taozi_equipment_pool</t>
        </is>
      </c>
      <c r="F357" s="8" t="inlineStr">
        <is>
          <t>equip_tanmunianzhu</t>
        </is>
      </c>
      <c r="G357" s="8" t="inlineStr">
        <is>
          <t>檀木念珠</t>
        </is>
      </c>
      <c r="H357" s="8" t="inlineStr">
        <is>
          <t>green</t>
        </is>
      </c>
      <c r="I357" s="8" t="inlineStr">
        <is>
          <t>equip_ornament</t>
        </is>
      </c>
      <c r="J357" s="8" t="n">
        <v>0.85</v>
      </c>
      <c r="K357" s="8" t="n">
        <v>1</v>
      </c>
      <c r="L357" s="8" t="n">
        <v>11</v>
      </c>
      <c r="M357" s="8" t="n">
        <v>1</v>
      </c>
      <c r="N357" s="8" t="n">
        <v>1</v>
      </c>
      <c r="O357" s="8">
        <f>J357*K357/L357</f>
        <v>0.07727272727272727</v>
      </c>
      <c r="P357" s="8">
        <f>(M357+N357)/2</f>
        <v>1.0</v>
      </c>
      <c r="Q357" s="8">
        <f>O357*P357</f>
        <v>0.07727272727272727</v>
      </c>
      <c r="R357" s="8" t="n">
        <v>0</v>
      </c>
      <c r="S357" s="8">
        <f>Q357*R357</f>
        <v>0.0</v>
      </c>
      <c r="T357" s="8" t="n"/>
      <c r="U357" s="8" t="inlineStr"/>
      <c r="V357" s="8" t="inlineStr">
        <is>
          <t>data/item_templates.yaml:mission_chest_taozi_fenban.effect_payload</t>
        </is>
      </c>
    </row>
    <row r="358" ht="36" customHeight="1">
      <c r="A358" s="8" t="inlineStr">
        <is>
          <t>taozi_fenban</t>
        </is>
      </c>
      <c r="B358" s="8" t="inlineStr">
        <is>
          <t>我的桃子分你一半</t>
        </is>
      </c>
      <c r="C358" s="8" t="inlineStr">
        <is>
          <t>mission_chest_taozi_fenban</t>
        </is>
      </c>
      <c r="D358" s="8" t="inlineStr">
        <is>
          <t>分桃宝箱</t>
        </is>
      </c>
      <c r="E358" s="8" t="inlineStr">
        <is>
          <t>taozi_equipment_pool</t>
        </is>
      </c>
      <c r="F358" s="8" t="inlineStr">
        <is>
          <t>equip_taomujian</t>
        </is>
      </c>
      <c r="G358" s="8" t="inlineStr">
        <is>
          <t>桃木剑</t>
        </is>
      </c>
      <c r="H358" s="8" t="inlineStr">
        <is>
          <t>green</t>
        </is>
      </c>
      <c r="I358" s="8" t="inlineStr">
        <is>
          <t>equip_ornament</t>
        </is>
      </c>
      <c r="J358" s="8" t="n">
        <v>0.85</v>
      </c>
      <c r="K358" s="8" t="n">
        <v>1</v>
      </c>
      <c r="L358" s="8" t="n">
        <v>11</v>
      </c>
      <c r="M358" s="8" t="n">
        <v>1</v>
      </c>
      <c r="N358" s="8" t="n">
        <v>1</v>
      </c>
      <c r="O358" s="8">
        <f>J358*K358/L358</f>
        <v>0.07727272727272727</v>
      </c>
      <c r="P358" s="8">
        <f>(M358+N358)/2</f>
        <v>1.0</v>
      </c>
      <c r="Q358" s="8">
        <f>O358*P358</f>
        <v>0.07727272727272727</v>
      </c>
      <c r="R358" s="8" t="n">
        <v>0</v>
      </c>
      <c r="S358" s="8">
        <f>Q358*R358</f>
        <v>0.0</v>
      </c>
      <c r="T358" s="8" t="n"/>
      <c r="U358" s="8" t="inlineStr"/>
      <c r="V358" s="8" t="inlineStr">
        <is>
          <t>data/item_templates.yaml:mission_chest_taozi_fenban.effect_payload</t>
        </is>
      </c>
    </row>
    <row r="359" ht="36" customHeight="1">
      <c r="A359" s="8" t="inlineStr">
        <is>
          <t>taozi_fenban</t>
        </is>
      </c>
      <c r="B359" s="8" t="inlineStr">
        <is>
          <t>我的桃子分你一半</t>
        </is>
      </c>
      <c r="C359" s="8" t="inlineStr">
        <is>
          <t>mission_chest_taozi_fenban</t>
        </is>
      </c>
      <c r="D359" s="8" t="inlineStr">
        <is>
          <t>分桃宝箱</t>
        </is>
      </c>
      <c r="E359" s="8" t="inlineStr">
        <is>
          <t>taozi_equipment_pool</t>
        </is>
      </c>
      <c r="F359" s="8" t="inlineStr">
        <is>
          <t>equip_luopan</t>
        </is>
      </c>
      <c r="G359" s="8" t="inlineStr">
        <is>
          <t>罗盘</t>
        </is>
      </c>
      <c r="H359" s="8" t="inlineStr">
        <is>
          <t>green</t>
        </is>
      </c>
      <c r="I359" s="8" t="inlineStr">
        <is>
          <t>equip_ornament</t>
        </is>
      </c>
      <c r="J359" s="8" t="n">
        <v>0.85</v>
      </c>
      <c r="K359" s="8" t="n">
        <v>1</v>
      </c>
      <c r="L359" s="8" t="n">
        <v>11</v>
      </c>
      <c r="M359" s="8" t="n">
        <v>1</v>
      </c>
      <c r="N359" s="8" t="n">
        <v>1</v>
      </c>
      <c r="O359" s="8">
        <f>J359*K359/L359</f>
        <v>0.07727272727272727</v>
      </c>
      <c r="P359" s="8">
        <f>(M359+N359)/2</f>
        <v>1.0</v>
      </c>
      <c r="Q359" s="8">
        <f>O359*P359</f>
        <v>0.07727272727272727</v>
      </c>
      <c r="R359" s="8" t="n">
        <v>0</v>
      </c>
      <c r="S359" s="8">
        <f>Q359*R359</f>
        <v>0.0</v>
      </c>
      <c r="T359" s="8" t="n"/>
      <c r="U359" s="8" t="inlineStr"/>
      <c r="V359" s="8" t="inlineStr">
        <is>
          <t>data/item_templates.yaml:mission_chest_taozi_fenban.effect_payload</t>
        </is>
      </c>
    </row>
    <row r="360" ht="36" customHeight="1">
      <c r="A360" s="8" t="inlineStr">
        <is>
          <t>taozi_fenban</t>
        </is>
      </c>
      <c r="B360" s="8" t="inlineStr">
        <is>
          <t>我的桃子分你一半</t>
        </is>
      </c>
      <c r="C360" s="8" t="inlineStr">
        <is>
          <t>mission_chest_taozi_fenban</t>
        </is>
      </c>
      <c r="D360" s="8" t="inlineStr">
        <is>
          <t>分桃宝箱</t>
        </is>
      </c>
      <c r="E360" s="8" t="inlineStr">
        <is>
          <t>taozi_equipment_pool</t>
        </is>
      </c>
      <c r="F360" s="8" t="inlineStr">
        <is>
          <t>equip_taxuema</t>
        </is>
      </c>
      <c r="G360" s="8" t="inlineStr">
        <is>
          <t>踏雪马</t>
        </is>
      </c>
      <c r="H360" s="8" t="inlineStr">
        <is>
          <t>green</t>
        </is>
      </c>
      <c r="I360" s="8" t="inlineStr">
        <is>
          <t>equip_mount</t>
        </is>
      </c>
      <c r="J360" s="8" t="n">
        <v>0.85</v>
      </c>
      <c r="K360" s="8" t="n">
        <v>1</v>
      </c>
      <c r="L360" s="8" t="n">
        <v>11</v>
      </c>
      <c r="M360" s="8" t="n">
        <v>1</v>
      </c>
      <c r="N360" s="8" t="n">
        <v>1</v>
      </c>
      <c r="O360" s="8">
        <f>J360*K360/L360</f>
        <v>0.07727272727272727</v>
      </c>
      <c r="P360" s="8">
        <f>(M360+N360)/2</f>
        <v>1.0</v>
      </c>
      <c r="Q360" s="8">
        <f>O360*P360</f>
        <v>0.07727272727272727</v>
      </c>
      <c r="R360" s="8" t="n">
        <v>0</v>
      </c>
      <c r="S360" s="8">
        <f>Q360*R360</f>
        <v>0.0</v>
      </c>
      <c r="T360" s="8" t="n"/>
      <c r="U360" s="8" t="inlineStr"/>
      <c r="V360" s="8" t="inlineStr">
        <is>
          <t>data/item_templates.yaml:mission_chest_taozi_fenban.effect_payload</t>
        </is>
      </c>
    </row>
    <row r="361" ht="36" customHeight="1">
      <c r="A361" s="8" t="inlineStr">
        <is>
          <t>simian_chuge</t>
        </is>
      </c>
      <c r="B361" s="8" t="inlineStr">
        <is>
          <t>四面楚歌</t>
        </is>
      </c>
      <c r="C361" s="8" t="inlineStr">
        <is>
          <t>mission_chest_simian_chuge</t>
        </is>
      </c>
      <c r="D361" s="8" t="inlineStr">
        <is>
          <t>四面楚歌宝箱</t>
        </is>
      </c>
      <c r="E361" s="8" t="inlineStr">
        <is>
          <t>必得</t>
        </is>
      </c>
      <c r="F361" s="8" t="inlineStr">
        <is>
          <t>experience_fruit</t>
        </is>
      </c>
      <c r="G361" s="8" t="inlineStr">
        <is>
          <t>经验果</t>
        </is>
      </c>
      <c r="H361" s="8" t="inlineStr">
        <is>
          <t>green</t>
        </is>
      </c>
      <c r="I361" s="8" t="inlineStr">
        <is>
          <t>experience_items</t>
        </is>
      </c>
      <c r="J361" s="8" t="n">
        <v>1</v>
      </c>
      <c r="K361" s="8" t="n">
        <v>1</v>
      </c>
      <c r="L361" s="8" t="n">
        <v>1</v>
      </c>
      <c r="M361" s="8" t="n">
        <v>51</v>
      </c>
      <c r="N361" s="8" t="n">
        <v>51</v>
      </c>
      <c r="O361" s="8">
        <f>J361*K361/L361</f>
        <v>1.0</v>
      </c>
      <c r="P361" s="8">
        <f>(M361+N361)/2</f>
        <v>51.0</v>
      </c>
      <c r="Q361" s="8">
        <f>O361*P361</f>
        <v>51.0</v>
      </c>
      <c r="R361" s="8" t="n">
        <v>1</v>
      </c>
      <c r="S361" s="8">
        <f>Q361*R361</f>
        <v>51.0</v>
      </c>
      <c r="T361" s="8" t="n"/>
      <c r="U361" s="8" t="inlineStr"/>
      <c r="V361" s="8" t="inlineStr">
        <is>
          <t>data/item_templates.yaml:mission_chest_simian_chuge.effect_payload</t>
        </is>
      </c>
    </row>
    <row r="362" ht="36" customHeight="1">
      <c r="A362" s="8" t="inlineStr">
        <is>
          <t>simian_chuge</t>
        </is>
      </c>
      <c r="B362" s="8" t="inlineStr">
        <is>
          <t>四面楚歌</t>
        </is>
      </c>
      <c r="C362" s="8" t="inlineStr">
        <is>
          <t>mission_chest_simian_chuge</t>
        </is>
      </c>
      <c r="D362" s="8" t="inlineStr">
        <is>
          <t>四面楚歌宝箱</t>
        </is>
      </c>
      <c r="E362" s="8" t="inlineStr">
        <is>
          <t>必得</t>
        </is>
      </c>
      <c r="F362" s="8" t="inlineStr">
        <is>
          <t>experience_watermelon</t>
        </is>
      </c>
      <c r="G362" s="8" t="inlineStr">
        <is>
          <t>经验西瓜</t>
        </is>
      </c>
      <c r="H362" s="8" t="inlineStr">
        <is>
          <t>purple</t>
        </is>
      </c>
      <c r="I362" s="8" t="inlineStr">
        <is>
          <t>experience_items</t>
        </is>
      </c>
      <c r="J362" s="8" t="n">
        <v>1</v>
      </c>
      <c r="K362" s="8" t="n">
        <v>1</v>
      </c>
      <c r="L362" s="8" t="n">
        <v>1</v>
      </c>
      <c r="M362" s="8" t="n">
        <v>2</v>
      </c>
      <c r="N362" s="8" t="n">
        <v>2</v>
      </c>
      <c r="O362" s="8">
        <f>J362*K362/L362</f>
        <v>1.0</v>
      </c>
      <c r="P362" s="8">
        <f>(M362+N362)/2</f>
        <v>2.0</v>
      </c>
      <c r="Q362" s="8">
        <f>O362*P362</f>
        <v>2.0</v>
      </c>
      <c r="R362" s="8" t="n">
        <v>24</v>
      </c>
      <c r="S362" s="8">
        <f>Q362*R362</f>
        <v>48.0</v>
      </c>
      <c r="T362" s="8" t="n"/>
      <c r="U362" s="8" t="inlineStr"/>
      <c r="V362" s="8" t="inlineStr">
        <is>
          <t>data/item_templates.yaml:mission_chest_simian_chuge.effect_payload</t>
        </is>
      </c>
    </row>
    <row r="363" ht="36" customHeight="1">
      <c r="A363" s="8" t="inlineStr">
        <is>
          <t>simian_chuge</t>
        </is>
      </c>
      <c r="B363" s="8" t="inlineStr">
        <is>
          <t>四面楚歌</t>
        </is>
      </c>
      <c r="C363" s="8" t="inlineStr">
        <is>
          <t>mission_chest_simian_chuge</t>
        </is>
      </c>
      <c r="D363" s="8" t="inlineStr">
        <is>
          <t>四面楚歌宝箱</t>
        </is>
      </c>
      <c r="E363" s="8" t="inlineStr">
        <is>
          <t>必得</t>
        </is>
      </c>
      <c r="F363" s="8" t="inlineStr">
        <is>
          <t>buxuedan</t>
        </is>
      </c>
      <c r="G363" s="8" t="inlineStr">
        <is>
          <t>补血丹</t>
        </is>
      </c>
      <c r="H363" s="8" t="inlineStr">
        <is>
          <t>black</t>
        </is>
      </c>
      <c r="I363" s="8" t="inlineStr">
        <is>
          <t>medicine</t>
        </is>
      </c>
      <c r="J363" s="8" t="n">
        <v>1</v>
      </c>
      <c r="K363" s="8" t="n">
        <v>1</v>
      </c>
      <c r="L363" s="8" t="n">
        <v>1</v>
      </c>
      <c r="M363" s="8" t="n">
        <v>4</v>
      </c>
      <c r="N363" s="8" t="n">
        <v>4</v>
      </c>
      <c r="O363" s="8">
        <f>J363*K363/L363</f>
        <v>1.0</v>
      </c>
      <c r="P363" s="8">
        <f>(M363+N363)/2</f>
        <v>4.0</v>
      </c>
      <c r="Q363" s="8">
        <f>O363*P363</f>
        <v>4.0</v>
      </c>
      <c r="R363" s="8" t="n">
        <v>0</v>
      </c>
      <c r="S363" s="8">
        <f>Q363*R363</f>
        <v>0.0</v>
      </c>
      <c r="T363" s="8" t="n"/>
      <c r="U363" s="8" t="inlineStr"/>
      <c r="V363" s="8" t="inlineStr">
        <is>
          <t>data/item_templates.yaml:mission_chest_simian_chuge.effect_payload</t>
        </is>
      </c>
    </row>
    <row r="364" ht="36" customHeight="1">
      <c r="A364" s="8" t="inlineStr">
        <is>
          <t>simian_chuge</t>
        </is>
      </c>
      <c r="B364" s="8" t="inlineStr">
        <is>
          <t>四面楚歌</t>
        </is>
      </c>
      <c r="C364" s="8" t="inlineStr">
        <is>
          <t>mission_chest_simian_chuge</t>
        </is>
      </c>
      <c r="D364" s="8" t="inlineStr">
        <is>
          <t>四面楚歌宝箱</t>
        </is>
      </c>
      <c r="E364" s="8" t="inlineStr">
        <is>
          <t>必得</t>
        </is>
      </c>
      <c r="F364" s="8" t="inlineStr">
        <is>
          <t>tong</t>
        </is>
      </c>
      <c r="G364" s="8" t="inlineStr">
        <is>
          <t>铜</t>
        </is>
      </c>
      <c r="H364" s="8" t="inlineStr">
        <is>
          <t>black</t>
        </is>
      </c>
      <c r="I364" s="8" t="inlineStr">
        <is>
          <t>resource</t>
        </is>
      </c>
      <c r="J364" s="8" t="n">
        <v>1</v>
      </c>
      <c r="K364" s="8" t="n">
        <v>1</v>
      </c>
      <c r="L364" s="8" t="n">
        <v>1</v>
      </c>
      <c r="M364" s="8" t="n">
        <v>12</v>
      </c>
      <c r="N364" s="8" t="n">
        <v>12</v>
      </c>
      <c r="O364" s="8">
        <f>J364*K364/L364</f>
        <v>1.0</v>
      </c>
      <c r="P364" s="8">
        <f>(M364+N364)/2</f>
        <v>12.0</v>
      </c>
      <c r="Q364" s="8">
        <f>O364*P364</f>
        <v>12.0</v>
      </c>
      <c r="R364" s="8" t="n">
        <v>0</v>
      </c>
      <c r="S364" s="8">
        <f>Q364*R364</f>
        <v>0.0</v>
      </c>
      <c r="T364" s="8" t="n"/>
      <c r="U364" s="8" t="inlineStr"/>
      <c r="V364" s="8" t="inlineStr">
        <is>
          <t>data/item_templates.yaml:mission_chest_simian_chuge.effect_payload</t>
        </is>
      </c>
    </row>
    <row r="365" ht="36" customHeight="1">
      <c r="A365" s="8" t="inlineStr">
        <is>
          <t>simian_chuge</t>
        </is>
      </c>
      <c r="B365" s="8" t="inlineStr">
        <is>
          <t>四面楚歌</t>
        </is>
      </c>
      <c r="C365" s="8" t="inlineStr">
        <is>
          <t>mission_chest_simian_chuge</t>
        </is>
      </c>
      <c r="D365" s="8" t="inlineStr">
        <is>
          <t>四面楚歌宝箱</t>
        </is>
      </c>
      <c r="E365" s="8" t="inlineStr">
        <is>
          <t>必得</t>
        </is>
      </c>
      <c r="F365" s="8" t="inlineStr">
        <is>
          <t>xi</t>
        </is>
      </c>
      <c r="G365" s="8" t="inlineStr">
        <is>
          <t>锡</t>
        </is>
      </c>
      <c r="H365" s="8" t="inlineStr">
        <is>
          <t>black</t>
        </is>
      </c>
      <c r="I365" s="8" t="inlineStr">
        <is>
          <t>resource</t>
        </is>
      </c>
      <c r="J365" s="8" t="n">
        <v>1</v>
      </c>
      <c r="K365" s="8" t="n">
        <v>1</v>
      </c>
      <c r="L365" s="8" t="n">
        <v>1</v>
      </c>
      <c r="M365" s="8" t="n">
        <v>8</v>
      </c>
      <c r="N365" s="8" t="n">
        <v>8</v>
      </c>
      <c r="O365" s="8">
        <f>J365*K365/L365</f>
        <v>1.0</v>
      </c>
      <c r="P365" s="8">
        <f>(M365+N365)/2</f>
        <v>8.0</v>
      </c>
      <c r="Q365" s="8">
        <f>O365*P365</f>
        <v>8.0</v>
      </c>
      <c r="R365" s="8" t="n">
        <v>0</v>
      </c>
      <c r="S365" s="8">
        <f>Q365*R365</f>
        <v>0.0</v>
      </c>
      <c r="T365" s="8" t="n"/>
      <c r="U365" s="8" t="inlineStr"/>
      <c r="V365" s="8" t="inlineStr">
        <is>
          <t>data/item_templates.yaml:mission_chest_simian_chuge.effect_payload</t>
        </is>
      </c>
    </row>
    <row r="366" ht="36" customHeight="1">
      <c r="A366" s="8" t="inlineStr">
        <is>
          <t>simian_chuge</t>
        </is>
      </c>
      <c r="B366" s="8" t="inlineStr">
        <is>
          <t>四面楚歌</t>
        </is>
      </c>
      <c r="C366" s="8" t="inlineStr">
        <is>
          <t>mission_chest_simian_chuge</t>
        </is>
      </c>
      <c r="D366" s="8" t="inlineStr">
        <is>
          <t>四面楚歌宝箱</t>
        </is>
      </c>
      <c r="E366" s="8" t="inlineStr">
        <is>
          <t>必得</t>
        </is>
      </c>
      <c r="F366" s="8" t="inlineStr">
        <is>
          <t>tie</t>
        </is>
      </c>
      <c r="G366" s="8" t="inlineStr">
        <is>
          <t>铁</t>
        </is>
      </c>
      <c r="H366" s="8" t="inlineStr">
        <is>
          <t>black</t>
        </is>
      </c>
      <c r="I366" s="8" t="inlineStr">
        <is>
          <t>resource</t>
        </is>
      </c>
      <c r="J366" s="8" t="n">
        <v>1</v>
      </c>
      <c r="K366" s="8" t="n">
        <v>1</v>
      </c>
      <c r="L366" s="8" t="n">
        <v>1</v>
      </c>
      <c r="M366" s="8" t="n">
        <v>5</v>
      </c>
      <c r="N366" s="8" t="n">
        <v>5</v>
      </c>
      <c r="O366" s="8">
        <f>J366*K366/L366</f>
        <v>1.0</v>
      </c>
      <c r="P366" s="8">
        <f>(M366+N366)/2</f>
        <v>5.0</v>
      </c>
      <c r="Q366" s="8">
        <f>O366*P366</f>
        <v>5.0</v>
      </c>
      <c r="R366" s="8" t="n">
        <v>0</v>
      </c>
      <c r="S366" s="8">
        <f>Q366*R366</f>
        <v>0.0</v>
      </c>
      <c r="T366" s="8" t="n"/>
      <c r="U366" s="8" t="inlineStr"/>
      <c r="V366" s="8" t="inlineStr">
        <is>
          <t>data/item_templates.yaml:mission_chest_simian_chuge.effect_payload</t>
        </is>
      </c>
    </row>
    <row r="367" ht="36" customHeight="1">
      <c r="A367" s="8" t="inlineStr">
        <is>
          <t>simian_chuge</t>
        </is>
      </c>
      <c r="B367" s="8" t="inlineStr">
        <is>
          <t>四面楚歌</t>
        </is>
      </c>
      <c r="C367" s="8" t="inlineStr">
        <is>
          <t>mission_chest_simian_chuge</t>
        </is>
      </c>
      <c r="D367" s="8" t="inlineStr">
        <is>
          <t>四面楚歌宝箱</t>
        </is>
      </c>
      <c r="E367" s="8" t="inlineStr">
        <is>
          <t>equip_wuzhuima</t>
        </is>
      </c>
      <c r="F367" s="8" t="inlineStr">
        <is>
          <t>equip_wuzhuima</t>
        </is>
      </c>
      <c r="G367" s="8" t="inlineStr">
        <is>
          <t>乌骓马</t>
        </is>
      </c>
      <c r="H367" s="8" t="inlineStr">
        <is>
          <t>purple</t>
        </is>
      </c>
      <c r="I367" s="8" t="inlineStr">
        <is>
          <t>equip_mount</t>
        </is>
      </c>
      <c r="J367" s="8" t="n">
        <v>0.5</v>
      </c>
      <c r="K367" s="8" t="n">
        <v>1</v>
      </c>
      <c r="L367" s="8" t="n">
        <v>1</v>
      </c>
      <c r="M367" s="8" t="n">
        <v>1</v>
      </c>
      <c r="N367" s="8" t="n">
        <v>1</v>
      </c>
      <c r="O367" s="8">
        <f>J367*K367/L367</f>
        <v>0.5</v>
      </c>
      <c r="P367" s="8">
        <f>(M367+N367)/2</f>
        <v>1.0</v>
      </c>
      <c r="Q367" s="8">
        <f>O367*P367</f>
        <v>0.5</v>
      </c>
      <c r="R367" s="8" t="n">
        <v>0</v>
      </c>
      <c r="S367" s="8">
        <f>Q367*R367</f>
        <v>0.0</v>
      </c>
      <c r="T367" s="8" t="n"/>
      <c r="U367" s="8" t="inlineStr"/>
      <c r="V367" s="8" t="inlineStr">
        <is>
          <t>data/item_templates.yaml:mission_chest_simian_chuge.effect_payload</t>
        </is>
      </c>
    </row>
    <row r="368" ht="36" customHeight="1">
      <c r="A368" s="8" t="inlineStr">
        <is>
          <t>simian_chuge</t>
        </is>
      </c>
      <c r="B368" s="8" t="inlineStr">
        <is>
          <t>四面楚歌</t>
        </is>
      </c>
      <c r="C368" s="8" t="inlineStr">
        <is>
          <t>mission_chest_simian_chuge</t>
        </is>
      </c>
      <c r="D368" s="8" t="inlineStr">
        <is>
          <t>四面楚歌宝箱</t>
        </is>
      </c>
      <c r="E368" s="8" t="inlineStr">
        <is>
          <t>equip_bawangqiang</t>
        </is>
      </c>
      <c r="F368" s="8" t="inlineStr">
        <is>
          <t>equip_bawangqiang</t>
        </is>
      </c>
      <c r="G368" s="8" t="inlineStr">
        <is>
          <t>霸王枪</t>
        </is>
      </c>
      <c r="H368" s="8" t="inlineStr">
        <is>
          <t>purple</t>
        </is>
      </c>
      <c r="I368" s="8" t="inlineStr">
        <is>
          <t>equip_weapon</t>
        </is>
      </c>
      <c r="J368" s="8" t="n">
        <v>0.1</v>
      </c>
      <c r="K368" s="8" t="n">
        <v>6</v>
      </c>
      <c r="L368" s="8" t="n">
        <v>10</v>
      </c>
      <c r="M368" s="8" t="n">
        <v>1</v>
      </c>
      <c r="N368" s="8" t="n">
        <v>1</v>
      </c>
      <c r="O368" s="8">
        <f>J368*K368/L368</f>
        <v>0.06000000000000001</v>
      </c>
      <c r="P368" s="8">
        <f>(M368+N368)/2</f>
        <v>1.0</v>
      </c>
      <c r="Q368" s="8">
        <f>O368*P368</f>
        <v>0.06000000000000001</v>
      </c>
      <c r="R368" s="8" t="n">
        <v>0</v>
      </c>
      <c r="S368" s="8">
        <f>Q368*R368</f>
        <v>0.0</v>
      </c>
      <c r="T368" s="8" t="n"/>
      <c r="U368" s="8" t="inlineStr"/>
      <c r="V368" s="8" t="inlineStr">
        <is>
          <t>data/item_templates.yaml:mission_chest_simian_chuge.effect_payload</t>
        </is>
      </c>
    </row>
    <row r="369" ht="36" customHeight="1">
      <c r="A369" s="8" t="inlineStr">
        <is>
          <t>simian_chuge</t>
        </is>
      </c>
      <c r="B369" s="8" t="inlineStr">
        <is>
          <t>四面楚歌</t>
        </is>
      </c>
      <c r="C369" s="8" t="inlineStr">
        <is>
          <t>mission_chest_simian_chuge</t>
        </is>
      </c>
      <c r="D369" s="8" t="inlineStr">
        <is>
          <t>四面楚歌宝箱</t>
        </is>
      </c>
      <c r="E369" s="8" t="inlineStr">
        <is>
          <t>equip_bawangqiang</t>
        </is>
      </c>
      <c r="F369" s="8" t="inlineStr">
        <is>
          <t>equip_bawangkui</t>
        </is>
      </c>
      <c r="G369" s="8" t="inlineStr">
        <is>
          <t>霸王盔</t>
        </is>
      </c>
      <c r="H369" s="8" t="inlineStr">
        <is>
          <t>purple</t>
        </is>
      </c>
      <c r="I369" s="8" t="inlineStr">
        <is>
          <t>equip_helmet</t>
        </is>
      </c>
      <c r="J369" s="8" t="n">
        <v>0.1</v>
      </c>
      <c r="K369" s="8" t="n">
        <v>4</v>
      </c>
      <c r="L369" s="8" t="n">
        <v>10</v>
      </c>
      <c r="M369" s="8" t="n">
        <v>1</v>
      </c>
      <c r="N369" s="8" t="n">
        <v>1</v>
      </c>
      <c r="O369" s="8">
        <f>J369*K369/L369</f>
        <v>0.04</v>
      </c>
      <c r="P369" s="8">
        <f>(M369+N369)/2</f>
        <v>1.0</v>
      </c>
      <c r="Q369" s="8">
        <f>O369*P369</f>
        <v>0.04</v>
      </c>
      <c r="R369" s="8" t="n">
        <v>0</v>
      </c>
      <c r="S369" s="8">
        <f>Q369*R369</f>
        <v>0.0</v>
      </c>
      <c r="T369" s="8" t="n"/>
      <c r="U369" s="8" t="inlineStr"/>
      <c r="V369" s="8" t="inlineStr">
        <is>
          <t>data/item_templates.yaml:mission_chest_simian_chuge.effect_payload</t>
        </is>
      </c>
    </row>
    <row r="370" ht="36" customHeight="1">
      <c r="A370" s="8" t="inlineStr">
        <is>
          <t>simian_chuge</t>
        </is>
      </c>
      <c r="B370" s="8" t="inlineStr">
        <is>
          <t>四面楚歌</t>
        </is>
      </c>
      <c r="C370" s="8" t="inlineStr">
        <is>
          <t>mission_chest_simian_chuge</t>
        </is>
      </c>
      <c r="D370" s="8" t="inlineStr">
        <is>
          <t>四面楚歌宝箱</t>
        </is>
      </c>
      <c r="E370" s="8" t="inlineStr">
        <is>
          <t>passive_skill_book_box</t>
        </is>
      </c>
      <c r="F370" s="8" t="inlineStr">
        <is>
          <t>book_steadfast_planning</t>
        </is>
      </c>
      <c r="G370" s="8" t="inlineStr">
        <is>
          <t>《静水筹谋》秘术</t>
        </is>
      </c>
      <c r="H370" s="8" t="inlineStr">
        <is>
          <t>green</t>
        </is>
      </c>
      <c r="I370" s="8" t="inlineStr">
        <is>
          <t>skill_book</t>
        </is>
      </c>
      <c r="J370" s="8" t="n">
        <v>0.06</v>
      </c>
      <c r="K370" s="8" t="n">
        <v>1</v>
      </c>
      <c r="L370" s="8" t="n">
        <v>7</v>
      </c>
      <c r="M370" s="8" t="n">
        <v>1</v>
      </c>
      <c r="N370" s="8" t="n">
        <v>1</v>
      </c>
      <c r="O370" s="8">
        <f>J370*K370/L370</f>
        <v>0.008571428571428572</v>
      </c>
      <c r="P370" s="8">
        <f>(M370+N370)/2</f>
        <v>1.0</v>
      </c>
      <c r="Q370" s="8">
        <f>O370*P370</f>
        <v>0.008571428571428572</v>
      </c>
      <c r="R370" s="8" t="n">
        <v>0</v>
      </c>
      <c r="S370" s="8">
        <f>Q370*R370</f>
        <v>0.0</v>
      </c>
      <c r="T370" s="8" t="n"/>
      <c r="U370" s="8" t="inlineStr"/>
      <c r="V370" s="8" t="inlineStr">
        <is>
          <t>data/item_templates.yaml:mission_chest_simian_chuge.effect_payload</t>
        </is>
      </c>
    </row>
    <row r="371" ht="36" customHeight="1">
      <c r="A371" s="8" t="inlineStr">
        <is>
          <t>simian_chuge</t>
        </is>
      </c>
      <c r="B371" s="8" t="inlineStr">
        <is>
          <t>四面楚歌</t>
        </is>
      </c>
      <c r="C371" s="8" t="inlineStr">
        <is>
          <t>mission_chest_simian_chuge</t>
        </is>
      </c>
      <c r="D371" s="8" t="inlineStr">
        <is>
          <t>四面楚歌宝箱</t>
        </is>
      </c>
      <c r="E371" s="8" t="inlineStr">
        <is>
          <t>passive_skill_book_box</t>
        </is>
      </c>
      <c r="F371" s="8" t="inlineStr">
        <is>
          <t>book_iron_wall_heart</t>
        </is>
      </c>
      <c r="G371" s="8" t="inlineStr">
        <is>
          <t>《铁壁心法》秘术</t>
        </is>
      </c>
      <c r="H371" s="8" t="inlineStr">
        <is>
          <t>green</t>
        </is>
      </c>
      <c r="I371" s="8" t="inlineStr">
        <is>
          <t>skill_book</t>
        </is>
      </c>
      <c r="J371" s="8" t="n">
        <v>0.06</v>
      </c>
      <c r="K371" s="8" t="n">
        <v>1</v>
      </c>
      <c r="L371" s="8" t="n">
        <v>7</v>
      </c>
      <c r="M371" s="8" t="n">
        <v>1</v>
      </c>
      <c r="N371" s="8" t="n">
        <v>1</v>
      </c>
      <c r="O371" s="8">
        <f>J371*K371/L371</f>
        <v>0.008571428571428572</v>
      </c>
      <c r="P371" s="8">
        <f>(M371+N371)/2</f>
        <v>1.0</v>
      </c>
      <c r="Q371" s="8">
        <f>O371*P371</f>
        <v>0.008571428571428572</v>
      </c>
      <c r="R371" s="8" t="n">
        <v>0</v>
      </c>
      <c r="S371" s="8">
        <f>Q371*R371</f>
        <v>0.0</v>
      </c>
      <c r="T371" s="8" t="n"/>
      <c r="U371" s="8" t="inlineStr"/>
      <c r="V371" s="8" t="inlineStr">
        <is>
          <t>data/item_templates.yaml:mission_chest_simian_chuge.effect_payload</t>
        </is>
      </c>
    </row>
    <row r="372" ht="36" customHeight="1">
      <c r="A372" s="8" t="inlineStr">
        <is>
          <t>simian_chuge</t>
        </is>
      </c>
      <c r="B372" s="8" t="inlineStr">
        <is>
          <t>四面楚歌</t>
        </is>
      </c>
      <c r="C372" s="8" t="inlineStr">
        <is>
          <t>mission_chest_simian_chuge</t>
        </is>
      </c>
      <c r="D372" s="8" t="inlineStr">
        <is>
          <t>四面楚歌宝箱</t>
        </is>
      </c>
      <c r="E372" s="8" t="inlineStr">
        <is>
          <t>passive_skill_book_box</t>
        </is>
      </c>
      <c r="F372" s="8" t="inlineStr">
        <is>
          <t>book_last_chance_revival</t>
        </is>
      </c>
      <c r="G372" s="8" t="inlineStr">
        <is>
          <t>《绝处逢生》秘术</t>
        </is>
      </c>
      <c r="H372" s="8" t="inlineStr">
        <is>
          <t>blue</t>
        </is>
      </c>
      <c r="I372" s="8" t="inlineStr">
        <is>
          <t>skill_book</t>
        </is>
      </c>
      <c r="J372" s="8" t="n">
        <v>0.06</v>
      </c>
      <c r="K372" s="8" t="n">
        <v>1</v>
      </c>
      <c r="L372" s="8" t="n">
        <v>7</v>
      </c>
      <c r="M372" s="8" t="n">
        <v>1</v>
      </c>
      <c r="N372" s="8" t="n">
        <v>1</v>
      </c>
      <c r="O372" s="8">
        <f>J372*K372/L372</f>
        <v>0.008571428571428572</v>
      </c>
      <c r="P372" s="8">
        <f>(M372+N372)/2</f>
        <v>1.0</v>
      </c>
      <c r="Q372" s="8">
        <f>O372*P372</f>
        <v>0.008571428571428572</v>
      </c>
      <c r="R372" s="8" t="n">
        <v>0</v>
      </c>
      <c r="S372" s="8">
        <f>Q372*R372</f>
        <v>0.0</v>
      </c>
      <c r="T372" s="8" t="n"/>
      <c r="U372" s="8" t="inlineStr"/>
      <c r="V372" s="8" t="inlineStr">
        <is>
          <t>data/item_templates.yaml:mission_chest_simian_chuge.effect_payload</t>
        </is>
      </c>
    </row>
    <row r="373" ht="36" customHeight="1">
      <c r="A373" s="8" t="inlineStr">
        <is>
          <t>simian_chuge</t>
        </is>
      </c>
      <c r="B373" s="8" t="inlineStr">
        <is>
          <t>四面楚歌</t>
        </is>
      </c>
      <c r="C373" s="8" t="inlineStr">
        <is>
          <t>mission_chest_simian_chuge</t>
        </is>
      </c>
      <c r="D373" s="8" t="inlineStr">
        <is>
          <t>四面楚歌宝箱</t>
        </is>
      </c>
      <c r="E373" s="8" t="inlineStr">
        <is>
          <t>passive_skill_book_box</t>
        </is>
      </c>
      <c r="F373" s="8" t="inlineStr">
        <is>
          <t>book_draw_enemy_blades</t>
        </is>
      </c>
      <c r="G373" s="8" t="inlineStr">
        <is>
          <t>《招锋引敌》秘术</t>
        </is>
      </c>
      <c r="H373" s="8" t="inlineStr">
        <is>
          <t>blue</t>
        </is>
      </c>
      <c r="I373" s="8" t="inlineStr">
        <is>
          <t>skill_book</t>
        </is>
      </c>
      <c r="J373" s="8" t="n">
        <v>0.06</v>
      </c>
      <c r="K373" s="8" t="n">
        <v>1</v>
      </c>
      <c r="L373" s="8" t="n">
        <v>7</v>
      </c>
      <c r="M373" s="8" t="n">
        <v>1</v>
      </c>
      <c r="N373" s="8" t="n">
        <v>1</v>
      </c>
      <c r="O373" s="8">
        <f>J373*K373/L373</f>
        <v>0.008571428571428572</v>
      </c>
      <c r="P373" s="8">
        <f>(M373+N373)/2</f>
        <v>1.0</v>
      </c>
      <c r="Q373" s="8">
        <f>O373*P373</f>
        <v>0.008571428571428572</v>
      </c>
      <c r="R373" s="8" t="n">
        <v>0</v>
      </c>
      <c r="S373" s="8">
        <f>Q373*R373</f>
        <v>0.0</v>
      </c>
      <c r="T373" s="8" t="n"/>
      <c r="U373" s="8" t="inlineStr"/>
      <c r="V373" s="8" t="inlineStr">
        <is>
          <t>data/item_templates.yaml:mission_chest_simian_chuge.effect_payload</t>
        </is>
      </c>
    </row>
    <row r="374" ht="36" customHeight="1">
      <c r="A374" s="8" t="inlineStr">
        <is>
          <t>simian_chuge</t>
        </is>
      </c>
      <c r="B374" s="8" t="inlineStr">
        <is>
          <t>四面楚歌</t>
        </is>
      </c>
      <c r="C374" s="8" t="inlineStr">
        <is>
          <t>mission_chest_simian_chuge</t>
        </is>
      </c>
      <c r="D374" s="8" t="inlineStr">
        <is>
          <t>四面楚歌宝箱</t>
        </is>
      </c>
      <c r="E374" s="8" t="inlineStr">
        <is>
          <t>passive_skill_book_box</t>
        </is>
      </c>
      <c r="F374" s="8" t="inlineStr">
        <is>
          <t>book_desperate_beast</t>
        </is>
      </c>
      <c r="G374" s="8" t="inlineStr">
        <is>
          <t>《困兽犹斗》秘术</t>
        </is>
      </c>
      <c r="H374" s="8" t="inlineStr">
        <is>
          <t>purple</t>
        </is>
      </c>
      <c r="I374" s="8" t="inlineStr">
        <is>
          <t>skill_book</t>
        </is>
      </c>
      <c r="J374" s="8" t="n">
        <v>0.06</v>
      </c>
      <c r="K374" s="8" t="n">
        <v>1</v>
      </c>
      <c r="L374" s="8" t="n">
        <v>7</v>
      </c>
      <c r="M374" s="8" t="n">
        <v>1</v>
      </c>
      <c r="N374" s="8" t="n">
        <v>1</v>
      </c>
      <c r="O374" s="8">
        <f>J374*K374/L374</f>
        <v>0.008571428571428572</v>
      </c>
      <c r="P374" s="8">
        <f>(M374+N374)/2</f>
        <v>1.0</v>
      </c>
      <c r="Q374" s="8">
        <f>O374*P374</f>
        <v>0.008571428571428572</v>
      </c>
      <c r="R374" s="8" t="n">
        <v>0</v>
      </c>
      <c r="S374" s="8">
        <f>Q374*R374</f>
        <v>0.0</v>
      </c>
      <c r="T374" s="8" t="n"/>
      <c r="U374" s="8" t="inlineStr"/>
      <c r="V374" s="8" t="inlineStr">
        <is>
          <t>data/item_templates.yaml:mission_chest_simian_chuge.effect_payload</t>
        </is>
      </c>
    </row>
    <row r="375" ht="36" customHeight="1">
      <c r="A375" s="8" t="inlineStr">
        <is>
          <t>simian_chuge</t>
        </is>
      </c>
      <c r="B375" s="8" t="inlineStr">
        <is>
          <t>四面楚歌</t>
        </is>
      </c>
      <c r="C375" s="8" t="inlineStr">
        <is>
          <t>mission_chest_simian_chuge</t>
        </is>
      </c>
      <c r="D375" s="8" t="inlineStr">
        <is>
          <t>四面楚歌宝箱</t>
        </is>
      </c>
      <c r="E375" s="8" t="inlineStr">
        <is>
          <t>passive_skill_book_box</t>
        </is>
      </c>
      <c r="F375" s="8" t="inlineStr">
        <is>
          <t>book_bloodthirsty_fury</t>
        </is>
      </c>
      <c r="G375" s="8" t="inlineStr">
        <is>
          <t>《嗜血狂怒》秘术</t>
        </is>
      </c>
      <c r="H375" s="8" t="inlineStr">
        <is>
          <t>purple</t>
        </is>
      </c>
      <c r="I375" s="8" t="inlineStr">
        <is>
          <t>skill_book</t>
        </is>
      </c>
      <c r="J375" s="8" t="n">
        <v>0.06</v>
      </c>
      <c r="K375" s="8" t="n">
        <v>1</v>
      </c>
      <c r="L375" s="8" t="n">
        <v>7</v>
      </c>
      <c r="M375" s="8" t="n">
        <v>1</v>
      </c>
      <c r="N375" s="8" t="n">
        <v>1</v>
      </c>
      <c r="O375" s="8">
        <f>J375*K375/L375</f>
        <v>0.008571428571428572</v>
      </c>
      <c r="P375" s="8">
        <f>(M375+N375)/2</f>
        <v>1.0</v>
      </c>
      <c r="Q375" s="8">
        <f>O375*P375</f>
        <v>0.008571428571428572</v>
      </c>
      <c r="R375" s="8" t="n">
        <v>0</v>
      </c>
      <c r="S375" s="8">
        <f>Q375*R375</f>
        <v>0.0</v>
      </c>
      <c r="T375" s="8" t="n"/>
      <c r="U375" s="8" t="inlineStr"/>
      <c r="V375" s="8" t="inlineStr">
        <is>
          <t>data/item_templates.yaml:mission_chest_simian_chuge.effect_payload</t>
        </is>
      </c>
    </row>
    <row r="376" ht="36" customHeight="1">
      <c r="A376" s="8" t="inlineStr">
        <is>
          <t>simian_chuge</t>
        </is>
      </c>
      <c r="B376" s="8" t="inlineStr">
        <is>
          <t>四面楚歌</t>
        </is>
      </c>
      <c r="C376" s="8" t="inlineStr">
        <is>
          <t>mission_chest_simian_chuge</t>
        </is>
      </c>
      <c r="D376" s="8" t="inlineStr">
        <is>
          <t>四面楚歌宝箱</t>
        </is>
      </c>
      <c r="E376" s="8" t="inlineStr">
        <is>
          <t>passive_skill_book_box</t>
        </is>
      </c>
      <c r="F376" s="8" t="inlineStr">
        <is>
          <t>book_comrade_command</t>
        </is>
      </c>
      <c r="G376" s="8" t="inlineStr">
        <is>
          <t>《同袍号令》秘术</t>
        </is>
      </c>
      <c r="H376" s="8" t="inlineStr">
        <is>
          <t>purple</t>
        </is>
      </c>
      <c r="I376" s="8" t="inlineStr">
        <is>
          <t>skill_book</t>
        </is>
      </c>
      <c r="J376" s="8" t="n">
        <v>0.06</v>
      </c>
      <c r="K376" s="8" t="n">
        <v>1</v>
      </c>
      <c r="L376" s="8" t="n">
        <v>7</v>
      </c>
      <c r="M376" s="8" t="n">
        <v>1</v>
      </c>
      <c r="N376" s="8" t="n">
        <v>1</v>
      </c>
      <c r="O376" s="8">
        <f>J376*K376/L376</f>
        <v>0.008571428571428572</v>
      </c>
      <c r="P376" s="8">
        <f>(M376+N376)/2</f>
        <v>1.0</v>
      </c>
      <c r="Q376" s="8">
        <f>O376*P376</f>
        <v>0.008571428571428572</v>
      </c>
      <c r="R376" s="8" t="n">
        <v>0</v>
      </c>
      <c r="S376" s="8">
        <f>Q376*R376</f>
        <v>0.0</v>
      </c>
      <c r="T376" s="8" t="n"/>
      <c r="U376" s="8" t="inlineStr"/>
      <c r="V376" s="8" t="inlineStr">
        <is>
          <t>data/item_templates.yaml:mission_chest_simian_chuge.effect_payload</t>
        </is>
      </c>
    </row>
    <row r="377" ht="36" customHeight="1">
      <c r="A377" s="8" t="inlineStr">
        <is>
          <t>manzu_ruqin</t>
        </is>
      </c>
      <c r="B377" s="8" t="inlineStr">
        <is>
          <t>蛮族入侵</t>
        </is>
      </c>
      <c r="C377" s="8" t="inlineStr">
        <is>
          <t>mission_chest_manzu_ruqin</t>
        </is>
      </c>
      <c r="D377" s="8" t="inlineStr">
        <is>
          <t>蛮族入侵宝箱</t>
        </is>
      </c>
      <c r="E377" s="8" t="inlineStr">
        <is>
          <t>必得</t>
        </is>
      </c>
      <c r="F377" s="8" t="inlineStr">
        <is>
          <t>experience_fruit</t>
        </is>
      </c>
      <c r="G377" s="8" t="inlineStr">
        <is>
          <t>经验果</t>
        </is>
      </c>
      <c r="H377" s="8" t="inlineStr">
        <is>
          <t>green</t>
        </is>
      </c>
      <c r="I377" s="8" t="inlineStr">
        <is>
          <t>experience_items</t>
        </is>
      </c>
      <c r="J377" s="8" t="n">
        <v>1</v>
      </c>
      <c r="K377" s="8" t="n">
        <v>1</v>
      </c>
      <c r="L377" s="8" t="n">
        <v>1</v>
      </c>
      <c r="M377" s="8" t="n">
        <v>35</v>
      </c>
      <c r="N377" s="8" t="n">
        <v>35</v>
      </c>
      <c r="O377" s="8">
        <f>J377*K377/L377</f>
        <v>1.0</v>
      </c>
      <c r="P377" s="8">
        <f>(M377+N377)/2</f>
        <v>35.0</v>
      </c>
      <c r="Q377" s="8">
        <f>O377*P377</f>
        <v>35.0</v>
      </c>
      <c r="R377" s="8" t="n">
        <v>1</v>
      </c>
      <c r="S377" s="8">
        <f>Q377*R377</f>
        <v>35.0</v>
      </c>
      <c r="T377" s="8" t="n"/>
      <c r="U377" s="8" t="inlineStr"/>
      <c r="V377" s="8" t="inlineStr">
        <is>
          <t>data/item_templates.yaml:mission_chest_manzu_ruqin.effect_payload</t>
        </is>
      </c>
    </row>
    <row r="378" ht="36" customHeight="1">
      <c r="A378" s="8" t="inlineStr">
        <is>
          <t>manzu_ruqin</t>
        </is>
      </c>
      <c r="B378" s="8" t="inlineStr">
        <is>
          <t>蛮族入侵</t>
        </is>
      </c>
      <c r="C378" s="8" t="inlineStr">
        <is>
          <t>mission_chest_manzu_ruqin</t>
        </is>
      </c>
      <c r="D378" s="8" t="inlineStr">
        <is>
          <t>蛮族入侵宝箱</t>
        </is>
      </c>
      <c r="E378" s="8" t="inlineStr">
        <is>
          <t>必得</t>
        </is>
      </c>
      <c r="F378" s="8" t="inlineStr">
        <is>
          <t>buxuedan</t>
        </is>
      </c>
      <c r="G378" s="8" t="inlineStr">
        <is>
          <t>补血丹</t>
        </is>
      </c>
      <c r="H378" s="8" t="inlineStr">
        <is>
          <t>black</t>
        </is>
      </c>
      <c r="I378" s="8" t="inlineStr">
        <is>
          <t>medicine</t>
        </is>
      </c>
      <c r="J378" s="8" t="n">
        <v>1</v>
      </c>
      <c r="K378" s="8" t="n">
        <v>1</v>
      </c>
      <c r="L378" s="8" t="n">
        <v>1</v>
      </c>
      <c r="M378" s="8" t="n">
        <v>4</v>
      </c>
      <c r="N378" s="8" t="n">
        <v>4</v>
      </c>
      <c r="O378" s="8">
        <f>J378*K378/L378</f>
        <v>1.0</v>
      </c>
      <c r="P378" s="8">
        <f>(M378+N378)/2</f>
        <v>4.0</v>
      </c>
      <c r="Q378" s="8">
        <f>O378*P378</f>
        <v>4.0</v>
      </c>
      <c r="R378" s="8" t="n">
        <v>0</v>
      </c>
      <c r="S378" s="8">
        <f>Q378*R378</f>
        <v>0.0</v>
      </c>
      <c r="T378" s="8" t="n"/>
      <c r="U378" s="8" t="inlineStr"/>
      <c r="V378" s="8" t="inlineStr">
        <is>
          <t>data/item_templates.yaml:mission_chest_manzu_ruqin.effect_payload</t>
        </is>
      </c>
    </row>
    <row r="379" ht="36" customHeight="1">
      <c r="A379" s="8" t="inlineStr">
        <is>
          <t>manzu_ruqin</t>
        </is>
      </c>
      <c r="B379" s="8" t="inlineStr">
        <is>
          <t>蛮族入侵</t>
        </is>
      </c>
      <c r="C379" s="8" t="inlineStr">
        <is>
          <t>mission_chest_manzu_ruqin</t>
        </is>
      </c>
      <c r="D379" s="8" t="inlineStr">
        <is>
          <t>蛮族入侵宝箱</t>
        </is>
      </c>
      <c r="E379" s="8" t="inlineStr">
        <is>
          <t>必得</t>
        </is>
      </c>
      <c r="F379" s="8" t="inlineStr">
        <is>
          <t>tong</t>
        </is>
      </c>
      <c r="G379" s="8" t="inlineStr">
        <is>
          <t>铜</t>
        </is>
      </c>
      <c r="H379" s="8" t="inlineStr">
        <is>
          <t>black</t>
        </is>
      </c>
      <c r="I379" s="8" t="inlineStr">
        <is>
          <t>resource</t>
        </is>
      </c>
      <c r="J379" s="8" t="n">
        <v>1</v>
      </c>
      <c r="K379" s="8" t="n">
        <v>1</v>
      </c>
      <c r="L379" s="8" t="n">
        <v>1</v>
      </c>
      <c r="M379" s="8" t="n">
        <v>12</v>
      </c>
      <c r="N379" s="8" t="n">
        <v>12</v>
      </c>
      <c r="O379" s="8">
        <f>J379*K379/L379</f>
        <v>1.0</v>
      </c>
      <c r="P379" s="8">
        <f>(M379+N379)/2</f>
        <v>12.0</v>
      </c>
      <c r="Q379" s="8">
        <f>O379*P379</f>
        <v>12.0</v>
      </c>
      <c r="R379" s="8" t="n">
        <v>0</v>
      </c>
      <c r="S379" s="8">
        <f>Q379*R379</f>
        <v>0.0</v>
      </c>
      <c r="T379" s="8" t="n"/>
      <c r="U379" s="8" t="inlineStr"/>
      <c r="V379" s="8" t="inlineStr">
        <is>
          <t>data/item_templates.yaml:mission_chest_manzu_ruqin.effect_payload</t>
        </is>
      </c>
    </row>
    <row r="380" ht="36" customHeight="1">
      <c r="A380" s="8" t="inlineStr">
        <is>
          <t>manzu_ruqin</t>
        </is>
      </c>
      <c r="B380" s="8" t="inlineStr">
        <is>
          <t>蛮族入侵</t>
        </is>
      </c>
      <c r="C380" s="8" t="inlineStr">
        <is>
          <t>mission_chest_manzu_ruqin</t>
        </is>
      </c>
      <c r="D380" s="8" t="inlineStr">
        <is>
          <t>蛮族入侵宝箱</t>
        </is>
      </c>
      <c r="E380" s="8" t="inlineStr">
        <is>
          <t>必得</t>
        </is>
      </c>
      <c r="F380" s="8" t="inlineStr">
        <is>
          <t>xi</t>
        </is>
      </c>
      <c r="G380" s="8" t="inlineStr">
        <is>
          <t>锡</t>
        </is>
      </c>
      <c r="H380" s="8" t="inlineStr">
        <is>
          <t>black</t>
        </is>
      </c>
      <c r="I380" s="8" t="inlineStr">
        <is>
          <t>resource</t>
        </is>
      </c>
      <c r="J380" s="8" t="n">
        <v>1</v>
      </c>
      <c r="K380" s="8" t="n">
        <v>1</v>
      </c>
      <c r="L380" s="8" t="n">
        <v>1</v>
      </c>
      <c r="M380" s="8" t="n">
        <v>8</v>
      </c>
      <c r="N380" s="8" t="n">
        <v>8</v>
      </c>
      <c r="O380" s="8">
        <f>J380*K380/L380</f>
        <v>1.0</v>
      </c>
      <c r="P380" s="8">
        <f>(M380+N380)/2</f>
        <v>8.0</v>
      </c>
      <c r="Q380" s="8">
        <f>O380*P380</f>
        <v>8.0</v>
      </c>
      <c r="R380" s="8" t="n">
        <v>0</v>
      </c>
      <c r="S380" s="8">
        <f>Q380*R380</f>
        <v>0.0</v>
      </c>
      <c r="T380" s="8" t="n"/>
      <c r="U380" s="8" t="inlineStr"/>
      <c r="V380" s="8" t="inlineStr">
        <is>
          <t>data/item_templates.yaml:mission_chest_manzu_ruqin.effect_payload</t>
        </is>
      </c>
    </row>
    <row r="381" ht="36" customHeight="1">
      <c r="A381" s="8" t="inlineStr">
        <is>
          <t>manzu_ruqin</t>
        </is>
      </c>
      <c r="B381" s="8" t="inlineStr">
        <is>
          <t>蛮族入侵</t>
        </is>
      </c>
      <c r="C381" s="8" t="inlineStr">
        <is>
          <t>mission_chest_manzu_ruqin</t>
        </is>
      </c>
      <c r="D381" s="8" t="inlineStr">
        <is>
          <t>蛮族入侵宝箱</t>
        </is>
      </c>
      <c r="E381" s="8" t="inlineStr">
        <is>
          <t>必得</t>
        </is>
      </c>
      <c r="F381" s="8" t="inlineStr">
        <is>
          <t>tie</t>
        </is>
      </c>
      <c r="G381" s="8" t="inlineStr">
        <is>
          <t>铁</t>
        </is>
      </c>
      <c r="H381" s="8" t="inlineStr">
        <is>
          <t>black</t>
        </is>
      </c>
      <c r="I381" s="8" t="inlineStr">
        <is>
          <t>resource</t>
        </is>
      </c>
      <c r="J381" s="8" t="n">
        <v>1</v>
      </c>
      <c r="K381" s="8" t="n">
        <v>1</v>
      </c>
      <c r="L381" s="8" t="n">
        <v>1</v>
      </c>
      <c r="M381" s="8" t="n">
        <v>5</v>
      </c>
      <c r="N381" s="8" t="n">
        <v>5</v>
      </c>
      <c r="O381" s="8">
        <f>J381*K381/L381</f>
        <v>1.0</v>
      </c>
      <c r="P381" s="8">
        <f>(M381+N381)/2</f>
        <v>5.0</v>
      </c>
      <c r="Q381" s="8">
        <f>O381*P381</f>
        <v>5.0</v>
      </c>
      <c r="R381" s="8" t="n">
        <v>0</v>
      </c>
      <c r="S381" s="8">
        <f>Q381*R381</f>
        <v>0.0</v>
      </c>
      <c r="T381" s="8" t="n"/>
      <c r="U381" s="8" t="inlineStr"/>
      <c r="V381" s="8" t="inlineStr">
        <is>
          <t>data/item_templates.yaml:mission_chest_manzu_ruqin.effect_payload</t>
        </is>
      </c>
    </row>
    <row r="382" ht="36" customHeight="1">
      <c r="A382" s="8" t="inlineStr">
        <is>
          <t>manzu_ruqin</t>
        </is>
      </c>
      <c r="B382" s="8" t="inlineStr">
        <is>
          <t>蛮族入侵</t>
        </is>
      </c>
      <c r="C382" s="8" t="inlineStr">
        <is>
          <t>mission_chest_manzu_ruqin</t>
        </is>
      </c>
      <c r="D382" s="8" t="inlineStr">
        <is>
          <t>蛮族入侵宝箱</t>
        </is>
      </c>
      <c r="E382" s="8" t="inlineStr">
        <is>
          <t>civil_skill_book_box</t>
        </is>
      </c>
      <c r="F382" s="8" t="inlineStr">
        <is>
          <t>book_flower_rain</t>
        </is>
      </c>
      <c r="G382" s="8" t="inlineStr">
        <is>
          <t>《天花乱坠》秘术</t>
        </is>
      </c>
      <c r="H382" s="8" t="inlineStr">
        <is>
          <t>blue</t>
        </is>
      </c>
      <c r="I382" s="8" t="inlineStr">
        <is>
          <t>skill_book</t>
        </is>
      </c>
      <c r="J382" s="8" t="n">
        <v>0.18</v>
      </c>
      <c r="K382" s="8" t="n">
        <v>1</v>
      </c>
      <c r="L382" s="8" t="n">
        <v>7</v>
      </c>
      <c r="M382" s="8" t="n">
        <v>1</v>
      </c>
      <c r="N382" s="8" t="n">
        <v>1</v>
      </c>
      <c r="O382" s="8">
        <f>J382*K382/L382</f>
        <v>0.025714285714285714</v>
      </c>
      <c r="P382" s="8">
        <f>(M382+N382)/2</f>
        <v>1.0</v>
      </c>
      <c r="Q382" s="8">
        <f>O382*P382</f>
        <v>0.025714285714285714</v>
      </c>
      <c r="R382" s="8" t="n">
        <v>0</v>
      </c>
      <c r="S382" s="8">
        <f>Q382*R382</f>
        <v>0.0</v>
      </c>
      <c r="T382" s="8" t="n"/>
      <c r="U382" s="8" t="inlineStr"/>
      <c r="V382" s="8" t="inlineStr">
        <is>
          <t>data/item_templates.yaml:mission_chest_manzu_ruqin.effect_payload</t>
        </is>
      </c>
    </row>
    <row r="383" ht="36" customHeight="1">
      <c r="A383" s="8" t="inlineStr">
        <is>
          <t>manzu_ruqin</t>
        </is>
      </c>
      <c r="B383" s="8" t="inlineStr">
        <is>
          <t>蛮族入侵</t>
        </is>
      </c>
      <c r="C383" s="8" t="inlineStr">
        <is>
          <t>mission_chest_manzu_ruqin</t>
        </is>
      </c>
      <c r="D383" s="8" t="inlineStr">
        <is>
          <t>蛮族入侵宝箱</t>
        </is>
      </c>
      <c r="E383" s="8" t="inlineStr">
        <is>
          <t>civil_skill_book_box</t>
        </is>
      </c>
      <c r="F383" s="8" t="inlineStr">
        <is>
          <t>book_soul_erode</t>
        </is>
      </c>
      <c r="G383" s="8" t="inlineStr">
        <is>
          <t>《销魂蚀骨》秘术</t>
        </is>
      </c>
      <c r="H383" s="8" t="inlineStr">
        <is>
          <t>blue</t>
        </is>
      </c>
      <c r="I383" s="8" t="inlineStr">
        <is>
          <t>skill_book</t>
        </is>
      </c>
      <c r="J383" s="8" t="n">
        <v>0.18</v>
      </c>
      <c r="K383" s="8" t="n">
        <v>1</v>
      </c>
      <c r="L383" s="8" t="n">
        <v>7</v>
      </c>
      <c r="M383" s="8" t="n">
        <v>1</v>
      </c>
      <c r="N383" s="8" t="n">
        <v>1</v>
      </c>
      <c r="O383" s="8">
        <f>J383*K383/L383</f>
        <v>0.025714285714285714</v>
      </c>
      <c r="P383" s="8">
        <f>(M383+N383)/2</f>
        <v>1.0</v>
      </c>
      <c r="Q383" s="8">
        <f>O383*P383</f>
        <v>0.025714285714285714</v>
      </c>
      <c r="R383" s="8" t="n">
        <v>0</v>
      </c>
      <c r="S383" s="8">
        <f>Q383*R383</f>
        <v>0.0</v>
      </c>
      <c r="T383" s="8" t="n"/>
      <c r="U383" s="8" t="inlineStr"/>
      <c r="V383" s="8" t="inlineStr">
        <is>
          <t>data/item_templates.yaml:mission_chest_manzu_ruqin.effect_payload</t>
        </is>
      </c>
    </row>
    <row r="384" ht="36" customHeight="1">
      <c r="A384" s="8" t="inlineStr">
        <is>
          <t>manzu_ruqin</t>
        </is>
      </c>
      <c r="B384" s="8" t="inlineStr">
        <is>
          <t>蛮族入侵</t>
        </is>
      </c>
      <c r="C384" s="8" t="inlineStr">
        <is>
          <t>mission_chest_manzu_ruqin</t>
        </is>
      </c>
      <c r="D384" s="8" t="inlineStr">
        <is>
          <t>蛮族入侵宝箱</t>
        </is>
      </c>
      <c r="E384" s="8" t="inlineStr">
        <is>
          <t>civil_skill_book_box</t>
        </is>
      </c>
      <c r="F384" s="8" t="inlineStr">
        <is>
          <t>book_red_lotus_dance</t>
        </is>
      </c>
      <c r="G384" s="8" t="inlineStr">
        <is>
          <t>《红莲之舞》秘术</t>
        </is>
      </c>
      <c r="H384" s="8" t="inlineStr">
        <is>
          <t>blue</t>
        </is>
      </c>
      <c r="I384" s="8" t="inlineStr">
        <is>
          <t>skill_book</t>
        </is>
      </c>
      <c r="J384" s="8" t="n">
        <v>0.18</v>
      </c>
      <c r="K384" s="8" t="n">
        <v>1</v>
      </c>
      <c r="L384" s="8" t="n">
        <v>7</v>
      </c>
      <c r="M384" s="8" t="n">
        <v>1</v>
      </c>
      <c r="N384" s="8" t="n">
        <v>1</v>
      </c>
      <c r="O384" s="8">
        <f>J384*K384/L384</f>
        <v>0.025714285714285714</v>
      </c>
      <c r="P384" s="8">
        <f>(M384+N384)/2</f>
        <v>1.0</v>
      </c>
      <c r="Q384" s="8">
        <f>O384*P384</f>
        <v>0.025714285714285714</v>
      </c>
      <c r="R384" s="8" t="n">
        <v>0</v>
      </c>
      <c r="S384" s="8">
        <f>Q384*R384</f>
        <v>0.0</v>
      </c>
      <c r="T384" s="8" t="n"/>
      <c r="U384" s="8" t="inlineStr"/>
      <c r="V384" s="8" t="inlineStr">
        <is>
          <t>data/item_templates.yaml:mission_chest_manzu_ruqin.effect_payload</t>
        </is>
      </c>
    </row>
    <row r="385" ht="36" customHeight="1">
      <c r="A385" s="8" t="inlineStr">
        <is>
          <t>manzu_ruqin</t>
        </is>
      </c>
      <c r="B385" s="8" t="inlineStr">
        <is>
          <t>蛮族入侵</t>
        </is>
      </c>
      <c r="C385" s="8" t="inlineStr">
        <is>
          <t>mission_chest_manzu_ruqin</t>
        </is>
      </c>
      <c r="D385" s="8" t="inlineStr">
        <is>
          <t>蛮族入侵宝箱</t>
        </is>
      </c>
      <c r="E385" s="8" t="inlineStr">
        <is>
          <t>civil_skill_book_box</t>
        </is>
      </c>
      <c r="F385" s="8" t="inlineStr">
        <is>
          <t>book_thunder_nine_heavens</t>
        </is>
      </c>
      <c r="G385" s="8" t="inlineStr">
        <is>
          <t>《雷动九天》秘术</t>
        </is>
      </c>
      <c r="H385" s="8" t="inlineStr">
        <is>
          <t>blue</t>
        </is>
      </c>
      <c r="I385" s="8" t="inlineStr">
        <is>
          <t>skill_book</t>
        </is>
      </c>
      <c r="J385" s="8" t="n">
        <v>0.18</v>
      </c>
      <c r="K385" s="8" t="n">
        <v>1</v>
      </c>
      <c r="L385" s="8" t="n">
        <v>7</v>
      </c>
      <c r="M385" s="8" t="n">
        <v>1</v>
      </c>
      <c r="N385" s="8" t="n">
        <v>1</v>
      </c>
      <c r="O385" s="8">
        <f>J385*K385/L385</f>
        <v>0.025714285714285714</v>
      </c>
      <c r="P385" s="8">
        <f>(M385+N385)/2</f>
        <v>1.0</v>
      </c>
      <c r="Q385" s="8">
        <f>O385*P385</f>
        <v>0.025714285714285714</v>
      </c>
      <c r="R385" s="8" t="n">
        <v>0</v>
      </c>
      <c r="S385" s="8">
        <f>Q385*R385</f>
        <v>0.0</v>
      </c>
      <c r="T385" s="8" t="n"/>
      <c r="U385" s="8" t="inlineStr"/>
      <c r="V385" s="8" t="inlineStr">
        <is>
          <t>data/item_templates.yaml:mission_chest_manzu_ruqin.effect_payload</t>
        </is>
      </c>
    </row>
    <row r="386" ht="36" customHeight="1">
      <c r="A386" s="8" t="inlineStr">
        <is>
          <t>manzu_ruqin</t>
        </is>
      </c>
      <c r="B386" s="8" t="inlineStr">
        <is>
          <t>蛮族入侵</t>
        </is>
      </c>
      <c r="C386" s="8" t="inlineStr">
        <is>
          <t>mission_chest_manzu_ruqin</t>
        </is>
      </c>
      <c r="D386" s="8" t="inlineStr">
        <is>
          <t>蛮族入侵宝箱</t>
        </is>
      </c>
      <c r="E386" s="8" t="inlineStr">
        <is>
          <t>civil_skill_book_box</t>
        </is>
      </c>
      <c r="F386" s="8" t="inlineStr">
        <is>
          <t>book_tangseng_sermon</t>
        </is>
      </c>
      <c r="G386" s="8" t="inlineStr">
        <is>
          <t>《唐僧说禅》秘术</t>
        </is>
      </c>
      <c r="H386" s="8" t="inlineStr">
        <is>
          <t>blue</t>
        </is>
      </c>
      <c r="I386" s="8" t="inlineStr">
        <is>
          <t>skill_book</t>
        </is>
      </c>
      <c r="J386" s="8" t="n">
        <v>0.18</v>
      </c>
      <c r="K386" s="8" t="n">
        <v>1</v>
      </c>
      <c r="L386" s="8" t="n">
        <v>7</v>
      </c>
      <c r="M386" s="8" t="n">
        <v>1</v>
      </c>
      <c r="N386" s="8" t="n">
        <v>1</v>
      </c>
      <c r="O386" s="8">
        <f>J386*K386/L386</f>
        <v>0.025714285714285714</v>
      </c>
      <c r="P386" s="8">
        <f>(M386+N386)/2</f>
        <v>1.0</v>
      </c>
      <c r="Q386" s="8">
        <f>O386*P386</f>
        <v>0.025714285714285714</v>
      </c>
      <c r="R386" s="8" t="n">
        <v>0</v>
      </c>
      <c r="S386" s="8">
        <f>Q386*R386</f>
        <v>0.0</v>
      </c>
      <c r="T386" s="8" t="n"/>
      <c r="U386" s="8" t="inlineStr"/>
      <c r="V386" s="8" t="inlineStr">
        <is>
          <t>data/item_templates.yaml:mission_chest_manzu_ruqin.effect_payload</t>
        </is>
      </c>
    </row>
    <row r="387" ht="36" customHeight="1">
      <c r="A387" s="8" t="inlineStr">
        <is>
          <t>manzu_ruqin</t>
        </is>
      </c>
      <c r="B387" s="8" t="inlineStr">
        <is>
          <t>蛮族入侵</t>
        </is>
      </c>
      <c r="C387" s="8" t="inlineStr">
        <is>
          <t>mission_chest_manzu_ruqin</t>
        </is>
      </c>
      <c r="D387" s="8" t="inlineStr">
        <is>
          <t>蛮族入侵宝箱</t>
        </is>
      </c>
      <c r="E387" s="8" t="inlineStr">
        <is>
          <t>civil_skill_book_box</t>
        </is>
      </c>
      <c r="F387" s="8" t="inlineStr">
        <is>
          <t>book_five_thunder_descent</t>
        </is>
      </c>
      <c r="G387" s="8" t="inlineStr">
        <is>
          <t>《五雷降世》秘术</t>
        </is>
      </c>
      <c r="H387" s="8" t="inlineStr">
        <is>
          <t>purple</t>
        </is>
      </c>
      <c r="I387" s="8" t="inlineStr">
        <is>
          <t>skill_book</t>
        </is>
      </c>
      <c r="J387" s="8" t="n">
        <v>0.18</v>
      </c>
      <c r="K387" s="8" t="n">
        <v>1</v>
      </c>
      <c r="L387" s="8" t="n">
        <v>7</v>
      </c>
      <c r="M387" s="8" t="n">
        <v>1</v>
      </c>
      <c r="N387" s="8" t="n">
        <v>1</v>
      </c>
      <c r="O387" s="8">
        <f>J387*K387/L387</f>
        <v>0.025714285714285714</v>
      </c>
      <c r="P387" s="8">
        <f>(M387+N387)/2</f>
        <v>1.0</v>
      </c>
      <c r="Q387" s="8">
        <f>O387*P387</f>
        <v>0.025714285714285714</v>
      </c>
      <c r="R387" s="8" t="n">
        <v>0</v>
      </c>
      <c r="S387" s="8">
        <f>Q387*R387</f>
        <v>0.0</v>
      </c>
      <c r="T387" s="8" t="n"/>
      <c r="U387" s="8" t="inlineStr"/>
      <c r="V387" s="8" t="inlineStr">
        <is>
          <t>data/item_templates.yaml:mission_chest_manzu_ruqin.effect_payload</t>
        </is>
      </c>
    </row>
    <row r="388" ht="36" customHeight="1">
      <c r="A388" s="8" t="inlineStr">
        <is>
          <t>manzu_ruqin</t>
        </is>
      </c>
      <c r="B388" s="8" t="inlineStr">
        <is>
          <t>蛮族入侵</t>
        </is>
      </c>
      <c r="C388" s="8" t="inlineStr">
        <is>
          <t>mission_chest_manzu_ruqin</t>
        </is>
      </c>
      <c r="D388" s="8" t="inlineStr">
        <is>
          <t>蛮族入侵宝箱</t>
        </is>
      </c>
      <c r="E388" s="8" t="inlineStr">
        <is>
          <t>civil_skill_book_box</t>
        </is>
      </c>
      <c r="F388" s="8" t="inlineStr">
        <is>
          <t>book_brahma_true_fire</t>
        </is>
      </c>
      <c r="G388" s="8" t="inlineStr">
        <is>
          <t>《梵天真火》秘术</t>
        </is>
      </c>
      <c r="H388" s="8" t="inlineStr">
        <is>
          <t>purple</t>
        </is>
      </c>
      <c r="I388" s="8" t="inlineStr">
        <is>
          <t>skill_book</t>
        </is>
      </c>
      <c r="J388" s="8" t="n">
        <v>0.18</v>
      </c>
      <c r="K388" s="8" t="n">
        <v>1</v>
      </c>
      <c r="L388" s="8" t="n">
        <v>7</v>
      </c>
      <c r="M388" s="8" t="n">
        <v>1</v>
      </c>
      <c r="N388" s="8" t="n">
        <v>1</v>
      </c>
      <c r="O388" s="8">
        <f>J388*K388/L388</f>
        <v>0.025714285714285714</v>
      </c>
      <c r="P388" s="8">
        <f>(M388+N388)/2</f>
        <v>1.0</v>
      </c>
      <c r="Q388" s="8">
        <f>O388*P388</f>
        <v>0.025714285714285714</v>
      </c>
      <c r="R388" s="8" t="n">
        <v>0</v>
      </c>
      <c r="S388" s="8">
        <f>Q388*R388</f>
        <v>0.0</v>
      </c>
      <c r="T388" s="8" t="n"/>
      <c r="U388" s="8" t="inlineStr"/>
      <c r="V388" s="8" t="inlineStr">
        <is>
          <t>data/item_templates.yaml:mission_chest_manzu_ruqin.effect_payload</t>
        </is>
      </c>
    </row>
    <row r="389" ht="36" customHeight="1">
      <c r="A389" s="8" t="inlineStr">
        <is>
          <t>manzu_ruqin</t>
        </is>
      </c>
      <c r="B389" s="8" t="inlineStr">
        <is>
          <t>蛮族入侵</t>
        </is>
      </c>
      <c r="C389" s="8" t="inlineStr">
        <is>
          <t>mission_chest_manzu_ruqin</t>
        </is>
      </c>
      <c r="D389" s="8" t="inlineStr">
        <is>
          <t>蛮族入侵宝箱</t>
        </is>
      </c>
      <c r="E389" s="8" t="inlineStr">
        <is>
          <t>pubayi_guest_card</t>
        </is>
      </c>
      <c r="F389" s="8" t="inlineStr">
        <is>
          <t>pubayi_guest_card</t>
        </is>
      </c>
      <c r="G389" s="8" t="inlineStr">
        <is>
          <t>蒲巴乙门客卡</t>
        </is>
      </c>
      <c r="H389" s="8" t="inlineStr">
        <is>
          <t>blue</t>
        </is>
      </c>
      <c r="I389" s="8" t="inlineStr">
        <is>
          <t>tool</t>
        </is>
      </c>
      <c r="J389" s="8" t="n">
        <v>0.1</v>
      </c>
      <c r="K389" s="8" t="n">
        <v>1</v>
      </c>
      <c r="L389" s="8" t="n">
        <v>1</v>
      </c>
      <c r="M389" s="8" t="n">
        <v>1</v>
      </c>
      <c r="N389" s="8" t="n">
        <v>1</v>
      </c>
      <c r="O389" s="8">
        <f>J389*K389/L389</f>
        <v>0.1</v>
      </c>
      <c r="P389" s="8">
        <f>(M389+N389)/2</f>
        <v>1.0</v>
      </c>
      <c r="Q389" s="8">
        <f>O389*P389</f>
        <v>0.1</v>
      </c>
      <c r="R389" s="8" t="n">
        <v>0</v>
      </c>
      <c r="S389" s="8">
        <f>Q389*R389</f>
        <v>0.0</v>
      </c>
      <c r="T389" s="8" t="n"/>
      <c r="U389" s="8" t="inlineStr"/>
      <c r="V389" s="8" t="inlineStr">
        <is>
          <t>data/item_templates.yaml:mission_chest_manzu_ruqin.effect_payload</t>
        </is>
      </c>
    </row>
    <row r="390" ht="36" customHeight="1">
      <c r="A390" s="8" t="inlineStr">
        <is>
          <t>zhuiji_manzu</t>
        </is>
      </c>
      <c r="B390" s="8" t="inlineStr">
        <is>
          <t>追击蛮族</t>
        </is>
      </c>
      <c r="C390" s="8" t="inlineStr">
        <is>
          <t>mission_chest_zhuiji_manzu</t>
        </is>
      </c>
      <c r="D390" s="8" t="inlineStr">
        <is>
          <t>追击蛮族宝箱</t>
        </is>
      </c>
      <c r="E390" s="8" t="inlineStr">
        <is>
          <t>必得</t>
        </is>
      </c>
      <c r="F390" s="8" t="inlineStr">
        <is>
          <t>experience_fruit</t>
        </is>
      </c>
      <c r="G390" s="8" t="inlineStr">
        <is>
          <t>经验果</t>
        </is>
      </c>
      <c r="H390" s="8" t="inlineStr">
        <is>
          <t>green</t>
        </is>
      </c>
      <c r="I390" s="8" t="inlineStr">
        <is>
          <t>experience_items</t>
        </is>
      </c>
      <c r="J390" s="8" t="n">
        <v>1</v>
      </c>
      <c r="K390" s="8" t="n">
        <v>1</v>
      </c>
      <c r="L390" s="8" t="n">
        <v>1</v>
      </c>
      <c r="M390" s="8" t="n">
        <v>31</v>
      </c>
      <c r="N390" s="8" t="n">
        <v>31</v>
      </c>
      <c r="O390" s="8">
        <f>J390*K390/L390</f>
        <v>1.0</v>
      </c>
      <c r="P390" s="8">
        <f>(M390+N390)/2</f>
        <v>31.0</v>
      </c>
      <c r="Q390" s="8">
        <f>O390*P390</f>
        <v>31.0</v>
      </c>
      <c r="R390" s="8" t="n">
        <v>1</v>
      </c>
      <c r="S390" s="8">
        <f>Q390*R390</f>
        <v>31.0</v>
      </c>
      <c r="T390" s="8" t="n"/>
      <c r="U390" s="8" t="inlineStr"/>
      <c r="V390" s="8" t="inlineStr">
        <is>
          <t>data/item_templates.yaml:mission_chest_zhuiji_manzu.effect_payload</t>
        </is>
      </c>
    </row>
    <row r="391" ht="36" customHeight="1">
      <c r="A391" s="8" t="inlineStr">
        <is>
          <t>zhuiji_manzu</t>
        </is>
      </c>
      <c r="B391" s="8" t="inlineStr">
        <is>
          <t>追击蛮族</t>
        </is>
      </c>
      <c r="C391" s="8" t="inlineStr">
        <is>
          <t>mission_chest_zhuiji_manzu</t>
        </is>
      </c>
      <c r="D391" s="8" t="inlineStr">
        <is>
          <t>追击蛮族宝箱</t>
        </is>
      </c>
      <c r="E391" s="8" t="inlineStr">
        <is>
          <t>必得</t>
        </is>
      </c>
      <c r="F391" s="8" t="inlineStr">
        <is>
          <t>buxuedan</t>
        </is>
      </c>
      <c r="G391" s="8" t="inlineStr">
        <is>
          <t>补血丹</t>
        </is>
      </c>
      <c r="H391" s="8" t="inlineStr">
        <is>
          <t>black</t>
        </is>
      </c>
      <c r="I391" s="8" t="inlineStr">
        <is>
          <t>medicine</t>
        </is>
      </c>
      <c r="J391" s="8" t="n">
        <v>1</v>
      </c>
      <c r="K391" s="8" t="n">
        <v>1</v>
      </c>
      <c r="L391" s="8" t="n">
        <v>1</v>
      </c>
      <c r="M391" s="8" t="n">
        <v>4</v>
      </c>
      <c r="N391" s="8" t="n">
        <v>4</v>
      </c>
      <c r="O391" s="8">
        <f>J391*K391/L391</f>
        <v>1.0</v>
      </c>
      <c r="P391" s="8">
        <f>(M391+N391)/2</f>
        <v>4.0</v>
      </c>
      <c r="Q391" s="8">
        <f>O391*P391</f>
        <v>4.0</v>
      </c>
      <c r="R391" s="8" t="n">
        <v>0</v>
      </c>
      <c r="S391" s="8">
        <f>Q391*R391</f>
        <v>0.0</v>
      </c>
      <c r="T391" s="8" t="n"/>
      <c r="U391" s="8" t="inlineStr"/>
      <c r="V391" s="8" t="inlineStr">
        <is>
          <t>data/item_templates.yaml:mission_chest_zhuiji_manzu.effect_payload</t>
        </is>
      </c>
    </row>
    <row r="392" ht="36" customHeight="1">
      <c r="A392" s="8" t="inlineStr">
        <is>
          <t>zhuiji_manzu</t>
        </is>
      </c>
      <c r="B392" s="8" t="inlineStr">
        <is>
          <t>追击蛮族</t>
        </is>
      </c>
      <c r="C392" s="8" t="inlineStr">
        <is>
          <t>mission_chest_zhuiji_manzu</t>
        </is>
      </c>
      <c r="D392" s="8" t="inlineStr">
        <is>
          <t>追击蛮族宝箱</t>
        </is>
      </c>
      <c r="E392" s="8" t="inlineStr">
        <is>
          <t>必得</t>
        </is>
      </c>
      <c r="F392" s="8" t="inlineStr">
        <is>
          <t>tong</t>
        </is>
      </c>
      <c r="G392" s="8" t="inlineStr">
        <is>
          <t>铜</t>
        </is>
      </c>
      <c r="H392" s="8" t="inlineStr">
        <is>
          <t>black</t>
        </is>
      </c>
      <c r="I392" s="8" t="inlineStr">
        <is>
          <t>resource</t>
        </is>
      </c>
      <c r="J392" s="8" t="n">
        <v>1</v>
      </c>
      <c r="K392" s="8" t="n">
        <v>1</v>
      </c>
      <c r="L392" s="8" t="n">
        <v>1</v>
      </c>
      <c r="M392" s="8" t="n">
        <v>12</v>
      </c>
      <c r="N392" s="8" t="n">
        <v>12</v>
      </c>
      <c r="O392" s="8">
        <f>J392*K392/L392</f>
        <v>1.0</v>
      </c>
      <c r="P392" s="8">
        <f>(M392+N392)/2</f>
        <v>12.0</v>
      </c>
      <c r="Q392" s="8">
        <f>O392*P392</f>
        <v>12.0</v>
      </c>
      <c r="R392" s="8" t="n">
        <v>0</v>
      </c>
      <c r="S392" s="8">
        <f>Q392*R392</f>
        <v>0.0</v>
      </c>
      <c r="T392" s="8" t="n"/>
      <c r="U392" s="8" t="inlineStr"/>
      <c r="V392" s="8" t="inlineStr">
        <is>
          <t>data/item_templates.yaml:mission_chest_zhuiji_manzu.effect_payload</t>
        </is>
      </c>
    </row>
    <row r="393" ht="36" customHeight="1">
      <c r="A393" s="8" t="inlineStr">
        <is>
          <t>zhuiji_manzu</t>
        </is>
      </c>
      <c r="B393" s="8" t="inlineStr">
        <is>
          <t>追击蛮族</t>
        </is>
      </c>
      <c r="C393" s="8" t="inlineStr">
        <is>
          <t>mission_chest_zhuiji_manzu</t>
        </is>
      </c>
      <c r="D393" s="8" t="inlineStr">
        <is>
          <t>追击蛮族宝箱</t>
        </is>
      </c>
      <c r="E393" s="8" t="inlineStr">
        <is>
          <t>必得</t>
        </is>
      </c>
      <c r="F393" s="8" t="inlineStr">
        <is>
          <t>xi</t>
        </is>
      </c>
      <c r="G393" s="8" t="inlineStr">
        <is>
          <t>锡</t>
        </is>
      </c>
      <c r="H393" s="8" t="inlineStr">
        <is>
          <t>black</t>
        </is>
      </c>
      <c r="I393" s="8" t="inlineStr">
        <is>
          <t>resource</t>
        </is>
      </c>
      <c r="J393" s="8" t="n">
        <v>1</v>
      </c>
      <c r="K393" s="8" t="n">
        <v>1</v>
      </c>
      <c r="L393" s="8" t="n">
        <v>1</v>
      </c>
      <c r="M393" s="8" t="n">
        <v>8</v>
      </c>
      <c r="N393" s="8" t="n">
        <v>8</v>
      </c>
      <c r="O393" s="8">
        <f>J393*K393/L393</f>
        <v>1.0</v>
      </c>
      <c r="P393" s="8">
        <f>(M393+N393)/2</f>
        <v>8.0</v>
      </c>
      <c r="Q393" s="8">
        <f>O393*P393</f>
        <v>8.0</v>
      </c>
      <c r="R393" s="8" t="n">
        <v>0</v>
      </c>
      <c r="S393" s="8">
        <f>Q393*R393</f>
        <v>0.0</v>
      </c>
      <c r="T393" s="8" t="n"/>
      <c r="U393" s="8" t="inlineStr"/>
      <c r="V393" s="8" t="inlineStr">
        <is>
          <t>data/item_templates.yaml:mission_chest_zhuiji_manzu.effect_payload</t>
        </is>
      </c>
    </row>
    <row r="394" ht="36" customHeight="1">
      <c r="A394" s="8" t="inlineStr">
        <is>
          <t>zhuiji_manzu</t>
        </is>
      </c>
      <c r="B394" s="8" t="inlineStr">
        <is>
          <t>追击蛮族</t>
        </is>
      </c>
      <c r="C394" s="8" t="inlineStr">
        <is>
          <t>mission_chest_zhuiji_manzu</t>
        </is>
      </c>
      <c r="D394" s="8" t="inlineStr">
        <is>
          <t>追击蛮族宝箱</t>
        </is>
      </c>
      <c r="E394" s="8" t="inlineStr">
        <is>
          <t>必得</t>
        </is>
      </c>
      <c r="F394" s="8" t="inlineStr">
        <is>
          <t>tie</t>
        </is>
      </c>
      <c r="G394" s="8" t="inlineStr">
        <is>
          <t>铁</t>
        </is>
      </c>
      <c r="H394" s="8" t="inlineStr">
        <is>
          <t>black</t>
        </is>
      </c>
      <c r="I394" s="8" t="inlineStr">
        <is>
          <t>resource</t>
        </is>
      </c>
      <c r="J394" s="8" t="n">
        <v>1</v>
      </c>
      <c r="K394" s="8" t="n">
        <v>1</v>
      </c>
      <c r="L394" s="8" t="n">
        <v>1</v>
      </c>
      <c r="M394" s="8" t="n">
        <v>5</v>
      </c>
      <c r="N394" s="8" t="n">
        <v>5</v>
      </c>
      <c r="O394" s="8">
        <f>J394*K394/L394</f>
        <v>1.0</v>
      </c>
      <c r="P394" s="8">
        <f>(M394+N394)/2</f>
        <v>5.0</v>
      </c>
      <c r="Q394" s="8">
        <f>O394*P394</f>
        <v>5.0</v>
      </c>
      <c r="R394" s="8" t="n">
        <v>0</v>
      </c>
      <c r="S394" s="8">
        <f>Q394*R394</f>
        <v>0.0</v>
      </c>
      <c r="T394" s="8" t="n"/>
      <c r="U394" s="8" t="inlineStr"/>
      <c r="V394" s="8" t="inlineStr">
        <is>
          <t>data/item_templates.yaml:mission_chest_zhuiji_manzu.effect_payload</t>
        </is>
      </c>
    </row>
    <row r="395" ht="36" customHeight="1">
      <c r="A395" s="8" t="inlineStr">
        <is>
          <t>zhuiji_manzu</t>
        </is>
      </c>
      <c r="B395" s="8" t="inlineStr">
        <is>
          <t>追击蛮族</t>
        </is>
      </c>
      <c r="C395" s="8" t="inlineStr">
        <is>
          <t>mission_chest_zhuiji_manzu</t>
        </is>
      </c>
      <c r="D395" s="8" t="inlineStr">
        <is>
          <t>追击蛮族宝箱</t>
        </is>
      </c>
      <c r="E395" s="8" t="inlineStr">
        <is>
          <t>experience_pineapple</t>
        </is>
      </c>
      <c r="F395" s="8" t="inlineStr">
        <is>
          <t>experience_pineapple</t>
        </is>
      </c>
      <c r="G395" s="8" t="inlineStr">
        <is>
          <t>经验菠萝</t>
        </is>
      </c>
      <c r="H395" s="8" t="inlineStr">
        <is>
          <t>blue</t>
        </is>
      </c>
      <c r="I395" s="8" t="inlineStr">
        <is>
          <t>experience_items</t>
        </is>
      </c>
      <c r="J395" s="8" t="n">
        <v>0.8</v>
      </c>
      <c r="K395" s="8" t="n">
        <v>1</v>
      </c>
      <c r="L395" s="8" t="n">
        <v>1</v>
      </c>
      <c r="M395" s="8" t="n">
        <v>10</v>
      </c>
      <c r="N395" s="8" t="n">
        <v>10</v>
      </c>
      <c r="O395" s="8">
        <f>J395*K395/L395</f>
        <v>0.8</v>
      </c>
      <c r="P395" s="8">
        <f>(M395+N395)/2</f>
        <v>10.0</v>
      </c>
      <c r="Q395" s="8">
        <f>O395*P395</f>
        <v>8.0</v>
      </c>
      <c r="R395" s="8" t="n">
        <v>16</v>
      </c>
      <c r="S395" s="8">
        <f>Q395*R395</f>
        <v>128.0</v>
      </c>
      <c r="T395" s="8" t="n"/>
      <c r="U395" s="8" t="inlineStr"/>
      <c r="V395" s="8" t="inlineStr">
        <is>
          <t>data/item_templates.yaml:mission_chest_zhuiji_manzu.effect_payload</t>
        </is>
      </c>
    </row>
    <row r="396" ht="36" customHeight="1">
      <c r="A396" s="8" t="inlineStr">
        <is>
          <t>zhuiji_manzu</t>
        </is>
      </c>
      <c r="B396" s="8" t="inlineStr">
        <is>
          <t>追击蛮族</t>
        </is>
      </c>
      <c r="C396" s="8" t="inlineStr">
        <is>
          <t>mission_chest_zhuiji_manzu</t>
        </is>
      </c>
      <c r="D396" s="8" t="inlineStr">
        <is>
          <t>追击蛮族宝箱</t>
        </is>
      </c>
      <c r="E396" s="8" t="inlineStr">
        <is>
          <t>saiwai_equipment_box</t>
        </is>
      </c>
      <c r="F396" s="8" t="inlineStr">
        <is>
          <t>equip_xuanwukui</t>
        </is>
      </c>
      <c r="G396" s="8" t="inlineStr">
        <is>
          <t>玄武盔</t>
        </is>
      </c>
      <c r="H396" s="8" t="inlineStr">
        <is>
          <t>purple</t>
        </is>
      </c>
      <c r="I396" s="8" t="inlineStr">
        <is>
          <t>equip_helmet</t>
        </is>
      </c>
      <c r="J396" s="8" t="n">
        <v>0.24</v>
      </c>
      <c r="K396" s="8" t="n">
        <v>10</v>
      </c>
      <c r="L396" s="8" t="n">
        <v>74</v>
      </c>
      <c r="M396" s="8" t="n">
        <v>1</v>
      </c>
      <c r="N396" s="8" t="n">
        <v>1</v>
      </c>
      <c r="O396" s="8">
        <f>J396*K396/L396</f>
        <v>0.032432432432432434</v>
      </c>
      <c r="P396" s="8">
        <f>(M396+N396)/2</f>
        <v>1.0</v>
      </c>
      <c r="Q396" s="8">
        <f>O396*P396</f>
        <v>0.032432432432432434</v>
      </c>
      <c r="R396" s="8" t="n">
        <v>0</v>
      </c>
      <c r="S396" s="8">
        <f>Q396*R396</f>
        <v>0.0</v>
      </c>
      <c r="T396" s="8" t="n"/>
      <c r="U396" s="8" t="inlineStr"/>
      <c r="V396" s="8" t="inlineStr">
        <is>
          <t>data/item_templates.yaml:mission_chest_zhuiji_manzu.effect_payload</t>
        </is>
      </c>
    </row>
    <row r="397" ht="36" customHeight="1">
      <c r="A397" s="8" t="inlineStr">
        <is>
          <t>zhuiji_manzu</t>
        </is>
      </c>
      <c r="B397" s="8" t="inlineStr">
        <is>
          <t>追击蛮族</t>
        </is>
      </c>
      <c r="C397" s="8" t="inlineStr">
        <is>
          <t>mission_chest_zhuiji_manzu</t>
        </is>
      </c>
      <c r="D397" s="8" t="inlineStr">
        <is>
          <t>追击蛮族宝箱</t>
        </is>
      </c>
      <c r="E397" s="8" t="inlineStr">
        <is>
          <t>saiwai_equipment_box</t>
        </is>
      </c>
      <c r="F397" s="8" t="inlineStr">
        <is>
          <t>equip_xuanwujia</t>
        </is>
      </c>
      <c r="G397" s="8" t="inlineStr">
        <is>
          <t>玄武甲</t>
        </is>
      </c>
      <c r="H397" s="8" t="inlineStr">
        <is>
          <t>purple</t>
        </is>
      </c>
      <c r="I397" s="8" t="inlineStr">
        <is>
          <t>equip_armor</t>
        </is>
      </c>
      <c r="J397" s="8" t="n">
        <v>0.24</v>
      </c>
      <c r="K397" s="8" t="n">
        <v>10</v>
      </c>
      <c r="L397" s="8" t="n">
        <v>74</v>
      </c>
      <c r="M397" s="8" t="n">
        <v>1</v>
      </c>
      <c r="N397" s="8" t="n">
        <v>1</v>
      </c>
      <c r="O397" s="8">
        <f>J397*K397/L397</f>
        <v>0.032432432432432434</v>
      </c>
      <c r="P397" s="8">
        <f>(M397+N397)/2</f>
        <v>1.0</v>
      </c>
      <c r="Q397" s="8">
        <f>O397*P397</f>
        <v>0.032432432432432434</v>
      </c>
      <c r="R397" s="8" t="n">
        <v>0</v>
      </c>
      <c r="S397" s="8">
        <f>Q397*R397</f>
        <v>0.0</v>
      </c>
      <c r="T397" s="8" t="n"/>
      <c r="U397" s="8" t="inlineStr"/>
      <c r="V397" s="8" t="inlineStr">
        <is>
          <t>data/item_templates.yaml:mission_chest_zhuiji_manzu.effect_payload</t>
        </is>
      </c>
    </row>
    <row r="398" ht="36" customHeight="1">
      <c r="A398" s="8" t="inlineStr">
        <is>
          <t>zhuiji_manzu</t>
        </is>
      </c>
      <c r="B398" s="8" t="inlineStr">
        <is>
          <t>追击蛮族</t>
        </is>
      </c>
      <c r="C398" s="8" t="inlineStr">
        <is>
          <t>mission_chest_zhuiji_manzu</t>
        </is>
      </c>
      <c r="D398" s="8" t="inlineStr">
        <is>
          <t>追击蛮族宝箱</t>
        </is>
      </c>
      <c r="E398" s="8" t="inlineStr">
        <is>
          <t>saiwai_equipment_box</t>
        </is>
      </c>
      <c r="F398" s="8" t="inlineStr">
        <is>
          <t>equip_xuanwuxue</t>
        </is>
      </c>
      <c r="G398" s="8" t="inlineStr">
        <is>
          <t>玄武靴</t>
        </is>
      </c>
      <c r="H398" s="8" t="inlineStr">
        <is>
          <t>purple</t>
        </is>
      </c>
      <c r="I398" s="8" t="inlineStr">
        <is>
          <t>equip_shoes</t>
        </is>
      </c>
      <c r="J398" s="8" t="n">
        <v>0.24</v>
      </c>
      <c r="K398" s="8" t="n">
        <v>10</v>
      </c>
      <c r="L398" s="8" t="n">
        <v>74</v>
      </c>
      <c r="M398" s="8" t="n">
        <v>1</v>
      </c>
      <c r="N398" s="8" t="n">
        <v>1</v>
      </c>
      <c r="O398" s="8">
        <f>J398*K398/L398</f>
        <v>0.032432432432432434</v>
      </c>
      <c r="P398" s="8">
        <f>(M398+N398)/2</f>
        <v>1.0</v>
      </c>
      <c r="Q398" s="8">
        <f>O398*P398</f>
        <v>0.032432432432432434</v>
      </c>
      <c r="R398" s="8" t="n">
        <v>0</v>
      </c>
      <c r="S398" s="8">
        <f>Q398*R398</f>
        <v>0.0</v>
      </c>
      <c r="T398" s="8" t="n"/>
      <c r="U398" s="8" t="inlineStr"/>
      <c r="V398" s="8" t="inlineStr">
        <is>
          <t>data/item_templates.yaml:mission_chest_zhuiji_manzu.effect_payload</t>
        </is>
      </c>
    </row>
    <row r="399" ht="36" customHeight="1">
      <c r="A399" s="8" t="inlineStr">
        <is>
          <t>zhuiji_manzu</t>
        </is>
      </c>
      <c r="B399" s="8" t="inlineStr">
        <is>
          <t>追击蛮族</t>
        </is>
      </c>
      <c r="C399" s="8" t="inlineStr">
        <is>
          <t>mission_chest_zhuiji_manzu</t>
        </is>
      </c>
      <c r="D399" s="8" t="inlineStr">
        <is>
          <t>追击蛮族宝箱</t>
        </is>
      </c>
      <c r="E399" s="8" t="inlineStr">
        <is>
          <t>saiwai_equipment_box</t>
        </is>
      </c>
      <c r="F399" s="8" t="inlineStr">
        <is>
          <t>equip_xuanwuchui</t>
        </is>
      </c>
      <c r="G399" s="8" t="inlineStr">
        <is>
          <t>玄武锤</t>
        </is>
      </c>
      <c r="H399" s="8" t="inlineStr">
        <is>
          <t>purple</t>
        </is>
      </c>
      <c r="I399" s="8" t="inlineStr">
        <is>
          <t>equip_weapon</t>
        </is>
      </c>
      <c r="J399" s="8" t="n">
        <v>0.24</v>
      </c>
      <c r="K399" s="8" t="n">
        <v>10</v>
      </c>
      <c r="L399" s="8" t="n">
        <v>74</v>
      </c>
      <c r="M399" s="8" t="n">
        <v>1</v>
      </c>
      <c r="N399" s="8" t="n">
        <v>1</v>
      </c>
      <c r="O399" s="8">
        <f>J399*K399/L399</f>
        <v>0.032432432432432434</v>
      </c>
      <c r="P399" s="8">
        <f>(M399+N399)/2</f>
        <v>1.0</v>
      </c>
      <c r="Q399" s="8">
        <f>O399*P399</f>
        <v>0.032432432432432434</v>
      </c>
      <c r="R399" s="8" t="n">
        <v>0</v>
      </c>
      <c r="S399" s="8">
        <f>Q399*R399</f>
        <v>0.0</v>
      </c>
      <c r="T399" s="8" t="n"/>
      <c r="U399" s="8" t="inlineStr"/>
      <c r="V399" s="8" t="inlineStr">
        <is>
          <t>data/item_templates.yaml:mission_chest_zhuiji_manzu.effect_payload</t>
        </is>
      </c>
    </row>
    <row r="400" ht="36" customHeight="1">
      <c r="A400" s="8" t="inlineStr">
        <is>
          <t>zhuiji_manzu</t>
        </is>
      </c>
      <c r="B400" s="8" t="inlineStr">
        <is>
          <t>追击蛮族</t>
        </is>
      </c>
      <c r="C400" s="8" t="inlineStr">
        <is>
          <t>mission_chest_zhuiji_manzu</t>
        </is>
      </c>
      <c r="D400" s="8" t="inlineStr">
        <is>
          <t>追击蛮族宝箱</t>
        </is>
      </c>
      <c r="E400" s="8" t="inlineStr">
        <is>
          <t>saiwai_equipment_box</t>
        </is>
      </c>
      <c r="F400" s="8" t="inlineStr">
        <is>
          <t>equip_jinlun</t>
        </is>
      </c>
      <c r="G400" s="8" t="inlineStr">
        <is>
          <t>金轮</t>
        </is>
      </c>
      <c r="H400" s="8" t="inlineStr">
        <is>
          <t>purple</t>
        </is>
      </c>
      <c r="I400" s="8" t="inlineStr">
        <is>
          <t>equip_weapon</t>
        </is>
      </c>
      <c r="J400" s="8" t="n">
        <v>0.24</v>
      </c>
      <c r="K400" s="8" t="n">
        <v>10</v>
      </c>
      <c r="L400" s="8" t="n">
        <v>74</v>
      </c>
      <c r="M400" s="8" t="n">
        <v>1</v>
      </c>
      <c r="N400" s="8" t="n">
        <v>1</v>
      </c>
      <c r="O400" s="8">
        <f>J400*K400/L400</f>
        <v>0.032432432432432434</v>
      </c>
      <c r="P400" s="8">
        <f>(M400+N400)/2</f>
        <v>1.0</v>
      </c>
      <c r="Q400" s="8">
        <f>O400*P400</f>
        <v>0.032432432432432434</v>
      </c>
      <c r="R400" s="8" t="n">
        <v>0</v>
      </c>
      <c r="S400" s="8">
        <f>Q400*R400</f>
        <v>0.0</v>
      </c>
      <c r="T400" s="8" t="n"/>
      <c r="U400" s="8" t="inlineStr"/>
      <c r="V400" s="8" t="inlineStr">
        <is>
          <t>data/item_templates.yaml:mission_chest_zhuiji_manzu.effect_payload</t>
        </is>
      </c>
    </row>
    <row r="401" ht="36" customHeight="1">
      <c r="A401" s="8" t="inlineStr">
        <is>
          <t>zhuiji_manzu</t>
        </is>
      </c>
      <c r="B401" s="8" t="inlineStr">
        <is>
          <t>追击蛮族</t>
        </is>
      </c>
      <c r="C401" s="8" t="inlineStr">
        <is>
          <t>mission_chest_zhuiji_manzu</t>
        </is>
      </c>
      <c r="D401" s="8" t="inlineStr">
        <is>
          <t>追击蛮族宝箱</t>
        </is>
      </c>
      <c r="E401" s="8" t="inlineStr">
        <is>
          <t>saiwai_equipment_box</t>
        </is>
      </c>
      <c r="F401" s="8" t="inlineStr">
        <is>
          <t>equip_jinshezui</t>
        </is>
      </c>
      <c r="G401" s="8" t="inlineStr">
        <is>
          <t>金蛇锥</t>
        </is>
      </c>
      <c r="H401" s="8" t="inlineStr">
        <is>
          <t>purple</t>
        </is>
      </c>
      <c r="I401" s="8" t="inlineStr">
        <is>
          <t>equip_weapon</t>
        </is>
      </c>
      <c r="J401" s="8" t="n">
        <v>0.24</v>
      </c>
      <c r="K401" s="8" t="n">
        <v>10</v>
      </c>
      <c r="L401" s="8" t="n">
        <v>74</v>
      </c>
      <c r="M401" s="8" t="n">
        <v>1</v>
      </c>
      <c r="N401" s="8" t="n">
        <v>1</v>
      </c>
      <c r="O401" s="8">
        <f>J401*K401/L401</f>
        <v>0.032432432432432434</v>
      </c>
      <c r="P401" s="8">
        <f>(M401+N401)/2</f>
        <v>1.0</v>
      </c>
      <c r="Q401" s="8">
        <f>O401*P401</f>
        <v>0.032432432432432434</v>
      </c>
      <c r="R401" s="8" t="n">
        <v>0</v>
      </c>
      <c r="S401" s="8">
        <f>Q401*R401</f>
        <v>0.0</v>
      </c>
      <c r="T401" s="8" t="n"/>
      <c r="U401" s="8" t="inlineStr"/>
      <c r="V401" s="8" t="inlineStr">
        <is>
          <t>data/item_templates.yaml:mission_chest_zhuiji_manzu.effect_payload</t>
        </is>
      </c>
    </row>
    <row r="402" ht="36" customHeight="1">
      <c r="A402" s="8" t="inlineStr">
        <is>
          <t>zhuiji_manzu</t>
        </is>
      </c>
      <c r="B402" s="8" t="inlineStr">
        <is>
          <t>追击蛮族</t>
        </is>
      </c>
      <c r="C402" s="8" t="inlineStr">
        <is>
          <t>mission_chest_zhuiji_manzu</t>
        </is>
      </c>
      <c r="D402" s="8" t="inlineStr">
        <is>
          <t>追击蛮族宝箱</t>
        </is>
      </c>
      <c r="E402" s="8" t="inlineStr">
        <is>
          <t>saiwai_equipment_box</t>
        </is>
      </c>
      <c r="F402" s="8" t="inlineStr">
        <is>
          <t>equip_tiancanbaoyi</t>
        </is>
      </c>
      <c r="G402" s="8" t="inlineStr">
        <is>
          <t>天蚕宝衣</t>
        </is>
      </c>
      <c r="H402" s="8" t="inlineStr">
        <is>
          <t>purple</t>
        </is>
      </c>
      <c r="I402" s="8" t="inlineStr">
        <is>
          <t>equip_armor</t>
        </is>
      </c>
      <c r="J402" s="8" t="n">
        <v>0.24</v>
      </c>
      <c r="K402" s="8" t="n">
        <v>10</v>
      </c>
      <c r="L402" s="8" t="n">
        <v>74</v>
      </c>
      <c r="M402" s="8" t="n">
        <v>1</v>
      </c>
      <c r="N402" s="8" t="n">
        <v>1</v>
      </c>
      <c r="O402" s="8">
        <f>J402*K402/L402</f>
        <v>0.032432432432432434</v>
      </c>
      <c r="P402" s="8">
        <f>(M402+N402)/2</f>
        <v>1.0</v>
      </c>
      <c r="Q402" s="8">
        <f>O402*P402</f>
        <v>0.032432432432432434</v>
      </c>
      <c r="R402" s="8" t="n">
        <v>0</v>
      </c>
      <c r="S402" s="8">
        <f>Q402*R402</f>
        <v>0.0</v>
      </c>
      <c r="T402" s="8" t="n"/>
      <c r="U402" s="8" t="inlineStr"/>
      <c r="V402" s="8" t="inlineStr">
        <is>
          <t>data/item_templates.yaml:mission_chest_zhuiji_manzu.effect_payload</t>
        </is>
      </c>
    </row>
    <row r="403" ht="36" customHeight="1">
      <c r="A403" s="8" t="inlineStr">
        <is>
          <t>zhuiji_manzu</t>
        </is>
      </c>
      <c r="B403" s="8" t="inlineStr">
        <is>
          <t>追击蛮族</t>
        </is>
      </c>
      <c r="C403" s="8" t="inlineStr">
        <is>
          <t>mission_chest_zhuiji_manzu</t>
        </is>
      </c>
      <c r="D403" s="8" t="inlineStr">
        <is>
          <t>追击蛮族宝箱</t>
        </is>
      </c>
      <c r="E403" s="8" t="inlineStr">
        <is>
          <t>saiwai_equipment_box</t>
        </is>
      </c>
      <c r="F403" s="8" t="inlineStr">
        <is>
          <t>equip_jinsirujia</t>
        </is>
      </c>
      <c r="G403" s="8" t="inlineStr">
        <is>
          <t>金丝软甲</t>
        </is>
      </c>
      <c r="H403" s="8" t="inlineStr">
        <is>
          <t>orange</t>
        </is>
      </c>
      <c r="I403" s="8" t="inlineStr">
        <is>
          <t>equip_armor</t>
        </is>
      </c>
      <c r="J403" s="8" t="n">
        <v>0.24</v>
      </c>
      <c r="K403" s="8" t="n">
        <v>2</v>
      </c>
      <c r="L403" s="8" t="n">
        <v>74</v>
      </c>
      <c r="M403" s="8" t="n">
        <v>1</v>
      </c>
      <c r="N403" s="8" t="n">
        <v>1</v>
      </c>
      <c r="O403" s="8">
        <f>J403*K403/L403</f>
        <v>0.006486486486486486</v>
      </c>
      <c r="P403" s="8">
        <f>(M403+N403)/2</f>
        <v>1.0</v>
      </c>
      <c r="Q403" s="8">
        <f>O403*P403</f>
        <v>0.006486486486486486</v>
      </c>
      <c r="R403" s="8" t="n">
        <v>0</v>
      </c>
      <c r="S403" s="8">
        <f>Q403*R403</f>
        <v>0.0</v>
      </c>
      <c r="T403" s="8" t="n"/>
      <c r="U403" s="8" t="inlineStr"/>
      <c r="V403" s="8" t="inlineStr">
        <is>
          <t>data/item_templates.yaml:mission_chest_zhuiji_manzu.effect_payload</t>
        </is>
      </c>
    </row>
    <row r="404" ht="36" customHeight="1">
      <c r="A404" s="8" t="inlineStr">
        <is>
          <t>zhuiji_manzu</t>
        </is>
      </c>
      <c r="B404" s="8" t="inlineStr">
        <is>
          <t>追击蛮族</t>
        </is>
      </c>
      <c r="C404" s="8" t="inlineStr">
        <is>
          <t>mission_chest_zhuiji_manzu</t>
        </is>
      </c>
      <c r="D404" s="8" t="inlineStr">
        <is>
          <t>追击蛮族宝箱</t>
        </is>
      </c>
      <c r="E404" s="8" t="inlineStr">
        <is>
          <t>saiwai_equipment_box</t>
        </is>
      </c>
      <c r="F404" s="8" t="inlineStr">
        <is>
          <t>equip_hanxuebaoma</t>
        </is>
      </c>
      <c r="G404" s="8" t="inlineStr">
        <is>
          <t>汗血宝马</t>
        </is>
      </c>
      <c r="H404" s="8" t="inlineStr">
        <is>
          <t>orange</t>
        </is>
      </c>
      <c r="I404" s="8" t="inlineStr">
        <is>
          <t>equip_mount</t>
        </is>
      </c>
      <c r="J404" s="8" t="n">
        <v>0.24</v>
      </c>
      <c r="K404" s="8" t="n">
        <v>2</v>
      </c>
      <c r="L404" s="8" t="n">
        <v>74</v>
      </c>
      <c r="M404" s="8" t="n">
        <v>1</v>
      </c>
      <c r="N404" s="8" t="n">
        <v>1</v>
      </c>
      <c r="O404" s="8">
        <f>J404*K404/L404</f>
        <v>0.006486486486486486</v>
      </c>
      <c r="P404" s="8">
        <f>(M404+N404)/2</f>
        <v>1.0</v>
      </c>
      <c r="Q404" s="8">
        <f>O404*P404</f>
        <v>0.006486486486486486</v>
      </c>
      <c r="R404" s="8" t="n">
        <v>0</v>
      </c>
      <c r="S404" s="8">
        <f>Q404*R404</f>
        <v>0.0</v>
      </c>
      <c r="T404" s="8" t="n"/>
      <c r="U404" s="8" t="inlineStr"/>
      <c r="V404" s="8" t="inlineStr">
        <is>
          <t>data/item_templates.yaml:mission_chest_zhuiji_manzu.effect_payload</t>
        </is>
      </c>
    </row>
    <row r="405" ht="36" customHeight="1">
      <c r="A405" s="8" t="inlineStr">
        <is>
          <t>zhuiji_manzu</t>
        </is>
      </c>
      <c r="B405" s="8" t="inlineStr">
        <is>
          <t>追击蛮族</t>
        </is>
      </c>
      <c r="C405" s="8" t="inlineStr">
        <is>
          <t>mission_chest_zhuiji_manzu</t>
        </is>
      </c>
      <c r="D405" s="8" t="inlineStr">
        <is>
          <t>追击蛮族宝箱</t>
        </is>
      </c>
      <c r="E405" s="8" t="inlineStr">
        <is>
          <t>book_dragon_roar</t>
        </is>
      </c>
      <c r="F405" s="8" t="inlineStr">
        <is>
          <t>book_dragon_roar</t>
        </is>
      </c>
      <c r="G405" s="8" t="inlineStr">
        <is>
          <t>《龙吟破阵》秘术</t>
        </is>
      </c>
      <c r="H405" s="8" t="inlineStr">
        <is>
          <t>purple</t>
        </is>
      </c>
      <c r="I405" s="8" t="inlineStr">
        <is>
          <t>skill_book</t>
        </is>
      </c>
      <c r="J405" s="8" t="n">
        <v>0.006</v>
      </c>
      <c r="K405" s="8" t="n">
        <v>1</v>
      </c>
      <c r="L405" s="8" t="n">
        <v>1</v>
      </c>
      <c r="M405" s="8" t="n">
        <v>1</v>
      </c>
      <c r="N405" s="8" t="n">
        <v>1</v>
      </c>
      <c r="O405" s="8">
        <f>J405*K405/L405</f>
        <v>0.006</v>
      </c>
      <c r="P405" s="8">
        <f>(M405+N405)/2</f>
        <v>1.0</v>
      </c>
      <c r="Q405" s="8">
        <f>O405*P405</f>
        <v>0.006</v>
      </c>
      <c r="R405" s="8" t="n">
        <v>0</v>
      </c>
      <c r="S405" s="8">
        <f>Q405*R405</f>
        <v>0.0</v>
      </c>
      <c r="T405" s="8" t="n"/>
      <c r="U405" s="8" t="inlineStr"/>
      <c r="V405" s="8" t="inlineStr">
        <is>
          <t>data/item_templates.yaml:mission_chest_zhuiji_manzu.effect_payload</t>
        </is>
      </c>
    </row>
    <row r="406" ht="36" customHeight="1">
      <c r="A406" s="8" t="inlineStr">
        <is>
          <t>liangshanbo_zhuyingtai</t>
        </is>
      </c>
      <c r="B406" s="8" t="inlineStr">
        <is>
          <t>梁山伯与祝英台</t>
        </is>
      </c>
      <c r="C406" s="8" t="inlineStr">
        <is>
          <t>mission_chest_liangshanbo_zhuyingtai</t>
        </is>
      </c>
      <c r="D406" s="8" t="inlineStr">
        <is>
          <t>梁山伯与祝英台宝箱</t>
        </is>
      </c>
      <c r="E406" s="8" t="inlineStr">
        <is>
          <t>必得</t>
        </is>
      </c>
      <c r="F406" s="8" t="inlineStr">
        <is>
          <t>experience_fruit</t>
        </is>
      </c>
      <c r="G406" s="8" t="inlineStr">
        <is>
          <t>经验果</t>
        </is>
      </c>
      <c r="H406" s="8" t="inlineStr">
        <is>
          <t>green</t>
        </is>
      </c>
      <c r="I406" s="8" t="inlineStr">
        <is>
          <t>experience_items</t>
        </is>
      </c>
      <c r="J406" s="8" t="n">
        <v>1</v>
      </c>
      <c r="K406" s="8" t="n">
        <v>1</v>
      </c>
      <c r="L406" s="8" t="n">
        <v>1</v>
      </c>
      <c r="M406" s="8" t="n">
        <v>7</v>
      </c>
      <c r="N406" s="8" t="n">
        <v>7</v>
      </c>
      <c r="O406" s="8">
        <f>J406*K406/L406</f>
        <v>1.0</v>
      </c>
      <c r="P406" s="8">
        <f>(M406+N406)/2</f>
        <v>7.0</v>
      </c>
      <c r="Q406" s="8">
        <f>O406*P406</f>
        <v>7.0</v>
      </c>
      <c r="R406" s="8" t="n">
        <v>1</v>
      </c>
      <c r="S406" s="8">
        <f>Q406*R406</f>
        <v>7.0</v>
      </c>
      <c r="T406" s="8" t="n"/>
      <c r="U406" s="8" t="inlineStr"/>
      <c r="V406" s="8" t="inlineStr">
        <is>
          <t>data/item_templates.yaml:mission_chest_liangshanbo_zhuyingtai.effect_payload</t>
        </is>
      </c>
    </row>
    <row r="407" ht="36" customHeight="1">
      <c r="A407" s="8" t="inlineStr">
        <is>
          <t>liangshanbo_zhuyingtai</t>
        </is>
      </c>
      <c r="B407" s="8" t="inlineStr">
        <is>
          <t>梁山伯与祝英台</t>
        </is>
      </c>
      <c r="C407" s="8" t="inlineStr">
        <is>
          <t>mission_chest_liangshanbo_zhuyingtai</t>
        </is>
      </c>
      <c r="D407" s="8" t="inlineStr">
        <is>
          <t>梁山伯与祝英台宝箱</t>
        </is>
      </c>
      <c r="E407" s="8" t="inlineStr">
        <is>
          <t>必得</t>
        </is>
      </c>
      <c r="F407" s="8" t="inlineStr">
        <is>
          <t>haorenka</t>
        </is>
      </c>
      <c r="G407" s="8" t="inlineStr">
        <is>
          <t>好人卡</t>
        </is>
      </c>
      <c r="H407" s="8" t="inlineStr">
        <is>
          <t>green</t>
        </is>
      </c>
      <c r="I407" s="8" t="inlineStr">
        <is>
          <t>resource</t>
        </is>
      </c>
      <c r="J407" s="8" t="n">
        <v>1</v>
      </c>
      <c r="K407" s="8" t="n">
        <v>1</v>
      </c>
      <c r="L407" s="8" t="n">
        <v>1</v>
      </c>
      <c r="M407" s="8" t="n">
        <v>1</v>
      </c>
      <c r="N407" s="8" t="n">
        <v>1</v>
      </c>
      <c r="O407" s="8">
        <f>J407*K407/L407</f>
        <v>1.0</v>
      </c>
      <c r="P407" s="8">
        <f>(M407+N407)/2</f>
        <v>1.0</v>
      </c>
      <c r="Q407" s="8">
        <f>O407*P407</f>
        <v>1.0</v>
      </c>
      <c r="R407" s="8" t="n">
        <v>0</v>
      </c>
      <c r="S407" s="8">
        <f>Q407*R407</f>
        <v>0.0</v>
      </c>
      <c r="T407" s="8" t="n"/>
      <c r="U407" s="8" t="inlineStr"/>
      <c r="V407" s="8" t="inlineStr">
        <is>
          <t>data/item_templates.yaml:mission_chest_liangshanbo_zhuyingtai.effect_payload</t>
        </is>
      </c>
    </row>
    <row r="408" ht="36" customHeight="1">
      <c r="A408" s="8" t="inlineStr">
        <is>
          <t>liangshanbo_zhuyingtai</t>
        </is>
      </c>
      <c r="B408" s="8" t="inlineStr">
        <is>
          <t>梁山伯与祝英台</t>
        </is>
      </c>
      <c r="C408" s="8" t="inlineStr">
        <is>
          <t>mission_chest_liangshanbo_zhuyingtai</t>
        </is>
      </c>
      <c r="D408" s="8" t="inlineStr">
        <is>
          <t>梁山伯与祝英台宝箱</t>
        </is>
      </c>
      <c r="E408" s="8" t="inlineStr">
        <is>
          <t>必得</t>
        </is>
      </c>
      <c r="F408" s="8" t="inlineStr">
        <is>
          <t>buxuedan</t>
        </is>
      </c>
      <c r="G408" s="8" t="inlineStr">
        <is>
          <t>补血丹</t>
        </is>
      </c>
      <c r="H408" s="8" t="inlineStr">
        <is>
          <t>black</t>
        </is>
      </c>
      <c r="I408" s="8" t="inlineStr">
        <is>
          <t>medicine</t>
        </is>
      </c>
      <c r="J408" s="8" t="n">
        <v>1</v>
      </c>
      <c r="K408" s="8" t="n">
        <v>1</v>
      </c>
      <c r="L408" s="8" t="n">
        <v>1</v>
      </c>
      <c r="M408" s="8" t="n">
        <v>2</v>
      </c>
      <c r="N408" s="8" t="n">
        <v>2</v>
      </c>
      <c r="O408" s="8">
        <f>J408*K408/L408</f>
        <v>1.0</v>
      </c>
      <c r="P408" s="8">
        <f>(M408+N408)/2</f>
        <v>2.0</v>
      </c>
      <c r="Q408" s="8">
        <f>O408*P408</f>
        <v>2.0</v>
      </c>
      <c r="R408" s="8" t="n">
        <v>0</v>
      </c>
      <c r="S408" s="8">
        <f>Q408*R408</f>
        <v>0.0</v>
      </c>
      <c r="T408" s="8" t="n"/>
      <c r="U408" s="8" t="inlineStr"/>
      <c r="V408" s="8" t="inlineStr">
        <is>
          <t>data/item_templates.yaml:mission_chest_liangshanbo_zhuyingtai.effect_payload</t>
        </is>
      </c>
    </row>
    <row r="409" ht="36" customHeight="1">
      <c r="A409" s="8" t="inlineStr">
        <is>
          <t>liangshanbo_zhuyingtai</t>
        </is>
      </c>
      <c r="B409" s="8" t="inlineStr">
        <is>
          <t>梁山伯与祝英台</t>
        </is>
      </c>
      <c r="C409" s="8" t="inlineStr">
        <is>
          <t>mission_chest_liangshanbo_zhuyingtai</t>
        </is>
      </c>
      <c r="D409" s="8" t="inlineStr">
        <is>
          <t>梁山伯与祝英台宝箱</t>
        </is>
      </c>
      <c r="E409" s="8" t="inlineStr">
        <is>
          <t>必得</t>
        </is>
      </c>
      <c r="F409" s="8" t="inlineStr">
        <is>
          <t>tong</t>
        </is>
      </c>
      <c r="G409" s="8" t="inlineStr">
        <is>
          <t>铜</t>
        </is>
      </c>
      <c r="H409" s="8" t="inlineStr">
        <is>
          <t>black</t>
        </is>
      </c>
      <c r="I409" s="8" t="inlineStr">
        <is>
          <t>resource</t>
        </is>
      </c>
      <c r="J409" s="8" t="n">
        <v>1</v>
      </c>
      <c r="K409" s="8" t="n">
        <v>1</v>
      </c>
      <c r="L409" s="8" t="n">
        <v>1</v>
      </c>
      <c r="M409" s="8" t="n">
        <v>8</v>
      </c>
      <c r="N409" s="8" t="n">
        <v>8</v>
      </c>
      <c r="O409" s="8">
        <f>J409*K409/L409</f>
        <v>1.0</v>
      </c>
      <c r="P409" s="8">
        <f>(M409+N409)/2</f>
        <v>8.0</v>
      </c>
      <c r="Q409" s="8">
        <f>O409*P409</f>
        <v>8.0</v>
      </c>
      <c r="R409" s="8" t="n">
        <v>0</v>
      </c>
      <c r="S409" s="8">
        <f>Q409*R409</f>
        <v>0.0</v>
      </c>
      <c r="T409" s="8" t="n"/>
      <c r="U409" s="8" t="inlineStr"/>
      <c r="V409" s="8" t="inlineStr">
        <is>
          <t>data/item_templates.yaml:mission_chest_liangshanbo_zhuyingtai.effect_payload</t>
        </is>
      </c>
    </row>
    <row r="410" ht="36" customHeight="1">
      <c r="A410" s="8" t="inlineStr">
        <is>
          <t>liangshanbo_zhuyingtai</t>
        </is>
      </c>
      <c r="B410" s="8" t="inlineStr">
        <is>
          <t>梁山伯与祝英台</t>
        </is>
      </c>
      <c r="C410" s="8" t="inlineStr">
        <is>
          <t>mission_chest_liangshanbo_zhuyingtai</t>
        </is>
      </c>
      <c r="D410" s="8" t="inlineStr">
        <is>
          <t>梁山伯与祝英台宝箱</t>
        </is>
      </c>
      <c r="E410" s="8" t="inlineStr">
        <is>
          <t>必得</t>
        </is>
      </c>
      <c r="F410" s="8" t="inlineStr">
        <is>
          <t>xi</t>
        </is>
      </c>
      <c r="G410" s="8" t="inlineStr">
        <is>
          <t>锡</t>
        </is>
      </c>
      <c r="H410" s="8" t="inlineStr">
        <is>
          <t>black</t>
        </is>
      </c>
      <c r="I410" s="8" t="inlineStr">
        <is>
          <t>resource</t>
        </is>
      </c>
      <c r="J410" s="8" t="n">
        <v>1</v>
      </c>
      <c r="K410" s="8" t="n">
        <v>1</v>
      </c>
      <c r="L410" s="8" t="n">
        <v>1</v>
      </c>
      <c r="M410" s="8" t="n">
        <v>5</v>
      </c>
      <c r="N410" s="8" t="n">
        <v>5</v>
      </c>
      <c r="O410" s="8">
        <f>J410*K410/L410</f>
        <v>1.0</v>
      </c>
      <c r="P410" s="8">
        <f>(M410+N410)/2</f>
        <v>5.0</v>
      </c>
      <c r="Q410" s="8">
        <f>O410*P410</f>
        <v>5.0</v>
      </c>
      <c r="R410" s="8" t="n">
        <v>0</v>
      </c>
      <c r="S410" s="8">
        <f>Q410*R410</f>
        <v>0.0</v>
      </c>
      <c r="T410" s="8" t="n"/>
      <c r="U410" s="8" t="inlineStr"/>
      <c r="V410" s="8" t="inlineStr">
        <is>
          <t>data/item_templates.yaml:mission_chest_liangshanbo_zhuyingtai.effect_payload</t>
        </is>
      </c>
    </row>
    <row r="411" ht="36" customHeight="1">
      <c r="A411" s="8" t="inlineStr">
        <is>
          <t>liangshanbo_zhuyingtai</t>
        </is>
      </c>
      <c r="B411" s="8" t="inlineStr">
        <is>
          <t>梁山伯与祝英台</t>
        </is>
      </c>
      <c r="C411" s="8" t="inlineStr">
        <is>
          <t>mission_chest_liangshanbo_zhuyingtai</t>
        </is>
      </c>
      <c r="D411" s="8" t="inlineStr">
        <is>
          <t>梁山伯与祝英台宝箱</t>
        </is>
      </c>
      <c r="E411" s="8" t="inlineStr">
        <is>
          <t>必得</t>
        </is>
      </c>
      <c r="F411" s="8" t="inlineStr">
        <is>
          <t>tie</t>
        </is>
      </c>
      <c r="G411" s="8" t="inlineStr">
        <is>
          <t>铁</t>
        </is>
      </c>
      <c r="H411" s="8" t="inlineStr">
        <is>
          <t>black</t>
        </is>
      </c>
      <c r="I411" s="8" t="inlineStr">
        <is>
          <t>resource</t>
        </is>
      </c>
      <c r="J411" s="8" t="n">
        <v>1</v>
      </c>
      <c r="K411" s="8" t="n">
        <v>1</v>
      </c>
      <c r="L411" s="8" t="n">
        <v>1</v>
      </c>
      <c r="M411" s="8" t="n">
        <v>3</v>
      </c>
      <c r="N411" s="8" t="n">
        <v>3</v>
      </c>
      <c r="O411" s="8">
        <f>J411*K411/L411</f>
        <v>1.0</v>
      </c>
      <c r="P411" s="8">
        <f>(M411+N411)/2</f>
        <v>3.0</v>
      </c>
      <c r="Q411" s="8">
        <f>O411*P411</f>
        <v>3.0</v>
      </c>
      <c r="R411" s="8" t="n">
        <v>0</v>
      </c>
      <c r="S411" s="8">
        <f>Q411*R411</f>
        <v>0.0</v>
      </c>
      <c r="T411" s="8" t="n"/>
      <c r="U411" s="8" t="inlineStr"/>
      <c r="V411" s="8" t="inlineStr">
        <is>
          <t>data/item_templates.yaml:mission_chest_liangshanbo_zhuyingtai.effect_payload</t>
        </is>
      </c>
    </row>
    <row r="412" ht="36" customHeight="1">
      <c r="A412" s="8" t="inlineStr">
        <is>
          <t>liangshanbo_zhuyingtai</t>
        </is>
      </c>
      <c r="B412" s="8" t="inlineStr">
        <is>
          <t>梁山伯与祝英台</t>
        </is>
      </c>
      <c r="C412" s="8" t="inlineStr">
        <is>
          <t>mission_chest_liangshanbo_zhuyingtai</t>
        </is>
      </c>
      <c r="D412" s="8" t="inlineStr">
        <is>
          <t>梁山伯与祝英台宝箱</t>
        </is>
      </c>
      <c r="E412" s="8" t="inlineStr">
        <is>
          <t>nichang_random_piece</t>
        </is>
      </c>
      <c r="F412" s="8" t="inlineStr">
        <is>
          <t>equip_nichangyuyi</t>
        </is>
      </c>
      <c r="G412" s="8" t="inlineStr">
        <is>
          <t>霓裳羽衣</t>
        </is>
      </c>
      <c r="H412" s="8" t="inlineStr">
        <is>
          <t>green</t>
        </is>
      </c>
      <c r="I412" s="8" t="inlineStr">
        <is>
          <t>equip_armor</t>
        </is>
      </c>
      <c r="J412" s="8" t="n">
        <v>0.1</v>
      </c>
      <c r="K412" s="8" t="n">
        <v>1</v>
      </c>
      <c r="L412" s="8" t="n">
        <v>3</v>
      </c>
      <c r="M412" s="8" t="n">
        <v>1</v>
      </c>
      <c r="N412" s="8" t="n">
        <v>1</v>
      </c>
      <c r="O412" s="8">
        <f>J412*K412/L412</f>
        <v>0.03333333333333333</v>
      </c>
      <c r="P412" s="8">
        <f>(M412+N412)/2</f>
        <v>1.0</v>
      </c>
      <c r="Q412" s="8">
        <f>O412*P412</f>
        <v>0.03333333333333333</v>
      </c>
      <c r="R412" s="8" t="n">
        <v>0</v>
      </c>
      <c r="S412" s="8">
        <f>Q412*R412</f>
        <v>0.0</v>
      </c>
      <c r="T412" s="8" t="n"/>
      <c r="U412" s="8" t="inlineStr"/>
      <c r="V412" s="8" t="inlineStr">
        <is>
          <t>data/item_templates.yaml:mission_chest_liangshanbo_zhuyingtai.effect_payload</t>
        </is>
      </c>
    </row>
    <row r="413" ht="36" customHeight="1">
      <c r="A413" s="8" t="inlineStr">
        <is>
          <t>liangshanbo_zhuyingtai</t>
        </is>
      </c>
      <c r="B413" s="8" t="inlineStr">
        <is>
          <t>梁山伯与祝英台</t>
        </is>
      </c>
      <c r="C413" s="8" t="inlineStr">
        <is>
          <t>mission_chest_liangshanbo_zhuyingtai</t>
        </is>
      </c>
      <c r="D413" s="8" t="inlineStr">
        <is>
          <t>梁山伯与祝英台宝箱</t>
        </is>
      </c>
      <c r="E413" s="8" t="inlineStr">
        <is>
          <t>nichang_random_piece</t>
        </is>
      </c>
      <c r="F413" s="8" t="inlineStr">
        <is>
          <t>equip_nichangwuxie</t>
        </is>
      </c>
      <c r="G413" s="8" t="inlineStr">
        <is>
          <t>霓裳舞鞋</t>
        </is>
      </c>
      <c r="H413" s="8" t="inlineStr">
        <is>
          <t>green</t>
        </is>
      </c>
      <c r="I413" s="8" t="inlineStr">
        <is>
          <t>equip_shoes</t>
        </is>
      </c>
      <c r="J413" s="8" t="n">
        <v>0.1</v>
      </c>
      <c r="K413" s="8" t="n">
        <v>1</v>
      </c>
      <c r="L413" s="8" t="n">
        <v>3</v>
      </c>
      <c r="M413" s="8" t="n">
        <v>1</v>
      </c>
      <c r="N413" s="8" t="n">
        <v>1</v>
      </c>
      <c r="O413" s="8">
        <f>J413*K413/L413</f>
        <v>0.03333333333333333</v>
      </c>
      <c r="P413" s="8">
        <f>(M413+N413)/2</f>
        <v>1.0</v>
      </c>
      <c r="Q413" s="8">
        <f>O413*P413</f>
        <v>0.03333333333333333</v>
      </c>
      <c r="R413" s="8" t="n">
        <v>0</v>
      </c>
      <c r="S413" s="8">
        <f>Q413*R413</f>
        <v>0.0</v>
      </c>
      <c r="T413" s="8" t="n"/>
      <c r="U413" s="8" t="inlineStr"/>
      <c r="V413" s="8" t="inlineStr">
        <is>
          <t>data/item_templates.yaml:mission_chest_liangshanbo_zhuyingtai.effect_payload</t>
        </is>
      </c>
    </row>
    <row r="414" ht="36" customHeight="1">
      <c r="A414" s="8" t="inlineStr">
        <is>
          <t>liangshanbo_zhuyingtai</t>
        </is>
      </c>
      <c r="B414" s="8" t="inlineStr">
        <is>
          <t>梁山伯与祝英台</t>
        </is>
      </c>
      <c r="C414" s="8" t="inlineStr">
        <is>
          <t>mission_chest_liangshanbo_zhuyingtai</t>
        </is>
      </c>
      <c r="D414" s="8" t="inlineStr">
        <is>
          <t>梁山伯与祝英台宝箱</t>
        </is>
      </c>
      <c r="E414" s="8" t="inlineStr">
        <is>
          <t>nichang_random_piece</t>
        </is>
      </c>
      <c r="F414" s="8" t="inlineStr">
        <is>
          <t>equip_nichangjian</t>
        </is>
      </c>
      <c r="G414" s="8" t="inlineStr">
        <is>
          <t>霓裳剑</t>
        </is>
      </c>
      <c r="H414" s="8" t="inlineStr">
        <is>
          <t>blue</t>
        </is>
      </c>
      <c r="I414" s="8" t="inlineStr">
        <is>
          <t>equip_weapon</t>
        </is>
      </c>
      <c r="J414" s="8" t="n">
        <v>0.1</v>
      </c>
      <c r="K414" s="8" t="n">
        <v>1</v>
      </c>
      <c r="L414" s="8" t="n">
        <v>3</v>
      </c>
      <c r="M414" s="8" t="n">
        <v>1</v>
      </c>
      <c r="N414" s="8" t="n">
        <v>1</v>
      </c>
      <c r="O414" s="8">
        <f>J414*K414/L414</f>
        <v>0.03333333333333333</v>
      </c>
      <c r="P414" s="8">
        <f>(M414+N414)/2</f>
        <v>1.0</v>
      </c>
      <c r="Q414" s="8">
        <f>O414*P414</f>
        <v>0.03333333333333333</v>
      </c>
      <c r="R414" s="8" t="n">
        <v>0</v>
      </c>
      <c r="S414" s="8">
        <f>Q414*R414</f>
        <v>0.0</v>
      </c>
      <c r="T414" s="8" t="n"/>
      <c r="U414" s="8" t="inlineStr"/>
      <c r="V414" s="8" t="inlineStr">
        <is>
          <t>data/item_templates.yaml:mission_chest_liangshanbo_zhuyingtai.effect_payload</t>
        </is>
      </c>
    </row>
    <row r="415" ht="36" customHeight="1">
      <c r="A415" s="8" t="inlineStr">
        <is>
          <t>liangshanbo_zhuyingtai</t>
        </is>
      </c>
      <c r="B415" s="8" t="inlineStr">
        <is>
          <t>梁山伯与祝英台</t>
        </is>
      </c>
      <c r="C415" s="8" t="inlineStr">
        <is>
          <t>mission_chest_liangshanbo_zhuyingtai</t>
        </is>
      </c>
      <c r="D415" s="8" t="inlineStr">
        <is>
          <t>梁山伯与祝英台宝箱</t>
        </is>
      </c>
      <c r="E415" s="8" t="inlineStr">
        <is>
          <t>主题装备</t>
        </is>
      </c>
      <c r="F415" s="8" t="inlineStr">
        <is>
          <t>equip_baguadao</t>
        </is>
      </c>
      <c r="G415" s="8" t="inlineStr">
        <is>
          <t>八卦刀</t>
        </is>
      </c>
      <c r="H415" s="8" t="inlineStr">
        <is>
          <t>blue</t>
        </is>
      </c>
      <c r="I415" s="8" t="inlineStr">
        <is>
          <t>equip_weapon</t>
        </is>
      </c>
      <c r="J415" s="8" t="n">
        <v>0.4</v>
      </c>
      <c r="K415" s="8" t="n">
        <v>10000</v>
      </c>
      <c r="L415" s="8" t="n">
        <v>40000</v>
      </c>
      <c r="M415" s="8" t="n">
        <v>1</v>
      </c>
      <c r="N415" s="8" t="n">
        <v>1</v>
      </c>
      <c r="O415" s="8">
        <f>J415*K415/L415</f>
        <v>0.1</v>
      </c>
      <c r="P415" s="8">
        <f>(M415+N415)/2</f>
        <v>1.0</v>
      </c>
      <c r="Q415" s="8">
        <f>O415*P415</f>
        <v>0.1</v>
      </c>
      <c r="R415" s="8" t="n">
        <v>0</v>
      </c>
      <c r="S415" s="8">
        <f>Q415*R415</f>
        <v>0.0</v>
      </c>
      <c r="T415" s="8" t="n"/>
      <c r="U415" s="8" t="inlineStr"/>
      <c r="V415" s="8" t="inlineStr">
        <is>
          <t>data/item_templates.yaml:mission_chest_liangshanbo_zhuyingtai.effect_payload</t>
        </is>
      </c>
    </row>
    <row r="416" ht="36" customHeight="1">
      <c r="A416" s="8" t="inlineStr">
        <is>
          <t>liangshanbo_zhuyingtai</t>
        </is>
      </c>
      <c r="B416" s="8" t="inlineStr">
        <is>
          <t>梁山伯与祝英台</t>
        </is>
      </c>
      <c r="C416" s="8" t="inlineStr">
        <is>
          <t>mission_chest_liangshanbo_zhuyingtai</t>
        </is>
      </c>
      <c r="D416" s="8" t="inlineStr">
        <is>
          <t>梁山伯与祝英台宝箱</t>
        </is>
      </c>
      <c r="E416" s="8" t="inlineStr">
        <is>
          <t>主题装备</t>
        </is>
      </c>
      <c r="F416" s="8" t="inlineStr">
        <is>
          <t>equip_yiqiyaopai</t>
        </is>
      </c>
      <c r="G416" s="8" t="inlineStr">
        <is>
          <t>义气腰牌</t>
        </is>
      </c>
      <c r="H416" s="8" t="inlineStr">
        <is>
          <t>green</t>
        </is>
      </c>
      <c r="I416" s="8" t="inlineStr">
        <is>
          <t>equip_ornament</t>
        </is>
      </c>
      <c r="J416" s="8" t="n">
        <v>0.4</v>
      </c>
      <c r="K416" s="8" t="n">
        <v>6000</v>
      </c>
      <c r="L416" s="8" t="n">
        <v>40000</v>
      </c>
      <c r="M416" s="8" t="n">
        <v>1</v>
      </c>
      <c r="N416" s="8" t="n">
        <v>1</v>
      </c>
      <c r="O416" s="8">
        <f>J416*K416/L416</f>
        <v>0.06</v>
      </c>
      <c r="P416" s="8">
        <f>(M416+N416)/2</f>
        <v>1.0</v>
      </c>
      <c r="Q416" s="8">
        <f>O416*P416</f>
        <v>0.06</v>
      </c>
      <c r="R416" s="8" t="n">
        <v>0</v>
      </c>
      <c r="S416" s="8">
        <f>Q416*R416</f>
        <v>0.0</v>
      </c>
      <c r="T416" s="8" t="n"/>
      <c r="U416" s="8" t="inlineStr"/>
      <c r="V416" s="8" t="inlineStr">
        <is>
          <t>data/item_templates.yaml:mission_chest_liangshanbo_zhuyingtai.effect_payload</t>
        </is>
      </c>
    </row>
    <row r="417" ht="36" customHeight="1">
      <c r="A417" s="8" t="inlineStr">
        <is>
          <t>liangshanbo_zhuyingtai</t>
        </is>
      </c>
      <c r="B417" s="8" t="inlineStr">
        <is>
          <t>梁山伯与祝英台</t>
        </is>
      </c>
      <c r="C417" s="8" t="inlineStr">
        <is>
          <t>mission_chest_liangshanbo_zhuyingtai</t>
        </is>
      </c>
      <c r="D417" s="8" t="inlineStr">
        <is>
          <t>梁山伯与祝英台宝箱</t>
        </is>
      </c>
      <c r="E417" s="8" t="inlineStr">
        <is>
          <t>主题装备</t>
        </is>
      </c>
      <c r="F417" s="8" t="inlineStr">
        <is>
          <t>equip_zhujian</t>
        </is>
      </c>
      <c r="G417" s="8" t="inlineStr">
        <is>
          <t>竹简</t>
        </is>
      </c>
      <c r="H417" s="8" t="inlineStr">
        <is>
          <t>green</t>
        </is>
      </c>
      <c r="I417" s="8" t="inlineStr">
        <is>
          <t>equip_ornament</t>
        </is>
      </c>
      <c r="J417" s="8" t="n">
        <v>0.4</v>
      </c>
      <c r="K417" s="8" t="n">
        <v>5000</v>
      </c>
      <c r="L417" s="8" t="n">
        <v>40000</v>
      </c>
      <c r="M417" s="8" t="n">
        <v>1</v>
      </c>
      <c r="N417" s="8" t="n">
        <v>1</v>
      </c>
      <c r="O417" s="8">
        <f>J417*K417/L417</f>
        <v>0.05</v>
      </c>
      <c r="P417" s="8">
        <f>(M417+N417)/2</f>
        <v>1.0</v>
      </c>
      <c r="Q417" s="8">
        <f>O417*P417</f>
        <v>0.05</v>
      </c>
      <c r="R417" s="8" t="n">
        <v>0</v>
      </c>
      <c r="S417" s="8">
        <f>Q417*R417</f>
        <v>0.0</v>
      </c>
      <c r="T417" s="8" t="n"/>
      <c r="U417" s="8" t="inlineStr"/>
      <c r="V417" s="8" t="inlineStr">
        <is>
          <t>data/item_templates.yaml:mission_chest_liangshanbo_zhuyingtai.effect_payload</t>
        </is>
      </c>
    </row>
    <row r="418" ht="36" customHeight="1">
      <c r="A418" s="8" t="inlineStr">
        <is>
          <t>liangshanbo_zhuyingtai</t>
        </is>
      </c>
      <c r="B418" s="8" t="inlineStr">
        <is>
          <t>梁山伯与祝英台</t>
        </is>
      </c>
      <c r="C418" s="8" t="inlineStr">
        <is>
          <t>mission_chest_liangshanbo_zhuyingtai</t>
        </is>
      </c>
      <c r="D418" s="8" t="inlineStr">
        <is>
          <t>梁山伯与祝英台宝箱</t>
        </is>
      </c>
      <c r="E418" s="8" t="inlineStr">
        <is>
          <t>主题装备</t>
        </is>
      </c>
      <c r="F418" s="8" t="inlineStr">
        <is>
          <t>equip_moyuyan</t>
        </is>
      </c>
      <c r="G418" s="8" t="inlineStr">
        <is>
          <t>墨玉砚</t>
        </is>
      </c>
      <c r="H418" s="8" t="inlineStr">
        <is>
          <t>green</t>
        </is>
      </c>
      <c r="I418" s="8" t="inlineStr">
        <is>
          <t>equip_ornament</t>
        </is>
      </c>
      <c r="J418" s="8" t="n">
        <v>0.4</v>
      </c>
      <c r="K418" s="8" t="n">
        <v>5000</v>
      </c>
      <c r="L418" s="8" t="n">
        <v>40000</v>
      </c>
      <c r="M418" s="8" t="n">
        <v>1</v>
      </c>
      <c r="N418" s="8" t="n">
        <v>1</v>
      </c>
      <c r="O418" s="8">
        <f>J418*K418/L418</f>
        <v>0.05</v>
      </c>
      <c r="P418" s="8">
        <f>(M418+N418)/2</f>
        <v>1.0</v>
      </c>
      <c r="Q418" s="8">
        <f>O418*P418</f>
        <v>0.05</v>
      </c>
      <c r="R418" s="8" t="n">
        <v>0</v>
      </c>
      <c r="S418" s="8">
        <f>Q418*R418</f>
        <v>0.0</v>
      </c>
      <c r="T418" s="8" t="n"/>
      <c r="U418" s="8" t="inlineStr"/>
      <c r="V418" s="8" t="inlineStr">
        <is>
          <t>data/item_templates.yaml:mission_chest_liangshanbo_zhuyingtai.effect_payload</t>
        </is>
      </c>
    </row>
    <row r="419" ht="36" customHeight="1">
      <c r="A419" s="8" t="inlineStr">
        <is>
          <t>liangshanbo_zhuyingtai</t>
        </is>
      </c>
      <c r="B419" s="8" t="inlineStr">
        <is>
          <t>梁山伯与祝英台</t>
        </is>
      </c>
      <c r="C419" s="8" t="inlineStr">
        <is>
          <t>mission_chest_liangshanbo_zhuyingtai</t>
        </is>
      </c>
      <c r="D419" s="8" t="inlineStr">
        <is>
          <t>梁山伯与祝英台宝箱</t>
        </is>
      </c>
      <c r="E419" s="8" t="inlineStr">
        <is>
          <t>主题装备</t>
        </is>
      </c>
      <c r="F419" s="8" t="inlineStr">
        <is>
          <t>equip_xuantiejie</t>
        </is>
      </c>
      <c r="G419" s="8" t="inlineStr">
        <is>
          <t>玄铁戒</t>
        </is>
      </c>
      <c r="H419" s="8" t="inlineStr">
        <is>
          <t>blue</t>
        </is>
      </c>
      <c r="I419" s="8" t="inlineStr">
        <is>
          <t>equip_ornament</t>
        </is>
      </c>
      <c r="J419" s="8" t="n">
        <v>0.4</v>
      </c>
      <c r="K419" s="8" t="n">
        <v>7000</v>
      </c>
      <c r="L419" s="8" t="n">
        <v>40000</v>
      </c>
      <c r="M419" s="8" t="n">
        <v>1</v>
      </c>
      <c r="N419" s="8" t="n">
        <v>1</v>
      </c>
      <c r="O419" s="8">
        <f>J419*K419/L419</f>
        <v>0.07</v>
      </c>
      <c r="P419" s="8">
        <f>(M419+N419)/2</f>
        <v>1.0</v>
      </c>
      <c r="Q419" s="8">
        <f>O419*P419</f>
        <v>0.07</v>
      </c>
      <c r="R419" s="8" t="n">
        <v>0</v>
      </c>
      <c r="S419" s="8">
        <f>Q419*R419</f>
        <v>0.0</v>
      </c>
      <c r="T419" s="8" t="n"/>
      <c r="U419" s="8" t="inlineStr"/>
      <c r="V419" s="8" t="inlineStr">
        <is>
          <t>data/item_templates.yaml:mission_chest_liangshanbo_zhuyingtai.effect_payload</t>
        </is>
      </c>
    </row>
    <row r="420" ht="36" customHeight="1">
      <c r="A420" s="8" t="inlineStr">
        <is>
          <t>liangshanbo_zhuyingtai</t>
        </is>
      </c>
      <c r="B420" s="8" t="inlineStr">
        <is>
          <t>梁山伯与祝英台</t>
        </is>
      </c>
      <c r="C420" s="8" t="inlineStr">
        <is>
          <t>mission_chest_liangshanbo_zhuyingtai</t>
        </is>
      </c>
      <c r="D420" s="8" t="inlineStr">
        <is>
          <t>梁山伯与祝英台宝箱</t>
        </is>
      </c>
      <c r="E420" s="8" t="inlineStr">
        <is>
          <t>主题装备</t>
        </is>
      </c>
      <c r="F420" s="8" t="inlineStr">
        <is>
          <t>equip_liuyunpei</t>
        </is>
      </c>
      <c r="G420" s="8" t="inlineStr">
        <is>
          <t>流云佩</t>
        </is>
      </c>
      <c r="H420" s="8" t="inlineStr">
        <is>
          <t>blue</t>
        </is>
      </c>
      <c r="I420" s="8" t="inlineStr">
        <is>
          <t>equip_ornament</t>
        </is>
      </c>
      <c r="J420" s="8" t="n">
        <v>0.4</v>
      </c>
      <c r="K420" s="8" t="n">
        <v>7000</v>
      </c>
      <c r="L420" s="8" t="n">
        <v>40000</v>
      </c>
      <c r="M420" s="8" t="n">
        <v>1</v>
      </c>
      <c r="N420" s="8" t="n">
        <v>1</v>
      </c>
      <c r="O420" s="8">
        <f>J420*K420/L420</f>
        <v>0.07</v>
      </c>
      <c r="P420" s="8">
        <f>(M420+N420)/2</f>
        <v>1.0</v>
      </c>
      <c r="Q420" s="8">
        <f>O420*P420</f>
        <v>0.07</v>
      </c>
      <c r="R420" s="8" t="n">
        <v>0</v>
      </c>
      <c r="S420" s="8">
        <f>Q420*R420</f>
        <v>0.0</v>
      </c>
      <c r="T420" s="8" t="n"/>
      <c r="U420" s="8" t="inlineStr"/>
      <c r="V420" s="8" t="inlineStr">
        <is>
          <t>data/item_templates.yaml:mission_chest_liangshanbo_zhuyingtai.effect_payload</t>
        </is>
      </c>
    </row>
    <row r="421" ht="36" customHeight="1">
      <c r="A421" s="8" t="inlineStr">
        <is>
          <t>biyou_candeng</t>
        </is>
      </c>
      <c r="B421" s="8" t="inlineStr">
        <is>
          <t>封神之战：碧游残灯</t>
        </is>
      </c>
      <c r="C421" s="8" t="inlineStr">
        <is>
          <t>mission_chest_biyou_candeng</t>
        </is>
      </c>
      <c r="D421" s="8" t="inlineStr">
        <is>
          <t>碧游残灯宝箱</t>
        </is>
      </c>
      <c r="E421" s="8" t="inlineStr">
        <is>
          <t>必得</t>
        </is>
      </c>
      <c r="F421" s="8" t="inlineStr">
        <is>
          <t>experience_fruit</t>
        </is>
      </c>
      <c r="G421" s="8" t="inlineStr">
        <is>
          <t>经验果</t>
        </is>
      </c>
      <c r="H421" s="8" t="inlineStr">
        <is>
          <t>green</t>
        </is>
      </c>
      <c r="I421" s="8" t="inlineStr">
        <is>
          <t>experience_items</t>
        </is>
      </c>
      <c r="J421" s="8" t="n">
        <v>1</v>
      </c>
      <c r="K421" s="8" t="n">
        <v>1</v>
      </c>
      <c r="L421" s="8" t="n">
        <v>1</v>
      </c>
      <c r="M421" s="8" t="n">
        <v>144</v>
      </c>
      <c r="N421" s="8" t="n">
        <v>144</v>
      </c>
      <c r="O421" s="8">
        <f>J421*K421/L421</f>
        <v>1.0</v>
      </c>
      <c r="P421" s="8">
        <f>(M421+N421)/2</f>
        <v>144.0</v>
      </c>
      <c r="Q421" s="8">
        <f>O421*P421</f>
        <v>144.0</v>
      </c>
      <c r="R421" s="8" t="n">
        <v>1</v>
      </c>
      <c r="S421" s="8">
        <f>Q421*R421</f>
        <v>144.0</v>
      </c>
      <c r="T421" s="8" t="n"/>
      <c r="U421" s="8" t="inlineStr"/>
      <c r="V421" s="8" t="inlineStr">
        <is>
          <t>data/item_templates.yaml:mission_chest_biyou_candeng.effect_payload</t>
        </is>
      </c>
    </row>
    <row r="422" ht="36" customHeight="1">
      <c r="A422" s="8" t="inlineStr">
        <is>
          <t>biyou_candeng</t>
        </is>
      </c>
      <c r="B422" s="8" t="inlineStr">
        <is>
          <t>封神之战：碧游残灯</t>
        </is>
      </c>
      <c r="C422" s="8" t="inlineStr">
        <is>
          <t>mission_chest_biyou_candeng</t>
        </is>
      </c>
      <c r="D422" s="8" t="inlineStr">
        <is>
          <t>碧游残灯宝箱</t>
        </is>
      </c>
      <c r="E422" s="8" t="inlineStr">
        <is>
          <t>必得</t>
        </is>
      </c>
      <c r="F422" s="8" t="inlineStr">
        <is>
          <t>buxuedan</t>
        </is>
      </c>
      <c r="G422" s="8" t="inlineStr">
        <is>
          <t>补血丹</t>
        </is>
      </c>
      <c r="H422" s="8" t="inlineStr">
        <is>
          <t>black</t>
        </is>
      </c>
      <c r="I422" s="8" t="inlineStr">
        <is>
          <t>medicine</t>
        </is>
      </c>
      <c r="J422" s="8" t="n">
        <v>1</v>
      </c>
      <c r="K422" s="8" t="n">
        <v>1</v>
      </c>
      <c r="L422" s="8" t="n">
        <v>1</v>
      </c>
      <c r="M422" s="8" t="n">
        <v>4</v>
      </c>
      <c r="N422" s="8" t="n">
        <v>4</v>
      </c>
      <c r="O422" s="8">
        <f>J422*K422/L422</f>
        <v>1.0</v>
      </c>
      <c r="P422" s="8">
        <f>(M422+N422)/2</f>
        <v>4.0</v>
      </c>
      <c r="Q422" s="8">
        <f>O422*P422</f>
        <v>4.0</v>
      </c>
      <c r="R422" s="8" t="n">
        <v>0</v>
      </c>
      <c r="S422" s="8">
        <f>Q422*R422</f>
        <v>0.0</v>
      </c>
      <c r="T422" s="8" t="n"/>
      <c r="U422" s="8" t="inlineStr"/>
      <c r="V422" s="8" t="inlineStr">
        <is>
          <t>data/item_templates.yaml:mission_chest_biyou_candeng.effect_payload</t>
        </is>
      </c>
    </row>
    <row r="423" ht="36" customHeight="1">
      <c r="A423" s="8" t="inlineStr">
        <is>
          <t>biyou_candeng</t>
        </is>
      </c>
      <c r="B423" s="8" t="inlineStr">
        <is>
          <t>封神之战：碧游残灯</t>
        </is>
      </c>
      <c r="C423" s="8" t="inlineStr">
        <is>
          <t>mission_chest_biyou_candeng</t>
        </is>
      </c>
      <c r="D423" s="8" t="inlineStr">
        <is>
          <t>碧游残灯宝箱</t>
        </is>
      </c>
      <c r="E423" s="8" t="inlineStr">
        <is>
          <t>必得</t>
        </is>
      </c>
      <c r="F423" s="8" t="inlineStr">
        <is>
          <t>tong</t>
        </is>
      </c>
      <c r="G423" s="8" t="inlineStr">
        <is>
          <t>铜</t>
        </is>
      </c>
      <c r="H423" s="8" t="inlineStr">
        <is>
          <t>black</t>
        </is>
      </c>
      <c r="I423" s="8" t="inlineStr">
        <is>
          <t>resource</t>
        </is>
      </c>
      <c r="J423" s="8" t="n">
        <v>1</v>
      </c>
      <c r="K423" s="8" t="n">
        <v>1</v>
      </c>
      <c r="L423" s="8" t="n">
        <v>1</v>
      </c>
      <c r="M423" s="8" t="n">
        <v>12</v>
      </c>
      <c r="N423" s="8" t="n">
        <v>12</v>
      </c>
      <c r="O423" s="8">
        <f>J423*K423/L423</f>
        <v>1.0</v>
      </c>
      <c r="P423" s="8">
        <f>(M423+N423)/2</f>
        <v>12.0</v>
      </c>
      <c r="Q423" s="8">
        <f>O423*P423</f>
        <v>12.0</v>
      </c>
      <c r="R423" s="8" t="n">
        <v>0</v>
      </c>
      <c r="S423" s="8">
        <f>Q423*R423</f>
        <v>0.0</v>
      </c>
      <c r="T423" s="8" t="n"/>
      <c r="U423" s="8" t="inlineStr"/>
      <c r="V423" s="8" t="inlineStr">
        <is>
          <t>data/item_templates.yaml:mission_chest_biyou_candeng.effect_payload</t>
        </is>
      </c>
    </row>
    <row r="424" ht="36" customHeight="1">
      <c r="A424" s="8" t="inlineStr">
        <is>
          <t>biyou_candeng</t>
        </is>
      </c>
      <c r="B424" s="8" t="inlineStr">
        <is>
          <t>封神之战：碧游残灯</t>
        </is>
      </c>
      <c r="C424" s="8" t="inlineStr">
        <is>
          <t>mission_chest_biyou_candeng</t>
        </is>
      </c>
      <c r="D424" s="8" t="inlineStr">
        <is>
          <t>碧游残灯宝箱</t>
        </is>
      </c>
      <c r="E424" s="8" t="inlineStr">
        <is>
          <t>必得</t>
        </is>
      </c>
      <c r="F424" s="8" t="inlineStr">
        <is>
          <t>xi</t>
        </is>
      </c>
      <c r="G424" s="8" t="inlineStr">
        <is>
          <t>锡</t>
        </is>
      </c>
      <c r="H424" s="8" t="inlineStr">
        <is>
          <t>black</t>
        </is>
      </c>
      <c r="I424" s="8" t="inlineStr">
        <is>
          <t>resource</t>
        </is>
      </c>
      <c r="J424" s="8" t="n">
        <v>1</v>
      </c>
      <c r="K424" s="8" t="n">
        <v>1</v>
      </c>
      <c r="L424" s="8" t="n">
        <v>1</v>
      </c>
      <c r="M424" s="8" t="n">
        <v>8</v>
      </c>
      <c r="N424" s="8" t="n">
        <v>8</v>
      </c>
      <c r="O424" s="8">
        <f>J424*K424/L424</f>
        <v>1.0</v>
      </c>
      <c r="P424" s="8">
        <f>(M424+N424)/2</f>
        <v>8.0</v>
      </c>
      <c r="Q424" s="8">
        <f>O424*P424</f>
        <v>8.0</v>
      </c>
      <c r="R424" s="8" t="n">
        <v>0</v>
      </c>
      <c r="S424" s="8">
        <f>Q424*R424</f>
        <v>0.0</v>
      </c>
      <c r="T424" s="8" t="n"/>
      <c r="U424" s="8" t="inlineStr"/>
      <c r="V424" s="8" t="inlineStr">
        <is>
          <t>data/item_templates.yaml:mission_chest_biyou_candeng.effect_payload</t>
        </is>
      </c>
    </row>
    <row r="425" ht="36" customHeight="1">
      <c r="A425" s="8" t="inlineStr">
        <is>
          <t>biyou_candeng</t>
        </is>
      </c>
      <c r="B425" s="8" t="inlineStr">
        <is>
          <t>封神之战：碧游残灯</t>
        </is>
      </c>
      <c r="C425" s="8" t="inlineStr">
        <is>
          <t>mission_chest_biyou_candeng</t>
        </is>
      </c>
      <c r="D425" s="8" t="inlineStr">
        <is>
          <t>碧游残灯宝箱</t>
        </is>
      </c>
      <c r="E425" s="8" t="inlineStr">
        <is>
          <t>必得</t>
        </is>
      </c>
      <c r="F425" s="8" t="inlineStr">
        <is>
          <t>tie</t>
        </is>
      </c>
      <c r="G425" s="8" t="inlineStr">
        <is>
          <t>铁</t>
        </is>
      </c>
      <c r="H425" s="8" t="inlineStr">
        <is>
          <t>black</t>
        </is>
      </c>
      <c r="I425" s="8" t="inlineStr">
        <is>
          <t>resource</t>
        </is>
      </c>
      <c r="J425" s="8" t="n">
        <v>1</v>
      </c>
      <c r="K425" s="8" t="n">
        <v>1</v>
      </c>
      <c r="L425" s="8" t="n">
        <v>1</v>
      </c>
      <c r="M425" s="8" t="n">
        <v>5</v>
      </c>
      <c r="N425" s="8" t="n">
        <v>5</v>
      </c>
      <c r="O425" s="8">
        <f>J425*K425/L425</f>
        <v>1.0</v>
      </c>
      <c r="P425" s="8">
        <f>(M425+N425)/2</f>
        <v>5.0</v>
      </c>
      <c r="Q425" s="8">
        <f>O425*P425</f>
        <v>5.0</v>
      </c>
      <c r="R425" s="8" t="n">
        <v>0</v>
      </c>
      <c r="S425" s="8">
        <f>Q425*R425</f>
        <v>0.0</v>
      </c>
      <c r="T425" s="8" t="n"/>
      <c r="U425" s="8" t="inlineStr"/>
      <c r="V425" s="8" t="inlineStr">
        <is>
          <t>data/item_templates.yaml:mission_chest_biyou_candeng.effect_payload</t>
        </is>
      </c>
    </row>
    <row r="426" ht="36" customHeight="1">
      <c r="A426" s="8" t="inlineStr">
        <is>
          <t>biyou_candeng</t>
        </is>
      </c>
      <c r="B426" s="8" t="inlineStr">
        <is>
          <t>封神之战：碧游残灯</t>
        </is>
      </c>
      <c r="C426" s="8" t="inlineStr">
        <is>
          <t>mission_chest_biyou_candeng</t>
        </is>
      </c>
      <c r="D426" s="8" t="inlineStr">
        <is>
          <t>碧游残灯宝箱</t>
        </is>
      </c>
      <c r="E426" s="8" t="inlineStr">
        <is>
          <t>必得</t>
        </is>
      </c>
      <c r="F426" s="8" t="inlineStr">
        <is>
          <t>wanyin_flag_fragment</t>
        </is>
      </c>
      <c r="G426" s="8" t="inlineStr">
        <is>
          <t>万仙阵旗残片</t>
        </is>
      </c>
      <c r="H426" s="8" t="inlineStr">
        <is>
          <t>blue</t>
        </is>
      </c>
      <c r="I426" s="8" t="inlineStr">
        <is>
          <t>resource</t>
        </is>
      </c>
      <c r="J426" s="8" t="n">
        <v>1</v>
      </c>
      <c r="K426" s="8" t="n">
        <v>1</v>
      </c>
      <c r="L426" s="8" t="n">
        <v>1</v>
      </c>
      <c r="M426" s="8" t="n">
        <v>1</v>
      </c>
      <c r="N426" s="8" t="n">
        <v>1</v>
      </c>
      <c r="O426" s="8">
        <f>J426*K426/L426</f>
        <v>1.0</v>
      </c>
      <c r="P426" s="8">
        <f>(M426+N426)/2</f>
        <v>1.0</v>
      </c>
      <c r="Q426" s="8">
        <f>O426*P426</f>
        <v>1.0</v>
      </c>
      <c r="R426" s="8" t="n">
        <v>0</v>
      </c>
      <c r="S426" s="8">
        <f>Q426*R426</f>
        <v>0.0</v>
      </c>
      <c r="T426" s="8" t="n"/>
      <c r="U426" s="8" t="inlineStr"/>
      <c r="V426" s="8" t="inlineStr">
        <is>
          <t>data/item_templates.yaml:mission_chest_biyou_candeng.effect_payload</t>
        </is>
      </c>
    </row>
    <row r="427" ht="36" customHeight="1">
      <c r="A427" s="8" t="inlineStr">
        <is>
          <t>biyou_candeng</t>
        </is>
      </c>
      <c r="B427" s="8" t="inlineStr">
        <is>
          <t>封神之战：碧游残灯</t>
        </is>
      </c>
      <c r="C427" s="8" t="inlineStr">
        <is>
          <t>mission_chest_biyou_candeng</t>
        </is>
      </c>
      <c r="D427" s="8" t="inlineStr">
        <is>
          <t>碧游残灯宝箱</t>
        </is>
      </c>
      <c r="E427" s="8" t="inlineStr">
        <is>
          <t>experience_pineapple</t>
        </is>
      </c>
      <c r="F427" s="8" t="inlineStr">
        <is>
          <t>experience_pineapple</t>
        </is>
      </c>
      <c r="G427" s="8" t="inlineStr">
        <is>
          <t>经验菠萝</t>
        </is>
      </c>
      <c r="H427" s="8" t="inlineStr">
        <is>
          <t>blue</t>
        </is>
      </c>
      <c r="I427" s="8" t="inlineStr">
        <is>
          <t>experience_items</t>
        </is>
      </c>
      <c r="J427" s="8" t="n">
        <v>0.65</v>
      </c>
      <c r="K427" s="8" t="n">
        <v>1</v>
      </c>
      <c r="L427" s="8" t="n">
        <v>1</v>
      </c>
      <c r="M427" s="8" t="n">
        <v>8</v>
      </c>
      <c r="N427" s="8" t="n">
        <v>8</v>
      </c>
      <c r="O427" s="8">
        <f>J427*K427/L427</f>
        <v>0.65</v>
      </c>
      <c r="P427" s="8">
        <f>(M427+N427)/2</f>
        <v>8.0</v>
      </c>
      <c r="Q427" s="8">
        <f>O427*P427</f>
        <v>5.2</v>
      </c>
      <c r="R427" s="8" t="n">
        <v>16</v>
      </c>
      <c r="S427" s="8">
        <f>Q427*R427</f>
        <v>83.2</v>
      </c>
      <c r="T427" s="8" t="n"/>
      <c r="U427" s="8" t="inlineStr"/>
      <c r="V427" s="8" t="inlineStr">
        <is>
          <t>data/item_templates.yaml:mission_chest_biyou_candeng.effect_payload</t>
        </is>
      </c>
    </row>
    <row r="428" ht="36" customHeight="1">
      <c r="A428" s="8" t="inlineStr">
        <is>
          <t>biyou_candeng</t>
        </is>
      </c>
      <c r="B428" s="8" t="inlineStr">
        <is>
          <t>封神之战：碧游残灯</t>
        </is>
      </c>
      <c r="C428" s="8" t="inlineStr">
        <is>
          <t>mission_chest_biyou_candeng</t>
        </is>
      </c>
      <c r="D428" s="8" t="inlineStr">
        <is>
          <t>碧游残灯宝箱</t>
        </is>
      </c>
      <c r="E428" s="8" t="inlineStr">
        <is>
          <t>book_last_chance_revival</t>
        </is>
      </c>
      <c r="F428" s="8" t="inlineStr">
        <is>
          <t>book_last_chance_revival</t>
        </is>
      </c>
      <c r="G428" s="8" t="inlineStr">
        <is>
          <t>《绝处逢生》秘术</t>
        </is>
      </c>
      <c r="H428" s="8" t="inlineStr">
        <is>
          <t>blue</t>
        </is>
      </c>
      <c r="I428" s="8" t="inlineStr">
        <is>
          <t>skill_book</t>
        </is>
      </c>
      <c r="J428" s="8" t="n">
        <v>0.05</v>
      </c>
      <c r="K428" s="8" t="n">
        <v>1</v>
      </c>
      <c r="L428" s="8" t="n">
        <v>1</v>
      </c>
      <c r="M428" s="8" t="n">
        <v>1</v>
      </c>
      <c r="N428" s="8" t="n">
        <v>1</v>
      </c>
      <c r="O428" s="8">
        <f>J428*K428/L428</f>
        <v>0.05</v>
      </c>
      <c r="P428" s="8">
        <f>(M428+N428)/2</f>
        <v>1.0</v>
      </c>
      <c r="Q428" s="8">
        <f>O428*P428</f>
        <v>0.05</v>
      </c>
      <c r="R428" s="8" t="n">
        <v>0</v>
      </c>
      <c r="S428" s="8">
        <f>Q428*R428</f>
        <v>0.0</v>
      </c>
      <c r="T428" s="8" t="n"/>
      <c r="U428" s="8" t="inlineStr"/>
      <c r="V428" s="8" t="inlineStr">
        <is>
          <t>data/item_templates.yaml:mission_chest_biyou_candeng.effect_payload</t>
        </is>
      </c>
    </row>
    <row r="429" ht="36" customHeight="1">
      <c r="A429" s="8" t="inlineStr">
        <is>
          <t>biyou_candeng</t>
        </is>
      </c>
      <c r="B429" s="8" t="inlineStr">
        <is>
          <t>封神之战：碧游残灯</t>
        </is>
      </c>
      <c r="C429" s="8" t="inlineStr">
        <is>
          <t>mission_chest_biyou_candeng</t>
        </is>
      </c>
      <c r="D429" s="8" t="inlineStr">
        <is>
          <t>碧游残灯宝箱</t>
        </is>
      </c>
      <c r="E429" s="8" t="inlineStr">
        <is>
          <t>equip_baguajing</t>
        </is>
      </c>
      <c r="F429" s="8" t="inlineStr">
        <is>
          <t>equip_baguajing</t>
        </is>
      </c>
      <c r="G429" s="8" t="inlineStr">
        <is>
          <t>八卦镜</t>
        </is>
      </c>
      <c r="H429" s="8" t="inlineStr">
        <is>
          <t>purple</t>
        </is>
      </c>
      <c r="I429" s="8" t="inlineStr">
        <is>
          <t>equip_ornament</t>
        </is>
      </c>
      <c r="J429" s="8" t="n">
        <v>0.06</v>
      </c>
      <c r="K429" s="8" t="n">
        <v>1</v>
      </c>
      <c r="L429" s="8" t="n">
        <v>1</v>
      </c>
      <c r="M429" s="8" t="n">
        <v>1</v>
      </c>
      <c r="N429" s="8" t="n">
        <v>1</v>
      </c>
      <c r="O429" s="8">
        <f>J429*K429/L429</f>
        <v>0.06</v>
      </c>
      <c r="P429" s="8">
        <f>(M429+N429)/2</f>
        <v>1.0</v>
      </c>
      <c r="Q429" s="8">
        <f>O429*P429</f>
        <v>0.06</v>
      </c>
      <c r="R429" s="8" t="n">
        <v>0</v>
      </c>
      <c r="S429" s="8">
        <f>Q429*R429</f>
        <v>0.0</v>
      </c>
      <c r="T429" s="8" t="n"/>
      <c r="U429" s="8" t="inlineStr"/>
      <c r="V429" s="8" t="inlineStr">
        <is>
          <t>data/item_templates.yaml:mission_chest_biyou_candeng.effect_payload</t>
        </is>
      </c>
    </row>
    <row r="430" ht="36" customHeight="1">
      <c r="A430" s="8" t="inlineStr">
        <is>
          <t>biyou_candeng</t>
        </is>
      </c>
      <c r="B430" s="8" t="inlineStr">
        <is>
          <t>封神之战：碧游残灯</t>
        </is>
      </c>
      <c r="C430" s="8" t="inlineStr">
        <is>
          <t>mission_chest_biyou_candeng</t>
        </is>
      </c>
      <c r="D430" s="8" t="inlineStr">
        <is>
          <t>碧游残灯宝箱</t>
        </is>
      </c>
      <c r="E430" s="8" t="inlineStr">
        <is>
          <t>equip_xiaowei_set</t>
        </is>
      </c>
      <c r="F430" s="8" t="inlineStr">
        <is>
          <t>equip_xiaoweitoukui</t>
        </is>
      </c>
      <c r="G430" s="8" t="inlineStr">
        <is>
          <t>校尉头盔</t>
        </is>
      </c>
      <c r="H430" s="8" t="inlineStr">
        <is>
          <t>blue</t>
        </is>
      </c>
      <c r="I430" s="8" t="inlineStr">
        <is>
          <t>equip_helmet</t>
        </is>
      </c>
      <c r="J430" s="8" t="n">
        <v>0.35</v>
      </c>
      <c r="K430" s="8" t="n">
        <v>1</v>
      </c>
      <c r="L430" s="8" t="n">
        <v>4</v>
      </c>
      <c r="M430" s="8" t="n">
        <v>1</v>
      </c>
      <c r="N430" s="8" t="n">
        <v>1</v>
      </c>
      <c r="O430" s="8">
        <f>J430*K430/L430</f>
        <v>0.0875</v>
      </c>
      <c r="P430" s="8">
        <f>(M430+N430)/2</f>
        <v>1.0</v>
      </c>
      <c r="Q430" s="8">
        <f>O430*P430</f>
        <v>0.0875</v>
      </c>
      <c r="R430" s="8" t="n">
        <v>0</v>
      </c>
      <c r="S430" s="8">
        <f>Q430*R430</f>
        <v>0.0</v>
      </c>
      <c r="T430" s="8" t="n"/>
      <c r="U430" s="8" t="inlineStr"/>
      <c r="V430" s="8" t="inlineStr">
        <is>
          <t>data/item_templates.yaml:mission_chest_biyou_candeng.effect_payload</t>
        </is>
      </c>
    </row>
    <row r="431" ht="36" customHeight="1">
      <c r="A431" s="8" t="inlineStr">
        <is>
          <t>biyou_candeng</t>
        </is>
      </c>
      <c r="B431" s="8" t="inlineStr">
        <is>
          <t>封神之战：碧游残灯</t>
        </is>
      </c>
      <c r="C431" s="8" t="inlineStr">
        <is>
          <t>mission_chest_biyou_candeng</t>
        </is>
      </c>
      <c r="D431" s="8" t="inlineStr">
        <is>
          <t>碧游残灯宝箱</t>
        </is>
      </c>
      <c r="E431" s="8" t="inlineStr">
        <is>
          <t>equip_xiaowei_set</t>
        </is>
      </c>
      <c r="F431" s="8" t="inlineStr">
        <is>
          <t>equip_xiaoweikaijia</t>
        </is>
      </c>
      <c r="G431" s="8" t="inlineStr">
        <is>
          <t>校尉铠甲</t>
        </is>
      </c>
      <c r="H431" s="8" t="inlineStr">
        <is>
          <t>blue</t>
        </is>
      </c>
      <c r="I431" s="8" t="inlineStr">
        <is>
          <t>equip_armor</t>
        </is>
      </c>
      <c r="J431" s="8" t="n">
        <v>0.35</v>
      </c>
      <c r="K431" s="8" t="n">
        <v>1</v>
      </c>
      <c r="L431" s="8" t="n">
        <v>4</v>
      </c>
      <c r="M431" s="8" t="n">
        <v>1</v>
      </c>
      <c r="N431" s="8" t="n">
        <v>1</v>
      </c>
      <c r="O431" s="8">
        <f>J431*K431/L431</f>
        <v>0.0875</v>
      </c>
      <c r="P431" s="8">
        <f>(M431+N431)/2</f>
        <v>1.0</v>
      </c>
      <c r="Q431" s="8">
        <f>O431*P431</f>
        <v>0.0875</v>
      </c>
      <c r="R431" s="8" t="n">
        <v>0</v>
      </c>
      <c r="S431" s="8">
        <f>Q431*R431</f>
        <v>0.0</v>
      </c>
      <c r="T431" s="8" t="n"/>
      <c r="U431" s="8" t="inlineStr"/>
      <c r="V431" s="8" t="inlineStr">
        <is>
          <t>data/item_templates.yaml:mission_chest_biyou_candeng.effect_payload</t>
        </is>
      </c>
    </row>
    <row r="432" ht="36" customHeight="1">
      <c r="A432" s="8" t="inlineStr">
        <is>
          <t>biyou_candeng</t>
        </is>
      </c>
      <c r="B432" s="8" t="inlineStr">
        <is>
          <t>封神之战：碧游残灯</t>
        </is>
      </c>
      <c r="C432" s="8" t="inlineStr">
        <is>
          <t>mission_chest_biyou_candeng</t>
        </is>
      </c>
      <c r="D432" s="8" t="inlineStr">
        <is>
          <t>碧游残灯宝箱</t>
        </is>
      </c>
      <c r="E432" s="8" t="inlineStr">
        <is>
          <t>equip_xiaowei_set</t>
        </is>
      </c>
      <c r="F432" s="8" t="inlineStr">
        <is>
          <t>equip_xiaoweichangxue</t>
        </is>
      </c>
      <c r="G432" s="8" t="inlineStr">
        <is>
          <t>校尉长靴</t>
        </is>
      </c>
      <c r="H432" s="8" t="inlineStr">
        <is>
          <t>blue</t>
        </is>
      </c>
      <c r="I432" s="8" t="inlineStr">
        <is>
          <t>equip_shoes</t>
        </is>
      </c>
      <c r="J432" s="8" t="n">
        <v>0.35</v>
      </c>
      <c r="K432" s="8" t="n">
        <v>1</v>
      </c>
      <c r="L432" s="8" t="n">
        <v>4</v>
      </c>
      <c r="M432" s="8" t="n">
        <v>1</v>
      </c>
      <c r="N432" s="8" t="n">
        <v>1</v>
      </c>
      <c r="O432" s="8">
        <f>J432*K432/L432</f>
        <v>0.0875</v>
      </c>
      <c r="P432" s="8">
        <f>(M432+N432)/2</f>
        <v>1.0</v>
      </c>
      <c r="Q432" s="8">
        <f>O432*P432</f>
        <v>0.0875</v>
      </c>
      <c r="R432" s="8" t="n">
        <v>0</v>
      </c>
      <c r="S432" s="8">
        <f>Q432*R432</f>
        <v>0.0</v>
      </c>
      <c r="T432" s="8" t="n"/>
      <c r="U432" s="8" t="inlineStr"/>
      <c r="V432" s="8" t="inlineStr">
        <is>
          <t>data/item_templates.yaml:mission_chest_biyou_candeng.effect_payload</t>
        </is>
      </c>
    </row>
    <row r="433" ht="36" customHeight="1">
      <c r="A433" s="8" t="inlineStr">
        <is>
          <t>biyou_candeng</t>
        </is>
      </c>
      <c r="B433" s="8" t="inlineStr">
        <is>
          <t>封神之战：碧游残灯</t>
        </is>
      </c>
      <c r="C433" s="8" t="inlineStr">
        <is>
          <t>mission_chest_biyou_candeng</t>
        </is>
      </c>
      <c r="D433" s="8" t="inlineStr">
        <is>
          <t>碧游残灯宝箱</t>
        </is>
      </c>
      <c r="E433" s="8" t="inlineStr">
        <is>
          <t>equip_xiaowei_set</t>
        </is>
      </c>
      <c r="F433" s="8" t="inlineStr">
        <is>
          <t>equip_xiaoweichangjian</t>
        </is>
      </c>
      <c r="G433" s="8" t="inlineStr">
        <is>
          <t>校尉长剑</t>
        </is>
      </c>
      <c r="H433" s="8" t="inlineStr">
        <is>
          <t>blue</t>
        </is>
      </c>
      <c r="I433" s="8" t="inlineStr">
        <is>
          <t>equip_weapon</t>
        </is>
      </c>
      <c r="J433" s="8" t="n">
        <v>0.35</v>
      </c>
      <c r="K433" s="8" t="n">
        <v>1</v>
      </c>
      <c r="L433" s="8" t="n">
        <v>4</v>
      </c>
      <c r="M433" s="8" t="n">
        <v>1</v>
      </c>
      <c r="N433" s="8" t="n">
        <v>1</v>
      </c>
      <c r="O433" s="8">
        <f>J433*K433/L433</f>
        <v>0.0875</v>
      </c>
      <c r="P433" s="8">
        <f>(M433+N433)/2</f>
        <v>1.0</v>
      </c>
      <c r="Q433" s="8">
        <f>O433*P433</f>
        <v>0.0875</v>
      </c>
      <c r="R433" s="8" t="n">
        <v>0</v>
      </c>
      <c r="S433" s="8">
        <f>Q433*R433</f>
        <v>0.0</v>
      </c>
      <c r="T433" s="8" t="n"/>
      <c r="U433" s="8" t="inlineStr"/>
      <c r="V433" s="8" t="inlineStr">
        <is>
          <t>data/item_templates.yaml:mission_chest_biyou_candeng.effect_payload</t>
        </is>
      </c>
    </row>
    <row r="434" ht="36" customHeight="1">
      <c r="A434" s="8" t="inlineStr">
        <is>
          <t>biyou_candeng</t>
        </is>
      </c>
      <c r="B434" s="8" t="inlineStr">
        <is>
          <t>封神之战：碧游残灯</t>
        </is>
      </c>
      <c r="C434" s="8" t="inlineStr">
        <is>
          <t>mission_chest_biyou_candeng</t>
        </is>
      </c>
      <c r="D434" s="8" t="inlineStr">
        <is>
          <t>碧游残灯宝箱</t>
        </is>
      </c>
      <c r="E434" s="8" t="inlineStr">
        <is>
          <t>equip_huxian_set</t>
        </is>
      </c>
      <c r="F434" s="8" t="inlineStr">
        <is>
          <t>blueprint_huxianpao</t>
        </is>
      </c>
      <c r="G434" s="8" t="inlineStr">
        <is>
          <t>狐仙袍图纸</t>
        </is>
      </c>
      <c r="H434" s="8" t="inlineStr">
        <is>
          <t>purple</t>
        </is>
      </c>
      <c r="I434" s="8" t="inlineStr">
        <is>
          <t>tool</t>
        </is>
      </c>
      <c r="J434" s="8" t="n">
        <v>0.1</v>
      </c>
      <c r="K434" s="8" t="n">
        <v>1</v>
      </c>
      <c r="L434" s="8" t="n">
        <v>3</v>
      </c>
      <c r="M434" s="8" t="n">
        <v>1</v>
      </c>
      <c r="N434" s="8" t="n">
        <v>1</v>
      </c>
      <c r="O434" s="8">
        <f>J434*K434/L434</f>
        <v>0.03333333333333333</v>
      </c>
      <c r="P434" s="8">
        <f>(M434+N434)/2</f>
        <v>1.0</v>
      </c>
      <c r="Q434" s="8">
        <f>O434*P434</f>
        <v>0.03333333333333333</v>
      </c>
      <c r="R434" s="8" t="n">
        <v>0</v>
      </c>
      <c r="S434" s="8">
        <f>Q434*R434</f>
        <v>0.0</v>
      </c>
      <c r="T434" s="8" t="n">
        <v>7</v>
      </c>
      <c r="U434" s="8" t="inlineStr">
        <is>
          <t>狐仙袍</t>
        </is>
      </c>
      <c r="V434" s="8" t="inlineStr">
        <is>
          <t>data/item_templates.yaml:mission_chest_biyou_candeng.effect_payload</t>
        </is>
      </c>
    </row>
    <row r="435" ht="36" customHeight="1">
      <c r="A435" s="8" t="inlineStr">
        <is>
          <t>biyou_candeng</t>
        </is>
      </c>
      <c r="B435" s="8" t="inlineStr">
        <is>
          <t>封神之战：碧游残灯</t>
        </is>
      </c>
      <c r="C435" s="8" t="inlineStr">
        <is>
          <t>mission_chest_biyou_candeng</t>
        </is>
      </c>
      <c r="D435" s="8" t="inlineStr">
        <is>
          <t>碧游残灯宝箱</t>
        </is>
      </c>
      <c r="E435" s="8" t="inlineStr">
        <is>
          <t>equip_huxian_set</t>
        </is>
      </c>
      <c r="F435" s="8" t="inlineStr">
        <is>
          <t>blueprint_huxianxie</t>
        </is>
      </c>
      <c r="G435" s="8" t="inlineStr">
        <is>
          <t>狐仙鞋图纸</t>
        </is>
      </c>
      <c r="H435" s="8" t="inlineStr">
        <is>
          <t>purple</t>
        </is>
      </c>
      <c r="I435" s="8" t="inlineStr">
        <is>
          <t>tool</t>
        </is>
      </c>
      <c r="J435" s="8" t="n">
        <v>0.1</v>
      </c>
      <c r="K435" s="8" t="n">
        <v>1</v>
      </c>
      <c r="L435" s="8" t="n">
        <v>3</v>
      </c>
      <c r="M435" s="8" t="n">
        <v>1</v>
      </c>
      <c r="N435" s="8" t="n">
        <v>1</v>
      </c>
      <c r="O435" s="8">
        <f>J435*K435/L435</f>
        <v>0.03333333333333333</v>
      </c>
      <c r="P435" s="8">
        <f>(M435+N435)/2</f>
        <v>1.0</v>
      </c>
      <c r="Q435" s="8">
        <f>O435*P435</f>
        <v>0.03333333333333333</v>
      </c>
      <c r="R435" s="8" t="n">
        <v>0</v>
      </c>
      <c r="S435" s="8">
        <f>Q435*R435</f>
        <v>0.0</v>
      </c>
      <c r="T435" s="8" t="n">
        <v>7</v>
      </c>
      <c r="U435" s="8" t="inlineStr">
        <is>
          <t>狐仙鞋</t>
        </is>
      </c>
      <c r="V435" s="8" t="inlineStr">
        <is>
          <t>data/item_templates.yaml:mission_chest_biyou_candeng.effect_payload</t>
        </is>
      </c>
    </row>
    <row r="436" ht="36" customHeight="1">
      <c r="A436" s="8" t="inlineStr">
        <is>
          <t>biyou_candeng</t>
        </is>
      </c>
      <c r="B436" s="8" t="inlineStr">
        <is>
          <t>封神之战：碧游残灯</t>
        </is>
      </c>
      <c r="C436" s="8" t="inlineStr">
        <is>
          <t>mission_chest_biyou_candeng</t>
        </is>
      </c>
      <c r="D436" s="8" t="inlineStr">
        <is>
          <t>碧游残灯宝箱</t>
        </is>
      </c>
      <c r="E436" s="8" t="inlineStr">
        <is>
          <t>equip_huxian_set</t>
        </is>
      </c>
      <c r="F436" s="8" t="inlineStr">
        <is>
          <t>blueprint_huxianjian</t>
        </is>
      </c>
      <c r="G436" s="8" t="inlineStr">
        <is>
          <t>狐仙剑图纸</t>
        </is>
      </c>
      <c r="H436" s="8" t="inlineStr">
        <is>
          <t>purple</t>
        </is>
      </c>
      <c r="I436" s="8" t="inlineStr">
        <is>
          <t>tool</t>
        </is>
      </c>
      <c r="J436" s="8" t="n">
        <v>0.1</v>
      </c>
      <c r="K436" s="8" t="n">
        <v>1</v>
      </c>
      <c r="L436" s="8" t="n">
        <v>3</v>
      </c>
      <c r="M436" s="8" t="n">
        <v>1</v>
      </c>
      <c r="N436" s="8" t="n">
        <v>1</v>
      </c>
      <c r="O436" s="8">
        <f>J436*K436/L436</f>
        <v>0.03333333333333333</v>
      </c>
      <c r="P436" s="8">
        <f>(M436+N436)/2</f>
        <v>1.0</v>
      </c>
      <c r="Q436" s="8">
        <f>O436*P436</f>
        <v>0.03333333333333333</v>
      </c>
      <c r="R436" s="8" t="n">
        <v>0</v>
      </c>
      <c r="S436" s="8">
        <f>Q436*R436</f>
        <v>0.0</v>
      </c>
      <c r="T436" s="8" t="n">
        <v>7</v>
      </c>
      <c r="U436" s="8" t="inlineStr">
        <is>
          <t>狐仙剑</t>
        </is>
      </c>
      <c r="V436" s="8" t="inlineStr">
        <is>
          <t>data/item_templates.yaml:mission_chest_biyou_candeng.effect_payload</t>
        </is>
      </c>
    </row>
    <row r="437" ht="36" customHeight="1">
      <c r="A437" s="8" t="inlineStr">
        <is>
          <t>shier_xianyin</t>
        </is>
      </c>
      <c r="B437" s="8" t="inlineStr">
        <is>
          <t>封神之战：十二仙印</t>
        </is>
      </c>
      <c r="C437" s="8" t="inlineStr">
        <is>
          <t>mission_chest_shier_xianyin</t>
        </is>
      </c>
      <c r="D437" s="8" t="inlineStr">
        <is>
          <t>十二仙印宝箱</t>
        </is>
      </c>
      <c r="E437" s="8" t="inlineStr">
        <is>
          <t>必得</t>
        </is>
      </c>
      <c r="F437" s="8" t="inlineStr">
        <is>
          <t>experience_fruit</t>
        </is>
      </c>
      <c r="G437" s="8" t="inlineStr">
        <is>
          <t>经验果</t>
        </is>
      </c>
      <c r="H437" s="8" t="inlineStr">
        <is>
          <t>green</t>
        </is>
      </c>
      <c r="I437" s="8" t="inlineStr">
        <is>
          <t>experience_items</t>
        </is>
      </c>
      <c r="J437" s="8" t="n">
        <v>1</v>
      </c>
      <c r="K437" s="8" t="n">
        <v>1</v>
      </c>
      <c r="L437" s="8" t="n">
        <v>1</v>
      </c>
      <c r="M437" s="8" t="n">
        <v>207</v>
      </c>
      <c r="N437" s="8" t="n">
        <v>207</v>
      </c>
      <c r="O437" s="8">
        <f>J437*K437/L437</f>
        <v>1.0</v>
      </c>
      <c r="P437" s="8">
        <f>(M437+N437)/2</f>
        <v>207.0</v>
      </c>
      <c r="Q437" s="8">
        <f>O437*P437</f>
        <v>207.0</v>
      </c>
      <c r="R437" s="8" t="n">
        <v>1</v>
      </c>
      <c r="S437" s="8">
        <f>Q437*R437</f>
        <v>207.0</v>
      </c>
      <c r="T437" s="8" t="n"/>
      <c r="U437" s="8" t="inlineStr"/>
      <c r="V437" s="8" t="inlineStr">
        <is>
          <t>data/item_templates.yaml:mission_chest_shier_xianyin.effect_payload</t>
        </is>
      </c>
    </row>
    <row r="438" ht="36" customHeight="1">
      <c r="A438" s="8" t="inlineStr">
        <is>
          <t>shier_xianyin</t>
        </is>
      </c>
      <c r="B438" s="8" t="inlineStr">
        <is>
          <t>封神之战：十二仙印</t>
        </is>
      </c>
      <c r="C438" s="8" t="inlineStr">
        <is>
          <t>mission_chest_shier_xianyin</t>
        </is>
      </c>
      <c r="D438" s="8" t="inlineStr">
        <is>
          <t>十二仙印宝箱</t>
        </is>
      </c>
      <c r="E438" s="8" t="inlineStr">
        <is>
          <t>必得</t>
        </is>
      </c>
      <c r="F438" s="8" t="inlineStr">
        <is>
          <t>buxuedan</t>
        </is>
      </c>
      <c r="G438" s="8" t="inlineStr">
        <is>
          <t>补血丹</t>
        </is>
      </c>
      <c r="H438" s="8" t="inlineStr">
        <is>
          <t>black</t>
        </is>
      </c>
      <c r="I438" s="8" t="inlineStr">
        <is>
          <t>medicine</t>
        </is>
      </c>
      <c r="J438" s="8" t="n">
        <v>1</v>
      </c>
      <c r="K438" s="8" t="n">
        <v>1</v>
      </c>
      <c r="L438" s="8" t="n">
        <v>1</v>
      </c>
      <c r="M438" s="8" t="n">
        <v>4</v>
      </c>
      <c r="N438" s="8" t="n">
        <v>4</v>
      </c>
      <c r="O438" s="8">
        <f>J438*K438/L438</f>
        <v>1.0</v>
      </c>
      <c r="P438" s="8">
        <f>(M438+N438)/2</f>
        <v>4.0</v>
      </c>
      <c r="Q438" s="8">
        <f>O438*P438</f>
        <v>4.0</v>
      </c>
      <c r="R438" s="8" t="n">
        <v>0</v>
      </c>
      <c r="S438" s="8">
        <f>Q438*R438</f>
        <v>0.0</v>
      </c>
      <c r="T438" s="8" t="n"/>
      <c r="U438" s="8" t="inlineStr"/>
      <c r="V438" s="8" t="inlineStr">
        <is>
          <t>data/item_templates.yaml:mission_chest_shier_xianyin.effect_payload</t>
        </is>
      </c>
    </row>
    <row r="439" ht="36" customHeight="1">
      <c r="A439" s="8" t="inlineStr">
        <is>
          <t>shier_xianyin</t>
        </is>
      </c>
      <c r="B439" s="8" t="inlineStr">
        <is>
          <t>封神之战：十二仙印</t>
        </is>
      </c>
      <c r="C439" s="8" t="inlineStr">
        <is>
          <t>mission_chest_shier_xianyin</t>
        </is>
      </c>
      <c r="D439" s="8" t="inlineStr">
        <is>
          <t>十二仙印宝箱</t>
        </is>
      </c>
      <c r="E439" s="8" t="inlineStr">
        <is>
          <t>必得</t>
        </is>
      </c>
      <c r="F439" s="8" t="inlineStr">
        <is>
          <t>tong</t>
        </is>
      </c>
      <c r="G439" s="8" t="inlineStr">
        <is>
          <t>铜</t>
        </is>
      </c>
      <c r="H439" s="8" t="inlineStr">
        <is>
          <t>black</t>
        </is>
      </c>
      <c r="I439" s="8" t="inlineStr">
        <is>
          <t>resource</t>
        </is>
      </c>
      <c r="J439" s="8" t="n">
        <v>1</v>
      </c>
      <c r="K439" s="8" t="n">
        <v>1</v>
      </c>
      <c r="L439" s="8" t="n">
        <v>1</v>
      </c>
      <c r="M439" s="8" t="n">
        <v>12</v>
      </c>
      <c r="N439" s="8" t="n">
        <v>12</v>
      </c>
      <c r="O439" s="8">
        <f>J439*K439/L439</f>
        <v>1.0</v>
      </c>
      <c r="P439" s="8">
        <f>(M439+N439)/2</f>
        <v>12.0</v>
      </c>
      <c r="Q439" s="8">
        <f>O439*P439</f>
        <v>12.0</v>
      </c>
      <c r="R439" s="8" t="n">
        <v>0</v>
      </c>
      <c r="S439" s="8">
        <f>Q439*R439</f>
        <v>0.0</v>
      </c>
      <c r="T439" s="8" t="n"/>
      <c r="U439" s="8" t="inlineStr"/>
      <c r="V439" s="8" t="inlineStr">
        <is>
          <t>data/item_templates.yaml:mission_chest_shier_xianyin.effect_payload</t>
        </is>
      </c>
    </row>
    <row r="440" ht="36" customHeight="1">
      <c r="A440" s="8" t="inlineStr">
        <is>
          <t>shier_xianyin</t>
        </is>
      </c>
      <c r="B440" s="8" t="inlineStr">
        <is>
          <t>封神之战：十二仙印</t>
        </is>
      </c>
      <c r="C440" s="8" t="inlineStr">
        <is>
          <t>mission_chest_shier_xianyin</t>
        </is>
      </c>
      <c r="D440" s="8" t="inlineStr">
        <is>
          <t>十二仙印宝箱</t>
        </is>
      </c>
      <c r="E440" s="8" t="inlineStr">
        <is>
          <t>必得</t>
        </is>
      </c>
      <c r="F440" s="8" t="inlineStr">
        <is>
          <t>xi</t>
        </is>
      </c>
      <c r="G440" s="8" t="inlineStr">
        <is>
          <t>锡</t>
        </is>
      </c>
      <c r="H440" s="8" t="inlineStr">
        <is>
          <t>black</t>
        </is>
      </c>
      <c r="I440" s="8" t="inlineStr">
        <is>
          <t>resource</t>
        </is>
      </c>
      <c r="J440" s="8" t="n">
        <v>1</v>
      </c>
      <c r="K440" s="8" t="n">
        <v>1</v>
      </c>
      <c r="L440" s="8" t="n">
        <v>1</v>
      </c>
      <c r="M440" s="8" t="n">
        <v>8</v>
      </c>
      <c r="N440" s="8" t="n">
        <v>8</v>
      </c>
      <c r="O440" s="8">
        <f>J440*K440/L440</f>
        <v>1.0</v>
      </c>
      <c r="P440" s="8">
        <f>(M440+N440)/2</f>
        <v>8.0</v>
      </c>
      <c r="Q440" s="8">
        <f>O440*P440</f>
        <v>8.0</v>
      </c>
      <c r="R440" s="8" t="n">
        <v>0</v>
      </c>
      <c r="S440" s="8">
        <f>Q440*R440</f>
        <v>0.0</v>
      </c>
      <c r="T440" s="8" t="n"/>
      <c r="U440" s="8" t="inlineStr"/>
      <c r="V440" s="8" t="inlineStr">
        <is>
          <t>data/item_templates.yaml:mission_chest_shier_xianyin.effect_payload</t>
        </is>
      </c>
    </row>
    <row r="441" ht="36" customHeight="1">
      <c r="A441" s="8" t="inlineStr">
        <is>
          <t>shier_xianyin</t>
        </is>
      </c>
      <c r="B441" s="8" t="inlineStr">
        <is>
          <t>封神之战：十二仙印</t>
        </is>
      </c>
      <c r="C441" s="8" t="inlineStr">
        <is>
          <t>mission_chest_shier_xianyin</t>
        </is>
      </c>
      <c r="D441" s="8" t="inlineStr">
        <is>
          <t>十二仙印宝箱</t>
        </is>
      </c>
      <c r="E441" s="8" t="inlineStr">
        <is>
          <t>必得</t>
        </is>
      </c>
      <c r="F441" s="8" t="inlineStr">
        <is>
          <t>tie</t>
        </is>
      </c>
      <c r="G441" s="8" t="inlineStr">
        <is>
          <t>铁</t>
        </is>
      </c>
      <c r="H441" s="8" t="inlineStr">
        <is>
          <t>black</t>
        </is>
      </c>
      <c r="I441" s="8" t="inlineStr">
        <is>
          <t>resource</t>
        </is>
      </c>
      <c r="J441" s="8" t="n">
        <v>1</v>
      </c>
      <c r="K441" s="8" t="n">
        <v>1</v>
      </c>
      <c r="L441" s="8" t="n">
        <v>1</v>
      </c>
      <c r="M441" s="8" t="n">
        <v>5</v>
      </c>
      <c r="N441" s="8" t="n">
        <v>5</v>
      </c>
      <c r="O441" s="8">
        <f>J441*K441/L441</f>
        <v>1.0</v>
      </c>
      <c r="P441" s="8">
        <f>(M441+N441)/2</f>
        <v>5.0</v>
      </c>
      <c r="Q441" s="8">
        <f>O441*P441</f>
        <v>5.0</v>
      </c>
      <c r="R441" s="8" t="n">
        <v>0</v>
      </c>
      <c r="S441" s="8">
        <f>Q441*R441</f>
        <v>0.0</v>
      </c>
      <c r="T441" s="8" t="n"/>
      <c r="U441" s="8" t="inlineStr"/>
      <c r="V441" s="8" t="inlineStr">
        <is>
          <t>data/item_templates.yaml:mission_chest_shier_xianyin.effect_payload</t>
        </is>
      </c>
    </row>
    <row r="442" ht="36" customHeight="1">
      <c r="A442" s="8" t="inlineStr">
        <is>
          <t>shier_xianyin</t>
        </is>
      </c>
      <c r="B442" s="8" t="inlineStr">
        <is>
          <t>封神之战：十二仙印</t>
        </is>
      </c>
      <c r="C442" s="8" t="inlineStr">
        <is>
          <t>mission_chest_shier_xianyin</t>
        </is>
      </c>
      <c r="D442" s="8" t="inlineStr">
        <is>
          <t>十二仙印宝箱</t>
        </is>
      </c>
      <c r="E442" s="8" t="inlineStr">
        <is>
          <t>必得</t>
        </is>
      </c>
      <c r="F442" s="8" t="inlineStr">
        <is>
          <t>yuxu_broken_seal</t>
        </is>
      </c>
      <c r="G442" s="8" t="inlineStr">
        <is>
          <t>玉虚碎印</t>
        </is>
      </c>
      <c r="H442" s="8" t="inlineStr">
        <is>
          <t>purple</t>
        </is>
      </c>
      <c r="I442" s="8" t="inlineStr">
        <is>
          <t>resource</t>
        </is>
      </c>
      <c r="J442" s="8" t="n">
        <v>1</v>
      </c>
      <c r="K442" s="8" t="n">
        <v>1</v>
      </c>
      <c r="L442" s="8" t="n">
        <v>1</v>
      </c>
      <c r="M442" s="8" t="n">
        <v>1</v>
      </c>
      <c r="N442" s="8" t="n">
        <v>1</v>
      </c>
      <c r="O442" s="8">
        <f>J442*K442/L442</f>
        <v>1.0</v>
      </c>
      <c r="P442" s="8">
        <f>(M442+N442)/2</f>
        <v>1.0</v>
      </c>
      <c r="Q442" s="8">
        <f>O442*P442</f>
        <v>1.0</v>
      </c>
      <c r="R442" s="8" t="n">
        <v>0</v>
      </c>
      <c r="S442" s="8">
        <f>Q442*R442</f>
        <v>0.0</v>
      </c>
      <c r="T442" s="8" t="n"/>
      <c r="U442" s="8" t="inlineStr"/>
      <c r="V442" s="8" t="inlineStr">
        <is>
          <t>data/item_templates.yaml:mission_chest_shier_xianyin.effect_payload</t>
        </is>
      </c>
    </row>
    <row r="443" ht="36" customHeight="1">
      <c r="A443" s="8" t="inlineStr">
        <is>
          <t>shier_xianyin</t>
        </is>
      </c>
      <c r="B443" s="8" t="inlineStr">
        <is>
          <t>封神之战：十二仙印</t>
        </is>
      </c>
      <c r="C443" s="8" t="inlineStr">
        <is>
          <t>mission_chest_shier_xianyin</t>
        </is>
      </c>
      <c r="D443" s="8" t="inlineStr">
        <is>
          <t>十二仙印宝箱</t>
        </is>
      </c>
      <c r="E443" s="8" t="inlineStr">
        <is>
          <t>experience_pineapple</t>
        </is>
      </c>
      <c r="F443" s="8" t="inlineStr">
        <is>
          <t>experience_pineapple</t>
        </is>
      </c>
      <c r="G443" s="8" t="inlineStr">
        <is>
          <t>经验菠萝</t>
        </is>
      </c>
      <c r="H443" s="8" t="inlineStr">
        <is>
          <t>blue</t>
        </is>
      </c>
      <c r="I443" s="8" t="inlineStr">
        <is>
          <t>experience_items</t>
        </is>
      </c>
      <c r="J443" s="8" t="n">
        <v>0.7</v>
      </c>
      <c r="K443" s="8" t="n">
        <v>1</v>
      </c>
      <c r="L443" s="8" t="n">
        <v>1</v>
      </c>
      <c r="M443" s="8" t="n">
        <v>12</v>
      </c>
      <c r="N443" s="8" t="n">
        <v>12</v>
      </c>
      <c r="O443" s="8">
        <f>J443*K443/L443</f>
        <v>0.7</v>
      </c>
      <c r="P443" s="8">
        <f>(M443+N443)/2</f>
        <v>12.0</v>
      </c>
      <c r="Q443" s="8">
        <f>O443*P443</f>
        <v>8.399999999999999</v>
      </c>
      <c r="R443" s="8" t="n">
        <v>16</v>
      </c>
      <c r="S443" s="8">
        <f>Q443*R443</f>
        <v>134.39999999999998</v>
      </c>
      <c r="T443" s="8" t="n"/>
      <c r="U443" s="8" t="inlineStr"/>
      <c r="V443" s="8" t="inlineStr">
        <is>
          <t>data/item_templates.yaml:mission_chest_shier_xianyin.effect_payload</t>
        </is>
      </c>
    </row>
    <row r="444" ht="36" customHeight="1">
      <c r="A444" s="8" t="inlineStr">
        <is>
          <t>shier_xianyin</t>
        </is>
      </c>
      <c r="B444" s="8" t="inlineStr">
        <is>
          <t>封神之战：十二仙印</t>
        </is>
      </c>
      <c r="C444" s="8" t="inlineStr">
        <is>
          <t>mission_chest_shier_xianyin</t>
        </is>
      </c>
      <c r="D444" s="8" t="inlineStr">
        <is>
          <t>十二仙印宝箱</t>
        </is>
      </c>
      <c r="E444" s="8" t="inlineStr">
        <is>
          <t>book_five_thunder_descent</t>
        </is>
      </c>
      <c r="F444" s="8" t="inlineStr">
        <is>
          <t>book_five_thunder_descent</t>
        </is>
      </c>
      <c r="G444" s="8" t="inlineStr">
        <is>
          <t>《五雷降世》秘术</t>
        </is>
      </c>
      <c r="H444" s="8" t="inlineStr">
        <is>
          <t>purple</t>
        </is>
      </c>
      <c r="I444" s="8" t="inlineStr">
        <is>
          <t>skill_book</t>
        </is>
      </c>
      <c r="J444" s="8" t="n">
        <v>0.048</v>
      </c>
      <c r="K444" s="8" t="n">
        <v>1</v>
      </c>
      <c r="L444" s="8" t="n">
        <v>1</v>
      </c>
      <c r="M444" s="8" t="n">
        <v>1</v>
      </c>
      <c r="N444" s="8" t="n">
        <v>1</v>
      </c>
      <c r="O444" s="8">
        <f>J444*K444/L444</f>
        <v>0.048</v>
      </c>
      <c r="P444" s="8">
        <f>(M444+N444)/2</f>
        <v>1.0</v>
      </c>
      <c r="Q444" s="8">
        <f>O444*P444</f>
        <v>0.048</v>
      </c>
      <c r="R444" s="8" t="n">
        <v>0</v>
      </c>
      <c r="S444" s="8">
        <f>Q444*R444</f>
        <v>0.0</v>
      </c>
      <c r="T444" s="8" t="n"/>
      <c r="U444" s="8" t="inlineStr"/>
      <c r="V444" s="8" t="inlineStr">
        <is>
          <t>data/item_templates.yaml:mission_chest_shier_xianyin.effect_payload</t>
        </is>
      </c>
    </row>
    <row r="445" ht="36" customHeight="1">
      <c r="A445" s="8" t="inlineStr">
        <is>
          <t>shier_xianyin</t>
        </is>
      </c>
      <c r="B445" s="8" t="inlineStr">
        <is>
          <t>封神之战：十二仙印</t>
        </is>
      </c>
      <c r="C445" s="8" t="inlineStr">
        <is>
          <t>mission_chest_shier_xianyin</t>
        </is>
      </c>
      <c r="D445" s="8" t="inlineStr">
        <is>
          <t>十二仙印宝箱</t>
        </is>
      </c>
      <c r="E445" s="8" t="inlineStr">
        <is>
          <t>book_hell_instant_formation</t>
        </is>
      </c>
      <c r="F445" s="8" t="inlineStr">
        <is>
          <t>book_hell_instant_formation</t>
        </is>
      </c>
      <c r="G445" s="8" t="inlineStr">
        <is>
          <t>《瞬狱杀阵》秘术</t>
        </is>
      </c>
      <c r="H445" s="8" t="inlineStr">
        <is>
          <t>purple</t>
        </is>
      </c>
      <c r="I445" s="8" t="inlineStr">
        <is>
          <t>skill_book</t>
        </is>
      </c>
      <c r="J445" s="8" t="n">
        <v>0.048</v>
      </c>
      <c r="K445" s="8" t="n">
        <v>1</v>
      </c>
      <c r="L445" s="8" t="n">
        <v>1</v>
      </c>
      <c r="M445" s="8" t="n">
        <v>1</v>
      </c>
      <c r="N445" s="8" t="n">
        <v>1</v>
      </c>
      <c r="O445" s="8">
        <f>J445*K445/L445</f>
        <v>0.048</v>
      </c>
      <c r="P445" s="8">
        <f>(M445+N445)/2</f>
        <v>1.0</v>
      </c>
      <c r="Q445" s="8">
        <f>O445*P445</f>
        <v>0.048</v>
      </c>
      <c r="R445" s="8" t="n">
        <v>0</v>
      </c>
      <c r="S445" s="8">
        <f>Q445*R445</f>
        <v>0.0</v>
      </c>
      <c r="T445" s="8" t="n"/>
      <c r="U445" s="8" t="inlineStr"/>
      <c r="V445" s="8" t="inlineStr">
        <is>
          <t>data/item_templates.yaml:mission_chest_shier_xianyin.effect_payload</t>
        </is>
      </c>
    </row>
    <row r="446" ht="36" customHeight="1">
      <c r="A446" s="8" t="inlineStr">
        <is>
          <t>shier_xianyin</t>
        </is>
      </c>
      <c r="B446" s="8" t="inlineStr">
        <is>
          <t>封神之战：十二仙印</t>
        </is>
      </c>
      <c r="C446" s="8" t="inlineStr">
        <is>
          <t>mission_chest_shier_xianyin</t>
        </is>
      </c>
      <c r="D446" s="8" t="inlineStr">
        <is>
          <t>十二仙印宝箱</t>
        </is>
      </c>
      <c r="E446" s="8" t="inlineStr">
        <is>
          <t>equip_taiqingyuce</t>
        </is>
      </c>
      <c r="F446" s="8" t="inlineStr">
        <is>
          <t>equip_taiqingyuce</t>
        </is>
      </c>
      <c r="G446" s="8" t="inlineStr">
        <is>
          <t>太清玉册</t>
        </is>
      </c>
      <c r="H446" s="8" t="inlineStr">
        <is>
          <t>orange</t>
        </is>
      </c>
      <c r="I446" s="8" t="inlineStr">
        <is>
          <t>equip_ornament</t>
        </is>
      </c>
      <c r="J446" s="8" t="n">
        <v>0.009599999999999999</v>
      </c>
      <c r="K446" s="8" t="n">
        <v>1</v>
      </c>
      <c r="L446" s="8" t="n">
        <v>1</v>
      </c>
      <c r="M446" s="8" t="n">
        <v>1</v>
      </c>
      <c r="N446" s="8" t="n">
        <v>1</v>
      </c>
      <c r="O446" s="8">
        <f>J446*K446/L446</f>
        <v>0.0096</v>
      </c>
      <c r="P446" s="8">
        <f>(M446+N446)/2</f>
        <v>1.0</v>
      </c>
      <c r="Q446" s="8">
        <f>O446*P446</f>
        <v>0.0096</v>
      </c>
      <c r="R446" s="8" t="n">
        <v>0</v>
      </c>
      <c r="S446" s="8">
        <f>Q446*R446</f>
        <v>0.0</v>
      </c>
      <c r="T446" s="8" t="n"/>
      <c r="U446" s="8" t="inlineStr"/>
      <c r="V446" s="8" t="inlineStr">
        <is>
          <t>data/item_templates.yaml:mission_chest_shier_xianyin.effect_payload</t>
        </is>
      </c>
    </row>
    <row r="447" ht="36" customHeight="1">
      <c r="A447" s="8" t="inlineStr">
        <is>
          <t>fengbang_tianmen</t>
        </is>
      </c>
      <c r="B447" s="8" t="inlineStr">
        <is>
          <t>封神之战：封榜天门</t>
        </is>
      </c>
      <c r="C447" s="8" t="inlineStr">
        <is>
          <t>mission_chest_fengbang_tianmen</t>
        </is>
      </c>
      <c r="D447" s="8" t="inlineStr">
        <is>
          <t>封榜天门宝箱</t>
        </is>
      </c>
      <c r="E447" s="8" t="inlineStr">
        <is>
          <t>必得</t>
        </is>
      </c>
      <c r="F447" s="8" t="inlineStr">
        <is>
          <t>experience_fruit</t>
        </is>
      </c>
      <c r="G447" s="8" t="inlineStr">
        <is>
          <t>经验果</t>
        </is>
      </c>
      <c r="H447" s="8" t="inlineStr">
        <is>
          <t>green</t>
        </is>
      </c>
      <c r="I447" s="8" t="inlineStr">
        <is>
          <t>experience_items</t>
        </is>
      </c>
      <c r="J447" s="8" t="n">
        <v>1</v>
      </c>
      <c r="K447" s="8" t="n">
        <v>1</v>
      </c>
      <c r="L447" s="8" t="n">
        <v>1</v>
      </c>
      <c r="M447" s="8" t="n">
        <v>180</v>
      </c>
      <c r="N447" s="8" t="n">
        <v>180</v>
      </c>
      <c r="O447" s="8">
        <f>J447*K447/L447</f>
        <v>1.0</v>
      </c>
      <c r="P447" s="8">
        <f>(M447+N447)/2</f>
        <v>180.0</v>
      </c>
      <c r="Q447" s="8">
        <f>O447*P447</f>
        <v>180.0</v>
      </c>
      <c r="R447" s="8" t="n">
        <v>1</v>
      </c>
      <c r="S447" s="8">
        <f>Q447*R447</f>
        <v>180.0</v>
      </c>
      <c r="T447" s="8" t="n"/>
      <c r="U447" s="8" t="inlineStr"/>
      <c r="V447" s="8" t="inlineStr">
        <is>
          <t>data/item_templates.yaml:mission_chest_fengbang_tianmen.effect_payload</t>
        </is>
      </c>
    </row>
    <row r="448" ht="36" customHeight="1">
      <c r="A448" s="8" t="inlineStr">
        <is>
          <t>fengbang_tianmen</t>
        </is>
      </c>
      <c r="B448" s="8" t="inlineStr">
        <is>
          <t>封神之战：封榜天门</t>
        </is>
      </c>
      <c r="C448" s="8" t="inlineStr">
        <is>
          <t>mission_chest_fengbang_tianmen</t>
        </is>
      </c>
      <c r="D448" s="8" t="inlineStr">
        <is>
          <t>封榜天门宝箱</t>
        </is>
      </c>
      <c r="E448" s="8" t="inlineStr">
        <is>
          <t>必得</t>
        </is>
      </c>
      <c r="F448" s="8" t="inlineStr">
        <is>
          <t>buxuedan</t>
        </is>
      </c>
      <c r="G448" s="8" t="inlineStr">
        <is>
          <t>补血丹</t>
        </is>
      </c>
      <c r="H448" s="8" t="inlineStr">
        <is>
          <t>black</t>
        </is>
      </c>
      <c r="I448" s="8" t="inlineStr">
        <is>
          <t>medicine</t>
        </is>
      </c>
      <c r="J448" s="8" t="n">
        <v>1</v>
      </c>
      <c r="K448" s="8" t="n">
        <v>1</v>
      </c>
      <c r="L448" s="8" t="n">
        <v>1</v>
      </c>
      <c r="M448" s="8" t="n">
        <v>4</v>
      </c>
      <c r="N448" s="8" t="n">
        <v>4</v>
      </c>
      <c r="O448" s="8">
        <f>J448*K448/L448</f>
        <v>1.0</v>
      </c>
      <c r="P448" s="8">
        <f>(M448+N448)/2</f>
        <v>4.0</v>
      </c>
      <c r="Q448" s="8">
        <f>O448*P448</f>
        <v>4.0</v>
      </c>
      <c r="R448" s="8" t="n">
        <v>0</v>
      </c>
      <c r="S448" s="8">
        <f>Q448*R448</f>
        <v>0.0</v>
      </c>
      <c r="T448" s="8" t="n"/>
      <c r="U448" s="8" t="inlineStr"/>
      <c r="V448" s="8" t="inlineStr">
        <is>
          <t>data/item_templates.yaml:mission_chest_fengbang_tianmen.effect_payload</t>
        </is>
      </c>
    </row>
    <row r="449" ht="36" customHeight="1">
      <c r="A449" s="8" t="inlineStr">
        <is>
          <t>fengbang_tianmen</t>
        </is>
      </c>
      <c r="B449" s="8" t="inlineStr">
        <is>
          <t>封神之战：封榜天门</t>
        </is>
      </c>
      <c r="C449" s="8" t="inlineStr">
        <is>
          <t>mission_chest_fengbang_tianmen</t>
        </is>
      </c>
      <c r="D449" s="8" t="inlineStr">
        <is>
          <t>封榜天门宝箱</t>
        </is>
      </c>
      <c r="E449" s="8" t="inlineStr">
        <is>
          <t>必得</t>
        </is>
      </c>
      <c r="F449" s="8" t="inlineStr">
        <is>
          <t>tong</t>
        </is>
      </c>
      <c r="G449" s="8" t="inlineStr">
        <is>
          <t>铜</t>
        </is>
      </c>
      <c r="H449" s="8" t="inlineStr">
        <is>
          <t>black</t>
        </is>
      </c>
      <c r="I449" s="8" t="inlineStr">
        <is>
          <t>resource</t>
        </is>
      </c>
      <c r="J449" s="8" t="n">
        <v>1</v>
      </c>
      <c r="K449" s="8" t="n">
        <v>1</v>
      </c>
      <c r="L449" s="8" t="n">
        <v>1</v>
      </c>
      <c r="M449" s="8" t="n">
        <v>12</v>
      </c>
      <c r="N449" s="8" t="n">
        <v>12</v>
      </c>
      <c r="O449" s="8">
        <f>J449*K449/L449</f>
        <v>1.0</v>
      </c>
      <c r="P449" s="8">
        <f>(M449+N449)/2</f>
        <v>12.0</v>
      </c>
      <c r="Q449" s="8">
        <f>O449*P449</f>
        <v>12.0</v>
      </c>
      <c r="R449" s="8" t="n">
        <v>0</v>
      </c>
      <c r="S449" s="8">
        <f>Q449*R449</f>
        <v>0.0</v>
      </c>
      <c r="T449" s="8" t="n"/>
      <c r="U449" s="8" t="inlineStr"/>
      <c r="V449" s="8" t="inlineStr">
        <is>
          <t>data/item_templates.yaml:mission_chest_fengbang_tianmen.effect_payload</t>
        </is>
      </c>
    </row>
    <row r="450" ht="36" customHeight="1">
      <c r="A450" s="8" t="inlineStr">
        <is>
          <t>fengbang_tianmen</t>
        </is>
      </c>
      <c r="B450" s="8" t="inlineStr">
        <is>
          <t>封神之战：封榜天门</t>
        </is>
      </c>
      <c r="C450" s="8" t="inlineStr">
        <is>
          <t>mission_chest_fengbang_tianmen</t>
        </is>
      </c>
      <c r="D450" s="8" t="inlineStr">
        <is>
          <t>封榜天门宝箱</t>
        </is>
      </c>
      <c r="E450" s="8" t="inlineStr">
        <is>
          <t>必得</t>
        </is>
      </c>
      <c r="F450" s="8" t="inlineStr">
        <is>
          <t>xi</t>
        </is>
      </c>
      <c r="G450" s="8" t="inlineStr">
        <is>
          <t>锡</t>
        </is>
      </c>
      <c r="H450" s="8" t="inlineStr">
        <is>
          <t>black</t>
        </is>
      </c>
      <c r="I450" s="8" t="inlineStr">
        <is>
          <t>resource</t>
        </is>
      </c>
      <c r="J450" s="8" t="n">
        <v>1</v>
      </c>
      <c r="K450" s="8" t="n">
        <v>1</v>
      </c>
      <c r="L450" s="8" t="n">
        <v>1</v>
      </c>
      <c r="M450" s="8" t="n">
        <v>8</v>
      </c>
      <c r="N450" s="8" t="n">
        <v>8</v>
      </c>
      <c r="O450" s="8">
        <f>J450*K450/L450</f>
        <v>1.0</v>
      </c>
      <c r="P450" s="8">
        <f>(M450+N450)/2</f>
        <v>8.0</v>
      </c>
      <c r="Q450" s="8">
        <f>O450*P450</f>
        <v>8.0</v>
      </c>
      <c r="R450" s="8" t="n">
        <v>0</v>
      </c>
      <c r="S450" s="8">
        <f>Q450*R450</f>
        <v>0.0</v>
      </c>
      <c r="T450" s="8" t="n"/>
      <c r="U450" s="8" t="inlineStr"/>
      <c r="V450" s="8" t="inlineStr">
        <is>
          <t>data/item_templates.yaml:mission_chest_fengbang_tianmen.effect_payload</t>
        </is>
      </c>
    </row>
    <row r="451" ht="36" customHeight="1">
      <c r="A451" s="8" t="inlineStr">
        <is>
          <t>fengbang_tianmen</t>
        </is>
      </c>
      <c r="B451" s="8" t="inlineStr">
        <is>
          <t>封神之战：封榜天门</t>
        </is>
      </c>
      <c r="C451" s="8" t="inlineStr">
        <is>
          <t>mission_chest_fengbang_tianmen</t>
        </is>
      </c>
      <c r="D451" s="8" t="inlineStr">
        <is>
          <t>封榜天门宝箱</t>
        </is>
      </c>
      <c r="E451" s="8" t="inlineStr">
        <is>
          <t>必得</t>
        </is>
      </c>
      <c r="F451" s="8" t="inlineStr">
        <is>
          <t>tie</t>
        </is>
      </c>
      <c r="G451" s="8" t="inlineStr">
        <is>
          <t>铁</t>
        </is>
      </c>
      <c r="H451" s="8" t="inlineStr">
        <is>
          <t>black</t>
        </is>
      </c>
      <c r="I451" s="8" t="inlineStr">
        <is>
          <t>resource</t>
        </is>
      </c>
      <c r="J451" s="8" t="n">
        <v>1</v>
      </c>
      <c r="K451" s="8" t="n">
        <v>1</v>
      </c>
      <c r="L451" s="8" t="n">
        <v>1</v>
      </c>
      <c r="M451" s="8" t="n">
        <v>5</v>
      </c>
      <c r="N451" s="8" t="n">
        <v>5</v>
      </c>
      <c r="O451" s="8">
        <f>J451*K451/L451</f>
        <v>1.0</v>
      </c>
      <c r="P451" s="8">
        <f>(M451+N451)/2</f>
        <v>5.0</v>
      </c>
      <c r="Q451" s="8">
        <f>O451*P451</f>
        <v>5.0</v>
      </c>
      <c r="R451" s="8" t="n">
        <v>0</v>
      </c>
      <c r="S451" s="8">
        <f>Q451*R451</f>
        <v>0.0</v>
      </c>
      <c r="T451" s="8" t="n"/>
      <c r="U451" s="8" t="inlineStr"/>
      <c r="V451" s="8" t="inlineStr">
        <is>
          <t>data/item_templates.yaml:mission_chest_fengbang_tianmen.effect_payload</t>
        </is>
      </c>
    </row>
    <row r="452" ht="36" customHeight="1">
      <c r="A452" s="8" t="inlineStr">
        <is>
          <t>fengbang_tianmen</t>
        </is>
      </c>
      <c r="B452" s="8" t="inlineStr">
        <is>
          <t>封神之战：封榜天门</t>
        </is>
      </c>
      <c r="C452" s="8" t="inlineStr">
        <is>
          <t>mission_chest_fengbang_tianmen</t>
        </is>
      </c>
      <c r="D452" s="8" t="inlineStr">
        <is>
          <t>封榜天门宝箱</t>
        </is>
      </c>
      <c r="E452" s="8" t="inlineStr">
        <is>
          <t>必得</t>
        </is>
      </c>
      <c r="F452" s="8" t="inlineStr">
        <is>
          <t>zhuxian_sword_intent</t>
        </is>
      </c>
      <c r="G452" s="8" t="inlineStr">
        <is>
          <t>诛仙剑意</t>
        </is>
      </c>
      <c r="H452" s="8" t="inlineStr">
        <is>
          <t>orange</t>
        </is>
      </c>
      <c r="I452" s="8" t="inlineStr">
        <is>
          <t>tool</t>
        </is>
      </c>
      <c r="J452" s="8" t="n">
        <v>1</v>
      </c>
      <c r="K452" s="8" t="n">
        <v>1</v>
      </c>
      <c r="L452" s="8" t="n">
        <v>1</v>
      </c>
      <c r="M452" s="8" t="n">
        <v>1</v>
      </c>
      <c r="N452" s="8" t="n">
        <v>1</v>
      </c>
      <c r="O452" s="8">
        <f>J452*K452/L452</f>
        <v>1.0</v>
      </c>
      <c r="P452" s="8">
        <f>(M452+N452)/2</f>
        <v>1.0</v>
      </c>
      <c r="Q452" s="8">
        <f>O452*P452</f>
        <v>1.0</v>
      </c>
      <c r="R452" s="8" t="n">
        <v>0</v>
      </c>
      <c r="S452" s="8">
        <f>Q452*R452</f>
        <v>0.0</v>
      </c>
      <c r="T452" s="8" t="n"/>
      <c r="U452" s="8" t="inlineStr"/>
      <c r="V452" s="8" t="inlineStr">
        <is>
          <t>data/item_templates.yaml:mission_chest_fengbang_tianmen.effect_payload</t>
        </is>
      </c>
    </row>
    <row r="453" ht="36" customHeight="1">
      <c r="A453" s="8" t="inlineStr">
        <is>
          <t>fengbang_tianmen</t>
        </is>
      </c>
      <c r="B453" s="8" t="inlineStr">
        <is>
          <t>封神之战：封榜天门</t>
        </is>
      </c>
      <c r="C453" s="8" t="inlineStr">
        <is>
          <t>mission_chest_fengbang_tianmen</t>
        </is>
      </c>
      <c r="D453" s="8" t="inlineStr">
        <is>
          <t>封榜天门宝箱</t>
        </is>
      </c>
      <c r="E453" s="8" t="inlineStr">
        <is>
          <t>experience_pineapple</t>
        </is>
      </c>
      <c r="F453" s="8" t="inlineStr">
        <is>
          <t>experience_pineapple</t>
        </is>
      </c>
      <c r="G453" s="8" t="inlineStr">
        <is>
          <t>经验菠萝</t>
        </is>
      </c>
      <c r="H453" s="8" t="inlineStr">
        <is>
          <t>blue</t>
        </is>
      </c>
      <c r="I453" s="8" t="inlineStr">
        <is>
          <t>experience_items</t>
        </is>
      </c>
      <c r="J453" s="8" t="n">
        <v>0.8</v>
      </c>
      <c r="K453" s="8" t="n">
        <v>1</v>
      </c>
      <c r="L453" s="8" t="n">
        <v>1</v>
      </c>
      <c r="M453" s="8" t="n">
        <v>15</v>
      </c>
      <c r="N453" s="8" t="n">
        <v>15</v>
      </c>
      <c r="O453" s="8">
        <f>J453*K453/L453</f>
        <v>0.8</v>
      </c>
      <c r="P453" s="8">
        <f>(M453+N453)/2</f>
        <v>15.0</v>
      </c>
      <c r="Q453" s="8">
        <f>O453*P453</f>
        <v>12.0</v>
      </c>
      <c r="R453" s="8" t="n">
        <v>16</v>
      </c>
      <c r="S453" s="8">
        <f>Q453*R453</f>
        <v>192.0</v>
      </c>
      <c r="T453" s="8" t="n"/>
      <c r="U453" s="8" t="inlineStr"/>
      <c r="V453" s="8" t="inlineStr">
        <is>
          <t>data/item_templates.yaml:mission_chest_fengbang_tianmen.effect_payload</t>
        </is>
      </c>
    </row>
    <row r="454" ht="36" customHeight="1">
      <c r="A454" s="8" t="inlineStr">
        <is>
          <t>fengbang_tianmen</t>
        </is>
      </c>
      <c r="B454" s="8" t="inlineStr">
        <is>
          <t>封神之战：封榜天门</t>
        </is>
      </c>
      <c r="C454" s="8" t="inlineStr">
        <is>
          <t>mission_chest_fengbang_tianmen</t>
        </is>
      </c>
      <c r="D454" s="8" t="inlineStr">
        <is>
          <t>封榜天门宝箱</t>
        </is>
      </c>
      <c r="E454" s="8" t="inlineStr">
        <is>
          <t>book_dragon_roar</t>
        </is>
      </c>
      <c r="F454" s="8" t="inlineStr">
        <is>
          <t>book_dragon_roar</t>
        </is>
      </c>
      <c r="G454" s="8" t="inlineStr">
        <is>
          <t>《龙吟破阵》秘术</t>
        </is>
      </c>
      <c r="H454" s="8" t="inlineStr">
        <is>
          <t>purple</t>
        </is>
      </c>
      <c r="I454" s="8" t="inlineStr">
        <is>
          <t>skill_book</t>
        </is>
      </c>
      <c r="J454" s="8" t="n">
        <v>0.024</v>
      </c>
      <c r="K454" s="8" t="n">
        <v>1</v>
      </c>
      <c r="L454" s="8" t="n">
        <v>1</v>
      </c>
      <c r="M454" s="8" t="n">
        <v>1</v>
      </c>
      <c r="N454" s="8" t="n">
        <v>1</v>
      </c>
      <c r="O454" s="8">
        <f>J454*K454/L454</f>
        <v>0.024</v>
      </c>
      <c r="P454" s="8">
        <f>(M454+N454)/2</f>
        <v>1.0</v>
      </c>
      <c r="Q454" s="8">
        <f>O454*P454</f>
        <v>0.024</v>
      </c>
      <c r="R454" s="8" t="n">
        <v>0</v>
      </c>
      <c r="S454" s="8">
        <f>Q454*R454</f>
        <v>0.0</v>
      </c>
      <c r="T454" s="8" t="n"/>
      <c r="U454" s="8" t="inlineStr"/>
      <c r="V454" s="8" t="inlineStr">
        <is>
          <t>data/item_templates.yaml:mission_chest_fengbang_tianmen.effect_payload</t>
        </is>
      </c>
    </row>
    <row r="455" ht="36" customHeight="1">
      <c r="A455" s="8" t="inlineStr">
        <is>
          <t>fengbang_tianmen</t>
        </is>
      </c>
      <c r="B455" s="8" t="inlineStr">
        <is>
          <t>封神之战：封榜天门</t>
        </is>
      </c>
      <c r="C455" s="8" t="inlineStr">
        <is>
          <t>mission_chest_fengbang_tianmen</t>
        </is>
      </c>
      <c r="D455" s="8" t="inlineStr">
        <is>
          <t>封榜天门宝箱</t>
        </is>
      </c>
      <c r="E455" s="8" t="inlineStr">
        <is>
          <t>book_five_thunder_descent</t>
        </is>
      </c>
      <c r="F455" s="8" t="inlineStr">
        <is>
          <t>book_five_thunder_descent</t>
        </is>
      </c>
      <c r="G455" s="8" t="inlineStr">
        <is>
          <t>《五雷降世》秘术</t>
        </is>
      </c>
      <c r="H455" s="8" t="inlineStr">
        <is>
          <t>purple</t>
        </is>
      </c>
      <c r="I455" s="8" t="inlineStr">
        <is>
          <t>skill_book</t>
        </is>
      </c>
      <c r="J455" s="8" t="n">
        <v>0.048</v>
      </c>
      <c r="K455" s="8" t="n">
        <v>1</v>
      </c>
      <c r="L455" s="8" t="n">
        <v>1</v>
      </c>
      <c r="M455" s="8" t="n">
        <v>1</v>
      </c>
      <c r="N455" s="8" t="n">
        <v>1</v>
      </c>
      <c r="O455" s="8">
        <f>J455*K455/L455</f>
        <v>0.048</v>
      </c>
      <c r="P455" s="8">
        <f>(M455+N455)/2</f>
        <v>1.0</v>
      </c>
      <c r="Q455" s="8">
        <f>O455*P455</f>
        <v>0.048</v>
      </c>
      <c r="R455" s="8" t="n">
        <v>0</v>
      </c>
      <c r="S455" s="8">
        <f>Q455*R455</f>
        <v>0.0</v>
      </c>
      <c r="T455" s="8" t="n"/>
      <c r="U455" s="8" t="inlineStr"/>
      <c r="V455" s="8" t="inlineStr">
        <is>
          <t>data/item_templates.yaml:mission_chest_fengbang_tianmen.effect_payload</t>
        </is>
      </c>
    </row>
    <row r="456" ht="36" customHeight="1">
      <c r="A456" s="8" t="inlineStr">
        <is>
          <t>fengbang_tianmen</t>
        </is>
      </c>
      <c r="B456" s="8" t="inlineStr">
        <is>
          <t>封神之战：封榜天门</t>
        </is>
      </c>
      <c r="C456" s="8" t="inlineStr">
        <is>
          <t>mission_chest_fengbang_tianmen</t>
        </is>
      </c>
      <c r="D456" s="8" t="inlineStr">
        <is>
          <t>封榜天门宝箱</t>
        </is>
      </c>
      <c r="E456" s="8" t="inlineStr">
        <is>
          <t>book_last_chance_revival</t>
        </is>
      </c>
      <c r="F456" s="8" t="inlineStr">
        <is>
          <t>book_last_chance_revival</t>
        </is>
      </c>
      <c r="G456" s="8" t="inlineStr">
        <is>
          <t>《绝处逢生》秘术</t>
        </is>
      </c>
      <c r="H456" s="8" t="inlineStr">
        <is>
          <t>blue</t>
        </is>
      </c>
      <c r="I456" s="8" t="inlineStr">
        <is>
          <t>skill_book</t>
        </is>
      </c>
      <c r="J456" s="8" t="n">
        <v>0.07199999999999999</v>
      </c>
      <c r="K456" s="8" t="n">
        <v>1</v>
      </c>
      <c r="L456" s="8" t="n">
        <v>1</v>
      </c>
      <c r="M456" s="8" t="n">
        <v>1</v>
      </c>
      <c r="N456" s="8" t="n">
        <v>1</v>
      </c>
      <c r="O456" s="8">
        <f>J456*K456/L456</f>
        <v>0.072</v>
      </c>
      <c r="P456" s="8">
        <f>(M456+N456)/2</f>
        <v>1.0</v>
      </c>
      <c r="Q456" s="8">
        <f>O456*P456</f>
        <v>0.072</v>
      </c>
      <c r="R456" s="8" t="n">
        <v>0</v>
      </c>
      <c r="S456" s="8">
        <f>Q456*R456</f>
        <v>0.0</v>
      </c>
      <c r="T456" s="8" t="n"/>
      <c r="U456" s="8" t="inlineStr"/>
      <c r="V456" s="8" t="inlineStr">
        <is>
          <t>data/item_templates.yaml:mission_chest_fengbang_tianmen.effect_payload</t>
        </is>
      </c>
    </row>
    <row r="457" ht="36" customHeight="1">
      <c r="A457" s="8" t="inlineStr">
        <is>
          <t>fengbang_tianmen</t>
        </is>
      </c>
      <c r="B457" s="8" t="inlineStr">
        <is>
          <t>封神之战：封榜天门</t>
        </is>
      </c>
      <c r="C457" s="8" t="inlineStr">
        <is>
          <t>mission_chest_fengbang_tianmen</t>
        </is>
      </c>
      <c r="D457" s="8" t="inlineStr">
        <is>
          <t>封榜天门宝箱</t>
        </is>
      </c>
      <c r="E457" s="8" t="inlineStr">
        <is>
          <t>equip_baguajing</t>
        </is>
      </c>
      <c r="F457" s="8" t="inlineStr">
        <is>
          <t>equip_baguajing</t>
        </is>
      </c>
      <c r="G457" s="8" t="inlineStr">
        <is>
          <t>八卦镜</t>
        </is>
      </c>
      <c r="H457" s="8" t="inlineStr">
        <is>
          <t>purple</t>
        </is>
      </c>
      <c r="I457" s="8" t="inlineStr">
        <is>
          <t>equip_ornament</t>
        </is>
      </c>
      <c r="J457" s="8" t="n">
        <v>0.08</v>
      </c>
      <c r="K457" s="8" t="n">
        <v>1</v>
      </c>
      <c r="L457" s="8" t="n">
        <v>1</v>
      </c>
      <c r="M457" s="8" t="n">
        <v>1</v>
      </c>
      <c r="N457" s="8" t="n">
        <v>1</v>
      </c>
      <c r="O457" s="8">
        <f>J457*K457/L457</f>
        <v>0.08</v>
      </c>
      <c r="P457" s="8">
        <f>(M457+N457)/2</f>
        <v>1.0</v>
      </c>
      <c r="Q457" s="8">
        <f>O457*P457</f>
        <v>0.08</v>
      </c>
      <c r="R457" s="8" t="n">
        <v>0</v>
      </c>
      <c r="S457" s="8">
        <f>Q457*R457</f>
        <v>0.0</v>
      </c>
      <c r="T457" s="8" t="n"/>
      <c r="U457" s="8" t="inlineStr"/>
      <c r="V457" s="8" t="inlineStr">
        <is>
          <t>data/item_templates.yaml:mission_chest_fengbang_tianmen.effect_payload</t>
        </is>
      </c>
    </row>
    <row r="458" ht="36" customHeight="1">
      <c r="A458" s="8" t="inlineStr">
        <is>
          <t>fengbang_tianmen</t>
        </is>
      </c>
      <c r="B458" s="8" t="inlineStr">
        <is>
          <t>封神之战：封榜天门</t>
        </is>
      </c>
      <c r="C458" s="8" t="inlineStr">
        <is>
          <t>mission_chest_fengbang_tianmen</t>
        </is>
      </c>
      <c r="D458" s="8" t="inlineStr">
        <is>
          <t>封榜天门宝箱</t>
        </is>
      </c>
      <c r="E458" s="8" t="inlineStr">
        <is>
          <t>fengshen_equipment_box</t>
        </is>
      </c>
      <c r="F458" s="8" t="inlineStr">
        <is>
          <t>equip_hunyuansan</t>
        </is>
      </c>
      <c r="G458" s="8" t="inlineStr">
        <is>
          <t>混元伞</t>
        </is>
      </c>
      <c r="H458" s="8" t="inlineStr">
        <is>
          <t>purple</t>
        </is>
      </c>
      <c r="I458" s="8" t="inlineStr">
        <is>
          <t>equip_ornament</t>
        </is>
      </c>
      <c r="J458" s="8" t="n">
        <v>0.08</v>
      </c>
      <c r="K458" s="8" t="n">
        <v>1</v>
      </c>
      <c r="L458" s="8" t="n">
        <v>8</v>
      </c>
      <c r="M458" s="8" t="n">
        <v>1</v>
      </c>
      <c r="N458" s="8" t="n">
        <v>1</v>
      </c>
      <c r="O458" s="8">
        <f>J458*K458/L458</f>
        <v>0.01</v>
      </c>
      <c r="P458" s="8">
        <f>(M458+N458)/2</f>
        <v>1.0</v>
      </c>
      <c r="Q458" s="8">
        <f>O458*P458</f>
        <v>0.01</v>
      </c>
      <c r="R458" s="8" t="n">
        <v>0</v>
      </c>
      <c r="S458" s="8">
        <f>Q458*R458</f>
        <v>0.0</v>
      </c>
      <c r="T458" s="8" t="n"/>
      <c r="U458" s="8" t="inlineStr"/>
      <c r="V458" s="8" t="inlineStr">
        <is>
          <t>data/item_templates.yaml:mission_chest_fengbang_tianmen.effect_payload</t>
        </is>
      </c>
    </row>
    <row r="459" ht="36" customHeight="1">
      <c r="A459" s="8" t="inlineStr">
        <is>
          <t>fengbang_tianmen</t>
        </is>
      </c>
      <c r="B459" s="8" t="inlineStr">
        <is>
          <t>封神之战：封榜天门</t>
        </is>
      </c>
      <c r="C459" s="8" t="inlineStr">
        <is>
          <t>mission_chest_fengbang_tianmen</t>
        </is>
      </c>
      <c r="D459" s="8" t="inlineStr">
        <is>
          <t>封榜天门宝箱</t>
        </is>
      </c>
      <c r="E459" s="8" t="inlineStr">
        <is>
          <t>fengshen_equipment_box</t>
        </is>
      </c>
      <c r="F459" s="8" t="inlineStr">
        <is>
          <t>equip_xuanmingdeng</t>
        </is>
      </c>
      <c r="G459" s="8" t="inlineStr">
        <is>
          <t>玄冥灯</t>
        </is>
      </c>
      <c r="H459" s="8" t="inlineStr">
        <is>
          <t>purple</t>
        </is>
      </c>
      <c r="I459" s="8" t="inlineStr">
        <is>
          <t>equip_ornament</t>
        </is>
      </c>
      <c r="J459" s="8" t="n">
        <v>0.08</v>
      </c>
      <c r="K459" s="8" t="n">
        <v>1</v>
      </c>
      <c r="L459" s="8" t="n">
        <v>8</v>
      </c>
      <c r="M459" s="8" t="n">
        <v>1</v>
      </c>
      <c r="N459" s="8" t="n">
        <v>1</v>
      </c>
      <c r="O459" s="8">
        <f>J459*K459/L459</f>
        <v>0.01</v>
      </c>
      <c r="P459" s="8">
        <f>(M459+N459)/2</f>
        <v>1.0</v>
      </c>
      <c r="Q459" s="8">
        <f>O459*P459</f>
        <v>0.01</v>
      </c>
      <c r="R459" s="8" t="n">
        <v>0</v>
      </c>
      <c r="S459" s="8">
        <f>Q459*R459</f>
        <v>0.0</v>
      </c>
      <c r="T459" s="8" t="n"/>
      <c r="U459" s="8" t="inlineStr"/>
      <c r="V459" s="8" t="inlineStr">
        <is>
          <t>data/item_templates.yaml:mission_chest_fengbang_tianmen.effect_payload</t>
        </is>
      </c>
    </row>
    <row r="460" ht="36" customHeight="1">
      <c r="A460" s="8" t="inlineStr">
        <is>
          <t>fengbang_tianmen</t>
        </is>
      </c>
      <c r="B460" s="8" t="inlineStr">
        <is>
          <t>封神之战：封榜天门</t>
        </is>
      </c>
      <c r="C460" s="8" t="inlineStr">
        <is>
          <t>mission_chest_fengbang_tianmen</t>
        </is>
      </c>
      <c r="D460" s="8" t="inlineStr">
        <is>
          <t>封榜天门宝箱</t>
        </is>
      </c>
      <c r="E460" s="8" t="inlineStr">
        <is>
          <t>fengshen_equipment_box</t>
        </is>
      </c>
      <c r="F460" s="8" t="inlineStr">
        <is>
          <t>equip_zijinhulu</t>
        </is>
      </c>
      <c r="G460" s="8" t="inlineStr">
        <is>
          <t>紫金葫芦</t>
        </is>
      </c>
      <c r="H460" s="8" t="inlineStr">
        <is>
          <t>purple</t>
        </is>
      </c>
      <c r="I460" s="8" t="inlineStr">
        <is>
          <t>equip_ornament</t>
        </is>
      </c>
      <c r="J460" s="8" t="n">
        <v>0.08</v>
      </c>
      <c r="K460" s="8" t="n">
        <v>1</v>
      </c>
      <c r="L460" s="8" t="n">
        <v>8</v>
      </c>
      <c r="M460" s="8" t="n">
        <v>1</v>
      </c>
      <c r="N460" s="8" t="n">
        <v>1</v>
      </c>
      <c r="O460" s="8">
        <f>J460*K460/L460</f>
        <v>0.01</v>
      </c>
      <c r="P460" s="8">
        <f>(M460+N460)/2</f>
        <v>1.0</v>
      </c>
      <c r="Q460" s="8">
        <f>O460*P460</f>
        <v>0.01</v>
      </c>
      <c r="R460" s="8" t="n">
        <v>0</v>
      </c>
      <c r="S460" s="8">
        <f>Q460*R460</f>
        <v>0.0</v>
      </c>
      <c r="T460" s="8" t="n"/>
      <c r="U460" s="8" t="inlineStr"/>
      <c r="V460" s="8" t="inlineStr">
        <is>
          <t>data/item_templates.yaml:mission_chest_fengbang_tianmen.effect_payload</t>
        </is>
      </c>
    </row>
    <row r="461" ht="36" customHeight="1">
      <c r="A461" s="8" t="inlineStr">
        <is>
          <t>fengbang_tianmen</t>
        </is>
      </c>
      <c r="B461" s="8" t="inlineStr">
        <is>
          <t>封神之战：封榜天门</t>
        </is>
      </c>
      <c r="C461" s="8" t="inlineStr">
        <is>
          <t>mission_chest_fengbang_tianmen</t>
        </is>
      </c>
      <c r="D461" s="8" t="inlineStr">
        <is>
          <t>封榜天门宝箱</t>
        </is>
      </c>
      <c r="E461" s="8" t="inlineStr">
        <is>
          <t>fengshen_equipment_box</t>
        </is>
      </c>
      <c r="F461" s="8" t="inlineStr">
        <is>
          <t>equip_tianyinguqin</t>
        </is>
      </c>
      <c r="G461" s="8" t="inlineStr">
        <is>
          <t>天音古琴</t>
        </is>
      </c>
      <c r="H461" s="8" t="inlineStr">
        <is>
          <t>purple</t>
        </is>
      </c>
      <c r="I461" s="8" t="inlineStr">
        <is>
          <t>equip_ornament</t>
        </is>
      </c>
      <c r="J461" s="8" t="n">
        <v>0.08</v>
      </c>
      <c r="K461" s="8" t="n">
        <v>1</v>
      </c>
      <c r="L461" s="8" t="n">
        <v>8</v>
      </c>
      <c r="M461" s="8" t="n">
        <v>1</v>
      </c>
      <c r="N461" s="8" t="n">
        <v>1</v>
      </c>
      <c r="O461" s="8">
        <f>J461*K461/L461</f>
        <v>0.01</v>
      </c>
      <c r="P461" s="8">
        <f>(M461+N461)/2</f>
        <v>1.0</v>
      </c>
      <c r="Q461" s="8">
        <f>O461*P461</f>
        <v>0.01</v>
      </c>
      <c r="R461" s="8" t="n">
        <v>0</v>
      </c>
      <c r="S461" s="8">
        <f>Q461*R461</f>
        <v>0.0</v>
      </c>
      <c r="T461" s="8" t="n"/>
      <c r="U461" s="8" t="inlineStr"/>
      <c r="V461" s="8" t="inlineStr">
        <is>
          <t>data/item_templates.yaml:mission_chest_fengbang_tianmen.effect_payload</t>
        </is>
      </c>
    </row>
    <row r="462" ht="36" customHeight="1">
      <c r="A462" s="8" t="inlineStr">
        <is>
          <t>fengbang_tianmen</t>
        </is>
      </c>
      <c r="B462" s="8" t="inlineStr">
        <is>
          <t>封神之战：封榜天门</t>
        </is>
      </c>
      <c r="C462" s="8" t="inlineStr">
        <is>
          <t>mission_chest_fengbang_tianmen</t>
        </is>
      </c>
      <c r="D462" s="8" t="inlineStr">
        <is>
          <t>封榜天门宝箱</t>
        </is>
      </c>
      <c r="E462" s="8" t="inlineStr">
        <is>
          <t>fengshen_equipment_box</t>
        </is>
      </c>
      <c r="F462" s="8" t="inlineStr">
        <is>
          <t>equip_qixingjian</t>
        </is>
      </c>
      <c r="G462" s="8" t="inlineStr">
        <is>
          <t>七星剑</t>
        </is>
      </c>
      <c r="H462" s="8" t="inlineStr">
        <is>
          <t>purple</t>
        </is>
      </c>
      <c r="I462" s="8" t="inlineStr">
        <is>
          <t>equip_weapon</t>
        </is>
      </c>
      <c r="J462" s="8" t="n">
        <v>0.08</v>
      </c>
      <c r="K462" s="8" t="n">
        <v>1</v>
      </c>
      <c r="L462" s="8" t="n">
        <v>8</v>
      </c>
      <c r="M462" s="8" t="n">
        <v>1</v>
      </c>
      <c r="N462" s="8" t="n">
        <v>1</v>
      </c>
      <c r="O462" s="8">
        <f>J462*K462/L462</f>
        <v>0.01</v>
      </c>
      <c r="P462" s="8">
        <f>(M462+N462)/2</f>
        <v>1.0</v>
      </c>
      <c r="Q462" s="8">
        <f>O462*P462</f>
        <v>0.01</v>
      </c>
      <c r="R462" s="8" t="n">
        <v>0</v>
      </c>
      <c r="S462" s="8">
        <f>Q462*R462</f>
        <v>0.0</v>
      </c>
      <c r="T462" s="8" t="n"/>
      <c r="U462" s="8" t="inlineStr"/>
      <c r="V462" s="8" t="inlineStr">
        <is>
          <t>data/item_templates.yaml:mission_chest_fengbang_tianmen.effect_payload</t>
        </is>
      </c>
    </row>
    <row r="463" ht="36" customHeight="1">
      <c r="A463" s="8" t="inlineStr">
        <is>
          <t>fengbang_tianmen</t>
        </is>
      </c>
      <c r="B463" s="8" t="inlineStr">
        <is>
          <t>封神之战：封榜天门</t>
        </is>
      </c>
      <c r="C463" s="8" t="inlineStr">
        <is>
          <t>mission_chest_fengbang_tianmen</t>
        </is>
      </c>
      <c r="D463" s="8" t="inlineStr">
        <is>
          <t>封榜天门宝箱</t>
        </is>
      </c>
      <c r="E463" s="8" t="inlineStr">
        <is>
          <t>fengshen_equipment_box</t>
        </is>
      </c>
      <c r="F463" s="8" t="inlineStr">
        <is>
          <t>equip_guiyuanzhu</t>
        </is>
      </c>
      <c r="G463" s="8" t="inlineStr">
        <is>
          <t>归元珠</t>
        </is>
      </c>
      <c r="H463" s="8" t="inlineStr">
        <is>
          <t>purple</t>
        </is>
      </c>
      <c r="I463" s="8" t="inlineStr">
        <is>
          <t>equip_ornament</t>
        </is>
      </c>
      <c r="J463" s="8" t="n">
        <v>0.08</v>
      </c>
      <c r="K463" s="8" t="n">
        <v>1</v>
      </c>
      <c r="L463" s="8" t="n">
        <v>8</v>
      </c>
      <c r="M463" s="8" t="n">
        <v>1</v>
      </c>
      <c r="N463" s="8" t="n">
        <v>1</v>
      </c>
      <c r="O463" s="8">
        <f>J463*K463/L463</f>
        <v>0.01</v>
      </c>
      <c r="P463" s="8">
        <f>(M463+N463)/2</f>
        <v>1.0</v>
      </c>
      <c r="Q463" s="8">
        <f>O463*P463</f>
        <v>0.01</v>
      </c>
      <c r="R463" s="8" t="n">
        <v>0</v>
      </c>
      <c r="S463" s="8">
        <f>Q463*R463</f>
        <v>0.0</v>
      </c>
      <c r="T463" s="8" t="n"/>
      <c r="U463" s="8" t="inlineStr"/>
      <c r="V463" s="8" t="inlineStr">
        <is>
          <t>data/item_templates.yaml:mission_chest_fengbang_tianmen.effect_payload</t>
        </is>
      </c>
    </row>
    <row r="464" ht="36" customHeight="1">
      <c r="A464" s="8" t="inlineStr">
        <is>
          <t>fengbang_tianmen</t>
        </is>
      </c>
      <c r="B464" s="8" t="inlineStr">
        <is>
          <t>封神之战：封榜天门</t>
        </is>
      </c>
      <c r="C464" s="8" t="inlineStr">
        <is>
          <t>mission_chest_fengbang_tianmen</t>
        </is>
      </c>
      <c r="D464" s="8" t="inlineStr">
        <is>
          <t>封榜天门宝箱</t>
        </is>
      </c>
      <c r="E464" s="8" t="inlineStr">
        <is>
          <t>fengshen_equipment_box</t>
        </is>
      </c>
      <c r="F464" s="8" t="inlineStr">
        <is>
          <t>equip_xuanwuyufu</t>
        </is>
      </c>
      <c r="G464" s="8" t="inlineStr">
        <is>
          <t>玄武玉符</t>
        </is>
      </c>
      <c r="H464" s="8" t="inlineStr">
        <is>
          <t>purple</t>
        </is>
      </c>
      <c r="I464" s="8" t="inlineStr">
        <is>
          <t>equip_ornament</t>
        </is>
      </c>
      <c r="J464" s="8" t="n">
        <v>0.08</v>
      </c>
      <c r="K464" s="8" t="n">
        <v>1</v>
      </c>
      <c r="L464" s="8" t="n">
        <v>8</v>
      </c>
      <c r="M464" s="8" t="n">
        <v>1</v>
      </c>
      <c r="N464" s="8" t="n">
        <v>1</v>
      </c>
      <c r="O464" s="8">
        <f>J464*K464/L464</f>
        <v>0.01</v>
      </c>
      <c r="P464" s="8">
        <f>(M464+N464)/2</f>
        <v>1.0</v>
      </c>
      <c r="Q464" s="8">
        <f>O464*P464</f>
        <v>0.01</v>
      </c>
      <c r="R464" s="8" t="n">
        <v>0</v>
      </c>
      <c r="S464" s="8">
        <f>Q464*R464</f>
        <v>0.0</v>
      </c>
      <c r="T464" s="8" t="n"/>
      <c r="U464" s="8" t="inlineStr"/>
      <c r="V464" s="8" t="inlineStr">
        <is>
          <t>data/item_templates.yaml:mission_chest_fengbang_tianmen.effect_payload</t>
        </is>
      </c>
    </row>
    <row r="465" ht="36" customHeight="1">
      <c r="A465" s="8" t="inlineStr">
        <is>
          <t>fengbang_tianmen</t>
        </is>
      </c>
      <c r="B465" s="8" t="inlineStr">
        <is>
          <t>封神之战：封榜天门</t>
        </is>
      </c>
      <c r="C465" s="8" t="inlineStr">
        <is>
          <t>mission_chest_fengbang_tianmen</t>
        </is>
      </c>
      <c r="D465" s="8" t="inlineStr">
        <is>
          <t>封榜天门宝箱</t>
        </is>
      </c>
      <c r="E465" s="8" t="inlineStr">
        <is>
          <t>fengshen_equipment_box</t>
        </is>
      </c>
      <c r="F465" s="8" t="inlineStr">
        <is>
          <t>equip_zhurixue</t>
        </is>
      </c>
      <c r="G465" s="8" t="inlineStr">
        <is>
          <t>逐日靴</t>
        </is>
      </c>
      <c r="H465" s="8" t="inlineStr">
        <is>
          <t>purple</t>
        </is>
      </c>
      <c r="I465" s="8" t="inlineStr">
        <is>
          <t>equip_shoes</t>
        </is>
      </c>
      <c r="J465" s="8" t="n">
        <v>0.08</v>
      </c>
      <c r="K465" s="8" t="n">
        <v>1</v>
      </c>
      <c r="L465" s="8" t="n">
        <v>8</v>
      </c>
      <c r="M465" s="8" t="n">
        <v>1</v>
      </c>
      <c r="N465" s="8" t="n">
        <v>1</v>
      </c>
      <c r="O465" s="8">
        <f>J465*K465/L465</f>
        <v>0.01</v>
      </c>
      <c r="P465" s="8">
        <f>(M465+N465)/2</f>
        <v>1.0</v>
      </c>
      <c r="Q465" s="8">
        <f>O465*P465</f>
        <v>0.01</v>
      </c>
      <c r="R465" s="8" t="n">
        <v>0</v>
      </c>
      <c r="S465" s="8">
        <f>Q465*R465</f>
        <v>0.0</v>
      </c>
      <c r="T465" s="8" t="n"/>
      <c r="U465" s="8" t="inlineStr"/>
      <c r="V465" s="8" t="inlineStr">
        <is>
          <t>data/item_templates.yaml:mission_chest_fengbang_tianmen.effect_payload</t>
        </is>
      </c>
    </row>
    <row r="466" ht="36" customHeight="1">
      <c r="A466" s="8" t="inlineStr">
        <is>
          <t>fengbang_tianmen</t>
        </is>
      </c>
      <c r="B466" s="8" t="inlineStr">
        <is>
          <t>封神之战：封榜天门</t>
        </is>
      </c>
      <c r="C466" s="8" t="inlineStr">
        <is>
          <t>mission_chest_fengbang_tianmen</t>
        </is>
      </c>
      <c r="D466" s="8" t="inlineStr">
        <is>
          <t>封榜天门宝箱</t>
        </is>
      </c>
      <c r="E466" s="8" t="inlineStr">
        <is>
          <t>blueprint_top_blue</t>
        </is>
      </c>
      <c r="F466" s="8" t="inlineStr">
        <is>
          <t>blueprint_qinglongkui</t>
        </is>
      </c>
      <c r="G466" s="8" t="inlineStr">
        <is>
          <t>青龙盔图纸</t>
        </is>
      </c>
      <c r="H466" s="8" t="inlineStr">
        <is>
          <t>blue</t>
        </is>
      </c>
      <c r="I466" s="8" t="inlineStr">
        <is>
          <t>tool</t>
        </is>
      </c>
      <c r="J466" s="8" t="n">
        <v>0.45</v>
      </c>
      <c r="K466" s="8" t="n">
        <v>1</v>
      </c>
      <c r="L466" s="8" t="n">
        <v>4</v>
      </c>
      <c r="M466" s="8" t="n">
        <v>1</v>
      </c>
      <c r="N466" s="8" t="n">
        <v>1</v>
      </c>
      <c r="O466" s="8">
        <f>J466*K466/L466</f>
        <v>0.1125</v>
      </c>
      <c r="P466" s="8">
        <f>(M466+N466)/2</f>
        <v>1.0</v>
      </c>
      <c r="Q466" s="8">
        <f>O466*P466</f>
        <v>0.1125</v>
      </c>
      <c r="R466" s="8" t="n">
        <v>0</v>
      </c>
      <c r="S466" s="8">
        <f>Q466*R466</f>
        <v>0.0</v>
      </c>
      <c r="T466" s="8" t="n">
        <v>5</v>
      </c>
      <c r="U466" s="8" t="inlineStr">
        <is>
          <t>青龙盔</t>
        </is>
      </c>
      <c r="V466" s="8" t="inlineStr">
        <is>
          <t>data/item_templates.yaml:mission_chest_fengbang_tianmen.effect_payload</t>
        </is>
      </c>
    </row>
    <row r="467" ht="36" customHeight="1">
      <c r="A467" s="8" t="inlineStr">
        <is>
          <t>fengbang_tianmen</t>
        </is>
      </c>
      <c r="B467" s="8" t="inlineStr">
        <is>
          <t>封神之战：封榜天门</t>
        </is>
      </c>
      <c r="C467" s="8" t="inlineStr">
        <is>
          <t>mission_chest_fengbang_tianmen</t>
        </is>
      </c>
      <c r="D467" s="8" t="inlineStr">
        <is>
          <t>封榜天门宝箱</t>
        </is>
      </c>
      <c r="E467" s="8" t="inlineStr">
        <is>
          <t>blueprint_top_blue</t>
        </is>
      </c>
      <c r="F467" s="8" t="inlineStr">
        <is>
          <t>blueprint_qinglongjia</t>
        </is>
      </c>
      <c r="G467" s="8" t="inlineStr">
        <is>
          <t>青龙甲图纸</t>
        </is>
      </c>
      <c r="H467" s="8" t="inlineStr">
        <is>
          <t>blue</t>
        </is>
      </c>
      <c r="I467" s="8" t="inlineStr">
        <is>
          <t>tool</t>
        </is>
      </c>
      <c r="J467" s="8" t="n">
        <v>0.45</v>
      </c>
      <c r="K467" s="8" t="n">
        <v>1</v>
      </c>
      <c r="L467" s="8" t="n">
        <v>4</v>
      </c>
      <c r="M467" s="8" t="n">
        <v>1</v>
      </c>
      <c r="N467" s="8" t="n">
        <v>1</v>
      </c>
      <c r="O467" s="8">
        <f>J467*K467/L467</f>
        <v>0.1125</v>
      </c>
      <c r="P467" s="8">
        <f>(M467+N467)/2</f>
        <v>1.0</v>
      </c>
      <c r="Q467" s="8">
        <f>O467*P467</f>
        <v>0.1125</v>
      </c>
      <c r="R467" s="8" t="n">
        <v>0</v>
      </c>
      <c r="S467" s="8">
        <f>Q467*R467</f>
        <v>0.0</v>
      </c>
      <c r="T467" s="8" t="n">
        <v>5</v>
      </c>
      <c r="U467" s="8" t="inlineStr">
        <is>
          <t>青龙甲</t>
        </is>
      </c>
      <c r="V467" s="8" t="inlineStr">
        <is>
          <t>data/item_templates.yaml:mission_chest_fengbang_tianmen.effect_payload</t>
        </is>
      </c>
    </row>
    <row r="468" ht="36" customHeight="1">
      <c r="A468" s="8" t="inlineStr">
        <is>
          <t>fengbang_tianmen</t>
        </is>
      </c>
      <c r="B468" s="8" t="inlineStr">
        <is>
          <t>封神之战：封榜天门</t>
        </is>
      </c>
      <c r="C468" s="8" t="inlineStr">
        <is>
          <t>mission_chest_fengbang_tianmen</t>
        </is>
      </c>
      <c r="D468" s="8" t="inlineStr">
        <is>
          <t>封榜天门宝箱</t>
        </is>
      </c>
      <c r="E468" s="8" t="inlineStr">
        <is>
          <t>blueprint_top_blue</t>
        </is>
      </c>
      <c r="F468" s="8" t="inlineStr">
        <is>
          <t>blueprint_qinglongxue</t>
        </is>
      </c>
      <c r="G468" s="8" t="inlineStr">
        <is>
          <t>青龙靴图纸</t>
        </is>
      </c>
      <c r="H468" s="8" t="inlineStr">
        <is>
          <t>blue</t>
        </is>
      </c>
      <c r="I468" s="8" t="inlineStr">
        <is>
          <t>tool</t>
        </is>
      </c>
      <c r="J468" s="8" t="n">
        <v>0.45</v>
      </c>
      <c r="K468" s="8" t="n">
        <v>1</v>
      </c>
      <c r="L468" s="8" t="n">
        <v>4</v>
      </c>
      <c r="M468" s="8" t="n">
        <v>1</v>
      </c>
      <c r="N468" s="8" t="n">
        <v>1</v>
      </c>
      <c r="O468" s="8">
        <f>J468*K468/L468</f>
        <v>0.1125</v>
      </c>
      <c r="P468" s="8">
        <f>(M468+N468)/2</f>
        <v>1.0</v>
      </c>
      <c r="Q468" s="8">
        <f>O468*P468</f>
        <v>0.1125</v>
      </c>
      <c r="R468" s="8" t="n">
        <v>0</v>
      </c>
      <c r="S468" s="8">
        <f>Q468*R468</f>
        <v>0.0</v>
      </c>
      <c r="T468" s="8" t="n">
        <v>5</v>
      </c>
      <c r="U468" s="8" t="inlineStr">
        <is>
          <t>青龙靴</t>
        </is>
      </c>
      <c r="V468" s="8" t="inlineStr">
        <is>
          <t>data/item_templates.yaml:mission_chest_fengbang_tianmen.effect_payload</t>
        </is>
      </c>
    </row>
    <row r="469" ht="36" customHeight="1">
      <c r="A469" s="8" t="inlineStr">
        <is>
          <t>fengbang_tianmen</t>
        </is>
      </c>
      <c r="B469" s="8" t="inlineStr">
        <is>
          <t>封神之战：封榜天门</t>
        </is>
      </c>
      <c r="C469" s="8" t="inlineStr">
        <is>
          <t>mission_chest_fengbang_tianmen</t>
        </is>
      </c>
      <c r="D469" s="8" t="inlineStr">
        <is>
          <t>封榜天门宝箱</t>
        </is>
      </c>
      <c r="E469" s="8" t="inlineStr">
        <is>
          <t>blueprint_top_blue</t>
        </is>
      </c>
      <c r="F469" s="8" t="inlineStr">
        <is>
          <t>blueprint_qinglongdao</t>
        </is>
      </c>
      <c r="G469" s="8" t="inlineStr">
        <is>
          <t>青龙刀图纸</t>
        </is>
      </c>
      <c r="H469" s="8" t="inlineStr">
        <is>
          <t>blue</t>
        </is>
      </c>
      <c r="I469" s="8" t="inlineStr">
        <is>
          <t>tool</t>
        </is>
      </c>
      <c r="J469" s="8" t="n">
        <v>0.45</v>
      </c>
      <c r="K469" s="8" t="n">
        <v>1</v>
      </c>
      <c r="L469" s="8" t="n">
        <v>4</v>
      </c>
      <c r="M469" s="8" t="n">
        <v>1</v>
      </c>
      <c r="N469" s="8" t="n">
        <v>1</v>
      </c>
      <c r="O469" s="8">
        <f>J469*K469/L469</f>
        <v>0.1125</v>
      </c>
      <c r="P469" s="8">
        <f>(M469+N469)/2</f>
        <v>1.0</v>
      </c>
      <c r="Q469" s="8">
        <f>O469*P469</f>
        <v>0.1125</v>
      </c>
      <c r="R469" s="8" t="n">
        <v>0</v>
      </c>
      <c r="S469" s="8">
        <f>Q469*R469</f>
        <v>0.0</v>
      </c>
      <c r="T469" s="8" t="n">
        <v>5</v>
      </c>
      <c r="U469" s="8" t="inlineStr">
        <is>
          <t>青龙刀</t>
        </is>
      </c>
      <c r="V469" s="8" t="inlineStr">
        <is>
          <t>data/item_templates.yaml:mission_chest_fengbang_tianmen.effect_payload</t>
        </is>
      </c>
    </row>
    <row r="470" ht="36" customHeight="1">
      <c r="A470" s="8" t="inlineStr">
        <is>
          <t>fengbang_tianmen</t>
        </is>
      </c>
      <c r="B470" s="8" t="inlineStr">
        <is>
          <t>封神之战：封榜天门</t>
        </is>
      </c>
      <c r="C470" s="8" t="inlineStr">
        <is>
          <t>mission_chest_fengbang_tianmen</t>
        </is>
      </c>
      <c r="D470" s="8" t="inlineStr">
        <is>
          <t>封榜天门宝箱</t>
        </is>
      </c>
      <c r="E470" s="8" t="inlineStr">
        <is>
          <t>blueprint_top_purple</t>
        </is>
      </c>
      <c r="F470" s="8" t="inlineStr">
        <is>
          <t>blueprint_qilinkui</t>
        </is>
      </c>
      <c r="G470" s="8" t="inlineStr">
        <is>
          <t>麒麟盔图纸</t>
        </is>
      </c>
      <c r="H470" s="8" t="inlineStr">
        <is>
          <t>purple</t>
        </is>
      </c>
      <c r="I470" s="8" t="inlineStr">
        <is>
          <t>tool</t>
        </is>
      </c>
      <c r="J470" s="8" t="n">
        <v>0.25</v>
      </c>
      <c r="K470" s="8" t="n">
        <v>1</v>
      </c>
      <c r="L470" s="8" t="n">
        <v>4</v>
      </c>
      <c r="M470" s="8" t="n">
        <v>1</v>
      </c>
      <c r="N470" s="8" t="n">
        <v>1</v>
      </c>
      <c r="O470" s="8">
        <f>J470*K470/L470</f>
        <v>0.0625</v>
      </c>
      <c r="P470" s="8">
        <f>(M470+N470)/2</f>
        <v>1.0</v>
      </c>
      <c r="Q470" s="8">
        <f>O470*P470</f>
        <v>0.0625</v>
      </c>
      <c r="R470" s="8" t="n">
        <v>0</v>
      </c>
      <c r="S470" s="8">
        <f>Q470*R470</f>
        <v>0.0</v>
      </c>
      <c r="T470" s="8" t="n">
        <v>9</v>
      </c>
      <c r="U470" s="8" t="inlineStr">
        <is>
          <t>麒麟盔</t>
        </is>
      </c>
      <c r="V470" s="8" t="inlineStr">
        <is>
          <t>data/item_templates.yaml:mission_chest_fengbang_tianmen.effect_payload</t>
        </is>
      </c>
    </row>
    <row r="471" ht="36" customHeight="1">
      <c r="A471" s="8" t="inlineStr">
        <is>
          <t>fengbang_tianmen</t>
        </is>
      </c>
      <c r="B471" s="8" t="inlineStr">
        <is>
          <t>封神之战：封榜天门</t>
        </is>
      </c>
      <c r="C471" s="8" t="inlineStr">
        <is>
          <t>mission_chest_fengbang_tianmen</t>
        </is>
      </c>
      <c r="D471" s="8" t="inlineStr">
        <is>
          <t>封榜天门宝箱</t>
        </is>
      </c>
      <c r="E471" s="8" t="inlineStr">
        <is>
          <t>blueprint_top_purple</t>
        </is>
      </c>
      <c r="F471" s="8" t="inlineStr">
        <is>
          <t>blueprint_qilinjia</t>
        </is>
      </c>
      <c r="G471" s="8" t="inlineStr">
        <is>
          <t>麒麟甲图纸</t>
        </is>
      </c>
      <c r="H471" s="8" t="inlineStr">
        <is>
          <t>purple</t>
        </is>
      </c>
      <c r="I471" s="8" t="inlineStr">
        <is>
          <t>tool</t>
        </is>
      </c>
      <c r="J471" s="8" t="n">
        <v>0.25</v>
      </c>
      <c r="K471" s="8" t="n">
        <v>1</v>
      </c>
      <c r="L471" s="8" t="n">
        <v>4</v>
      </c>
      <c r="M471" s="8" t="n">
        <v>1</v>
      </c>
      <c r="N471" s="8" t="n">
        <v>1</v>
      </c>
      <c r="O471" s="8">
        <f>J471*K471/L471</f>
        <v>0.0625</v>
      </c>
      <c r="P471" s="8">
        <f>(M471+N471)/2</f>
        <v>1.0</v>
      </c>
      <c r="Q471" s="8">
        <f>O471*P471</f>
        <v>0.0625</v>
      </c>
      <c r="R471" s="8" t="n">
        <v>0</v>
      </c>
      <c r="S471" s="8">
        <f>Q471*R471</f>
        <v>0.0</v>
      </c>
      <c r="T471" s="8" t="n">
        <v>9</v>
      </c>
      <c r="U471" s="8" t="inlineStr">
        <is>
          <t>麒麟甲</t>
        </is>
      </c>
      <c r="V471" s="8" t="inlineStr">
        <is>
          <t>data/item_templates.yaml:mission_chest_fengbang_tianmen.effect_payload</t>
        </is>
      </c>
    </row>
    <row r="472" ht="36" customHeight="1">
      <c r="A472" s="8" t="inlineStr">
        <is>
          <t>fengbang_tianmen</t>
        </is>
      </c>
      <c r="B472" s="8" t="inlineStr">
        <is>
          <t>封神之战：封榜天门</t>
        </is>
      </c>
      <c r="C472" s="8" t="inlineStr">
        <is>
          <t>mission_chest_fengbang_tianmen</t>
        </is>
      </c>
      <c r="D472" s="8" t="inlineStr">
        <is>
          <t>封榜天门宝箱</t>
        </is>
      </c>
      <c r="E472" s="8" t="inlineStr">
        <is>
          <t>blueprint_top_purple</t>
        </is>
      </c>
      <c r="F472" s="8" t="inlineStr">
        <is>
          <t>blueprint_qilinxue</t>
        </is>
      </c>
      <c r="G472" s="8" t="inlineStr">
        <is>
          <t>麒麟靴图纸</t>
        </is>
      </c>
      <c r="H472" s="8" t="inlineStr">
        <is>
          <t>purple</t>
        </is>
      </c>
      <c r="I472" s="8" t="inlineStr">
        <is>
          <t>tool</t>
        </is>
      </c>
      <c r="J472" s="8" t="n">
        <v>0.25</v>
      </c>
      <c r="K472" s="8" t="n">
        <v>1</v>
      </c>
      <c r="L472" s="8" t="n">
        <v>4</v>
      </c>
      <c r="M472" s="8" t="n">
        <v>1</v>
      </c>
      <c r="N472" s="8" t="n">
        <v>1</v>
      </c>
      <c r="O472" s="8">
        <f>J472*K472/L472</f>
        <v>0.0625</v>
      </c>
      <c r="P472" s="8">
        <f>(M472+N472)/2</f>
        <v>1.0</v>
      </c>
      <c r="Q472" s="8">
        <f>O472*P472</f>
        <v>0.0625</v>
      </c>
      <c r="R472" s="8" t="n">
        <v>0</v>
      </c>
      <c r="S472" s="8">
        <f>Q472*R472</f>
        <v>0.0</v>
      </c>
      <c r="T472" s="8" t="n">
        <v>9</v>
      </c>
      <c r="U472" s="8" t="inlineStr">
        <is>
          <t>麒麟靴</t>
        </is>
      </c>
      <c r="V472" s="8" t="inlineStr">
        <is>
          <t>data/item_templates.yaml:mission_chest_fengbang_tianmen.effect_payload</t>
        </is>
      </c>
    </row>
    <row r="473" ht="36" customHeight="1">
      <c r="A473" s="8" t="inlineStr">
        <is>
          <t>fengbang_tianmen</t>
        </is>
      </c>
      <c r="B473" s="8" t="inlineStr">
        <is>
          <t>封神之战：封榜天门</t>
        </is>
      </c>
      <c r="C473" s="8" t="inlineStr">
        <is>
          <t>mission_chest_fengbang_tianmen</t>
        </is>
      </c>
      <c r="D473" s="8" t="inlineStr">
        <is>
          <t>封榜天门宝箱</t>
        </is>
      </c>
      <c r="E473" s="8" t="inlineStr">
        <is>
          <t>blueprint_top_purple</t>
        </is>
      </c>
      <c r="F473" s="8" t="inlineStr">
        <is>
          <t>blueprint_qilindao</t>
        </is>
      </c>
      <c r="G473" s="8" t="inlineStr">
        <is>
          <t>麒麟刀图纸</t>
        </is>
      </c>
      <c r="H473" s="8" t="inlineStr">
        <is>
          <t>purple</t>
        </is>
      </c>
      <c r="I473" s="8" t="inlineStr">
        <is>
          <t>tool</t>
        </is>
      </c>
      <c r="J473" s="8" t="n">
        <v>0.25</v>
      </c>
      <c r="K473" s="8" t="n">
        <v>1</v>
      </c>
      <c r="L473" s="8" t="n">
        <v>4</v>
      </c>
      <c r="M473" s="8" t="n">
        <v>1</v>
      </c>
      <c r="N473" s="8" t="n">
        <v>1</v>
      </c>
      <c r="O473" s="8">
        <f>J473*K473/L473</f>
        <v>0.0625</v>
      </c>
      <c r="P473" s="8">
        <f>(M473+N473)/2</f>
        <v>1.0</v>
      </c>
      <c r="Q473" s="8">
        <f>O473*P473</f>
        <v>0.0625</v>
      </c>
      <c r="R473" s="8" t="n">
        <v>0</v>
      </c>
      <c r="S473" s="8">
        <f>Q473*R473</f>
        <v>0.0</v>
      </c>
      <c r="T473" s="8" t="n">
        <v>9</v>
      </c>
      <c r="U473" s="8" t="inlineStr">
        <is>
          <t>麒麟刀</t>
        </is>
      </c>
      <c r="V473" s="8" t="inlineStr">
        <is>
          <t>data/item_templates.yaml:mission_chest_fengbang_tianmen.effect_payload</t>
        </is>
      </c>
    </row>
    <row r="474" ht="36" customHeight="1">
      <c r="A474" s="8" t="inlineStr">
        <is>
          <t>fengbang_tianmen</t>
        </is>
      </c>
      <c r="B474" s="8" t="inlineStr">
        <is>
          <t>封神之战：封榜天门</t>
        </is>
      </c>
      <c r="C474" s="8" t="inlineStr">
        <is>
          <t>mission_chest_fengbang_tianmen</t>
        </is>
      </c>
      <c r="D474" s="8" t="inlineStr">
        <is>
          <t>封榜天门宝箱</t>
        </is>
      </c>
      <c r="E474" s="8" t="inlineStr">
        <is>
          <t>blueprint_top_orange</t>
        </is>
      </c>
      <c r="F474" s="8" t="inlineStr">
        <is>
          <t>blueprint_feiyuan</t>
        </is>
      </c>
      <c r="G474" s="8" t="inlineStr">
        <is>
          <t>飞鸢图纸</t>
        </is>
      </c>
      <c r="H474" s="8" t="inlineStr">
        <is>
          <t>orange</t>
        </is>
      </c>
      <c r="I474" s="8" t="inlineStr">
        <is>
          <t>tool</t>
        </is>
      </c>
      <c r="J474" s="8" t="n">
        <v>0.06</v>
      </c>
      <c r="K474" s="8" t="n">
        <v>1</v>
      </c>
      <c r="L474" s="8" t="n">
        <v>3</v>
      </c>
      <c r="M474" s="8" t="n">
        <v>1</v>
      </c>
      <c r="N474" s="8" t="n">
        <v>1</v>
      </c>
      <c r="O474" s="8">
        <f>J474*K474/L474</f>
        <v>0.02</v>
      </c>
      <c r="P474" s="8">
        <f>(M474+N474)/2</f>
        <v>1.0</v>
      </c>
      <c r="Q474" s="8">
        <f>O474*P474</f>
        <v>0.02</v>
      </c>
      <c r="R474" s="8" t="n">
        <v>0</v>
      </c>
      <c r="S474" s="8">
        <f>Q474*R474</f>
        <v>0.0</v>
      </c>
      <c r="T474" s="8" t="n">
        <v>10</v>
      </c>
      <c r="U474" s="8" t="inlineStr">
        <is>
          <t>飞鸢</t>
        </is>
      </c>
      <c r="V474" s="8" t="inlineStr">
        <is>
          <t>data/item_templates.yaml:mission_chest_fengbang_tianmen.effect_payload</t>
        </is>
      </c>
    </row>
    <row r="475" ht="36" customHeight="1">
      <c r="A475" s="8" t="inlineStr">
        <is>
          <t>fengbang_tianmen</t>
        </is>
      </c>
      <c r="B475" s="8" t="inlineStr">
        <is>
          <t>封神之战：封榜天门</t>
        </is>
      </c>
      <c r="C475" s="8" t="inlineStr">
        <is>
          <t>mission_chest_fengbang_tianmen</t>
        </is>
      </c>
      <c r="D475" s="8" t="inlineStr">
        <is>
          <t>封榜天门宝箱</t>
        </is>
      </c>
      <c r="E475" s="8" t="inlineStr">
        <is>
          <t>blueprint_top_orange</t>
        </is>
      </c>
      <c r="F475" s="8" t="inlineStr">
        <is>
          <t>blueprint_chixiaojifeng</t>
        </is>
      </c>
      <c r="G475" s="8" t="inlineStr">
        <is>
          <t>赤霄机凤图纸</t>
        </is>
      </c>
      <c r="H475" s="8" t="inlineStr">
        <is>
          <t>orange</t>
        </is>
      </c>
      <c r="I475" s="8" t="inlineStr">
        <is>
          <t>tool</t>
        </is>
      </c>
      <c r="J475" s="8" t="n">
        <v>0.06</v>
      </c>
      <c r="K475" s="8" t="n">
        <v>1</v>
      </c>
      <c r="L475" s="8" t="n">
        <v>3</v>
      </c>
      <c r="M475" s="8" t="n">
        <v>1</v>
      </c>
      <c r="N475" s="8" t="n">
        <v>1</v>
      </c>
      <c r="O475" s="8">
        <f>J475*K475/L475</f>
        <v>0.02</v>
      </c>
      <c r="P475" s="8">
        <f>(M475+N475)/2</f>
        <v>1.0</v>
      </c>
      <c r="Q475" s="8">
        <f>O475*P475</f>
        <v>0.02</v>
      </c>
      <c r="R475" s="8" t="n">
        <v>0</v>
      </c>
      <c r="S475" s="8">
        <f>Q475*R475</f>
        <v>0.0</v>
      </c>
      <c r="T475" s="8" t="n">
        <v>10</v>
      </c>
      <c r="U475" s="8" t="inlineStr">
        <is>
          <t>赤霄机凤</t>
        </is>
      </c>
      <c r="V475" s="8" t="inlineStr">
        <is>
          <t>data/item_templates.yaml:mission_chest_fengbang_tianmen.effect_payload</t>
        </is>
      </c>
    </row>
    <row r="476" ht="36" customHeight="1">
      <c r="A476" s="8" t="inlineStr">
        <is>
          <t>fengbang_tianmen</t>
        </is>
      </c>
      <c r="B476" s="8" t="inlineStr">
        <is>
          <t>封神之战：封榜天门</t>
        </is>
      </c>
      <c r="C476" s="8" t="inlineStr">
        <is>
          <t>mission_chest_fengbang_tianmen</t>
        </is>
      </c>
      <c r="D476" s="8" t="inlineStr">
        <is>
          <t>封榜天门宝箱</t>
        </is>
      </c>
      <c r="E476" s="8" t="inlineStr">
        <is>
          <t>blueprint_top_orange</t>
        </is>
      </c>
      <c r="F476" s="8" t="inlineStr">
        <is>
          <t>blueprint_mojiajiguanren</t>
        </is>
      </c>
      <c r="G476" s="8" t="inlineStr">
        <is>
          <t>墨家机关人图纸</t>
        </is>
      </c>
      <c r="H476" s="8" t="inlineStr">
        <is>
          <t>orange</t>
        </is>
      </c>
      <c r="I476" s="8" t="inlineStr">
        <is>
          <t>tool</t>
        </is>
      </c>
      <c r="J476" s="8" t="n">
        <v>0.06</v>
      </c>
      <c r="K476" s="8" t="n">
        <v>1</v>
      </c>
      <c r="L476" s="8" t="n">
        <v>3</v>
      </c>
      <c r="M476" s="8" t="n">
        <v>1</v>
      </c>
      <c r="N476" s="8" t="n">
        <v>1</v>
      </c>
      <c r="O476" s="8">
        <f>J476*K476/L476</f>
        <v>0.02</v>
      </c>
      <c r="P476" s="8">
        <f>(M476+N476)/2</f>
        <v>1.0</v>
      </c>
      <c r="Q476" s="8">
        <f>O476*P476</f>
        <v>0.02</v>
      </c>
      <c r="R476" s="8" t="n">
        <v>0</v>
      </c>
      <c r="S476" s="8">
        <f>Q476*R476</f>
        <v>0.0</v>
      </c>
      <c r="T476" s="8" t="n">
        <v>10</v>
      </c>
      <c r="U476" s="8" t="inlineStr">
        <is>
          <t>墨家机关人</t>
        </is>
      </c>
      <c r="V476" s="8" t="inlineStr">
        <is>
          <t>data/item_templates.yaml:mission_chest_fengbang_tianmen.effect_payload</t>
        </is>
      </c>
    </row>
    <row r="477" ht="36" customHeight="1">
      <c r="A477" s="8" t="inlineStr">
        <is>
          <t>fengbang_tianmen</t>
        </is>
      </c>
      <c r="B477" s="8" t="inlineStr">
        <is>
          <t>封神之战：封榜天门</t>
        </is>
      </c>
      <c r="C477" s="8" t="inlineStr">
        <is>
          <t>mission_chest_fengbang_tianmen</t>
        </is>
      </c>
      <c r="D477" s="8" t="inlineStr">
        <is>
          <t>封榜天门宝箱</t>
        </is>
      </c>
      <c r="E477" s="8" t="inlineStr">
        <is>
          <t>封神至宝</t>
        </is>
      </c>
      <c r="F477" s="8" t="inlineStr">
        <is>
          <t>equip_taiqingyuce</t>
        </is>
      </c>
      <c r="G477" s="8" t="inlineStr">
        <is>
          <t>太清玉册</t>
        </is>
      </c>
      <c r="H477" s="8" t="inlineStr">
        <is>
          <t>orange</t>
        </is>
      </c>
      <c r="I477" s="8" t="inlineStr">
        <is>
          <t>equip_ornament</t>
        </is>
      </c>
      <c r="J477" s="8" t="n">
        <v>0.15</v>
      </c>
      <c r="K477" s="8" t="n">
        <v>1</v>
      </c>
      <c r="L477" s="8" t="n">
        <v>3</v>
      </c>
      <c r="M477" s="8" t="n">
        <v>1</v>
      </c>
      <c r="N477" s="8" t="n">
        <v>1</v>
      </c>
      <c r="O477" s="8">
        <f>J477*K477/L477</f>
        <v>0.049999999999999996</v>
      </c>
      <c r="P477" s="8">
        <f>(M477+N477)/2</f>
        <v>1.0</v>
      </c>
      <c r="Q477" s="8">
        <f>O477*P477</f>
        <v>0.049999999999999996</v>
      </c>
      <c r="R477" s="8" t="n">
        <v>0</v>
      </c>
      <c r="S477" s="8">
        <f>Q477*R477</f>
        <v>0.0</v>
      </c>
      <c r="T477" s="8" t="n"/>
      <c r="U477" s="8" t="inlineStr"/>
      <c r="V477" s="8" t="inlineStr">
        <is>
          <t>data/item_templates.yaml:mission_chest_fengbang_tianmen.effect_payload</t>
        </is>
      </c>
    </row>
    <row r="478" ht="36" customHeight="1">
      <c r="A478" s="8" t="inlineStr">
        <is>
          <t>fengbang_tianmen</t>
        </is>
      </c>
      <c r="B478" s="8" t="inlineStr">
        <is>
          <t>封神之战：封榜天门</t>
        </is>
      </c>
      <c r="C478" s="8" t="inlineStr">
        <is>
          <t>mission_chest_fengbang_tianmen</t>
        </is>
      </c>
      <c r="D478" s="8" t="inlineStr">
        <is>
          <t>封榜天门宝箱</t>
        </is>
      </c>
      <c r="E478" s="8" t="inlineStr">
        <is>
          <t>封神至宝</t>
        </is>
      </c>
      <c r="F478" s="8" t="inlineStr">
        <is>
          <t>equip_fengshenbang</t>
        </is>
      </c>
      <c r="G478" s="8" t="inlineStr">
        <is>
          <t>封神榜</t>
        </is>
      </c>
      <c r="H478" s="8" t="inlineStr">
        <is>
          <t>orange</t>
        </is>
      </c>
      <c r="I478" s="8" t="inlineStr">
        <is>
          <t>equip_ornament</t>
        </is>
      </c>
      <c r="J478" s="8" t="n">
        <v>0.15</v>
      </c>
      <c r="K478" s="8" t="n">
        <v>1</v>
      </c>
      <c r="L478" s="8" t="n">
        <v>3</v>
      </c>
      <c r="M478" s="8" t="n">
        <v>1</v>
      </c>
      <c r="N478" s="8" t="n">
        <v>1</v>
      </c>
      <c r="O478" s="8">
        <f>J478*K478/L478</f>
        <v>0.049999999999999996</v>
      </c>
      <c r="P478" s="8">
        <f>(M478+N478)/2</f>
        <v>1.0</v>
      </c>
      <c r="Q478" s="8">
        <f>O478*P478</f>
        <v>0.049999999999999996</v>
      </c>
      <c r="R478" s="8" t="n">
        <v>0</v>
      </c>
      <c r="S478" s="8">
        <f>Q478*R478</f>
        <v>0.0</v>
      </c>
      <c r="T478" s="8" t="n"/>
      <c r="U478" s="8" t="inlineStr"/>
      <c r="V478" s="8" t="inlineStr">
        <is>
          <t>data/item_templates.yaml:mission_chest_fengbang_tianmen.effect_payload</t>
        </is>
      </c>
    </row>
    <row r="479" ht="36" customHeight="1">
      <c r="A479" s="8" t="inlineStr">
        <is>
          <t>fengbang_tianmen</t>
        </is>
      </c>
      <c r="B479" s="8" t="inlineStr">
        <is>
          <t>封神之战：封榜天门</t>
        </is>
      </c>
      <c r="C479" s="8" t="inlineStr">
        <is>
          <t>mission_chest_fengbang_tianmen</t>
        </is>
      </c>
      <c r="D479" s="8" t="inlineStr">
        <is>
          <t>封榜天门宝箱</t>
        </is>
      </c>
      <c r="E479" s="8" t="inlineStr">
        <is>
          <t>封神至宝</t>
        </is>
      </c>
      <c r="F479" s="8" t="inlineStr">
        <is>
          <t>equip_zhuxianjian</t>
        </is>
      </c>
      <c r="G479" s="8" t="inlineStr">
        <is>
          <t>诛仙剑</t>
        </is>
      </c>
      <c r="H479" s="8" t="inlineStr">
        <is>
          <t>orange</t>
        </is>
      </c>
      <c r="I479" s="8" t="inlineStr">
        <is>
          <t>equip_weapon</t>
        </is>
      </c>
      <c r="J479" s="8" t="n">
        <v>0.15</v>
      </c>
      <c r="K479" s="8" t="n">
        <v>1</v>
      </c>
      <c r="L479" s="8" t="n">
        <v>3</v>
      </c>
      <c r="M479" s="8" t="n">
        <v>1</v>
      </c>
      <c r="N479" s="8" t="n">
        <v>1</v>
      </c>
      <c r="O479" s="8">
        <f>J479*K479/L479</f>
        <v>0.049999999999999996</v>
      </c>
      <c r="P479" s="8">
        <f>(M479+N479)/2</f>
        <v>1.0</v>
      </c>
      <c r="Q479" s="8">
        <f>O479*P479</f>
        <v>0.049999999999999996</v>
      </c>
      <c r="R479" s="8" t="n">
        <v>0</v>
      </c>
      <c r="S479" s="8">
        <f>Q479*R479</f>
        <v>0.0</v>
      </c>
      <c r="T479" s="8" t="n"/>
      <c r="U479" s="8" t="inlineStr"/>
      <c r="V479" s="8" t="inlineStr">
        <is>
          <t>data/item_templates.yaml:mission_chest_fengbang_tianmen.effect_payload</t>
        </is>
      </c>
    </row>
    <row r="480" ht="36" customHeight="1">
      <c r="A480" s="8" t="inlineStr">
        <is>
          <t>fengbang_tianmen</t>
        </is>
      </c>
      <c r="B480" s="8" t="inlineStr">
        <is>
          <t>封神之战：封榜天门</t>
        </is>
      </c>
      <c r="C480" s="8" t="inlineStr">
        <is>
          <t>mission_chest_fengbang_tianmen</t>
        </is>
      </c>
      <c r="D480" s="8" t="inlineStr">
        <is>
          <t>封榜天门宝箱</t>
        </is>
      </c>
      <c r="E480" s="8" t="inlineStr">
        <is>
          <t>随飞鸢图纸附带（同次命中）</t>
        </is>
      </c>
      <c r="F480" s="8" t="inlineStr">
        <is>
          <t>tong</t>
        </is>
      </c>
      <c r="G480" s="8" t="inlineStr">
        <is>
          <t>铜</t>
        </is>
      </c>
      <c r="H480" s="8" t="inlineStr">
        <is>
          <t>black</t>
        </is>
      </c>
      <c r="I480" s="8" t="inlineStr">
        <is>
          <t>resource</t>
        </is>
      </c>
      <c r="J480" s="8" t="n">
        <v>0.02</v>
      </c>
      <c r="K480" s="8" t="n">
        <v>1</v>
      </c>
      <c r="L480" s="8" t="n">
        <v>1</v>
      </c>
      <c r="M480" s="8" t="n">
        <v>50</v>
      </c>
      <c r="N480" s="8" t="n">
        <v>50</v>
      </c>
      <c r="O480" s="8">
        <f>J480*K480/L480</f>
        <v>0.02</v>
      </c>
      <c r="P480" s="8">
        <f>(M480+N480)/2</f>
        <v>50.0</v>
      </c>
      <c r="Q480" s="8">
        <f>O480*P480</f>
        <v>1.0</v>
      </c>
      <c r="R480" s="8" t="n">
        <v>0</v>
      </c>
      <c r="S480" s="8">
        <f>Q480*R480</f>
        <v>0.0</v>
      </c>
      <c r="T480" s="8" t="n"/>
      <c r="U480" s="8" t="inlineStr"/>
      <c r="V480" s="8" t="inlineStr">
        <is>
          <t>data/item_templates.yaml:mission_chest_fengbang_tianmen.effect_payload</t>
        </is>
      </c>
    </row>
    <row r="481" ht="36" customHeight="1">
      <c r="A481" s="8" t="inlineStr">
        <is>
          <t>fengbang_tianmen</t>
        </is>
      </c>
      <c r="B481" s="8" t="inlineStr">
        <is>
          <t>封神之战：封榜天门</t>
        </is>
      </c>
      <c r="C481" s="8" t="inlineStr">
        <is>
          <t>mission_chest_fengbang_tianmen</t>
        </is>
      </c>
      <c r="D481" s="8" t="inlineStr">
        <is>
          <t>封榜天门宝箱</t>
        </is>
      </c>
      <c r="E481" s="8" t="inlineStr">
        <is>
          <t>随飞鸢图纸附带（同次命中）</t>
        </is>
      </c>
      <c r="F481" s="8" t="inlineStr">
        <is>
          <t>xi</t>
        </is>
      </c>
      <c r="G481" s="8" t="inlineStr">
        <is>
          <t>锡</t>
        </is>
      </c>
      <c r="H481" s="8" t="inlineStr">
        <is>
          <t>black</t>
        </is>
      </c>
      <c r="I481" s="8" t="inlineStr">
        <is>
          <t>resource</t>
        </is>
      </c>
      <c r="J481" s="8" t="n">
        <v>0.02</v>
      </c>
      <c r="K481" s="8" t="n">
        <v>1</v>
      </c>
      <c r="L481" s="8" t="n">
        <v>1</v>
      </c>
      <c r="M481" s="8" t="n">
        <v>34</v>
      </c>
      <c r="N481" s="8" t="n">
        <v>34</v>
      </c>
      <c r="O481" s="8">
        <f>J481*K481/L481</f>
        <v>0.02</v>
      </c>
      <c r="P481" s="8">
        <f>(M481+N481)/2</f>
        <v>34.0</v>
      </c>
      <c r="Q481" s="8">
        <f>O481*P481</f>
        <v>0.68</v>
      </c>
      <c r="R481" s="8" t="n">
        <v>0</v>
      </c>
      <c r="S481" s="8">
        <f>Q481*R481</f>
        <v>0.0</v>
      </c>
      <c r="T481" s="8" t="n"/>
      <c r="U481" s="8" t="inlineStr"/>
      <c r="V481" s="8" t="inlineStr">
        <is>
          <t>data/item_templates.yaml:mission_chest_fengbang_tianmen.effect_payload</t>
        </is>
      </c>
    </row>
    <row r="482" ht="36" customHeight="1">
      <c r="A482" s="8" t="inlineStr">
        <is>
          <t>fengbang_tianmen</t>
        </is>
      </c>
      <c r="B482" s="8" t="inlineStr">
        <is>
          <t>封神之战：封榜天门</t>
        </is>
      </c>
      <c r="C482" s="8" t="inlineStr">
        <is>
          <t>mission_chest_fengbang_tianmen</t>
        </is>
      </c>
      <c r="D482" s="8" t="inlineStr">
        <is>
          <t>封榜天门宝箱</t>
        </is>
      </c>
      <c r="E482" s="8" t="inlineStr">
        <is>
          <t>随飞鸢图纸附带（同次命中）</t>
        </is>
      </c>
      <c r="F482" s="8" t="inlineStr">
        <is>
          <t>tie</t>
        </is>
      </c>
      <c r="G482" s="8" t="inlineStr">
        <is>
          <t>铁</t>
        </is>
      </c>
      <c r="H482" s="8" t="inlineStr">
        <is>
          <t>black</t>
        </is>
      </c>
      <c r="I482" s="8" t="inlineStr">
        <is>
          <t>resource</t>
        </is>
      </c>
      <c r="J482" s="8" t="n">
        <v>0.02</v>
      </c>
      <c r="K482" s="8" t="n">
        <v>1</v>
      </c>
      <c r="L482" s="8" t="n">
        <v>1</v>
      </c>
      <c r="M482" s="8" t="n">
        <v>26</v>
      </c>
      <c r="N482" s="8" t="n">
        <v>26</v>
      </c>
      <c r="O482" s="8">
        <f>J482*K482/L482</f>
        <v>0.02</v>
      </c>
      <c r="P482" s="8">
        <f>(M482+N482)/2</f>
        <v>26.0</v>
      </c>
      <c r="Q482" s="8">
        <f>O482*P482</f>
        <v>0.52</v>
      </c>
      <c r="R482" s="8" t="n">
        <v>0</v>
      </c>
      <c r="S482" s="8">
        <f>Q482*R482</f>
        <v>0.0</v>
      </c>
      <c r="T482" s="8" t="n"/>
      <c r="U482" s="8" t="inlineStr"/>
      <c r="V482" s="8" t="inlineStr">
        <is>
          <t>data/item_templates.yaml:mission_chest_fengbang_tianmen.effect_payload</t>
        </is>
      </c>
    </row>
    <row r="483" ht="36" customHeight="1">
      <c r="A483" s="8" t="inlineStr">
        <is>
          <t>fengbang_tianmen</t>
        </is>
      </c>
      <c r="B483" s="8" t="inlineStr">
        <is>
          <t>封神之战：封榜天门</t>
        </is>
      </c>
      <c r="C483" s="8" t="inlineStr">
        <is>
          <t>mission_chest_fengbang_tianmen</t>
        </is>
      </c>
      <c r="D483" s="8" t="inlineStr">
        <is>
          <t>封榜天门宝箱</t>
        </is>
      </c>
      <c r="E483" s="8" t="inlineStr">
        <is>
          <t>随飞鸢图纸附带（同次命中）</t>
        </is>
      </c>
      <c r="F483" s="8" t="inlineStr">
        <is>
          <t>xuan_tie_essence</t>
        </is>
      </c>
      <c r="G483" s="8" t="inlineStr">
        <is>
          <t>玄铁精华</t>
        </is>
      </c>
      <c r="H483" s="8" t="inlineStr">
        <is>
          <t>blue</t>
        </is>
      </c>
      <c r="I483" s="8" t="inlineStr">
        <is>
          <t>resource</t>
        </is>
      </c>
      <c r="J483" s="8" t="n">
        <v>0.02</v>
      </c>
      <c r="K483" s="8" t="n">
        <v>1</v>
      </c>
      <c r="L483" s="8" t="n">
        <v>1</v>
      </c>
      <c r="M483" s="8" t="n">
        <v>2</v>
      </c>
      <c r="N483" s="8" t="n">
        <v>2</v>
      </c>
      <c r="O483" s="8">
        <f>J483*K483/L483</f>
        <v>0.02</v>
      </c>
      <c r="P483" s="8">
        <f>(M483+N483)/2</f>
        <v>2.0</v>
      </c>
      <c r="Q483" s="8">
        <f>O483*P483</f>
        <v>0.04</v>
      </c>
      <c r="R483" s="8" t="n">
        <v>0</v>
      </c>
      <c r="S483" s="8">
        <f>Q483*R483</f>
        <v>0.0</v>
      </c>
      <c r="T483" s="8" t="n"/>
      <c r="U483" s="8" t="inlineStr"/>
      <c r="V483" s="8" t="inlineStr">
        <is>
          <t>data/item_templates.yaml:mission_chest_fengbang_tianmen.effect_payload</t>
        </is>
      </c>
    </row>
    <row r="484" ht="36" customHeight="1">
      <c r="A484" s="8" t="inlineStr">
        <is>
          <t>fengbang_tianmen</t>
        </is>
      </c>
      <c r="B484" s="8" t="inlineStr">
        <is>
          <t>封神之战：封榜天门</t>
        </is>
      </c>
      <c r="C484" s="8" t="inlineStr">
        <is>
          <t>mission_chest_fengbang_tianmen</t>
        </is>
      </c>
      <c r="D484" s="8" t="inlineStr">
        <is>
          <t>封榜天门宝箱</t>
        </is>
      </c>
      <c r="E484" s="8" t="inlineStr">
        <is>
          <t>随飞鸢图纸附带（同次命中）</t>
        </is>
      </c>
      <c r="F484" s="8" t="inlineStr">
        <is>
          <t>zitanmu</t>
        </is>
      </c>
      <c r="G484" s="8" t="inlineStr">
        <is>
          <t>紫檀木</t>
        </is>
      </c>
      <c r="H484" s="8" t="inlineStr">
        <is>
          <t>green</t>
        </is>
      </c>
      <c r="I484" s="8" t="inlineStr">
        <is>
          <t>resource</t>
        </is>
      </c>
      <c r="J484" s="8" t="n">
        <v>0.02</v>
      </c>
      <c r="K484" s="8" t="n">
        <v>1</v>
      </c>
      <c r="L484" s="8" t="n">
        <v>1</v>
      </c>
      <c r="M484" s="8" t="n">
        <v>8</v>
      </c>
      <c r="N484" s="8" t="n">
        <v>8</v>
      </c>
      <c r="O484" s="8">
        <f>J484*K484/L484</f>
        <v>0.02</v>
      </c>
      <c r="P484" s="8">
        <f>(M484+N484)/2</f>
        <v>8.0</v>
      </c>
      <c r="Q484" s="8">
        <f>O484*P484</f>
        <v>0.16</v>
      </c>
      <c r="R484" s="8" t="n">
        <v>0</v>
      </c>
      <c r="S484" s="8">
        <f>Q484*R484</f>
        <v>0.0</v>
      </c>
      <c r="T484" s="8" t="n"/>
      <c r="U484" s="8" t="inlineStr"/>
      <c r="V484" s="8" t="inlineStr">
        <is>
          <t>data/item_templates.yaml:mission_chest_fengbang_tianmen.effect_payload</t>
        </is>
      </c>
    </row>
    <row r="485" ht="36" customHeight="1">
      <c r="A485" s="8" t="inlineStr">
        <is>
          <t>fengbang_tianmen</t>
        </is>
      </c>
      <c r="B485" s="8" t="inlineStr">
        <is>
          <t>封神之战：封榜天门</t>
        </is>
      </c>
      <c r="C485" s="8" t="inlineStr">
        <is>
          <t>mission_chest_fengbang_tianmen</t>
        </is>
      </c>
      <c r="D485" s="8" t="inlineStr">
        <is>
          <t>封榜天门宝箱</t>
        </is>
      </c>
      <c r="E485" s="8" t="inlineStr">
        <is>
          <t>随飞鸢图纸附带（同次命中）</t>
        </is>
      </c>
      <c r="F485" s="8" t="inlineStr">
        <is>
          <t>shuiqumu</t>
        </is>
      </c>
      <c r="G485" s="8" t="inlineStr">
        <is>
          <t>水曲木</t>
        </is>
      </c>
      <c r="H485" s="8" t="inlineStr">
        <is>
          <t>black</t>
        </is>
      </c>
      <c r="I485" s="8" t="inlineStr">
        <is>
          <t>resource</t>
        </is>
      </c>
      <c r="J485" s="8" t="n">
        <v>0.02</v>
      </c>
      <c r="K485" s="8" t="n">
        <v>1</v>
      </c>
      <c r="L485" s="8" t="n">
        <v>1</v>
      </c>
      <c r="M485" s="8" t="n">
        <v>11</v>
      </c>
      <c r="N485" s="8" t="n">
        <v>11</v>
      </c>
      <c r="O485" s="8">
        <f>J485*K485/L485</f>
        <v>0.02</v>
      </c>
      <c r="P485" s="8">
        <f>(M485+N485)/2</f>
        <v>11.0</v>
      </c>
      <c r="Q485" s="8">
        <f>O485*P485</f>
        <v>0.22</v>
      </c>
      <c r="R485" s="8" t="n">
        <v>0</v>
      </c>
      <c r="S485" s="8">
        <f>Q485*R485</f>
        <v>0.0</v>
      </c>
      <c r="T485" s="8" t="n"/>
      <c r="U485" s="8" t="inlineStr"/>
      <c r="V485" s="8" t="inlineStr">
        <is>
          <t>data/item_templates.yaml:mission_chest_fengbang_tianmen.effect_payload</t>
        </is>
      </c>
    </row>
    <row r="486" ht="36" customHeight="1">
      <c r="A486" s="8" t="inlineStr">
        <is>
          <t>fengbang_tianmen</t>
        </is>
      </c>
      <c r="B486" s="8" t="inlineStr">
        <is>
          <t>封神之战：封榜天门</t>
        </is>
      </c>
      <c r="C486" s="8" t="inlineStr">
        <is>
          <t>mission_chest_fengbang_tianmen</t>
        </is>
      </c>
      <c r="D486" s="8" t="inlineStr">
        <is>
          <t>封榜天门宝箱</t>
        </is>
      </c>
      <c r="E486" s="8" t="inlineStr">
        <is>
          <t>随飞鸢图纸附带（同次命中）</t>
        </is>
      </c>
      <c r="F486" s="8" t="inlineStr">
        <is>
          <t>tiemu</t>
        </is>
      </c>
      <c r="G486" s="8" t="inlineStr">
        <is>
          <t>铁木</t>
        </is>
      </c>
      <c r="H486" s="8" t="inlineStr">
        <is>
          <t>green</t>
        </is>
      </c>
      <c r="I486" s="8" t="inlineStr">
        <is>
          <t>resource</t>
        </is>
      </c>
      <c r="J486" s="8" t="n">
        <v>0.02</v>
      </c>
      <c r="K486" s="8" t="n">
        <v>1</v>
      </c>
      <c r="L486" s="8" t="n">
        <v>1</v>
      </c>
      <c r="M486" s="8" t="n">
        <v>7</v>
      </c>
      <c r="N486" s="8" t="n">
        <v>7</v>
      </c>
      <c r="O486" s="8">
        <f>J486*K486/L486</f>
        <v>0.02</v>
      </c>
      <c r="P486" s="8">
        <f>(M486+N486)/2</f>
        <v>7.0</v>
      </c>
      <c r="Q486" s="8">
        <f>O486*P486</f>
        <v>0.14</v>
      </c>
      <c r="R486" s="8" t="n">
        <v>0</v>
      </c>
      <c r="S486" s="8">
        <f>Q486*R486</f>
        <v>0.0</v>
      </c>
      <c r="T486" s="8" t="n"/>
      <c r="U486" s="8" t="inlineStr"/>
      <c r="V486" s="8" t="inlineStr">
        <is>
          <t>data/item_templates.yaml:mission_chest_fengbang_tianmen.effect_payload</t>
        </is>
      </c>
    </row>
    <row r="487" ht="36" customHeight="1">
      <c r="A487" s="8" t="inlineStr">
        <is>
          <t>fengbang_tianmen</t>
        </is>
      </c>
      <c r="B487" s="8" t="inlineStr">
        <is>
          <t>封神之战：封榜天门</t>
        </is>
      </c>
      <c r="C487" s="8" t="inlineStr">
        <is>
          <t>mission_chest_fengbang_tianmen</t>
        </is>
      </c>
      <c r="D487" s="8" t="inlineStr">
        <is>
          <t>封榜天门宝箱</t>
        </is>
      </c>
      <c r="E487" s="8" t="inlineStr">
        <is>
          <t>随飞鸢图纸附带（同次命中）</t>
        </is>
      </c>
      <c r="F487" s="8" t="inlineStr">
        <is>
          <t>heiyuanshi</t>
        </is>
      </c>
      <c r="G487" s="8" t="inlineStr">
        <is>
          <t>黑原石</t>
        </is>
      </c>
      <c r="H487" s="8" t="inlineStr">
        <is>
          <t>green</t>
        </is>
      </c>
      <c r="I487" s="8" t="inlineStr">
        <is>
          <t>resource</t>
        </is>
      </c>
      <c r="J487" s="8" t="n">
        <v>0.02</v>
      </c>
      <c r="K487" s="8" t="n">
        <v>1</v>
      </c>
      <c r="L487" s="8" t="n">
        <v>1</v>
      </c>
      <c r="M487" s="8" t="n">
        <v>6</v>
      </c>
      <c r="N487" s="8" t="n">
        <v>6</v>
      </c>
      <c r="O487" s="8">
        <f>J487*K487/L487</f>
        <v>0.02</v>
      </c>
      <c r="P487" s="8">
        <f>(M487+N487)/2</f>
        <v>6.0</v>
      </c>
      <c r="Q487" s="8">
        <f>O487*P487</f>
        <v>0.12</v>
      </c>
      <c r="R487" s="8" t="n">
        <v>0</v>
      </c>
      <c r="S487" s="8">
        <f>Q487*R487</f>
        <v>0.0</v>
      </c>
      <c r="T487" s="8" t="n"/>
      <c r="U487" s="8" t="inlineStr"/>
      <c r="V487" s="8" t="inlineStr">
        <is>
          <t>data/item_templates.yaml:mission_chest_fengbang_tianmen.effect_payload</t>
        </is>
      </c>
    </row>
    <row r="488" ht="36" customHeight="1">
      <c r="A488" s="8" t="inlineStr">
        <is>
          <t>fengbang_tianmen</t>
        </is>
      </c>
      <c r="B488" s="8" t="inlineStr">
        <is>
          <t>封神之战：封榜天门</t>
        </is>
      </c>
      <c r="C488" s="8" t="inlineStr">
        <is>
          <t>mission_chest_fengbang_tianmen</t>
        </is>
      </c>
      <c r="D488" s="8" t="inlineStr">
        <is>
          <t>封榜天门宝箱</t>
        </is>
      </c>
      <c r="E488" s="8" t="inlineStr">
        <is>
          <t>随飞鸢图纸附带（同次命中）</t>
        </is>
      </c>
      <c r="F488" s="8" t="inlineStr">
        <is>
          <t>jingangmei</t>
        </is>
      </c>
      <c r="G488" s="8" t="inlineStr">
        <is>
          <t>金刚煤</t>
        </is>
      </c>
      <c r="H488" s="8" t="inlineStr">
        <is>
          <t>green</t>
        </is>
      </c>
      <c r="I488" s="8" t="inlineStr">
        <is>
          <t>resource</t>
        </is>
      </c>
      <c r="J488" s="8" t="n">
        <v>0.02</v>
      </c>
      <c r="K488" s="8" t="n">
        <v>1</v>
      </c>
      <c r="L488" s="8" t="n">
        <v>1</v>
      </c>
      <c r="M488" s="8" t="n">
        <v>6</v>
      </c>
      <c r="N488" s="8" t="n">
        <v>6</v>
      </c>
      <c r="O488" s="8">
        <f>J488*K488/L488</f>
        <v>0.02</v>
      </c>
      <c r="P488" s="8">
        <f>(M488+N488)/2</f>
        <v>6.0</v>
      </c>
      <c r="Q488" s="8">
        <f>O488*P488</f>
        <v>0.12</v>
      </c>
      <c r="R488" s="8" t="n">
        <v>0</v>
      </c>
      <c r="S488" s="8">
        <f>Q488*R488</f>
        <v>0.0</v>
      </c>
      <c r="T488" s="8" t="n"/>
      <c r="U488" s="8" t="inlineStr"/>
      <c r="V488" s="8" t="inlineStr">
        <is>
          <t>data/item_templates.yaml:mission_chest_fengbang_tianmen.effect_payload</t>
        </is>
      </c>
    </row>
    <row r="489" ht="36" customHeight="1">
      <c r="A489" s="8" t="inlineStr">
        <is>
          <t>fengbang_tianmen</t>
        </is>
      </c>
      <c r="B489" s="8" t="inlineStr">
        <is>
          <t>封神之战：封榜天门</t>
        </is>
      </c>
      <c r="C489" s="8" t="inlineStr">
        <is>
          <t>mission_chest_fengbang_tianmen</t>
        </is>
      </c>
      <c r="D489" s="8" t="inlineStr">
        <is>
          <t>封榜天门宝箱</t>
        </is>
      </c>
      <c r="E489" s="8" t="inlineStr">
        <is>
          <t>随飞鸢图纸附带（同次命中）</t>
        </is>
      </c>
      <c r="F489" s="8" t="inlineStr">
        <is>
          <t>paozi</t>
        </is>
      </c>
      <c r="G489" s="8" t="inlineStr">
        <is>
          <t>刨子</t>
        </is>
      </c>
      <c r="H489" s="8" t="inlineStr">
        <is>
          <t>black</t>
        </is>
      </c>
      <c r="I489" s="8" t="inlineStr">
        <is>
          <t>resource</t>
        </is>
      </c>
      <c r="J489" s="8" t="n">
        <v>0.02</v>
      </c>
      <c r="K489" s="8" t="n">
        <v>1</v>
      </c>
      <c r="L489" s="8" t="n">
        <v>1</v>
      </c>
      <c r="M489" s="8" t="n">
        <v>7</v>
      </c>
      <c r="N489" s="8" t="n">
        <v>7</v>
      </c>
      <c r="O489" s="8">
        <f>J489*K489/L489</f>
        <v>0.02</v>
      </c>
      <c r="P489" s="8">
        <f>(M489+N489)/2</f>
        <v>7.0</v>
      </c>
      <c r="Q489" s="8">
        <f>O489*P489</f>
        <v>0.14</v>
      </c>
      <c r="R489" s="8" t="n">
        <v>0</v>
      </c>
      <c r="S489" s="8">
        <f>Q489*R489</f>
        <v>0.0</v>
      </c>
      <c r="T489" s="8" t="n"/>
      <c r="U489" s="8" t="inlineStr"/>
      <c r="V489" s="8" t="inlineStr">
        <is>
          <t>data/item_templates.yaml:mission_chest_fengbang_tianmen.effect_payload</t>
        </is>
      </c>
    </row>
    <row r="490" ht="36" customHeight="1">
      <c r="A490" s="8" t="inlineStr">
        <is>
          <t>fengbang_tianmen</t>
        </is>
      </c>
      <c r="B490" s="8" t="inlineStr">
        <is>
          <t>封神之战：封榜天门</t>
        </is>
      </c>
      <c r="C490" s="8" t="inlineStr">
        <is>
          <t>mission_chest_fengbang_tianmen</t>
        </is>
      </c>
      <c r="D490" s="8" t="inlineStr">
        <is>
          <t>封榜天门宝箱</t>
        </is>
      </c>
      <c r="E490" s="8" t="inlineStr">
        <is>
          <t>随飞鸢图纸附带（同次命中）</t>
        </is>
      </c>
      <c r="F490" s="8" t="inlineStr">
        <is>
          <t>zaozi</t>
        </is>
      </c>
      <c r="G490" s="8" t="inlineStr">
        <is>
          <t>凿子</t>
        </is>
      </c>
      <c r="H490" s="8" t="inlineStr">
        <is>
          <t>black</t>
        </is>
      </c>
      <c r="I490" s="8" t="inlineStr">
        <is>
          <t>resource</t>
        </is>
      </c>
      <c r="J490" s="8" t="n">
        <v>0.02</v>
      </c>
      <c r="K490" s="8" t="n">
        <v>1</v>
      </c>
      <c r="L490" s="8" t="n">
        <v>1</v>
      </c>
      <c r="M490" s="8" t="n">
        <v>4</v>
      </c>
      <c r="N490" s="8" t="n">
        <v>4</v>
      </c>
      <c r="O490" s="8">
        <f>J490*K490/L490</f>
        <v>0.02</v>
      </c>
      <c r="P490" s="8">
        <f>(M490+N490)/2</f>
        <v>4.0</v>
      </c>
      <c r="Q490" s="8">
        <f>O490*P490</f>
        <v>0.08</v>
      </c>
      <c r="R490" s="8" t="n">
        <v>0</v>
      </c>
      <c r="S490" s="8">
        <f>Q490*R490</f>
        <v>0.0</v>
      </c>
      <c r="T490" s="8" t="n"/>
      <c r="U490" s="8" t="inlineStr"/>
      <c r="V490" s="8" t="inlineStr">
        <is>
          <t>data/item_templates.yaml:mission_chest_fengbang_tianmen.effect_payload</t>
        </is>
      </c>
    </row>
    <row r="491" ht="36" customHeight="1">
      <c r="A491" s="8" t="inlineStr">
        <is>
          <t>fengbang_tianmen</t>
        </is>
      </c>
      <c r="B491" s="8" t="inlineStr">
        <is>
          <t>封神之战：封榜天门</t>
        </is>
      </c>
      <c r="C491" s="8" t="inlineStr">
        <is>
          <t>mission_chest_fengbang_tianmen</t>
        </is>
      </c>
      <c r="D491" s="8" t="inlineStr">
        <is>
          <t>封榜天门宝箱</t>
        </is>
      </c>
      <c r="E491" s="8" t="inlineStr">
        <is>
          <t>随飞鸢图纸附带（同次命中）</t>
        </is>
      </c>
      <c r="F491" s="8" t="inlineStr">
        <is>
          <t>gaolu</t>
        </is>
      </c>
      <c r="G491" s="8" t="inlineStr">
        <is>
          <t>高炉</t>
        </is>
      </c>
      <c r="H491" s="8" t="inlineStr">
        <is>
          <t>blue</t>
        </is>
      </c>
      <c r="I491" s="8" t="inlineStr">
        <is>
          <t>resource</t>
        </is>
      </c>
      <c r="J491" s="8" t="n">
        <v>0.02</v>
      </c>
      <c r="K491" s="8" t="n">
        <v>1</v>
      </c>
      <c r="L491" s="8" t="n">
        <v>1</v>
      </c>
      <c r="M491" s="8" t="n">
        <v>3</v>
      </c>
      <c r="N491" s="8" t="n">
        <v>3</v>
      </c>
      <c r="O491" s="8">
        <f>J491*K491/L491</f>
        <v>0.02</v>
      </c>
      <c r="P491" s="8">
        <f>(M491+N491)/2</f>
        <v>3.0</v>
      </c>
      <c r="Q491" s="8">
        <f>O491*P491</f>
        <v>0.06</v>
      </c>
      <c r="R491" s="8" t="n">
        <v>0</v>
      </c>
      <c r="S491" s="8">
        <f>Q491*R491</f>
        <v>0.0</v>
      </c>
      <c r="T491" s="8" t="n"/>
      <c r="U491" s="8" t="inlineStr"/>
      <c r="V491" s="8" t="inlineStr">
        <is>
          <t>data/item_templates.yaml:mission_chest_fengbang_tianmen.effect_payload</t>
        </is>
      </c>
    </row>
    <row r="492" ht="36" customHeight="1">
      <c r="A492" s="8" t="inlineStr">
        <is>
          <t>fengbang_tianmen</t>
        </is>
      </c>
      <c r="B492" s="8" t="inlineStr">
        <is>
          <t>封神之战：封榜天门</t>
        </is>
      </c>
      <c r="C492" s="8" t="inlineStr">
        <is>
          <t>mission_chest_fengbang_tianmen</t>
        </is>
      </c>
      <c r="D492" s="8" t="inlineStr">
        <is>
          <t>封榜天门宝箱</t>
        </is>
      </c>
      <c r="E492" s="8" t="inlineStr">
        <is>
          <t>随飞鸢图纸附带（同次命中）</t>
        </is>
      </c>
      <c r="F492" s="8" t="inlineStr">
        <is>
          <t>air_stone</t>
        </is>
      </c>
      <c r="G492" s="8" t="inlineStr">
        <is>
          <t>空气之石</t>
        </is>
      </c>
      <c r="H492" s="8" t="inlineStr">
        <is>
          <t>blue</t>
        </is>
      </c>
      <c r="I492" s="8" t="inlineStr">
        <is>
          <t>resource</t>
        </is>
      </c>
      <c r="J492" s="8" t="n">
        <v>0.02</v>
      </c>
      <c r="K492" s="8" t="n">
        <v>1</v>
      </c>
      <c r="L492" s="8" t="n">
        <v>1</v>
      </c>
      <c r="M492" s="8" t="n">
        <v>2</v>
      </c>
      <c r="N492" s="8" t="n">
        <v>2</v>
      </c>
      <c r="O492" s="8">
        <f>J492*K492/L492</f>
        <v>0.02</v>
      </c>
      <c r="P492" s="8">
        <f>(M492+N492)/2</f>
        <v>2.0</v>
      </c>
      <c r="Q492" s="8">
        <f>O492*P492</f>
        <v>0.04</v>
      </c>
      <c r="R492" s="8" t="n">
        <v>0</v>
      </c>
      <c r="S492" s="8">
        <f>Q492*R492</f>
        <v>0.0</v>
      </c>
      <c r="T492" s="8" t="n"/>
      <c r="U492" s="8" t="inlineStr"/>
      <c r="V492" s="8" t="inlineStr">
        <is>
          <t>data/item_templates.yaml:mission_chest_fengbang_tianmen.effect_payload</t>
        </is>
      </c>
    </row>
    <row r="493" ht="36" customHeight="1">
      <c r="A493" s="8" t="inlineStr">
        <is>
          <t>fengbang_tianmen</t>
        </is>
      </c>
      <c r="B493" s="8" t="inlineStr">
        <is>
          <t>封神之战：封榜天门</t>
        </is>
      </c>
      <c r="C493" s="8" t="inlineStr">
        <is>
          <t>mission_chest_fengbang_tianmen</t>
        </is>
      </c>
      <c r="D493" s="8" t="inlineStr">
        <is>
          <t>封榜天门宝箱</t>
        </is>
      </c>
      <c r="E493" s="8" t="inlineStr">
        <is>
          <t>随飞鸢图纸附带（同次命中）</t>
        </is>
      </c>
      <c r="F493" s="8" t="inlineStr">
        <is>
          <t>fire_stone</t>
        </is>
      </c>
      <c r="G493" s="8" t="inlineStr">
        <is>
          <t>火焰之石</t>
        </is>
      </c>
      <c r="H493" s="8" t="inlineStr">
        <is>
          <t>blue</t>
        </is>
      </c>
      <c r="I493" s="8" t="inlineStr">
        <is>
          <t>resource</t>
        </is>
      </c>
      <c r="J493" s="8" t="n">
        <v>0.02</v>
      </c>
      <c r="K493" s="8" t="n">
        <v>1</v>
      </c>
      <c r="L493" s="8" t="n">
        <v>1</v>
      </c>
      <c r="M493" s="8" t="n">
        <v>1</v>
      </c>
      <c r="N493" s="8" t="n">
        <v>1</v>
      </c>
      <c r="O493" s="8">
        <f>J493*K493/L493</f>
        <v>0.02</v>
      </c>
      <c r="P493" s="8">
        <f>(M493+N493)/2</f>
        <v>1.0</v>
      </c>
      <c r="Q493" s="8">
        <f>O493*P493</f>
        <v>0.02</v>
      </c>
      <c r="R493" s="8" t="n">
        <v>0</v>
      </c>
      <c r="S493" s="8">
        <f>Q493*R493</f>
        <v>0.0</v>
      </c>
      <c r="T493" s="8" t="n"/>
      <c r="U493" s="8" t="inlineStr"/>
      <c r="V493" s="8" t="inlineStr">
        <is>
          <t>data/item_templates.yaml:mission_chest_fengbang_tianmen.effect_payload</t>
        </is>
      </c>
    </row>
    <row r="494" ht="36" customHeight="1">
      <c r="A494" s="8" t="inlineStr">
        <is>
          <t>fengbang_tianmen</t>
        </is>
      </c>
      <c r="B494" s="8" t="inlineStr">
        <is>
          <t>封神之战：封榜天门</t>
        </is>
      </c>
      <c r="C494" s="8" t="inlineStr">
        <is>
          <t>mission_chest_fengbang_tianmen</t>
        </is>
      </c>
      <c r="D494" s="8" t="inlineStr">
        <is>
          <t>封榜天门宝箱</t>
        </is>
      </c>
      <c r="E494" s="8" t="inlineStr">
        <is>
          <t>随赤霄机凤图纸附带（同次命中）</t>
        </is>
      </c>
      <c r="F494" s="8" t="inlineStr">
        <is>
          <t>tong</t>
        </is>
      </c>
      <c r="G494" s="8" t="inlineStr">
        <is>
          <t>铜</t>
        </is>
      </c>
      <c r="H494" s="8" t="inlineStr">
        <is>
          <t>black</t>
        </is>
      </c>
      <c r="I494" s="8" t="inlineStr">
        <is>
          <t>resource</t>
        </is>
      </c>
      <c r="J494" s="8" t="n">
        <v>0.02</v>
      </c>
      <c r="K494" s="8" t="n">
        <v>1</v>
      </c>
      <c r="L494" s="8" t="n">
        <v>1</v>
      </c>
      <c r="M494" s="8" t="n">
        <v>53</v>
      </c>
      <c r="N494" s="8" t="n">
        <v>53</v>
      </c>
      <c r="O494" s="8">
        <f>J494*K494/L494</f>
        <v>0.02</v>
      </c>
      <c r="P494" s="8">
        <f>(M494+N494)/2</f>
        <v>53.0</v>
      </c>
      <c r="Q494" s="8">
        <f>O494*P494</f>
        <v>1.06</v>
      </c>
      <c r="R494" s="8" t="n">
        <v>0</v>
      </c>
      <c r="S494" s="8">
        <f>Q494*R494</f>
        <v>0.0</v>
      </c>
      <c r="T494" s="8" t="n"/>
      <c r="U494" s="8" t="inlineStr"/>
      <c r="V494" s="8" t="inlineStr">
        <is>
          <t>data/item_templates.yaml:mission_chest_fengbang_tianmen.effect_payload</t>
        </is>
      </c>
    </row>
    <row r="495" ht="36" customHeight="1">
      <c r="A495" s="8" t="inlineStr">
        <is>
          <t>fengbang_tianmen</t>
        </is>
      </c>
      <c r="B495" s="8" t="inlineStr">
        <is>
          <t>封神之战：封榜天门</t>
        </is>
      </c>
      <c r="C495" s="8" t="inlineStr">
        <is>
          <t>mission_chest_fengbang_tianmen</t>
        </is>
      </c>
      <c r="D495" s="8" t="inlineStr">
        <is>
          <t>封榜天门宝箱</t>
        </is>
      </c>
      <c r="E495" s="8" t="inlineStr">
        <is>
          <t>随赤霄机凤图纸附带（同次命中）</t>
        </is>
      </c>
      <c r="F495" s="8" t="inlineStr">
        <is>
          <t>xi</t>
        </is>
      </c>
      <c r="G495" s="8" t="inlineStr">
        <is>
          <t>锡</t>
        </is>
      </c>
      <c r="H495" s="8" t="inlineStr">
        <is>
          <t>black</t>
        </is>
      </c>
      <c r="I495" s="8" t="inlineStr">
        <is>
          <t>resource</t>
        </is>
      </c>
      <c r="J495" s="8" t="n">
        <v>0.02</v>
      </c>
      <c r="K495" s="8" t="n">
        <v>1</v>
      </c>
      <c r="L495" s="8" t="n">
        <v>1</v>
      </c>
      <c r="M495" s="8" t="n">
        <v>35</v>
      </c>
      <c r="N495" s="8" t="n">
        <v>35</v>
      </c>
      <c r="O495" s="8">
        <f>J495*K495/L495</f>
        <v>0.02</v>
      </c>
      <c r="P495" s="8">
        <f>(M495+N495)/2</f>
        <v>35.0</v>
      </c>
      <c r="Q495" s="8">
        <f>O495*P495</f>
        <v>0.7000000000000001</v>
      </c>
      <c r="R495" s="8" t="n">
        <v>0</v>
      </c>
      <c r="S495" s="8">
        <f>Q495*R495</f>
        <v>0.0</v>
      </c>
      <c r="T495" s="8" t="n"/>
      <c r="U495" s="8" t="inlineStr"/>
      <c r="V495" s="8" t="inlineStr">
        <is>
          <t>data/item_templates.yaml:mission_chest_fengbang_tianmen.effect_payload</t>
        </is>
      </c>
    </row>
    <row r="496" ht="36" customHeight="1">
      <c r="A496" s="8" t="inlineStr">
        <is>
          <t>fengbang_tianmen</t>
        </is>
      </c>
      <c r="B496" s="8" t="inlineStr">
        <is>
          <t>封神之战：封榜天门</t>
        </is>
      </c>
      <c r="C496" s="8" t="inlineStr">
        <is>
          <t>mission_chest_fengbang_tianmen</t>
        </is>
      </c>
      <c r="D496" s="8" t="inlineStr">
        <is>
          <t>封榜天门宝箱</t>
        </is>
      </c>
      <c r="E496" s="8" t="inlineStr">
        <is>
          <t>随赤霄机凤图纸附带（同次命中）</t>
        </is>
      </c>
      <c r="F496" s="8" t="inlineStr">
        <is>
          <t>tie</t>
        </is>
      </c>
      <c r="G496" s="8" t="inlineStr">
        <is>
          <t>铁</t>
        </is>
      </c>
      <c r="H496" s="8" t="inlineStr">
        <is>
          <t>black</t>
        </is>
      </c>
      <c r="I496" s="8" t="inlineStr">
        <is>
          <t>resource</t>
        </is>
      </c>
      <c r="J496" s="8" t="n">
        <v>0.02</v>
      </c>
      <c r="K496" s="8" t="n">
        <v>1</v>
      </c>
      <c r="L496" s="8" t="n">
        <v>1</v>
      </c>
      <c r="M496" s="8" t="n">
        <v>28</v>
      </c>
      <c r="N496" s="8" t="n">
        <v>28</v>
      </c>
      <c r="O496" s="8">
        <f>J496*K496/L496</f>
        <v>0.02</v>
      </c>
      <c r="P496" s="8">
        <f>(M496+N496)/2</f>
        <v>28.0</v>
      </c>
      <c r="Q496" s="8">
        <f>O496*P496</f>
        <v>0.56</v>
      </c>
      <c r="R496" s="8" t="n">
        <v>0</v>
      </c>
      <c r="S496" s="8">
        <f>Q496*R496</f>
        <v>0.0</v>
      </c>
      <c r="T496" s="8" t="n"/>
      <c r="U496" s="8" t="inlineStr"/>
      <c r="V496" s="8" t="inlineStr">
        <is>
          <t>data/item_templates.yaml:mission_chest_fengbang_tianmen.effect_payload</t>
        </is>
      </c>
    </row>
    <row r="497" ht="36" customHeight="1">
      <c r="A497" s="8" t="inlineStr">
        <is>
          <t>fengbang_tianmen</t>
        </is>
      </c>
      <c r="B497" s="8" t="inlineStr">
        <is>
          <t>封神之战：封榜天门</t>
        </is>
      </c>
      <c r="C497" s="8" t="inlineStr">
        <is>
          <t>mission_chest_fengbang_tianmen</t>
        </is>
      </c>
      <c r="D497" s="8" t="inlineStr">
        <is>
          <t>封榜天门宝箱</t>
        </is>
      </c>
      <c r="E497" s="8" t="inlineStr">
        <is>
          <t>随赤霄机凤图纸附带（同次命中）</t>
        </is>
      </c>
      <c r="F497" s="8" t="inlineStr">
        <is>
          <t>xuan_tie_essence</t>
        </is>
      </c>
      <c r="G497" s="8" t="inlineStr">
        <is>
          <t>玄铁精华</t>
        </is>
      </c>
      <c r="H497" s="8" t="inlineStr">
        <is>
          <t>blue</t>
        </is>
      </c>
      <c r="I497" s="8" t="inlineStr">
        <is>
          <t>resource</t>
        </is>
      </c>
      <c r="J497" s="8" t="n">
        <v>0.02</v>
      </c>
      <c r="K497" s="8" t="n">
        <v>1</v>
      </c>
      <c r="L497" s="8" t="n">
        <v>1</v>
      </c>
      <c r="M497" s="8" t="n">
        <v>2</v>
      </c>
      <c r="N497" s="8" t="n">
        <v>2</v>
      </c>
      <c r="O497" s="8">
        <f>J497*K497/L497</f>
        <v>0.02</v>
      </c>
      <c r="P497" s="8">
        <f>(M497+N497)/2</f>
        <v>2.0</v>
      </c>
      <c r="Q497" s="8">
        <f>O497*P497</f>
        <v>0.04</v>
      </c>
      <c r="R497" s="8" t="n">
        <v>0</v>
      </c>
      <c r="S497" s="8">
        <f>Q497*R497</f>
        <v>0.0</v>
      </c>
      <c r="T497" s="8" t="n"/>
      <c r="U497" s="8" t="inlineStr"/>
      <c r="V497" s="8" t="inlineStr">
        <is>
          <t>data/item_templates.yaml:mission_chest_fengbang_tianmen.effect_payload</t>
        </is>
      </c>
    </row>
    <row r="498" ht="36" customHeight="1">
      <c r="A498" s="8" t="inlineStr">
        <is>
          <t>fengbang_tianmen</t>
        </is>
      </c>
      <c r="B498" s="8" t="inlineStr">
        <is>
          <t>封神之战：封榜天门</t>
        </is>
      </c>
      <c r="C498" s="8" t="inlineStr">
        <is>
          <t>mission_chest_fengbang_tianmen</t>
        </is>
      </c>
      <c r="D498" s="8" t="inlineStr">
        <is>
          <t>封榜天门宝箱</t>
        </is>
      </c>
      <c r="E498" s="8" t="inlineStr">
        <is>
          <t>随赤霄机凤图纸附带（同次命中）</t>
        </is>
      </c>
      <c r="F498" s="8" t="inlineStr">
        <is>
          <t>zitanmu</t>
        </is>
      </c>
      <c r="G498" s="8" t="inlineStr">
        <is>
          <t>紫檀木</t>
        </is>
      </c>
      <c r="H498" s="8" t="inlineStr">
        <is>
          <t>green</t>
        </is>
      </c>
      <c r="I498" s="8" t="inlineStr">
        <is>
          <t>resource</t>
        </is>
      </c>
      <c r="J498" s="8" t="n">
        <v>0.02</v>
      </c>
      <c r="K498" s="8" t="n">
        <v>1</v>
      </c>
      <c r="L498" s="8" t="n">
        <v>1</v>
      </c>
      <c r="M498" s="8" t="n">
        <v>7</v>
      </c>
      <c r="N498" s="8" t="n">
        <v>7</v>
      </c>
      <c r="O498" s="8">
        <f>J498*K498/L498</f>
        <v>0.02</v>
      </c>
      <c r="P498" s="8">
        <f>(M498+N498)/2</f>
        <v>7.0</v>
      </c>
      <c r="Q498" s="8">
        <f>O498*P498</f>
        <v>0.14</v>
      </c>
      <c r="R498" s="8" t="n">
        <v>0</v>
      </c>
      <c r="S498" s="8">
        <f>Q498*R498</f>
        <v>0.0</v>
      </c>
      <c r="T498" s="8" t="n"/>
      <c r="U498" s="8" t="inlineStr"/>
      <c r="V498" s="8" t="inlineStr">
        <is>
          <t>data/item_templates.yaml:mission_chest_fengbang_tianmen.effect_payload</t>
        </is>
      </c>
    </row>
    <row r="499" ht="36" customHeight="1">
      <c r="A499" s="8" t="inlineStr">
        <is>
          <t>fengbang_tianmen</t>
        </is>
      </c>
      <c r="B499" s="8" t="inlineStr">
        <is>
          <t>封神之战：封榜天门</t>
        </is>
      </c>
      <c r="C499" s="8" t="inlineStr">
        <is>
          <t>mission_chest_fengbang_tianmen</t>
        </is>
      </c>
      <c r="D499" s="8" t="inlineStr">
        <is>
          <t>封榜天门宝箱</t>
        </is>
      </c>
      <c r="E499" s="8" t="inlineStr">
        <is>
          <t>随赤霄机凤图纸附带（同次命中）</t>
        </is>
      </c>
      <c r="F499" s="8" t="inlineStr">
        <is>
          <t>shuiqumu</t>
        </is>
      </c>
      <c r="G499" s="8" t="inlineStr">
        <is>
          <t>水曲木</t>
        </is>
      </c>
      <c r="H499" s="8" t="inlineStr">
        <is>
          <t>black</t>
        </is>
      </c>
      <c r="I499" s="8" t="inlineStr">
        <is>
          <t>resource</t>
        </is>
      </c>
      <c r="J499" s="8" t="n">
        <v>0.02</v>
      </c>
      <c r="K499" s="8" t="n">
        <v>1</v>
      </c>
      <c r="L499" s="8" t="n">
        <v>1</v>
      </c>
      <c r="M499" s="8" t="n">
        <v>5</v>
      </c>
      <c r="N499" s="8" t="n">
        <v>5</v>
      </c>
      <c r="O499" s="8">
        <f>J499*K499/L499</f>
        <v>0.02</v>
      </c>
      <c r="P499" s="8">
        <f>(M499+N499)/2</f>
        <v>5.0</v>
      </c>
      <c r="Q499" s="8">
        <f>O499*P499</f>
        <v>0.1</v>
      </c>
      <c r="R499" s="8" t="n">
        <v>0</v>
      </c>
      <c r="S499" s="8">
        <f>Q499*R499</f>
        <v>0.0</v>
      </c>
      <c r="T499" s="8" t="n"/>
      <c r="U499" s="8" t="inlineStr"/>
      <c r="V499" s="8" t="inlineStr">
        <is>
          <t>data/item_templates.yaml:mission_chest_fengbang_tianmen.effect_payload</t>
        </is>
      </c>
    </row>
    <row r="500" ht="36" customHeight="1">
      <c r="A500" s="8" t="inlineStr">
        <is>
          <t>fengbang_tianmen</t>
        </is>
      </c>
      <c r="B500" s="8" t="inlineStr">
        <is>
          <t>封神之战：封榜天门</t>
        </is>
      </c>
      <c r="C500" s="8" t="inlineStr">
        <is>
          <t>mission_chest_fengbang_tianmen</t>
        </is>
      </c>
      <c r="D500" s="8" t="inlineStr">
        <is>
          <t>封榜天门宝箱</t>
        </is>
      </c>
      <c r="E500" s="8" t="inlineStr">
        <is>
          <t>随赤霄机凤图纸附带（同次命中）</t>
        </is>
      </c>
      <c r="F500" s="8" t="inlineStr">
        <is>
          <t>tiemu</t>
        </is>
      </c>
      <c r="G500" s="8" t="inlineStr">
        <is>
          <t>铁木</t>
        </is>
      </c>
      <c r="H500" s="8" t="inlineStr">
        <is>
          <t>green</t>
        </is>
      </c>
      <c r="I500" s="8" t="inlineStr">
        <is>
          <t>resource</t>
        </is>
      </c>
      <c r="J500" s="8" t="n">
        <v>0.02</v>
      </c>
      <c r="K500" s="8" t="n">
        <v>1</v>
      </c>
      <c r="L500" s="8" t="n">
        <v>1</v>
      </c>
      <c r="M500" s="8" t="n">
        <v>10</v>
      </c>
      <c r="N500" s="8" t="n">
        <v>10</v>
      </c>
      <c r="O500" s="8">
        <f>J500*K500/L500</f>
        <v>0.02</v>
      </c>
      <c r="P500" s="8">
        <f>(M500+N500)/2</f>
        <v>10.0</v>
      </c>
      <c r="Q500" s="8">
        <f>O500*P500</f>
        <v>0.2</v>
      </c>
      <c r="R500" s="8" t="n">
        <v>0</v>
      </c>
      <c r="S500" s="8">
        <f>Q500*R500</f>
        <v>0.0</v>
      </c>
      <c r="T500" s="8" t="n"/>
      <c r="U500" s="8" t="inlineStr"/>
      <c r="V500" s="8" t="inlineStr">
        <is>
          <t>data/item_templates.yaml:mission_chest_fengbang_tianmen.effect_payload</t>
        </is>
      </c>
    </row>
    <row r="501" ht="36" customHeight="1">
      <c r="A501" s="8" t="inlineStr">
        <is>
          <t>fengbang_tianmen</t>
        </is>
      </c>
      <c r="B501" s="8" t="inlineStr">
        <is>
          <t>封神之战：封榜天门</t>
        </is>
      </c>
      <c r="C501" s="8" t="inlineStr">
        <is>
          <t>mission_chest_fengbang_tianmen</t>
        </is>
      </c>
      <c r="D501" s="8" t="inlineStr">
        <is>
          <t>封榜天门宝箱</t>
        </is>
      </c>
      <c r="E501" s="8" t="inlineStr">
        <is>
          <t>随赤霄机凤图纸附带（同次命中）</t>
        </is>
      </c>
      <c r="F501" s="8" t="inlineStr">
        <is>
          <t>heiyuanshi</t>
        </is>
      </c>
      <c r="G501" s="8" t="inlineStr">
        <is>
          <t>黑原石</t>
        </is>
      </c>
      <c r="H501" s="8" t="inlineStr">
        <is>
          <t>green</t>
        </is>
      </c>
      <c r="I501" s="8" t="inlineStr">
        <is>
          <t>resource</t>
        </is>
      </c>
      <c r="J501" s="8" t="n">
        <v>0.02</v>
      </c>
      <c r="K501" s="8" t="n">
        <v>1</v>
      </c>
      <c r="L501" s="8" t="n">
        <v>1</v>
      </c>
      <c r="M501" s="8" t="n">
        <v>11</v>
      </c>
      <c r="N501" s="8" t="n">
        <v>11</v>
      </c>
      <c r="O501" s="8">
        <f>J501*K501/L501</f>
        <v>0.02</v>
      </c>
      <c r="P501" s="8">
        <f>(M501+N501)/2</f>
        <v>11.0</v>
      </c>
      <c r="Q501" s="8">
        <f>O501*P501</f>
        <v>0.22</v>
      </c>
      <c r="R501" s="8" t="n">
        <v>0</v>
      </c>
      <c r="S501" s="8">
        <f>Q501*R501</f>
        <v>0.0</v>
      </c>
      <c r="T501" s="8" t="n"/>
      <c r="U501" s="8" t="inlineStr"/>
      <c r="V501" s="8" t="inlineStr">
        <is>
          <t>data/item_templates.yaml:mission_chest_fengbang_tianmen.effect_payload</t>
        </is>
      </c>
    </row>
    <row r="502" ht="36" customHeight="1">
      <c r="A502" s="8" t="inlineStr">
        <is>
          <t>fengbang_tianmen</t>
        </is>
      </c>
      <c r="B502" s="8" t="inlineStr">
        <is>
          <t>封神之战：封榜天门</t>
        </is>
      </c>
      <c r="C502" s="8" t="inlineStr">
        <is>
          <t>mission_chest_fengbang_tianmen</t>
        </is>
      </c>
      <c r="D502" s="8" t="inlineStr">
        <is>
          <t>封榜天门宝箱</t>
        </is>
      </c>
      <c r="E502" s="8" t="inlineStr">
        <is>
          <t>随赤霄机凤图纸附带（同次命中）</t>
        </is>
      </c>
      <c r="F502" s="8" t="inlineStr">
        <is>
          <t>jingangmei</t>
        </is>
      </c>
      <c r="G502" s="8" t="inlineStr">
        <is>
          <t>金刚煤</t>
        </is>
      </c>
      <c r="H502" s="8" t="inlineStr">
        <is>
          <t>green</t>
        </is>
      </c>
      <c r="I502" s="8" t="inlineStr">
        <is>
          <t>resource</t>
        </is>
      </c>
      <c r="J502" s="8" t="n">
        <v>0.02</v>
      </c>
      <c r="K502" s="8" t="n">
        <v>1</v>
      </c>
      <c r="L502" s="8" t="n">
        <v>1</v>
      </c>
      <c r="M502" s="8" t="n">
        <v>11</v>
      </c>
      <c r="N502" s="8" t="n">
        <v>11</v>
      </c>
      <c r="O502" s="8">
        <f>J502*K502/L502</f>
        <v>0.02</v>
      </c>
      <c r="P502" s="8">
        <f>(M502+N502)/2</f>
        <v>11.0</v>
      </c>
      <c r="Q502" s="8">
        <f>O502*P502</f>
        <v>0.22</v>
      </c>
      <c r="R502" s="8" t="n">
        <v>0</v>
      </c>
      <c r="S502" s="8">
        <f>Q502*R502</f>
        <v>0.0</v>
      </c>
      <c r="T502" s="8" t="n"/>
      <c r="U502" s="8" t="inlineStr"/>
      <c r="V502" s="8" t="inlineStr">
        <is>
          <t>data/item_templates.yaml:mission_chest_fengbang_tianmen.effect_payload</t>
        </is>
      </c>
    </row>
    <row r="503" ht="36" customHeight="1">
      <c r="A503" s="8" t="inlineStr">
        <is>
          <t>fengbang_tianmen</t>
        </is>
      </c>
      <c r="B503" s="8" t="inlineStr">
        <is>
          <t>封神之战：封榜天门</t>
        </is>
      </c>
      <c r="C503" s="8" t="inlineStr">
        <is>
          <t>mission_chest_fengbang_tianmen</t>
        </is>
      </c>
      <c r="D503" s="8" t="inlineStr">
        <is>
          <t>封榜天门宝箱</t>
        </is>
      </c>
      <c r="E503" s="8" t="inlineStr">
        <is>
          <t>随赤霄机凤图纸附带（同次命中）</t>
        </is>
      </c>
      <c r="F503" s="8" t="inlineStr">
        <is>
          <t>paozi</t>
        </is>
      </c>
      <c r="G503" s="8" t="inlineStr">
        <is>
          <t>刨子</t>
        </is>
      </c>
      <c r="H503" s="8" t="inlineStr">
        <is>
          <t>black</t>
        </is>
      </c>
      <c r="I503" s="8" t="inlineStr">
        <is>
          <t>resource</t>
        </is>
      </c>
      <c r="J503" s="8" t="n">
        <v>0.02</v>
      </c>
      <c r="K503" s="8" t="n">
        <v>1</v>
      </c>
      <c r="L503" s="8" t="n">
        <v>1</v>
      </c>
      <c r="M503" s="8" t="n">
        <v>4</v>
      </c>
      <c r="N503" s="8" t="n">
        <v>4</v>
      </c>
      <c r="O503" s="8">
        <f>J503*K503/L503</f>
        <v>0.02</v>
      </c>
      <c r="P503" s="8">
        <f>(M503+N503)/2</f>
        <v>4.0</v>
      </c>
      <c r="Q503" s="8">
        <f>O503*P503</f>
        <v>0.08</v>
      </c>
      <c r="R503" s="8" t="n">
        <v>0</v>
      </c>
      <c r="S503" s="8">
        <f>Q503*R503</f>
        <v>0.0</v>
      </c>
      <c r="T503" s="8" t="n"/>
      <c r="U503" s="8" t="inlineStr"/>
      <c r="V503" s="8" t="inlineStr">
        <is>
          <t>data/item_templates.yaml:mission_chest_fengbang_tianmen.effect_payload</t>
        </is>
      </c>
    </row>
    <row r="504" ht="36" customHeight="1">
      <c r="A504" s="8" t="inlineStr">
        <is>
          <t>fengbang_tianmen</t>
        </is>
      </c>
      <c r="B504" s="8" t="inlineStr">
        <is>
          <t>封神之战：封榜天门</t>
        </is>
      </c>
      <c r="C504" s="8" t="inlineStr">
        <is>
          <t>mission_chest_fengbang_tianmen</t>
        </is>
      </c>
      <c r="D504" s="8" t="inlineStr">
        <is>
          <t>封榜天门宝箱</t>
        </is>
      </c>
      <c r="E504" s="8" t="inlineStr">
        <is>
          <t>随赤霄机凤图纸附带（同次命中）</t>
        </is>
      </c>
      <c r="F504" s="8" t="inlineStr">
        <is>
          <t>zaozi</t>
        </is>
      </c>
      <c r="G504" s="8" t="inlineStr">
        <is>
          <t>凿子</t>
        </is>
      </c>
      <c r="H504" s="8" t="inlineStr">
        <is>
          <t>black</t>
        </is>
      </c>
      <c r="I504" s="8" t="inlineStr">
        <is>
          <t>resource</t>
        </is>
      </c>
      <c r="J504" s="8" t="n">
        <v>0.02</v>
      </c>
      <c r="K504" s="8" t="n">
        <v>1</v>
      </c>
      <c r="L504" s="8" t="n">
        <v>1</v>
      </c>
      <c r="M504" s="8" t="n">
        <v>7</v>
      </c>
      <c r="N504" s="8" t="n">
        <v>7</v>
      </c>
      <c r="O504" s="8">
        <f>J504*K504/L504</f>
        <v>0.02</v>
      </c>
      <c r="P504" s="8">
        <f>(M504+N504)/2</f>
        <v>7.0</v>
      </c>
      <c r="Q504" s="8">
        <f>O504*P504</f>
        <v>0.14</v>
      </c>
      <c r="R504" s="8" t="n">
        <v>0</v>
      </c>
      <c r="S504" s="8">
        <f>Q504*R504</f>
        <v>0.0</v>
      </c>
      <c r="T504" s="8" t="n"/>
      <c r="U504" s="8" t="inlineStr"/>
      <c r="V504" s="8" t="inlineStr">
        <is>
          <t>data/item_templates.yaml:mission_chest_fengbang_tianmen.effect_payload</t>
        </is>
      </c>
    </row>
    <row r="505" ht="36" customHeight="1">
      <c r="A505" s="8" t="inlineStr">
        <is>
          <t>fengbang_tianmen</t>
        </is>
      </c>
      <c r="B505" s="8" t="inlineStr">
        <is>
          <t>封神之战：封榜天门</t>
        </is>
      </c>
      <c r="C505" s="8" t="inlineStr">
        <is>
          <t>mission_chest_fengbang_tianmen</t>
        </is>
      </c>
      <c r="D505" s="8" t="inlineStr">
        <is>
          <t>封榜天门宝箱</t>
        </is>
      </c>
      <c r="E505" s="8" t="inlineStr">
        <is>
          <t>随赤霄机凤图纸附带（同次命中）</t>
        </is>
      </c>
      <c r="F505" s="8" t="inlineStr">
        <is>
          <t>gaolu</t>
        </is>
      </c>
      <c r="G505" s="8" t="inlineStr">
        <is>
          <t>高炉</t>
        </is>
      </c>
      <c r="H505" s="8" t="inlineStr">
        <is>
          <t>blue</t>
        </is>
      </c>
      <c r="I505" s="8" t="inlineStr">
        <is>
          <t>resource</t>
        </is>
      </c>
      <c r="J505" s="8" t="n">
        <v>0.02</v>
      </c>
      <c r="K505" s="8" t="n">
        <v>1</v>
      </c>
      <c r="L505" s="8" t="n">
        <v>1</v>
      </c>
      <c r="M505" s="8" t="n">
        <v>4</v>
      </c>
      <c r="N505" s="8" t="n">
        <v>4</v>
      </c>
      <c r="O505" s="8">
        <f>J505*K505/L505</f>
        <v>0.02</v>
      </c>
      <c r="P505" s="8">
        <f>(M505+N505)/2</f>
        <v>4.0</v>
      </c>
      <c r="Q505" s="8">
        <f>O505*P505</f>
        <v>0.08</v>
      </c>
      <c r="R505" s="8" t="n">
        <v>0</v>
      </c>
      <c r="S505" s="8">
        <f>Q505*R505</f>
        <v>0.0</v>
      </c>
      <c r="T505" s="8" t="n"/>
      <c r="U505" s="8" t="inlineStr"/>
      <c r="V505" s="8" t="inlineStr">
        <is>
          <t>data/item_templates.yaml:mission_chest_fengbang_tianmen.effect_payload</t>
        </is>
      </c>
    </row>
    <row r="506" ht="36" customHeight="1">
      <c r="A506" s="8" t="inlineStr">
        <is>
          <t>fengbang_tianmen</t>
        </is>
      </c>
      <c r="B506" s="8" t="inlineStr">
        <is>
          <t>封神之战：封榜天门</t>
        </is>
      </c>
      <c r="C506" s="8" t="inlineStr">
        <is>
          <t>mission_chest_fengbang_tianmen</t>
        </is>
      </c>
      <c r="D506" s="8" t="inlineStr">
        <is>
          <t>封榜天门宝箱</t>
        </is>
      </c>
      <c r="E506" s="8" t="inlineStr">
        <is>
          <t>随赤霄机凤图纸附带（同次命中）</t>
        </is>
      </c>
      <c r="F506" s="8" t="inlineStr">
        <is>
          <t>fire_stone</t>
        </is>
      </c>
      <c r="G506" s="8" t="inlineStr">
        <is>
          <t>火焰之石</t>
        </is>
      </c>
      <c r="H506" s="8" t="inlineStr">
        <is>
          <t>blue</t>
        </is>
      </c>
      <c r="I506" s="8" t="inlineStr">
        <is>
          <t>resource</t>
        </is>
      </c>
      <c r="J506" s="8" t="n">
        <v>0.02</v>
      </c>
      <c r="K506" s="8" t="n">
        <v>1</v>
      </c>
      <c r="L506" s="8" t="n">
        <v>1</v>
      </c>
      <c r="M506" s="8" t="n">
        <v>2</v>
      </c>
      <c r="N506" s="8" t="n">
        <v>2</v>
      </c>
      <c r="O506" s="8">
        <f>J506*K506/L506</f>
        <v>0.02</v>
      </c>
      <c r="P506" s="8">
        <f>(M506+N506)/2</f>
        <v>2.0</v>
      </c>
      <c r="Q506" s="8">
        <f>O506*P506</f>
        <v>0.04</v>
      </c>
      <c r="R506" s="8" t="n">
        <v>0</v>
      </c>
      <c r="S506" s="8">
        <f>Q506*R506</f>
        <v>0.0</v>
      </c>
      <c r="T506" s="8" t="n"/>
      <c r="U506" s="8" t="inlineStr"/>
      <c r="V506" s="8" t="inlineStr">
        <is>
          <t>data/item_templates.yaml:mission_chest_fengbang_tianmen.effect_payload</t>
        </is>
      </c>
    </row>
    <row r="507" ht="36" customHeight="1">
      <c r="A507" s="8" t="inlineStr">
        <is>
          <t>fengbang_tianmen</t>
        </is>
      </c>
      <c r="B507" s="8" t="inlineStr">
        <is>
          <t>封神之战：封榜天门</t>
        </is>
      </c>
      <c r="C507" s="8" t="inlineStr">
        <is>
          <t>mission_chest_fengbang_tianmen</t>
        </is>
      </c>
      <c r="D507" s="8" t="inlineStr">
        <is>
          <t>封榜天门宝箱</t>
        </is>
      </c>
      <c r="E507" s="8" t="inlineStr">
        <is>
          <t>随赤霄机凤图纸附带（同次命中）</t>
        </is>
      </c>
      <c r="F507" s="8" t="inlineStr">
        <is>
          <t>air_stone</t>
        </is>
      </c>
      <c r="G507" s="8" t="inlineStr">
        <is>
          <t>空气之石</t>
        </is>
      </c>
      <c r="H507" s="8" t="inlineStr">
        <is>
          <t>blue</t>
        </is>
      </c>
      <c r="I507" s="8" t="inlineStr">
        <is>
          <t>resource</t>
        </is>
      </c>
      <c r="J507" s="8" t="n">
        <v>0.02</v>
      </c>
      <c r="K507" s="8" t="n">
        <v>1</v>
      </c>
      <c r="L507" s="8" t="n">
        <v>1</v>
      </c>
      <c r="M507" s="8" t="n">
        <v>1</v>
      </c>
      <c r="N507" s="8" t="n">
        <v>1</v>
      </c>
      <c r="O507" s="8">
        <f>J507*K507/L507</f>
        <v>0.02</v>
      </c>
      <c r="P507" s="8">
        <f>(M507+N507)/2</f>
        <v>1.0</v>
      </c>
      <c r="Q507" s="8">
        <f>O507*P507</f>
        <v>0.02</v>
      </c>
      <c r="R507" s="8" t="n">
        <v>0</v>
      </c>
      <c r="S507" s="8">
        <f>Q507*R507</f>
        <v>0.0</v>
      </c>
      <c r="T507" s="8" t="n"/>
      <c r="U507" s="8" t="inlineStr"/>
      <c r="V507" s="8" t="inlineStr">
        <is>
          <t>data/item_templates.yaml:mission_chest_fengbang_tianmen.effect_payload</t>
        </is>
      </c>
    </row>
    <row r="508" ht="36" customHeight="1">
      <c r="A508" s="8" t="inlineStr">
        <is>
          <t>fengbang_tianmen</t>
        </is>
      </c>
      <c r="B508" s="8" t="inlineStr">
        <is>
          <t>封神之战：封榜天门</t>
        </is>
      </c>
      <c r="C508" s="8" t="inlineStr">
        <is>
          <t>mission_chest_fengbang_tianmen</t>
        </is>
      </c>
      <c r="D508" s="8" t="inlineStr">
        <is>
          <t>封榜天门宝箱</t>
        </is>
      </c>
      <c r="E508" s="8" t="inlineStr">
        <is>
          <t>随墨家机关人图纸附带（同次命中）</t>
        </is>
      </c>
      <c r="F508" s="8" t="inlineStr">
        <is>
          <t>tong</t>
        </is>
      </c>
      <c r="G508" s="8" t="inlineStr">
        <is>
          <t>铜</t>
        </is>
      </c>
      <c r="H508" s="8" t="inlineStr">
        <is>
          <t>black</t>
        </is>
      </c>
      <c r="I508" s="8" t="inlineStr">
        <is>
          <t>resource</t>
        </is>
      </c>
      <c r="J508" s="8" t="n">
        <v>0.02</v>
      </c>
      <c r="K508" s="8" t="n">
        <v>1</v>
      </c>
      <c r="L508" s="8" t="n">
        <v>1</v>
      </c>
      <c r="M508" s="8" t="n">
        <v>58</v>
      </c>
      <c r="N508" s="8" t="n">
        <v>58</v>
      </c>
      <c r="O508" s="8">
        <f>J508*K508/L508</f>
        <v>0.02</v>
      </c>
      <c r="P508" s="8">
        <f>(M508+N508)/2</f>
        <v>58.0</v>
      </c>
      <c r="Q508" s="8">
        <f>O508*P508</f>
        <v>1.16</v>
      </c>
      <c r="R508" s="8" t="n">
        <v>0</v>
      </c>
      <c r="S508" s="8">
        <f>Q508*R508</f>
        <v>0.0</v>
      </c>
      <c r="T508" s="8" t="n"/>
      <c r="U508" s="8" t="inlineStr"/>
      <c r="V508" s="8" t="inlineStr">
        <is>
          <t>data/item_templates.yaml:mission_chest_fengbang_tianmen.effect_payload</t>
        </is>
      </c>
    </row>
    <row r="509" ht="36" customHeight="1">
      <c r="A509" s="8" t="inlineStr">
        <is>
          <t>fengbang_tianmen</t>
        </is>
      </c>
      <c r="B509" s="8" t="inlineStr">
        <is>
          <t>封神之战：封榜天门</t>
        </is>
      </c>
      <c r="C509" s="8" t="inlineStr">
        <is>
          <t>mission_chest_fengbang_tianmen</t>
        </is>
      </c>
      <c r="D509" s="8" t="inlineStr">
        <is>
          <t>封榜天门宝箱</t>
        </is>
      </c>
      <c r="E509" s="8" t="inlineStr">
        <is>
          <t>随墨家机关人图纸附带（同次命中）</t>
        </is>
      </c>
      <c r="F509" s="8" t="inlineStr">
        <is>
          <t>xi</t>
        </is>
      </c>
      <c r="G509" s="8" t="inlineStr">
        <is>
          <t>锡</t>
        </is>
      </c>
      <c r="H509" s="8" t="inlineStr">
        <is>
          <t>black</t>
        </is>
      </c>
      <c r="I509" s="8" t="inlineStr">
        <is>
          <t>resource</t>
        </is>
      </c>
      <c r="J509" s="8" t="n">
        <v>0.02</v>
      </c>
      <c r="K509" s="8" t="n">
        <v>1</v>
      </c>
      <c r="L509" s="8" t="n">
        <v>1</v>
      </c>
      <c r="M509" s="8" t="n">
        <v>38</v>
      </c>
      <c r="N509" s="8" t="n">
        <v>38</v>
      </c>
      <c r="O509" s="8">
        <f>J509*K509/L509</f>
        <v>0.02</v>
      </c>
      <c r="P509" s="8">
        <f>(M509+N509)/2</f>
        <v>38.0</v>
      </c>
      <c r="Q509" s="8">
        <f>O509*P509</f>
        <v>0.76</v>
      </c>
      <c r="R509" s="8" t="n">
        <v>0</v>
      </c>
      <c r="S509" s="8">
        <f>Q509*R509</f>
        <v>0.0</v>
      </c>
      <c r="T509" s="8" t="n"/>
      <c r="U509" s="8" t="inlineStr"/>
      <c r="V509" s="8" t="inlineStr">
        <is>
          <t>data/item_templates.yaml:mission_chest_fengbang_tianmen.effect_payload</t>
        </is>
      </c>
    </row>
    <row r="510" ht="36" customHeight="1">
      <c r="A510" s="8" t="inlineStr">
        <is>
          <t>fengbang_tianmen</t>
        </is>
      </c>
      <c r="B510" s="8" t="inlineStr">
        <is>
          <t>封神之战：封榜天门</t>
        </is>
      </c>
      <c r="C510" s="8" t="inlineStr">
        <is>
          <t>mission_chest_fengbang_tianmen</t>
        </is>
      </c>
      <c r="D510" s="8" t="inlineStr">
        <is>
          <t>封榜天门宝箱</t>
        </is>
      </c>
      <c r="E510" s="8" t="inlineStr">
        <is>
          <t>随墨家机关人图纸附带（同次命中）</t>
        </is>
      </c>
      <c r="F510" s="8" t="inlineStr">
        <is>
          <t>tie</t>
        </is>
      </c>
      <c r="G510" s="8" t="inlineStr">
        <is>
          <t>铁</t>
        </is>
      </c>
      <c r="H510" s="8" t="inlineStr">
        <is>
          <t>black</t>
        </is>
      </c>
      <c r="I510" s="8" t="inlineStr">
        <is>
          <t>resource</t>
        </is>
      </c>
      <c r="J510" s="8" t="n">
        <v>0.02</v>
      </c>
      <c r="K510" s="8" t="n">
        <v>1</v>
      </c>
      <c r="L510" s="8" t="n">
        <v>1</v>
      </c>
      <c r="M510" s="8" t="n">
        <v>31</v>
      </c>
      <c r="N510" s="8" t="n">
        <v>31</v>
      </c>
      <c r="O510" s="8">
        <f>J510*K510/L510</f>
        <v>0.02</v>
      </c>
      <c r="P510" s="8">
        <f>(M510+N510)/2</f>
        <v>31.0</v>
      </c>
      <c r="Q510" s="8">
        <f>O510*P510</f>
        <v>0.62</v>
      </c>
      <c r="R510" s="8" t="n">
        <v>0</v>
      </c>
      <c r="S510" s="8">
        <f>Q510*R510</f>
        <v>0.0</v>
      </c>
      <c r="T510" s="8" t="n"/>
      <c r="U510" s="8" t="inlineStr"/>
      <c r="V510" s="8" t="inlineStr">
        <is>
          <t>data/item_templates.yaml:mission_chest_fengbang_tianmen.effect_payload</t>
        </is>
      </c>
    </row>
    <row r="511" ht="36" customHeight="1">
      <c r="A511" s="8" t="inlineStr">
        <is>
          <t>fengbang_tianmen</t>
        </is>
      </c>
      <c r="B511" s="8" t="inlineStr">
        <is>
          <t>封神之战：封榜天门</t>
        </is>
      </c>
      <c r="C511" s="8" t="inlineStr">
        <is>
          <t>mission_chest_fengbang_tianmen</t>
        </is>
      </c>
      <c r="D511" s="8" t="inlineStr">
        <is>
          <t>封榜天门宝箱</t>
        </is>
      </c>
      <c r="E511" s="8" t="inlineStr">
        <is>
          <t>随墨家机关人图纸附带（同次命中）</t>
        </is>
      </c>
      <c r="F511" s="8" t="inlineStr">
        <is>
          <t>xuan_tie_essence</t>
        </is>
      </c>
      <c r="G511" s="8" t="inlineStr">
        <is>
          <t>玄铁精华</t>
        </is>
      </c>
      <c r="H511" s="8" t="inlineStr">
        <is>
          <t>blue</t>
        </is>
      </c>
      <c r="I511" s="8" t="inlineStr">
        <is>
          <t>resource</t>
        </is>
      </c>
      <c r="J511" s="8" t="n">
        <v>0.02</v>
      </c>
      <c r="K511" s="8" t="n">
        <v>1</v>
      </c>
      <c r="L511" s="8" t="n">
        <v>1</v>
      </c>
      <c r="M511" s="8" t="n">
        <v>2</v>
      </c>
      <c r="N511" s="8" t="n">
        <v>2</v>
      </c>
      <c r="O511" s="8">
        <f>J511*K511/L511</f>
        <v>0.02</v>
      </c>
      <c r="P511" s="8">
        <f>(M511+N511)/2</f>
        <v>2.0</v>
      </c>
      <c r="Q511" s="8">
        <f>O511*P511</f>
        <v>0.04</v>
      </c>
      <c r="R511" s="8" t="n">
        <v>0</v>
      </c>
      <c r="S511" s="8">
        <f>Q511*R511</f>
        <v>0.0</v>
      </c>
      <c r="T511" s="8" t="n"/>
      <c r="U511" s="8" t="inlineStr"/>
      <c r="V511" s="8" t="inlineStr">
        <is>
          <t>data/item_templates.yaml:mission_chest_fengbang_tianmen.effect_payload</t>
        </is>
      </c>
    </row>
    <row r="512" ht="36" customHeight="1">
      <c r="A512" s="8" t="inlineStr">
        <is>
          <t>fengbang_tianmen</t>
        </is>
      </c>
      <c r="B512" s="8" t="inlineStr">
        <is>
          <t>封神之战：封榜天门</t>
        </is>
      </c>
      <c r="C512" s="8" t="inlineStr">
        <is>
          <t>mission_chest_fengbang_tianmen</t>
        </is>
      </c>
      <c r="D512" s="8" t="inlineStr">
        <is>
          <t>封榜天门宝箱</t>
        </is>
      </c>
      <c r="E512" s="8" t="inlineStr">
        <is>
          <t>随墨家机关人图纸附带（同次命中）</t>
        </is>
      </c>
      <c r="F512" s="8" t="inlineStr">
        <is>
          <t>zitanmu</t>
        </is>
      </c>
      <c r="G512" s="8" t="inlineStr">
        <is>
          <t>紫檀木</t>
        </is>
      </c>
      <c r="H512" s="8" t="inlineStr">
        <is>
          <t>green</t>
        </is>
      </c>
      <c r="I512" s="8" t="inlineStr">
        <is>
          <t>resource</t>
        </is>
      </c>
      <c r="J512" s="8" t="n">
        <v>0.02</v>
      </c>
      <c r="K512" s="8" t="n">
        <v>1</v>
      </c>
      <c r="L512" s="8" t="n">
        <v>1</v>
      </c>
      <c r="M512" s="8" t="n">
        <v>7</v>
      </c>
      <c r="N512" s="8" t="n">
        <v>7</v>
      </c>
      <c r="O512" s="8">
        <f>J512*K512/L512</f>
        <v>0.02</v>
      </c>
      <c r="P512" s="8">
        <f>(M512+N512)/2</f>
        <v>7.0</v>
      </c>
      <c r="Q512" s="8">
        <f>O512*P512</f>
        <v>0.14</v>
      </c>
      <c r="R512" s="8" t="n">
        <v>0</v>
      </c>
      <c r="S512" s="8">
        <f>Q512*R512</f>
        <v>0.0</v>
      </c>
      <c r="T512" s="8" t="n"/>
      <c r="U512" s="8" t="inlineStr"/>
      <c r="V512" s="8" t="inlineStr">
        <is>
          <t>data/item_templates.yaml:mission_chest_fengbang_tianmen.effect_payload</t>
        </is>
      </c>
    </row>
    <row r="513" ht="36" customHeight="1">
      <c r="A513" s="8" t="inlineStr">
        <is>
          <t>fengbang_tianmen</t>
        </is>
      </c>
      <c r="B513" s="8" t="inlineStr">
        <is>
          <t>封神之战：封榜天门</t>
        </is>
      </c>
      <c r="C513" s="8" t="inlineStr">
        <is>
          <t>mission_chest_fengbang_tianmen</t>
        </is>
      </c>
      <c r="D513" s="8" t="inlineStr">
        <is>
          <t>封榜天门宝箱</t>
        </is>
      </c>
      <c r="E513" s="8" t="inlineStr">
        <is>
          <t>随墨家机关人图纸附带（同次命中）</t>
        </is>
      </c>
      <c r="F513" s="8" t="inlineStr">
        <is>
          <t>shuiqumu</t>
        </is>
      </c>
      <c r="G513" s="8" t="inlineStr">
        <is>
          <t>水曲木</t>
        </is>
      </c>
      <c r="H513" s="8" t="inlineStr">
        <is>
          <t>black</t>
        </is>
      </c>
      <c r="I513" s="8" t="inlineStr">
        <is>
          <t>resource</t>
        </is>
      </c>
      <c r="J513" s="8" t="n">
        <v>0.02</v>
      </c>
      <c r="K513" s="8" t="n">
        <v>1</v>
      </c>
      <c r="L513" s="8" t="n">
        <v>1</v>
      </c>
      <c r="M513" s="8" t="n">
        <v>5</v>
      </c>
      <c r="N513" s="8" t="n">
        <v>5</v>
      </c>
      <c r="O513" s="8">
        <f>J513*K513/L513</f>
        <v>0.02</v>
      </c>
      <c r="P513" s="8">
        <f>(M513+N513)/2</f>
        <v>5.0</v>
      </c>
      <c r="Q513" s="8">
        <f>O513*P513</f>
        <v>0.1</v>
      </c>
      <c r="R513" s="8" t="n">
        <v>0</v>
      </c>
      <c r="S513" s="8">
        <f>Q513*R513</f>
        <v>0.0</v>
      </c>
      <c r="T513" s="8" t="n"/>
      <c r="U513" s="8" t="inlineStr"/>
      <c r="V513" s="8" t="inlineStr">
        <is>
          <t>data/item_templates.yaml:mission_chest_fengbang_tianmen.effect_payload</t>
        </is>
      </c>
    </row>
    <row r="514" ht="36" customHeight="1">
      <c r="A514" s="8" t="inlineStr">
        <is>
          <t>fengbang_tianmen</t>
        </is>
      </c>
      <c r="B514" s="8" t="inlineStr">
        <is>
          <t>封神之战：封榜天门</t>
        </is>
      </c>
      <c r="C514" s="8" t="inlineStr">
        <is>
          <t>mission_chest_fengbang_tianmen</t>
        </is>
      </c>
      <c r="D514" s="8" t="inlineStr">
        <is>
          <t>封榜天门宝箱</t>
        </is>
      </c>
      <c r="E514" s="8" t="inlineStr">
        <is>
          <t>随墨家机关人图纸附带（同次命中）</t>
        </is>
      </c>
      <c r="F514" s="8" t="inlineStr">
        <is>
          <t>tiemu</t>
        </is>
      </c>
      <c r="G514" s="8" t="inlineStr">
        <is>
          <t>铁木</t>
        </is>
      </c>
      <c r="H514" s="8" t="inlineStr">
        <is>
          <t>green</t>
        </is>
      </c>
      <c r="I514" s="8" t="inlineStr">
        <is>
          <t>resource</t>
        </is>
      </c>
      <c r="J514" s="8" t="n">
        <v>0.02</v>
      </c>
      <c r="K514" s="8" t="n">
        <v>1</v>
      </c>
      <c r="L514" s="8" t="n">
        <v>1</v>
      </c>
      <c r="M514" s="8" t="n">
        <v>13</v>
      </c>
      <c r="N514" s="8" t="n">
        <v>13</v>
      </c>
      <c r="O514" s="8">
        <f>J514*K514/L514</f>
        <v>0.02</v>
      </c>
      <c r="P514" s="8">
        <f>(M514+N514)/2</f>
        <v>13.0</v>
      </c>
      <c r="Q514" s="8">
        <f>O514*P514</f>
        <v>0.26</v>
      </c>
      <c r="R514" s="8" t="n">
        <v>0</v>
      </c>
      <c r="S514" s="8">
        <f>Q514*R514</f>
        <v>0.0</v>
      </c>
      <c r="T514" s="8" t="n"/>
      <c r="U514" s="8" t="inlineStr"/>
      <c r="V514" s="8" t="inlineStr">
        <is>
          <t>data/item_templates.yaml:mission_chest_fengbang_tianmen.effect_payload</t>
        </is>
      </c>
    </row>
    <row r="515" ht="36" customHeight="1">
      <c r="A515" s="8" t="inlineStr">
        <is>
          <t>fengbang_tianmen</t>
        </is>
      </c>
      <c r="B515" s="8" t="inlineStr">
        <is>
          <t>封神之战：封榜天门</t>
        </is>
      </c>
      <c r="C515" s="8" t="inlineStr">
        <is>
          <t>mission_chest_fengbang_tianmen</t>
        </is>
      </c>
      <c r="D515" s="8" t="inlineStr">
        <is>
          <t>封榜天门宝箱</t>
        </is>
      </c>
      <c r="E515" s="8" t="inlineStr">
        <is>
          <t>随墨家机关人图纸附带（同次命中）</t>
        </is>
      </c>
      <c r="F515" s="8" t="inlineStr">
        <is>
          <t>heiyuanshi</t>
        </is>
      </c>
      <c r="G515" s="8" t="inlineStr">
        <is>
          <t>黑原石</t>
        </is>
      </c>
      <c r="H515" s="8" t="inlineStr">
        <is>
          <t>green</t>
        </is>
      </c>
      <c r="I515" s="8" t="inlineStr">
        <is>
          <t>resource</t>
        </is>
      </c>
      <c r="J515" s="8" t="n">
        <v>0.02</v>
      </c>
      <c r="K515" s="8" t="n">
        <v>1</v>
      </c>
      <c r="L515" s="8" t="n">
        <v>1</v>
      </c>
      <c r="M515" s="8" t="n">
        <v>14</v>
      </c>
      <c r="N515" s="8" t="n">
        <v>14</v>
      </c>
      <c r="O515" s="8">
        <f>J515*K515/L515</f>
        <v>0.02</v>
      </c>
      <c r="P515" s="8">
        <f>(M515+N515)/2</f>
        <v>14.0</v>
      </c>
      <c r="Q515" s="8">
        <f>O515*P515</f>
        <v>0.28</v>
      </c>
      <c r="R515" s="8" t="n">
        <v>0</v>
      </c>
      <c r="S515" s="8">
        <f>Q515*R515</f>
        <v>0.0</v>
      </c>
      <c r="T515" s="8" t="n"/>
      <c r="U515" s="8" t="inlineStr"/>
      <c r="V515" s="8" t="inlineStr">
        <is>
          <t>data/item_templates.yaml:mission_chest_fengbang_tianmen.effect_payload</t>
        </is>
      </c>
    </row>
    <row r="516" ht="36" customHeight="1">
      <c r="A516" s="8" t="inlineStr">
        <is>
          <t>fengbang_tianmen</t>
        </is>
      </c>
      <c r="B516" s="8" t="inlineStr">
        <is>
          <t>封神之战：封榜天门</t>
        </is>
      </c>
      <c r="C516" s="8" t="inlineStr">
        <is>
          <t>mission_chest_fengbang_tianmen</t>
        </is>
      </c>
      <c r="D516" s="8" t="inlineStr">
        <is>
          <t>封榜天门宝箱</t>
        </is>
      </c>
      <c r="E516" s="8" t="inlineStr">
        <is>
          <t>随墨家机关人图纸附带（同次命中）</t>
        </is>
      </c>
      <c r="F516" s="8" t="inlineStr">
        <is>
          <t>jingangmei</t>
        </is>
      </c>
      <c r="G516" s="8" t="inlineStr">
        <is>
          <t>金刚煤</t>
        </is>
      </c>
      <c r="H516" s="8" t="inlineStr">
        <is>
          <t>green</t>
        </is>
      </c>
      <c r="I516" s="8" t="inlineStr">
        <is>
          <t>resource</t>
        </is>
      </c>
      <c r="J516" s="8" t="n">
        <v>0.02</v>
      </c>
      <c r="K516" s="8" t="n">
        <v>1</v>
      </c>
      <c r="L516" s="8" t="n">
        <v>1</v>
      </c>
      <c r="M516" s="8" t="n">
        <v>13</v>
      </c>
      <c r="N516" s="8" t="n">
        <v>13</v>
      </c>
      <c r="O516" s="8">
        <f>J516*K516/L516</f>
        <v>0.02</v>
      </c>
      <c r="P516" s="8">
        <f>(M516+N516)/2</f>
        <v>13.0</v>
      </c>
      <c r="Q516" s="8">
        <f>O516*P516</f>
        <v>0.26</v>
      </c>
      <c r="R516" s="8" t="n">
        <v>0</v>
      </c>
      <c r="S516" s="8">
        <f>Q516*R516</f>
        <v>0.0</v>
      </c>
      <c r="T516" s="8" t="n"/>
      <c r="U516" s="8" t="inlineStr"/>
      <c r="V516" s="8" t="inlineStr">
        <is>
          <t>data/item_templates.yaml:mission_chest_fengbang_tianmen.effect_payload</t>
        </is>
      </c>
    </row>
    <row r="517" ht="36" customHeight="1">
      <c r="A517" s="8" t="inlineStr">
        <is>
          <t>fengbang_tianmen</t>
        </is>
      </c>
      <c r="B517" s="8" t="inlineStr">
        <is>
          <t>封神之战：封榜天门</t>
        </is>
      </c>
      <c r="C517" s="8" t="inlineStr">
        <is>
          <t>mission_chest_fengbang_tianmen</t>
        </is>
      </c>
      <c r="D517" s="8" t="inlineStr">
        <is>
          <t>封榜天门宝箱</t>
        </is>
      </c>
      <c r="E517" s="8" t="inlineStr">
        <is>
          <t>随墨家机关人图纸附带（同次命中）</t>
        </is>
      </c>
      <c r="F517" s="8" t="inlineStr">
        <is>
          <t>paozi</t>
        </is>
      </c>
      <c r="G517" s="8" t="inlineStr">
        <is>
          <t>刨子</t>
        </is>
      </c>
      <c r="H517" s="8" t="inlineStr">
        <is>
          <t>black</t>
        </is>
      </c>
      <c r="I517" s="8" t="inlineStr">
        <is>
          <t>resource</t>
        </is>
      </c>
      <c r="J517" s="8" t="n">
        <v>0.02</v>
      </c>
      <c r="K517" s="8" t="n">
        <v>1</v>
      </c>
      <c r="L517" s="8" t="n">
        <v>1</v>
      </c>
      <c r="M517" s="8" t="n">
        <v>6</v>
      </c>
      <c r="N517" s="8" t="n">
        <v>6</v>
      </c>
      <c r="O517" s="8">
        <f>J517*K517/L517</f>
        <v>0.02</v>
      </c>
      <c r="P517" s="8">
        <f>(M517+N517)/2</f>
        <v>6.0</v>
      </c>
      <c r="Q517" s="8">
        <f>O517*P517</f>
        <v>0.12</v>
      </c>
      <c r="R517" s="8" t="n">
        <v>0</v>
      </c>
      <c r="S517" s="8">
        <f>Q517*R517</f>
        <v>0.0</v>
      </c>
      <c r="T517" s="8" t="n"/>
      <c r="U517" s="8" t="inlineStr"/>
      <c r="V517" s="8" t="inlineStr">
        <is>
          <t>data/item_templates.yaml:mission_chest_fengbang_tianmen.effect_payload</t>
        </is>
      </c>
    </row>
    <row r="518" ht="36" customHeight="1">
      <c r="A518" s="8" t="inlineStr">
        <is>
          <t>fengbang_tianmen</t>
        </is>
      </c>
      <c r="B518" s="8" t="inlineStr">
        <is>
          <t>封神之战：封榜天门</t>
        </is>
      </c>
      <c r="C518" s="8" t="inlineStr">
        <is>
          <t>mission_chest_fengbang_tianmen</t>
        </is>
      </c>
      <c r="D518" s="8" t="inlineStr">
        <is>
          <t>封榜天门宝箱</t>
        </is>
      </c>
      <c r="E518" s="8" t="inlineStr">
        <is>
          <t>随墨家机关人图纸附带（同次命中）</t>
        </is>
      </c>
      <c r="F518" s="8" t="inlineStr">
        <is>
          <t>zaozi</t>
        </is>
      </c>
      <c r="G518" s="8" t="inlineStr">
        <is>
          <t>凿子</t>
        </is>
      </c>
      <c r="H518" s="8" t="inlineStr">
        <is>
          <t>black</t>
        </is>
      </c>
      <c r="I518" s="8" t="inlineStr">
        <is>
          <t>resource</t>
        </is>
      </c>
      <c r="J518" s="8" t="n">
        <v>0.02</v>
      </c>
      <c r="K518" s="8" t="n">
        <v>1</v>
      </c>
      <c r="L518" s="8" t="n">
        <v>1</v>
      </c>
      <c r="M518" s="8" t="n">
        <v>10</v>
      </c>
      <c r="N518" s="8" t="n">
        <v>10</v>
      </c>
      <c r="O518" s="8">
        <f>J518*K518/L518</f>
        <v>0.02</v>
      </c>
      <c r="P518" s="8">
        <f>(M518+N518)/2</f>
        <v>10.0</v>
      </c>
      <c r="Q518" s="8">
        <f>O518*P518</f>
        <v>0.2</v>
      </c>
      <c r="R518" s="8" t="n">
        <v>0</v>
      </c>
      <c r="S518" s="8">
        <f>Q518*R518</f>
        <v>0.0</v>
      </c>
      <c r="T518" s="8" t="n"/>
      <c r="U518" s="8" t="inlineStr"/>
      <c r="V518" s="8" t="inlineStr">
        <is>
          <t>data/item_templates.yaml:mission_chest_fengbang_tianmen.effect_payload</t>
        </is>
      </c>
    </row>
    <row r="519" ht="36" customHeight="1">
      <c r="A519" s="8" t="inlineStr">
        <is>
          <t>fengbang_tianmen</t>
        </is>
      </c>
      <c r="B519" s="8" t="inlineStr">
        <is>
          <t>封神之战：封榜天门</t>
        </is>
      </c>
      <c r="C519" s="8" t="inlineStr">
        <is>
          <t>mission_chest_fengbang_tianmen</t>
        </is>
      </c>
      <c r="D519" s="8" t="inlineStr">
        <is>
          <t>封榜天门宝箱</t>
        </is>
      </c>
      <c r="E519" s="8" t="inlineStr">
        <is>
          <t>随墨家机关人图纸附带（同次命中）</t>
        </is>
      </c>
      <c r="F519" s="8" t="inlineStr">
        <is>
          <t>gaolu</t>
        </is>
      </c>
      <c r="G519" s="8" t="inlineStr">
        <is>
          <t>高炉</t>
        </is>
      </c>
      <c r="H519" s="8" t="inlineStr">
        <is>
          <t>blue</t>
        </is>
      </c>
      <c r="I519" s="8" t="inlineStr">
        <is>
          <t>resource</t>
        </is>
      </c>
      <c r="J519" s="8" t="n">
        <v>0.02</v>
      </c>
      <c r="K519" s="8" t="n">
        <v>1</v>
      </c>
      <c r="L519" s="8" t="n">
        <v>1</v>
      </c>
      <c r="M519" s="8" t="n">
        <v>5</v>
      </c>
      <c r="N519" s="8" t="n">
        <v>5</v>
      </c>
      <c r="O519" s="8">
        <f>J519*K519/L519</f>
        <v>0.02</v>
      </c>
      <c r="P519" s="8">
        <f>(M519+N519)/2</f>
        <v>5.0</v>
      </c>
      <c r="Q519" s="8">
        <f>O519*P519</f>
        <v>0.1</v>
      </c>
      <c r="R519" s="8" t="n">
        <v>0</v>
      </c>
      <c r="S519" s="8">
        <f>Q519*R519</f>
        <v>0.0</v>
      </c>
      <c r="T519" s="8" t="n"/>
      <c r="U519" s="8" t="inlineStr"/>
      <c r="V519" s="8" t="inlineStr">
        <is>
          <t>data/item_templates.yaml:mission_chest_fengbang_tianmen.effect_payload</t>
        </is>
      </c>
    </row>
    <row r="520" ht="36" customHeight="1">
      <c r="A520" s="8" t="inlineStr">
        <is>
          <t>fengbang_tianmen</t>
        </is>
      </c>
      <c r="B520" s="8" t="inlineStr">
        <is>
          <t>封神之战：封榜天门</t>
        </is>
      </c>
      <c r="C520" s="8" t="inlineStr">
        <is>
          <t>mission_chest_fengbang_tianmen</t>
        </is>
      </c>
      <c r="D520" s="8" t="inlineStr">
        <is>
          <t>封榜天门宝箱</t>
        </is>
      </c>
      <c r="E520" s="8" t="inlineStr">
        <is>
          <t>随墨家机关人图纸附带（同次命中）</t>
        </is>
      </c>
      <c r="F520" s="8" t="inlineStr">
        <is>
          <t>earth_stone</t>
        </is>
      </c>
      <c r="G520" s="8" t="inlineStr">
        <is>
          <t>大地之石</t>
        </is>
      </c>
      <c r="H520" s="8" t="inlineStr">
        <is>
          <t>blue</t>
        </is>
      </c>
      <c r="I520" s="8" t="inlineStr">
        <is>
          <t>resource</t>
        </is>
      </c>
      <c r="J520" s="8" t="n">
        <v>0.02</v>
      </c>
      <c r="K520" s="8" t="n">
        <v>1</v>
      </c>
      <c r="L520" s="8" t="n">
        <v>1</v>
      </c>
      <c r="M520" s="8" t="n">
        <v>1</v>
      </c>
      <c r="N520" s="8" t="n">
        <v>1</v>
      </c>
      <c r="O520" s="8">
        <f>J520*K520/L520</f>
        <v>0.02</v>
      </c>
      <c r="P520" s="8">
        <f>(M520+N520)/2</f>
        <v>1.0</v>
      </c>
      <c r="Q520" s="8">
        <f>O520*P520</f>
        <v>0.02</v>
      </c>
      <c r="R520" s="8" t="n">
        <v>0</v>
      </c>
      <c r="S520" s="8">
        <f>Q520*R520</f>
        <v>0.0</v>
      </c>
      <c r="T520" s="8" t="n"/>
      <c r="U520" s="8" t="inlineStr"/>
      <c r="V520" s="8" t="inlineStr">
        <is>
          <t>data/item_templates.yaml:mission_chest_fengbang_tianmen.effect_payload</t>
        </is>
      </c>
    </row>
    <row r="521" ht="36" customHeight="1">
      <c r="A521" s="8" t="inlineStr">
        <is>
          <t>fengbang_tianmen</t>
        </is>
      </c>
      <c r="B521" s="8" t="inlineStr">
        <is>
          <t>封神之战：封榜天门</t>
        </is>
      </c>
      <c r="C521" s="8" t="inlineStr">
        <is>
          <t>mission_chest_fengbang_tianmen</t>
        </is>
      </c>
      <c r="D521" s="8" t="inlineStr">
        <is>
          <t>封榜天门宝箱</t>
        </is>
      </c>
      <c r="E521" s="8" t="inlineStr">
        <is>
          <t>随墨家机关人图纸附带（同次命中）</t>
        </is>
      </c>
      <c r="F521" s="8" t="inlineStr">
        <is>
          <t>fire_stone</t>
        </is>
      </c>
      <c r="G521" s="8" t="inlineStr">
        <is>
          <t>火焰之石</t>
        </is>
      </c>
      <c r="H521" s="8" t="inlineStr">
        <is>
          <t>blue</t>
        </is>
      </c>
      <c r="I521" s="8" t="inlineStr">
        <is>
          <t>resource</t>
        </is>
      </c>
      <c r="J521" s="8" t="n">
        <v>0.02</v>
      </c>
      <c r="K521" s="8" t="n">
        <v>1</v>
      </c>
      <c r="L521" s="8" t="n">
        <v>1</v>
      </c>
      <c r="M521" s="8" t="n">
        <v>1</v>
      </c>
      <c r="N521" s="8" t="n">
        <v>1</v>
      </c>
      <c r="O521" s="8">
        <f>J521*K521/L521</f>
        <v>0.02</v>
      </c>
      <c r="P521" s="8">
        <f>(M521+N521)/2</f>
        <v>1.0</v>
      </c>
      <c r="Q521" s="8">
        <f>O521*P521</f>
        <v>0.02</v>
      </c>
      <c r="R521" s="8" t="n">
        <v>0</v>
      </c>
      <c r="S521" s="8">
        <f>Q521*R521</f>
        <v>0.0</v>
      </c>
      <c r="T521" s="8" t="n"/>
      <c r="U521" s="8" t="inlineStr"/>
      <c r="V521" s="8" t="inlineStr">
        <is>
          <t>data/item_templates.yaml:mission_chest_fengbang_tianmen.effect_payload</t>
        </is>
      </c>
    </row>
    <row r="522" ht="36" customHeight="1">
      <c r="A522" s="8" t="inlineStr">
        <is>
          <t>fengbang_tianmen</t>
        </is>
      </c>
      <c r="B522" s="8" t="inlineStr">
        <is>
          <t>封神之战：封榜天门</t>
        </is>
      </c>
      <c r="C522" s="8" t="inlineStr">
        <is>
          <t>mission_chest_fengbang_tianmen</t>
        </is>
      </c>
      <c r="D522" s="8" t="inlineStr">
        <is>
          <t>封榜天门宝箱</t>
        </is>
      </c>
      <c r="E522" s="8" t="inlineStr">
        <is>
          <t>随墨家机关人图纸附带（同次命中）</t>
        </is>
      </c>
      <c r="F522" s="8" t="inlineStr">
        <is>
          <t>water_stone</t>
        </is>
      </c>
      <c r="G522" s="8" t="inlineStr">
        <is>
          <t>纯水之石</t>
        </is>
      </c>
      <c r="H522" s="8" t="inlineStr">
        <is>
          <t>blue</t>
        </is>
      </c>
      <c r="I522" s="8" t="inlineStr">
        <is>
          <t>resource</t>
        </is>
      </c>
      <c r="J522" s="8" t="n">
        <v>0.02</v>
      </c>
      <c r="K522" s="8" t="n">
        <v>1</v>
      </c>
      <c r="L522" s="8" t="n">
        <v>1</v>
      </c>
      <c r="M522" s="8" t="n">
        <v>1</v>
      </c>
      <c r="N522" s="8" t="n">
        <v>1</v>
      </c>
      <c r="O522" s="8">
        <f>J522*K522/L522</f>
        <v>0.02</v>
      </c>
      <c r="P522" s="8">
        <f>(M522+N522)/2</f>
        <v>1.0</v>
      </c>
      <c r="Q522" s="8">
        <f>O522*P522</f>
        <v>0.02</v>
      </c>
      <c r="R522" s="8" t="n">
        <v>0</v>
      </c>
      <c r="S522" s="8">
        <f>Q522*R522</f>
        <v>0.0</v>
      </c>
      <c r="T522" s="8" t="n"/>
      <c r="U522" s="8" t="inlineStr"/>
      <c r="V522" s="8" t="inlineStr">
        <is>
          <t>data/item_templates.yaml:mission_chest_fengbang_tianmen.effect_payload</t>
        </is>
      </c>
    </row>
    <row r="523" ht="36" customHeight="1">
      <c r="A523" s="8" t="inlineStr">
        <is>
          <t>zhuolu_zhongyuan</t>
        </is>
      </c>
      <c r="B523" s="8" t="inlineStr">
        <is>
          <t>逐鹿中原</t>
        </is>
      </c>
      <c r="C523" s="8" t="inlineStr">
        <is>
          <t>mission_chest_zhuolu_zhongyuan</t>
        </is>
      </c>
      <c r="D523" s="8" t="inlineStr">
        <is>
          <t>逐鹿中原宝箱</t>
        </is>
      </c>
      <c r="E523" s="8" t="inlineStr">
        <is>
          <t>必得</t>
        </is>
      </c>
      <c r="F523" s="8" t="inlineStr">
        <is>
          <t>experience_fruit</t>
        </is>
      </c>
      <c r="G523" s="8" t="inlineStr">
        <is>
          <t>经验果</t>
        </is>
      </c>
      <c r="H523" s="8" t="inlineStr">
        <is>
          <t>green</t>
        </is>
      </c>
      <c r="I523" s="8" t="inlineStr">
        <is>
          <t>experience_items</t>
        </is>
      </c>
      <c r="J523" s="8" t="n">
        <v>1</v>
      </c>
      <c r="K523" s="8" t="n">
        <v>1</v>
      </c>
      <c r="L523" s="8" t="n">
        <v>1</v>
      </c>
      <c r="M523" s="8" t="n">
        <v>182</v>
      </c>
      <c r="N523" s="8" t="n">
        <v>182</v>
      </c>
      <c r="O523" s="8">
        <f>J523*K523/L523</f>
        <v>1.0</v>
      </c>
      <c r="P523" s="8">
        <f>(M523+N523)/2</f>
        <v>182.0</v>
      </c>
      <c r="Q523" s="8">
        <f>O523*P523</f>
        <v>182.0</v>
      </c>
      <c r="R523" s="8" t="n">
        <v>1</v>
      </c>
      <c r="S523" s="8">
        <f>Q523*R523</f>
        <v>182.0</v>
      </c>
      <c r="T523" s="8" t="n"/>
      <c r="U523" s="8" t="inlineStr"/>
      <c r="V523" s="8" t="inlineStr">
        <is>
          <t>data/item_templates.yaml:mission_chest_zhuolu_zhongyuan.effect_payload</t>
        </is>
      </c>
    </row>
    <row r="524" ht="36" customHeight="1">
      <c r="A524" s="8" t="inlineStr">
        <is>
          <t>zhuolu_zhongyuan</t>
        </is>
      </c>
      <c r="B524" s="8" t="inlineStr">
        <is>
          <t>逐鹿中原</t>
        </is>
      </c>
      <c r="C524" s="8" t="inlineStr">
        <is>
          <t>mission_chest_zhuolu_zhongyuan</t>
        </is>
      </c>
      <c r="D524" s="8" t="inlineStr">
        <is>
          <t>逐鹿中原宝箱</t>
        </is>
      </c>
      <c r="E524" s="8" t="inlineStr">
        <is>
          <t>必得</t>
        </is>
      </c>
      <c r="F524" s="8" t="inlineStr">
        <is>
          <t>buxuedan</t>
        </is>
      </c>
      <c r="G524" s="8" t="inlineStr">
        <is>
          <t>补血丹</t>
        </is>
      </c>
      <c r="H524" s="8" t="inlineStr">
        <is>
          <t>black</t>
        </is>
      </c>
      <c r="I524" s="8" t="inlineStr">
        <is>
          <t>medicine</t>
        </is>
      </c>
      <c r="J524" s="8" t="n">
        <v>1</v>
      </c>
      <c r="K524" s="8" t="n">
        <v>1</v>
      </c>
      <c r="L524" s="8" t="n">
        <v>1</v>
      </c>
      <c r="M524" s="8" t="n">
        <v>4</v>
      </c>
      <c r="N524" s="8" t="n">
        <v>4</v>
      </c>
      <c r="O524" s="8">
        <f>J524*K524/L524</f>
        <v>1.0</v>
      </c>
      <c r="P524" s="8">
        <f>(M524+N524)/2</f>
        <v>4.0</v>
      </c>
      <c r="Q524" s="8">
        <f>O524*P524</f>
        <v>4.0</v>
      </c>
      <c r="R524" s="8" t="n">
        <v>0</v>
      </c>
      <c r="S524" s="8">
        <f>Q524*R524</f>
        <v>0.0</v>
      </c>
      <c r="T524" s="8" t="n"/>
      <c r="U524" s="8" t="inlineStr"/>
      <c r="V524" s="8" t="inlineStr">
        <is>
          <t>data/item_templates.yaml:mission_chest_zhuolu_zhongyuan.effect_payload</t>
        </is>
      </c>
    </row>
    <row r="525" ht="36" customHeight="1">
      <c r="A525" s="8" t="inlineStr">
        <is>
          <t>zhuolu_zhongyuan</t>
        </is>
      </c>
      <c r="B525" s="8" t="inlineStr">
        <is>
          <t>逐鹿中原</t>
        </is>
      </c>
      <c r="C525" s="8" t="inlineStr">
        <is>
          <t>mission_chest_zhuolu_zhongyuan</t>
        </is>
      </c>
      <c r="D525" s="8" t="inlineStr">
        <is>
          <t>逐鹿中原宝箱</t>
        </is>
      </c>
      <c r="E525" s="8" t="inlineStr">
        <is>
          <t>必得</t>
        </is>
      </c>
      <c r="F525" s="8" t="inlineStr">
        <is>
          <t>tong</t>
        </is>
      </c>
      <c r="G525" s="8" t="inlineStr">
        <is>
          <t>铜</t>
        </is>
      </c>
      <c r="H525" s="8" t="inlineStr">
        <is>
          <t>black</t>
        </is>
      </c>
      <c r="I525" s="8" t="inlineStr">
        <is>
          <t>resource</t>
        </is>
      </c>
      <c r="J525" s="8" t="n">
        <v>1</v>
      </c>
      <c r="K525" s="8" t="n">
        <v>1</v>
      </c>
      <c r="L525" s="8" t="n">
        <v>1</v>
      </c>
      <c r="M525" s="8" t="n">
        <v>12</v>
      </c>
      <c r="N525" s="8" t="n">
        <v>12</v>
      </c>
      <c r="O525" s="8">
        <f>J525*K525/L525</f>
        <v>1.0</v>
      </c>
      <c r="P525" s="8">
        <f>(M525+N525)/2</f>
        <v>12.0</v>
      </c>
      <c r="Q525" s="8">
        <f>O525*P525</f>
        <v>12.0</v>
      </c>
      <c r="R525" s="8" t="n">
        <v>0</v>
      </c>
      <c r="S525" s="8">
        <f>Q525*R525</f>
        <v>0.0</v>
      </c>
      <c r="T525" s="8" t="n"/>
      <c r="U525" s="8" t="inlineStr"/>
      <c r="V525" s="8" t="inlineStr">
        <is>
          <t>data/item_templates.yaml:mission_chest_zhuolu_zhongyuan.effect_payload</t>
        </is>
      </c>
    </row>
    <row r="526" ht="36" customHeight="1">
      <c r="A526" s="8" t="inlineStr">
        <is>
          <t>zhuolu_zhongyuan</t>
        </is>
      </c>
      <c r="B526" s="8" t="inlineStr">
        <is>
          <t>逐鹿中原</t>
        </is>
      </c>
      <c r="C526" s="8" t="inlineStr">
        <is>
          <t>mission_chest_zhuolu_zhongyuan</t>
        </is>
      </c>
      <c r="D526" s="8" t="inlineStr">
        <is>
          <t>逐鹿中原宝箱</t>
        </is>
      </c>
      <c r="E526" s="8" t="inlineStr">
        <is>
          <t>必得</t>
        </is>
      </c>
      <c r="F526" s="8" t="inlineStr">
        <is>
          <t>xi</t>
        </is>
      </c>
      <c r="G526" s="8" t="inlineStr">
        <is>
          <t>锡</t>
        </is>
      </c>
      <c r="H526" s="8" t="inlineStr">
        <is>
          <t>black</t>
        </is>
      </c>
      <c r="I526" s="8" t="inlineStr">
        <is>
          <t>resource</t>
        </is>
      </c>
      <c r="J526" s="8" t="n">
        <v>1</v>
      </c>
      <c r="K526" s="8" t="n">
        <v>1</v>
      </c>
      <c r="L526" s="8" t="n">
        <v>1</v>
      </c>
      <c r="M526" s="8" t="n">
        <v>8</v>
      </c>
      <c r="N526" s="8" t="n">
        <v>8</v>
      </c>
      <c r="O526" s="8">
        <f>J526*K526/L526</f>
        <v>1.0</v>
      </c>
      <c r="P526" s="8">
        <f>(M526+N526)/2</f>
        <v>8.0</v>
      </c>
      <c r="Q526" s="8">
        <f>O526*P526</f>
        <v>8.0</v>
      </c>
      <c r="R526" s="8" t="n">
        <v>0</v>
      </c>
      <c r="S526" s="8">
        <f>Q526*R526</f>
        <v>0.0</v>
      </c>
      <c r="T526" s="8" t="n"/>
      <c r="U526" s="8" t="inlineStr"/>
      <c r="V526" s="8" t="inlineStr">
        <is>
          <t>data/item_templates.yaml:mission_chest_zhuolu_zhongyuan.effect_payload</t>
        </is>
      </c>
    </row>
    <row r="527" ht="36" customHeight="1">
      <c r="A527" s="8" t="inlineStr">
        <is>
          <t>zhuolu_zhongyuan</t>
        </is>
      </c>
      <c r="B527" s="8" t="inlineStr">
        <is>
          <t>逐鹿中原</t>
        </is>
      </c>
      <c r="C527" s="8" t="inlineStr">
        <is>
          <t>mission_chest_zhuolu_zhongyuan</t>
        </is>
      </c>
      <c r="D527" s="8" t="inlineStr">
        <is>
          <t>逐鹿中原宝箱</t>
        </is>
      </c>
      <c r="E527" s="8" t="inlineStr">
        <is>
          <t>必得</t>
        </is>
      </c>
      <c r="F527" s="8" t="inlineStr">
        <is>
          <t>tie</t>
        </is>
      </c>
      <c r="G527" s="8" t="inlineStr">
        <is>
          <t>铁</t>
        </is>
      </c>
      <c r="H527" s="8" t="inlineStr">
        <is>
          <t>black</t>
        </is>
      </c>
      <c r="I527" s="8" t="inlineStr">
        <is>
          <t>resource</t>
        </is>
      </c>
      <c r="J527" s="8" t="n">
        <v>1</v>
      </c>
      <c r="K527" s="8" t="n">
        <v>1</v>
      </c>
      <c r="L527" s="8" t="n">
        <v>1</v>
      </c>
      <c r="M527" s="8" t="n">
        <v>5</v>
      </c>
      <c r="N527" s="8" t="n">
        <v>5</v>
      </c>
      <c r="O527" s="8">
        <f>J527*K527/L527</f>
        <v>1.0</v>
      </c>
      <c r="P527" s="8">
        <f>(M527+N527)/2</f>
        <v>5.0</v>
      </c>
      <c r="Q527" s="8">
        <f>O527*P527</f>
        <v>5.0</v>
      </c>
      <c r="R527" s="8" t="n">
        <v>0</v>
      </c>
      <c r="S527" s="8">
        <f>Q527*R527</f>
        <v>0.0</v>
      </c>
      <c r="T527" s="8" t="n"/>
      <c r="U527" s="8" t="inlineStr"/>
      <c r="V527" s="8" t="inlineStr">
        <is>
          <t>data/item_templates.yaml:mission_chest_zhuolu_zhongyuan.effect_payload</t>
        </is>
      </c>
    </row>
    <row r="528" ht="36" customHeight="1">
      <c r="A528" s="8" t="inlineStr">
        <is>
          <t>zhuolu_zhongyuan</t>
        </is>
      </c>
      <c r="B528" s="8" t="inlineStr">
        <is>
          <t>逐鹿中原</t>
        </is>
      </c>
      <c r="C528" s="8" t="inlineStr">
        <is>
          <t>mission_chest_zhuolu_zhongyuan</t>
        </is>
      </c>
      <c r="D528" s="8" t="inlineStr">
        <is>
          <t>逐鹿中原宝箱</t>
        </is>
      </c>
      <c r="E528" s="8" t="inlineStr">
        <is>
          <t>必得</t>
        </is>
      </c>
      <c r="F528" s="8" t="inlineStr">
        <is>
          <t>xuanyuan_sword_intent</t>
        </is>
      </c>
      <c r="G528" s="8" t="inlineStr">
        <is>
          <t>轩辕剑意</t>
        </is>
      </c>
      <c r="H528" s="8" t="inlineStr">
        <is>
          <t>orange</t>
        </is>
      </c>
      <c r="I528" s="8" t="inlineStr">
        <is>
          <t>tool</t>
        </is>
      </c>
      <c r="J528" s="8" t="n">
        <v>1</v>
      </c>
      <c r="K528" s="8" t="n">
        <v>1</v>
      </c>
      <c r="L528" s="8" t="n">
        <v>1</v>
      </c>
      <c r="M528" s="8" t="n">
        <v>1</v>
      </c>
      <c r="N528" s="8" t="n">
        <v>1</v>
      </c>
      <c r="O528" s="8">
        <f>J528*K528/L528</f>
        <v>1.0</v>
      </c>
      <c r="P528" s="8">
        <f>(M528+N528)/2</f>
        <v>1.0</v>
      </c>
      <c r="Q528" s="8">
        <f>O528*P528</f>
        <v>1.0</v>
      </c>
      <c r="R528" s="8" t="n">
        <v>0</v>
      </c>
      <c r="S528" s="8">
        <f>Q528*R528</f>
        <v>0.0</v>
      </c>
      <c r="T528" s="8" t="n"/>
      <c r="U528" s="8" t="inlineStr"/>
      <c r="V528" s="8" t="inlineStr">
        <is>
          <t>data/item_templates.yaml:mission_chest_zhuolu_zhongyuan.effect_payload</t>
        </is>
      </c>
    </row>
    <row r="529" ht="36" customHeight="1">
      <c r="A529" s="8" t="inlineStr">
        <is>
          <t>zhuolu_zhongyuan</t>
        </is>
      </c>
      <c r="B529" s="8" t="inlineStr">
        <is>
          <t>逐鹿中原</t>
        </is>
      </c>
      <c r="C529" s="8" t="inlineStr">
        <is>
          <t>mission_chest_zhuolu_zhongyuan</t>
        </is>
      </c>
      <c r="D529" s="8" t="inlineStr">
        <is>
          <t>逐鹿中原宝箱</t>
        </is>
      </c>
      <c r="E529" s="8" t="inlineStr">
        <is>
          <t>experience_watermelon</t>
        </is>
      </c>
      <c r="F529" s="8" t="inlineStr">
        <is>
          <t>experience_watermelon</t>
        </is>
      </c>
      <c r="G529" s="8" t="inlineStr">
        <is>
          <t>经验西瓜</t>
        </is>
      </c>
      <c r="H529" s="8" t="inlineStr">
        <is>
          <t>purple</t>
        </is>
      </c>
      <c r="I529" s="8" t="inlineStr">
        <is>
          <t>experience_items</t>
        </is>
      </c>
      <c r="J529" s="8" t="n">
        <v>0.7</v>
      </c>
      <c r="K529" s="8" t="n">
        <v>1</v>
      </c>
      <c r="L529" s="8" t="n">
        <v>1</v>
      </c>
      <c r="M529" s="8" t="n">
        <v>4</v>
      </c>
      <c r="N529" s="8" t="n">
        <v>4</v>
      </c>
      <c r="O529" s="8">
        <f>J529*K529/L529</f>
        <v>0.7</v>
      </c>
      <c r="P529" s="8">
        <f>(M529+N529)/2</f>
        <v>4.0</v>
      </c>
      <c r="Q529" s="8">
        <f>O529*P529</f>
        <v>2.8</v>
      </c>
      <c r="R529" s="8" t="n">
        <v>24</v>
      </c>
      <c r="S529" s="8">
        <f>Q529*R529</f>
        <v>67.19999999999999</v>
      </c>
      <c r="T529" s="8" t="n"/>
      <c r="U529" s="8" t="inlineStr"/>
      <c r="V529" s="8" t="inlineStr">
        <is>
          <t>data/item_templates.yaml:mission_chest_zhuolu_zhongyuan.effect_payload</t>
        </is>
      </c>
    </row>
    <row r="530" ht="36" customHeight="1">
      <c r="A530" s="8" t="inlineStr">
        <is>
          <t>zhuolu_zhongyuan</t>
        </is>
      </c>
      <c r="B530" s="8" t="inlineStr">
        <is>
          <t>逐鹿中原</t>
        </is>
      </c>
      <c r="C530" s="8" t="inlineStr">
        <is>
          <t>mission_chest_zhuolu_zhongyuan</t>
        </is>
      </c>
      <c r="D530" s="8" t="inlineStr">
        <is>
          <t>逐鹿中原宝箱</t>
        </is>
      </c>
      <c r="E530" s="8" t="inlineStr">
        <is>
          <t>book_bloodthirsty_fury</t>
        </is>
      </c>
      <c r="F530" s="8" t="inlineStr">
        <is>
          <t>book_bloodthirsty_fury</t>
        </is>
      </c>
      <c r="G530" s="8" t="inlineStr">
        <is>
          <t>《嗜血狂怒》秘术</t>
        </is>
      </c>
      <c r="H530" s="8" t="inlineStr">
        <is>
          <t>purple</t>
        </is>
      </c>
      <c r="I530" s="8" t="inlineStr">
        <is>
          <t>skill_book</t>
        </is>
      </c>
      <c r="J530" s="8" t="n">
        <v>0.06</v>
      </c>
      <c r="K530" s="8" t="n">
        <v>1</v>
      </c>
      <c r="L530" s="8" t="n">
        <v>1</v>
      </c>
      <c r="M530" s="8" t="n">
        <v>1</v>
      </c>
      <c r="N530" s="8" t="n">
        <v>1</v>
      </c>
      <c r="O530" s="8">
        <f>J530*K530/L530</f>
        <v>0.06</v>
      </c>
      <c r="P530" s="8">
        <f>(M530+N530)/2</f>
        <v>1.0</v>
      </c>
      <c r="Q530" s="8">
        <f>O530*P530</f>
        <v>0.06</v>
      </c>
      <c r="R530" s="8" t="n">
        <v>0</v>
      </c>
      <c r="S530" s="8">
        <f>Q530*R530</f>
        <v>0.0</v>
      </c>
      <c r="T530" s="8" t="n"/>
      <c r="U530" s="8" t="inlineStr"/>
      <c r="V530" s="8" t="inlineStr">
        <is>
          <t>data/item_templates.yaml:mission_chest_zhuolu_zhongyuan.effect_payload</t>
        </is>
      </c>
    </row>
    <row r="531" ht="36" customHeight="1">
      <c r="A531" s="8" t="inlineStr">
        <is>
          <t>zhuolu_zhongyuan</t>
        </is>
      </c>
      <c r="B531" s="8" t="inlineStr">
        <is>
          <t>逐鹿中原</t>
        </is>
      </c>
      <c r="C531" s="8" t="inlineStr">
        <is>
          <t>mission_chest_zhuolu_zhongyuan</t>
        </is>
      </c>
      <c r="D531" s="8" t="inlineStr">
        <is>
          <t>逐鹿中原宝箱</t>
        </is>
      </c>
      <c r="E531" s="8" t="inlineStr">
        <is>
          <t>book_desperate_beast</t>
        </is>
      </c>
      <c r="F531" s="8" t="inlineStr">
        <is>
          <t>book_desperate_beast</t>
        </is>
      </c>
      <c r="G531" s="8" t="inlineStr">
        <is>
          <t>《困兽犹斗》秘术</t>
        </is>
      </c>
      <c r="H531" s="8" t="inlineStr">
        <is>
          <t>purple</t>
        </is>
      </c>
      <c r="I531" s="8" t="inlineStr">
        <is>
          <t>skill_book</t>
        </is>
      </c>
      <c r="J531" s="8" t="n">
        <v>0.06</v>
      </c>
      <c r="K531" s="8" t="n">
        <v>1</v>
      </c>
      <c r="L531" s="8" t="n">
        <v>1</v>
      </c>
      <c r="M531" s="8" t="n">
        <v>1</v>
      </c>
      <c r="N531" s="8" t="n">
        <v>1</v>
      </c>
      <c r="O531" s="8">
        <f>J531*K531/L531</f>
        <v>0.06</v>
      </c>
      <c r="P531" s="8">
        <f>(M531+N531)/2</f>
        <v>1.0</v>
      </c>
      <c r="Q531" s="8">
        <f>O531*P531</f>
        <v>0.06</v>
      </c>
      <c r="R531" s="8" t="n">
        <v>0</v>
      </c>
      <c r="S531" s="8">
        <f>Q531*R531</f>
        <v>0.0</v>
      </c>
      <c r="T531" s="8" t="n"/>
      <c r="U531" s="8" t="inlineStr"/>
      <c r="V531" s="8" t="inlineStr">
        <is>
          <t>data/item_templates.yaml:mission_chest_zhuolu_zhongyuan.effect_payload</t>
        </is>
      </c>
    </row>
    <row r="532" ht="36" customHeight="1">
      <c r="A532" s="8" t="inlineStr">
        <is>
          <t>zhuolu_zhongyuan</t>
        </is>
      </c>
      <c r="B532" s="8" t="inlineStr">
        <is>
          <t>逐鹿中原</t>
        </is>
      </c>
      <c r="C532" s="8" t="inlineStr">
        <is>
          <t>mission_chest_zhuolu_zhongyuan</t>
        </is>
      </c>
      <c r="D532" s="8" t="inlineStr">
        <is>
          <t>逐鹿中原宝箱</t>
        </is>
      </c>
      <c r="E532" s="8" t="inlineStr">
        <is>
          <t>book_prison_break_blade</t>
        </is>
      </c>
      <c r="F532" s="8" t="inlineStr">
        <is>
          <t>book_prison_break_blade</t>
        </is>
      </c>
      <c r="G532" s="8" t="inlineStr">
        <is>
          <t>《破狱狂刀》秘术</t>
        </is>
      </c>
      <c r="H532" s="8" t="inlineStr">
        <is>
          <t>purple</t>
        </is>
      </c>
      <c r="I532" s="8" t="inlineStr">
        <is>
          <t>skill_book</t>
        </is>
      </c>
      <c r="J532" s="8" t="n">
        <v>0.048</v>
      </c>
      <c r="K532" s="8" t="n">
        <v>1</v>
      </c>
      <c r="L532" s="8" t="n">
        <v>1</v>
      </c>
      <c r="M532" s="8" t="n">
        <v>1</v>
      </c>
      <c r="N532" s="8" t="n">
        <v>1</v>
      </c>
      <c r="O532" s="8">
        <f>J532*K532/L532</f>
        <v>0.048</v>
      </c>
      <c r="P532" s="8">
        <f>(M532+N532)/2</f>
        <v>1.0</v>
      </c>
      <c r="Q532" s="8">
        <f>O532*P532</f>
        <v>0.048</v>
      </c>
      <c r="R532" s="8" t="n">
        <v>0</v>
      </c>
      <c r="S532" s="8">
        <f>Q532*R532</f>
        <v>0.0</v>
      </c>
      <c r="T532" s="8" t="n"/>
      <c r="U532" s="8" t="inlineStr"/>
      <c r="V532" s="8" t="inlineStr">
        <is>
          <t>data/item_templates.yaml:mission_chest_zhuolu_zhongyuan.effect_payload</t>
        </is>
      </c>
    </row>
    <row r="533" ht="36" customHeight="1">
      <c r="A533" s="8" t="inlineStr">
        <is>
          <t>zhuolu_zhongyuan</t>
        </is>
      </c>
      <c r="B533" s="8" t="inlineStr">
        <is>
          <t>逐鹿中原</t>
        </is>
      </c>
      <c r="C533" s="8" t="inlineStr">
        <is>
          <t>mission_chest_zhuolu_zhongyuan</t>
        </is>
      </c>
      <c r="D533" s="8" t="inlineStr">
        <is>
          <t>逐鹿中原宝箱</t>
        </is>
      </c>
      <c r="E533" s="8" t="inlineStr">
        <is>
          <t>book_city_felling_strike</t>
        </is>
      </c>
      <c r="F533" s="8" t="inlineStr">
        <is>
          <t>book_city_felling_strike</t>
        </is>
      </c>
      <c r="G533" s="8" t="inlineStr">
        <is>
          <t>《倾城一击》秘术</t>
        </is>
      </c>
      <c r="H533" s="8" t="inlineStr">
        <is>
          <t>purple</t>
        </is>
      </c>
      <c r="I533" s="8" t="inlineStr">
        <is>
          <t>skill_book</t>
        </is>
      </c>
      <c r="J533" s="8" t="n">
        <v>0.048</v>
      </c>
      <c r="K533" s="8" t="n">
        <v>1</v>
      </c>
      <c r="L533" s="8" t="n">
        <v>1</v>
      </c>
      <c r="M533" s="8" t="n">
        <v>1</v>
      </c>
      <c r="N533" s="8" t="n">
        <v>1</v>
      </c>
      <c r="O533" s="8">
        <f>J533*K533/L533</f>
        <v>0.048</v>
      </c>
      <c r="P533" s="8">
        <f>(M533+N533)/2</f>
        <v>1.0</v>
      </c>
      <c r="Q533" s="8">
        <f>O533*P533</f>
        <v>0.048</v>
      </c>
      <c r="R533" s="8" t="n">
        <v>0</v>
      </c>
      <c r="S533" s="8">
        <f>Q533*R533</f>
        <v>0.0</v>
      </c>
      <c r="T533" s="8" t="n"/>
      <c r="U533" s="8" t="inlineStr"/>
      <c r="V533" s="8" t="inlineStr">
        <is>
          <t>data/item_templates.yaml:mission_chest_zhuolu_zhongyuan.effect_payload</t>
        </is>
      </c>
    </row>
    <row r="534" ht="36" customHeight="1">
      <c r="A534" s="8" t="inlineStr">
        <is>
          <t>zhuolu_zhongyuan</t>
        </is>
      </c>
      <c r="B534" s="8" t="inlineStr">
        <is>
          <t>逐鹿中原</t>
        </is>
      </c>
      <c r="C534" s="8" t="inlineStr">
        <is>
          <t>mission_chest_zhuolu_zhongyuan</t>
        </is>
      </c>
      <c r="D534" s="8" t="inlineStr">
        <is>
          <t>逐鹿中原宝箱</t>
        </is>
      </c>
      <c r="E534" s="8" t="inlineStr">
        <is>
          <t>blueprint_top_blue</t>
        </is>
      </c>
      <c r="F534" s="8" t="inlineStr">
        <is>
          <t>blueprint_qinglongkui</t>
        </is>
      </c>
      <c r="G534" s="8" t="inlineStr">
        <is>
          <t>青龙盔图纸</t>
        </is>
      </c>
      <c r="H534" s="8" t="inlineStr">
        <is>
          <t>blue</t>
        </is>
      </c>
      <c r="I534" s="8" t="inlineStr">
        <is>
          <t>tool</t>
        </is>
      </c>
      <c r="J534" s="8" t="n">
        <v>0.45</v>
      </c>
      <c r="K534" s="8" t="n">
        <v>1</v>
      </c>
      <c r="L534" s="8" t="n">
        <v>4</v>
      </c>
      <c r="M534" s="8" t="n">
        <v>1</v>
      </c>
      <c r="N534" s="8" t="n">
        <v>1</v>
      </c>
      <c r="O534" s="8">
        <f>J534*K534/L534</f>
        <v>0.1125</v>
      </c>
      <c r="P534" s="8">
        <f>(M534+N534)/2</f>
        <v>1.0</v>
      </c>
      <c r="Q534" s="8">
        <f>O534*P534</f>
        <v>0.1125</v>
      </c>
      <c r="R534" s="8" t="n">
        <v>0</v>
      </c>
      <c r="S534" s="8">
        <f>Q534*R534</f>
        <v>0.0</v>
      </c>
      <c r="T534" s="8" t="n">
        <v>5</v>
      </c>
      <c r="U534" s="8" t="inlineStr">
        <is>
          <t>青龙盔</t>
        </is>
      </c>
      <c r="V534" s="8" t="inlineStr">
        <is>
          <t>data/item_templates.yaml:mission_chest_zhuolu_zhongyuan.effect_payload</t>
        </is>
      </c>
    </row>
    <row r="535" ht="36" customHeight="1">
      <c r="A535" s="8" t="inlineStr">
        <is>
          <t>zhuolu_zhongyuan</t>
        </is>
      </c>
      <c r="B535" s="8" t="inlineStr">
        <is>
          <t>逐鹿中原</t>
        </is>
      </c>
      <c r="C535" s="8" t="inlineStr">
        <is>
          <t>mission_chest_zhuolu_zhongyuan</t>
        </is>
      </c>
      <c r="D535" s="8" t="inlineStr">
        <is>
          <t>逐鹿中原宝箱</t>
        </is>
      </c>
      <c r="E535" s="8" t="inlineStr">
        <is>
          <t>blueprint_top_blue</t>
        </is>
      </c>
      <c r="F535" s="8" t="inlineStr">
        <is>
          <t>blueprint_qinglongjia</t>
        </is>
      </c>
      <c r="G535" s="8" t="inlineStr">
        <is>
          <t>青龙甲图纸</t>
        </is>
      </c>
      <c r="H535" s="8" t="inlineStr">
        <is>
          <t>blue</t>
        </is>
      </c>
      <c r="I535" s="8" t="inlineStr">
        <is>
          <t>tool</t>
        </is>
      </c>
      <c r="J535" s="8" t="n">
        <v>0.45</v>
      </c>
      <c r="K535" s="8" t="n">
        <v>1</v>
      </c>
      <c r="L535" s="8" t="n">
        <v>4</v>
      </c>
      <c r="M535" s="8" t="n">
        <v>1</v>
      </c>
      <c r="N535" s="8" t="n">
        <v>1</v>
      </c>
      <c r="O535" s="8">
        <f>J535*K535/L535</f>
        <v>0.1125</v>
      </c>
      <c r="P535" s="8">
        <f>(M535+N535)/2</f>
        <v>1.0</v>
      </c>
      <c r="Q535" s="8">
        <f>O535*P535</f>
        <v>0.1125</v>
      </c>
      <c r="R535" s="8" t="n">
        <v>0</v>
      </c>
      <c r="S535" s="8">
        <f>Q535*R535</f>
        <v>0.0</v>
      </c>
      <c r="T535" s="8" t="n">
        <v>5</v>
      </c>
      <c r="U535" s="8" t="inlineStr">
        <is>
          <t>青龙甲</t>
        </is>
      </c>
      <c r="V535" s="8" t="inlineStr">
        <is>
          <t>data/item_templates.yaml:mission_chest_zhuolu_zhongyuan.effect_payload</t>
        </is>
      </c>
    </row>
    <row r="536" ht="36" customHeight="1">
      <c r="A536" s="8" t="inlineStr">
        <is>
          <t>zhuolu_zhongyuan</t>
        </is>
      </c>
      <c r="B536" s="8" t="inlineStr">
        <is>
          <t>逐鹿中原</t>
        </is>
      </c>
      <c r="C536" s="8" t="inlineStr">
        <is>
          <t>mission_chest_zhuolu_zhongyuan</t>
        </is>
      </c>
      <c r="D536" s="8" t="inlineStr">
        <is>
          <t>逐鹿中原宝箱</t>
        </is>
      </c>
      <c r="E536" s="8" t="inlineStr">
        <is>
          <t>blueprint_top_blue</t>
        </is>
      </c>
      <c r="F536" s="8" t="inlineStr">
        <is>
          <t>blueprint_qinglongxue</t>
        </is>
      </c>
      <c r="G536" s="8" t="inlineStr">
        <is>
          <t>青龙靴图纸</t>
        </is>
      </c>
      <c r="H536" s="8" t="inlineStr">
        <is>
          <t>blue</t>
        </is>
      </c>
      <c r="I536" s="8" t="inlineStr">
        <is>
          <t>tool</t>
        </is>
      </c>
      <c r="J536" s="8" t="n">
        <v>0.45</v>
      </c>
      <c r="K536" s="8" t="n">
        <v>1</v>
      </c>
      <c r="L536" s="8" t="n">
        <v>4</v>
      </c>
      <c r="M536" s="8" t="n">
        <v>1</v>
      </c>
      <c r="N536" s="8" t="n">
        <v>1</v>
      </c>
      <c r="O536" s="8">
        <f>J536*K536/L536</f>
        <v>0.1125</v>
      </c>
      <c r="P536" s="8">
        <f>(M536+N536)/2</f>
        <v>1.0</v>
      </c>
      <c r="Q536" s="8">
        <f>O536*P536</f>
        <v>0.1125</v>
      </c>
      <c r="R536" s="8" t="n">
        <v>0</v>
      </c>
      <c r="S536" s="8">
        <f>Q536*R536</f>
        <v>0.0</v>
      </c>
      <c r="T536" s="8" t="n">
        <v>5</v>
      </c>
      <c r="U536" s="8" t="inlineStr">
        <is>
          <t>青龙靴</t>
        </is>
      </c>
      <c r="V536" s="8" t="inlineStr">
        <is>
          <t>data/item_templates.yaml:mission_chest_zhuolu_zhongyuan.effect_payload</t>
        </is>
      </c>
    </row>
    <row r="537" ht="36" customHeight="1">
      <c r="A537" s="8" t="inlineStr">
        <is>
          <t>zhuolu_zhongyuan</t>
        </is>
      </c>
      <c r="B537" s="8" t="inlineStr">
        <is>
          <t>逐鹿中原</t>
        </is>
      </c>
      <c r="C537" s="8" t="inlineStr">
        <is>
          <t>mission_chest_zhuolu_zhongyuan</t>
        </is>
      </c>
      <c r="D537" s="8" t="inlineStr">
        <is>
          <t>逐鹿中原宝箱</t>
        </is>
      </c>
      <c r="E537" s="8" t="inlineStr">
        <is>
          <t>blueprint_top_blue</t>
        </is>
      </c>
      <c r="F537" s="8" t="inlineStr">
        <is>
          <t>blueprint_qinglongdao</t>
        </is>
      </c>
      <c r="G537" s="8" t="inlineStr">
        <is>
          <t>青龙刀图纸</t>
        </is>
      </c>
      <c r="H537" s="8" t="inlineStr">
        <is>
          <t>blue</t>
        </is>
      </c>
      <c r="I537" s="8" t="inlineStr">
        <is>
          <t>tool</t>
        </is>
      </c>
      <c r="J537" s="8" t="n">
        <v>0.45</v>
      </c>
      <c r="K537" s="8" t="n">
        <v>1</v>
      </c>
      <c r="L537" s="8" t="n">
        <v>4</v>
      </c>
      <c r="M537" s="8" t="n">
        <v>1</v>
      </c>
      <c r="N537" s="8" t="n">
        <v>1</v>
      </c>
      <c r="O537" s="8">
        <f>J537*K537/L537</f>
        <v>0.1125</v>
      </c>
      <c r="P537" s="8">
        <f>(M537+N537)/2</f>
        <v>1.0</v>
      </c>
      <c r="Q537" s="8">
        <f>O537*P537</f>
        <v>0.1125</v>
      </c>
      <c r="R537" s="8" t="n">
        <v>0</v>
      </c>
      <c r="S537" s="8">
        <f>Q537*R537</f>
        <v>0.0</v>
      </c>
      <c r="T537" s="8" t="n">
        <v>5</v>
      </c>
      <c r="U537" s="8" t="inlineStr">
        <is>
          <t>青龙刀</t>
        </is>
      </c>
      <c r="V537" s="8" t="inlineStr">
        <is>
          <t>data/item_templates.yaml:mission_chest_zhuolu_zhongyuan.effect_payload</t>
        </is>
      </c>
    </row>
    <row r="538" ht="36" customHeight="1">
      <c r="A538" s="8" t="inlineStr">
        <is>
          <t>zhuolu_zhongyuan</t>
        </is>
      </c>
      <c r="B538" s="8" t="inlineStr">
        <is>
          <t>逐鹿中原</t>
        </is>
      </c>
      <c r="C538" s="8" t="inlineStr">
        <is>
          <t>mission_chest_zhuolu_zhongyuan</t>
        </is>
      </c>
      <c r="D538" s="8" t="inlineStr">
        <is>
          <t>逐鹿中原宝箱</t>
        </is>
      </c>
      <c r="E538" s="8" t="inlineStr">
        <is>
          <t>blueprint_top_purple</t>
        </is>
      </c>
      <c r="F538" s="8" t="inlineStr">
        <is>
          <t>blueprint_qilinkui</t>
        </is>
      </c>
      <c r="G538" s="8" t="inlineStr">
        <is>
          <t>麒麟盔图纸</t>
        </is>
      </c>
      <c r="H538" s="8" t="inlineStr">
        <is>
          <t>purple</t>
        </is>
      </c>
      <c r="I538" s="8" t="inlineStr">
        <is>
          <t>tool</t>
        </is>
      </c>
      <c r="J538" s="8" t="n">
        <v>0.25</v>
      </c>
      <c r="K538" s="8" t="n">
        <v>1</v>
      </c>
      <c r="L538" s="8" t="n">
        <v>4</v>
      </c>
      <c r="M538" s="8" t="n">
        <v>1</v>
      </c>
      <c r="N538" s="8" t="n">
        <v>1</v>
      </c>
      <c r="O538" s="8">
        <f>J538*K538/L538</f>
        <v>0.0625</v>
      </c>
      <c r="P538" s="8">
        <f>(M538+N538)/2</f>
        <v>1.0</v>
      </c>
      <c r="Q538" s="8">
        <f>O538*P538</f>
        <v>0.0625</v>
      </c>
      <c r="R538" s="8" t="n">
        <v>0</v>
      </c>
      <c r="S538" s="8">
        <f>Q538*R538</f>
        <v>0.0</v>
      </c>
      <c r="T538" s="8" t="n">
        <v>9</v>
      </c>
      <c r="U538" s="8" t="inlineStr">
        <is>
          <t>麒麟盔</t>
        </is>
      </c>
      <c r="V538" s="8" t="inlineStr">
        <is>
          <t>data/item_templates.yaml:mission_chest_zhuolu_zhongyuan.effect_payload</t>
        </is>
      </c>
    </row>
    <row r="539" ht="36" customHeight="1">
      <c r="A539" s="8" t="inlineStr">
        <is>
          <t>zhuolu_zhongyuan</t>
        </is>
      </c>
      <c r="B539" s="8" t="inlineStr">
        <is>
          <t>逐鹿中原</t>
        </is>
      </c>
      <c r="C539" s="8" t="inlineStr">
        <is>
          <t>mission_chest_zhuolu_zhongyuan</t>
        </is>
      </c>
      <c r="D539" s="8" t="inlineStr">
        <is>
          <t>逐鹿中原宝箱</t>
        </is>
      </c>
      <c r="E539" s="8" t="inlineStr">
        <is>
          <t>blueprint_top_purple</t>
        </is>
      </c>
      <c r="F539" s="8" t="inlineStr">
        <is>
          <t>blueprint_qilinjia</t>
        </is>
      </c>
      <c r="G539" s="8" t="inlineStr">
        <is>
          <t>麒麟甲图纸</t>
        </is>
      </c>
      <c r="H539" s="8" t="inlineStr">
        <is>
          <t>purple</t>
        </is>
      </c>
      <c r="I539" s="8" t="inlineStr">
        <is>
          <t>tool</t>
        </is>
      </c>
      <c r="J539" s="8" t="n">
        <v>0.25</v>
      </c>
      <c r="K539" s="8" t="n">
        <v>1</v>
      </c>
      <c r="L539" s="8" t="n">
        <v>4</v>
      </c>
      <c r="M539" s="8" t="n">
        <v>1</v>
      </c>
      <c r="N539" s="8" t="n">
        <v>1</v>
      </c>
      <c r="O539" s="8">
        <f>J539*K539/L539</f>
        <v>0.0625</v>
      </c>
      <c r="P539" s="8">
        <f>(M539+N539)/2</f>
        <v>1.0</v>
      </c>
      <c r="Q539" s="8">
        <f>O539*P539</f>
        <v>0.0625</v>
      </c>
      <c r="R539" s="8" t="n">
        <v>0</v>
      </c>
      <c r="S539" s="8">
        <f>Q539*R539</f>
        <v>0.0</v>
      </c>
      <c r="T539" s="8" t="n">
        <v>9</v>
      </c>
      <c r="U539" s="8" t="inlineStr">
        <is>
          <t>麒麟甲</t>
        </is>
      </c>
      <c r="V539" s="8" t="inlineStr">
        <is>
          <t>data/item_templates.yaml:mission_chest_zhuolu_zhongyuan.effect_payload</t>
        </is>
      </c>
    </row>
    <row r="540" ht="36" customHeight="1">
      <c r="A540" s="8" t="inlineStr">
        <is>
          <t>zhuolu_zhongyuan</t>
        </is>
      </c>
      <c r="B540" s="8" t="inlineStr">
        <is>
          <t>逐鹿中原</t>
        </is>
      </c>
      <c r="C540" s="8" t="inlineStr">
        <is>
          <t>mission_chest_zhuolu_zhongyuan</t>
        </is>
      </c>
      <c r="D540" s="8" t="inlineStr">
        <is>
          <t>逐鹿中原宝箱</t>
        </is>
      </c>
      <c r="E540" s="8" t="inlineStr">
        <is>
          <t>blueprint_top_purple</t>
        </is>
      </c>
      <c r="F540" s="8" t="inlineStr">
        <is>
          <t>blueprint_qilinxue</t>
        </is>
      </c>
      <c r="G540" s="8" t="inlineStr">
        <is>
          <t>麒麟靴图纸</t>
        </is>
      </c>
      <c r="H540" s="8" t="inlineStr">
        <is>
          <t>purple</t>
        </is>
      </c>
      <c r="I540" s="8" t="inlineStr">
        <is>
          <t>tool</t>
        </is>
      </c>
      <c r="J540" s="8" t="n">
        <v>0.25</v>
      </c>
      <c r="K540" s="8" t="n">
        <v>1</v>
      </c>
      <c r="L540" s="8" t="n">
        <v>4</v>
      </c>
      <c r="M540" s="8" t="n">
        <v>1</v>
      </c>
      <c r="N540" s="8" t="n">
        <v>1</v>
      </c>
      <c r="O540" s="8">
        <f>J540*K540/L540</f>
        <v>0.0625</v>
      </c>
      <c r="P540" s="8">
        <f>(M540+N540)/2</f>
        <v>1.0</v>
      </c>
      <c r="Q540" s="8">
        <f>O540*P540</f>
        <v>0.0625</v>
      </c>
      <c r="R540" s="8" t="n">
        <v>0</v>
      </c>
      <c r="S540" s="8">
        <f>Q540*R540</f>
        <v>0.0</v>
      </c>
      <c r="T540" s="8" t="n">
        <v>9</v>
      </c>
      <c r="U540" s="8" t="inlineStr">
        <is>
          <t>麒麟靴</t>
        </is>
      </c>
      <c r="V540" s="8" t="inlineStr">
        <is>
          <t>data/item_templates.yaml:mission_chest_zhuolu_zhongyuan.effect_payload</t>
        </is>
      </c>
    </row>
    <row r="541" ht="36" customHeight="1">
      <c r="A541" s="8" t="inlineStr">
        <is>
          <t>zhuolu_zhongyuan</t>
        </is>
      </c>
      <c r="B541" s="8" t="inlineStr">
        <is>
          <t>逐鹿中原</t>
        </is>
      </c>
      <c r="C541" s="8" t="inlineStr">
        <is>
          <t>mission_chest_zhuolu_zhongyuan</t>
        </is>
      </c>
      <c r="D541" s="8" t="inlineStr">
        <is>
          <t>逐鹿中原宝箱</t>
        </is>
      </c>
      <c r="E541" s="8" t="inlineStr">
        <is>
          <t>blueprint_top_purple</t>
        </is>
      </c>
      <c r="F541" s="8" t="inlineStr">
        <is>
          <t>blueprint_qilindao</t>
        </is>
      </c>
      <c r="G541" s="8" t="inlineStr">
        <is>
          <t>麒麟刀图纸</t>
        </is>
      </c>
      <c r="H541" s="8" t="inlineStr">
        <is>
          <t>purple</t>
        </is>
      </c>
      <c r="I541" s="8" t="inlineStr">
        <is>
          <t>tool</t>
        </is>
      </c>
      <c r="J541" s="8" t="n">
        <v>0.25</v>
      </c>
      <c r="K541" s="8" t="n">
        <v>1</v>
      </c>
      <c r="L541" s="8" t="n">
        <v>4</v>
      </c>
      <c r="M541" s="8" t="n">
        <v>1</v>
      </c>
      <c r="N541" s="8" t="n">
        <v>1</v>
      </c>
      <c r="O541" s="8">
        <f>J541*K541/L541</f>
        <v>0.0625</v>
      </c>
      <c r="P541" s="8">
        <f>(M541+N541)/2</f>
        <v>1.0</v>
      </c>
      <c r="Q541" s="8">
        <f>O541*P541</f>
        <v>0.0625</v>
      </c>
      <c r="R541" s="8" t="n">
        <v>0</v>
      </c>
      <c r="S541" s="8">
        <f>Q541*R541</f>
        <v>0.0</v>
      </c>
      <c r="T541" s="8" t="n">
        <v>9</v>
      </c>
      <c r="U541" s="8" t="inlineStr">
        <is>
          <t>麒麟刀</t>
        </is>
      </c>
      <c r="V541" s="8" t="inlineStr">
        <is>
          <t>data/item_templates.yaml:mission_chest_zhuolu_zhongyuan.effect_payload</t>
        </is>
      </c>
    </row>
    <row r="542" ht="36" customHeight="1">
      <c r="A542" s="8" t="inlineStr">
        <is>
          <t>zhuolu_zhongyuan</t>
        </is>
      </c>
      <c r="B542" s="8" t="inlineStr">
        <is>
          <t>逐鹿中原</t>
        </is>
      </c>
      <c r="C542" s="8" t="inlineStr">
        <is>
          <t>mission_chest_zhuolu_zhongyuan</t>
        </is>
      </c>
      <c r="D542" s="8" t="inlineStr">
        <is>
          <t>逐鹿中原宝箱</t>
        </is>
      </c>
      <c r="E542" s="8" t="inlineStr">
        <is>
          <t>blueprint_top_orange</t>
        </is>
      </c>
      <c r="F542" s="8" t="inlineStr">
        <is>
          <t>blueprint_feiyuan</t>
        </is>
      </c>
      <c r="G542" s="8" t="inlineStr">
        <is>
          <t>飞鸢图纸</t>
        </is>
      </c>
      <c r="H542" s="8" t="inlineStr">
        <is>
          <t>orange</t>
        </is>
      </c>
      <c r="I542" s="8" t="inlineStr">
        <is>
          <t>tool</t>
        </is>
      </c>
      <c r="J542" s="8" t="n">
        <v>0.06</v>
      </c>
      <c r="K542" s="8" t="n">
        <v>1</v>
      </c>
      <c r="L542" s="8" t="n">
        <v>3</v>
      </c>
      <c r="M542" s="8" t="n">
        <v>1</v>
      </c>
      <c r="N542" s="8" t="n">
        <v>1</v>
      </c>
      <c r="O542" s="8">
        <f>J542*K542/L542</f>
        <v>0.02</v>
      </c>
      <c r="P542" s="8">
        <f>(M542+N542)/2</f>
        <v>1.0</v>
      </c>
      <c r="Q542" s="8">
        <f>O542*P542</f>
        <v>0.02</v>
      </c>
      <c r="R542" s="8" t="n">
        <v>0</v>
      </c>
      <c r="S542" s="8">
        <f>Q542*R542</f>
        <v>0.0</v>
      </c>
      <c r="T542" s="8" t="n">
        <v>10</v>
      </c>
      <c r="U542" s="8" t="inlineStr">
        <is>
          <t>飞鸢</t>
        </is>
      </c>
      <c r="V542" s="8" t="inlineStr">
        <is>
          <t>data/item_templates.yaml:mission_chest_zhuolu_zhongyuan.effect_payload</t>
        </is>
      </c>
    </row>
    <row r="543" ht="36" customHeight="1">
      <c r="A543" s="8" t="inlineStr">
        <is>
          <t>zhuolu_zhongyuan</t>
        </is>
      </c>
      <c r="B543" s="8" t="inlineStr">
        <is>
          <t>逐鹿中原</t>
        </is>
      </c>
      <c r="C543" s="8" t="inlineStr">
        <is>
          <t>mission_chest_zhuolu_zhongyuan</t>
        </is>
      </c>
      <c r="D543" s="8" t="inlineStr">
        <is>
          <t>逐鹿中原宝箱</t>
        </is>
      </c>
      <c r="E543" s="8" t="inlineStr">
        <is>
          <t>blueprint_top_orange</t>
        </is>
      </c>
      <c r="F543" s="8" t="inlineStr">
        <is>
          <t>blueprint_chixiaojifeng</t>
        </is>
      </c>
      <c r="G543" s="8" t="inlineStr">
        <is>
          <t>赤霄机凤图纸</t>
        </is>
      </c>
      <c r="H543" s="8" t="inlineStr">
        <is>
          <t>orange</t>
        </is>
      </c>
      <c r="I543" s="8" t="inlineStr">
        <is>
          <t>tool</t>
        </is>
      </c>
      <c r="J543" s="8" t="n">
        <v>0.06</v>
      </c>
      <c r="K543" s="8" t="n">
        <v>1</v>
      </c>
      <c r="L543" s="8" t="n">
        <v>3</v>
      </c>
      <c r="M543" s="8" t="n">
        <v>1</v>
      </c>
      <c r="N543" s="8" t="n">
        <v>1</v>
      </c>
      <c r="O543" s="8">
        <f>J543*K543/L543</f>
        <v>0.02</v>
      </c>
      <c r="P543" s="8">
        <f>(M543+N543)/2</f>
        <v>1.0</v>
      </c>
      <c r="Q543" s="8">
        <f>O543*P543</f>
        <v>0.02</v>
      </c>
      <c r="R543" s="8" t="n">
        <v>0</v>
      </c>
      <c r="S543" s="8">
        <f>Q543*R543</f>
        <v>0.0</v>
      </c>
      <c r="T543" s="8" t="n">
        <v>10</v>
      </c>
      <c r="U543" s="8" t="inlineStr">
        <is>
          <t>赤霄机凤</t>
        </is>
      </c>
      <c r="V543" s="8" t="inlineStr">
        <is>
          <t>data/item_templates.yaml:mission_chest_zhuolu_zhongyuan.effect_payload</t>
        </is>
      </c>
    </row>
    <row r="544" ht="36" customHeight="1">
      <c r="A544" s="8" t="inlineStr">
        <is>
          <t>zhuolu_zhongyuan</t>
        </is>
      </c>
      <c r="B544" s="8" t="inlineStr">
        <is>
          <t>逐鹿中原</t>
        </is>
      </c>
      <c r="C544" s="8" t="inlineStr">
        <is>
          <t>mission_chest_zhuolu_zhongyuan</t>
        </is>
      </c>
      <c r="D544" s="8" t="inlineStr">
        <is>
          <t>逐鹿中原宝箱</t>
        </is>
      </c>
      <c r="E544" s="8" t="inlineStr">
        <is>
          <t>blueprint_top_orange</t>
        </is>
      </c>
      <c r="F544" s="8" t="inlineStr">
        <is>
          <t>blueprint_mojiajiguanren</t>
        </is>
      </c>
      <c r="G544" s="8" t="inlineStr">
        <is>
          <t>墨家机关人图纸</t>
        </is>
      </c>
      <c r="H544" s="8" t="inlineStr">
        <is>
          <t>orange</t>
        </is>
      </c>
      <c r="I544" s="8" t="inlineStr">
        <is>
          <t>tool</t>
        </is>
      </c>
      <c r="J544" s="8" t="n">
        <v>0.06</v>
      </c>
      <c r="K544" s="8" t="n">
        <v>1</v>
      </c>
      <c r="L544" s="8" t="n">
        <v>3</v>
      </c>
      <c r="M544" s="8" t="n">
        <v>1</v>
      </c>
      <c r="N544" s="8" t="n">
        <v>1</v>
      </c>
      <c r="O544" s="8">
        <f>J544*K544/L544</f>
        <v>0.02</v>
      </c>
      <c r="P544" s="8">
        <f>(M544+N544)/2</f>
        <v>1.0</v>
      </c>
      <c r="Q544" s="8">
        <f>O544*P544</f>
        <v>0.02</v>
      </c>
      <c r="R544" s="8" t="n">
        <v>0</v>
      </c>
      <c r="S544" s="8">
        <f>Q544*R544</f>
        <v>0.0</v>
      </c>
      <c r="T544" s="8" t="n">
        <v>10</v>
      </c>
      <c r="U544" s="8" t="inlineStr">
        <is>
          <t>墨家机关人</t>
        </is>
      </c>
      <c r="V544" s="8" t="inlineStr">
        <is>
          <t>data/item_templates.yaml:mission_chest_zhuolu_zhongyuan.effect_payload</t>
        </is>
      </c>
    </row>
    <row r="545" ht="36" customHeight="1">
      <c r="A545" s="8" t="inlineStr">
        <is>
          <t>zhuolu_zhongyuan</t>
        </is>
      </c>
      <c r="B545" s="8" t="inlineStr">
        <is>
          <t>逐鹿中原</t>
        </is>
      </c>
      <c r="C545" s="8" t="inlineStr">
        <is>
          <t>mission_chest_zhuolu_zhongyuan</t>
        </is>
      </c>
      <c r="D545" s="8" t="inlineStr">
        <is>
          <t>逐鹿中原宝箱</t>
        </is>
      </c>
      <c r="E545" s="8" t="inlineStr">
        <is>
          <t>上古王权</t>
        </is>
      </c>
      <c r="F545" s="8" t="inlineStr">
        <is>
          <t>equip_shanheshejitu</t>
        </is>
      </c>
      <c r="G545" s="8" t="inlineStr">
        <is>
          <t>山河社稷图</t>
        </is>
      </c>
      <c r="H545" s="8" t="inlineStr">
        <is>
          <t>orange</t>
        </is>
      </c>
      <c r="I545" s="8" t="inlineStr">
        <is>
          <t>equip_ornament</t>
        </is>
      </c>
      <c r="J545" s="8" t="n">
        <v>0.15</v>
      </c>
      <c r="K545" s="8" t="n">
        <v>1</v>
      </c>
      <c r="L545" s="8" t="n">
        <v>7</v>
      </c>
      <c r="M545" s="8" t="n">
        <v>1</v>
      </c>
      <c r="N545" s="8" t="n">
        <v>1</v>
      </c>
      <c r="O545" s="8">
        <f>J545*K545/L545</f>
        <v>0.02142857142857143</v>
      </c>
      <c r="P545" s="8">
        <f>(M545+N545)/2</f>
        <v>1.0</v>
      </c>
      <c r="Q545" s="8">
        <f>O545*P545</f>
        <v>0.02142857142857143</v>
      </c>
      <c r="R545" s="8" t="n">
        <v>0</v>
      </c>
      <c r="S545" s="8">
        <f>Q545*R545</f>
        <v>0.0</v>
      </c>
      <c r="T545" s="8" t="n"/>
      <c r="U545" s="8" t="inlineStr"/>
      <c r="V545" s="8" t="inlineStr">
        <is>
          <t>data/item_templates.yaml:mission_chest_zhuolu_zhongyuan.effect_payload</t>
        </is>
      </c>
    </row>
    <row r="546" ht="36" customHeight="1">
      <c r="A546" s="8" t="inlineStr">
        <is>
          <t>zhuolu_zhongyuan</t>
        </is>
      </c>
      <c r="B546" s="8" t="inlineStr">
        <is>
          <t>逐鹿中原</t>
        </is>
      </c>
      <c r="C546" s="8" t="inlineStr">
        <is>
          <t>mission_chest_zhuolu_zhongyuan</t>
        </is>
      </c>
      <c r="D546" s="8" t="inlineStr">
        <is>
          <t>逐鹿中原宝箱</t>
        </is>
      </c>
      <c r="E546" s="8" t="inlineStr">
        <is>
          <t>上古王权</t>
        </is>
      </c>
      <c r="F546" s="8" t="inlineStr">
        <is>
          <t>equip_zhoutianxingpan</t>
        </is>
      </c>
      <c r="G546" s="8" t="inlineStr">
        <is>
          <t>周天星盘</t>
        </is>
      </c>
      <c r="H546" s="8" t="inlineStr">
        <is>
          <t>orange</t>
        </is>
      </c>
      <c r="I546" s="8" t="inlineStr">
        <is>
          <t>equip_ornament</t>
        </is>
      </c>
      <c r="J546" s="8" t="n">
        <v>0.15</v>
      </c>
      <c r="K546" s="8" t="n">
        <v>1</v>
      </c>
      <c r="L546" s="8" t="n">
        <v>7</v>
      </c>
      <c r="M546" s="8" t="n">
        <v>1</v>
      </c>
      <c r="N546" s="8" t="n">
        <v>1</v>
      </c>
      <c r="O546" s="8">
        <f>J546*K546/L546</f>
        <v>0.02142857142857143</v>
      </c>
      <c r="P546" s="8">
        <f>(M546+N546)/2</f>
        <v>1.0</v>
      </c>
      <c r="Q546" s="8">
        <f>O546*P546</f>
        <v>0.02142857142857143</v>
      </c>
      <c r="R546" s="8" t="n">
        <v>0</v>
      </c>
      <c r="S546" s="8">
        <f>Q546*R546</f>
        <v>0.0</v>
      </c>
      <c r="T546" s="8" t="n"/>
      <c r="U546" s="8" t="inlineStr"/>
      <c r="V546" s="8" t="inlineStr">
        <is>
          <t>data/item_templates.yaml:mission_chest_zhuolu_zhongyuan.effect_payload</t>
        </is>
      </c>
    </row>
    <row r="547" ht="36" customHeight="1">
      <c r="A547" s="8" t="inlineStr">
        <is>
          <t>zhuolu_zhongyuan</t>
        </is>
      </c>
      <c r="B547" s="8" t="inlineStr">
        <is>
          <t>逐鹿中原</t>
        </is>
      </c>
      <c r="C547" s="8" t="inlineStr">
        <is>
          <t>mission_chest_zhuolu_zhongyuan</t>
        </is>
      </c>
      <c r="D547" s="8" t="inlineStr">
        <is>
          <t>逐鹿中原宝箱</t>
        </is>
      </c>
      <c r="E547" s="8" t="inlineStr">
        <is>
          <t>上古王权</t>
        </is>
      </c>
      <c r="F547" s="8" t="inlineStr">
        <is>
          <t>equip_xuanyuanjian</t>
        </is>
      </c>
      <c r="G547" s="8" t="inlineStr">
        <is>
          <t>轩辕剑</t>
        </is>
      </c>
      <c r="H547" s="8" t="inlineStr">
        <is>
          <t>orange</t>
        </is>
      </c>
      <c r="I547" s="8" t="inlineStr">
        <is>
          <t>equip_weapon</t>
        </is>
      </c>
      <c r="J547" s="8" t="n">
        <v>0.15</v>
      </c>
      <c r="K547" s="8" t="n">
        <v>1</v>
      </c>
      <c r="L547" s="8" t="n">
        <v>7</v>
      </c>
      <c r="M547" s="8" t="n">
        <v>1</v>
      </c>
      <c r="N547" s="8" t="n">
        <v>1</v>
      </c>
      <c r="O547" s="8">
        <f>J547*K547/L547</f>
        <v>0.02142857142857143</v>
      </c>
      <c r="P547" s="8">
        <f>(M547+N547)/2</f>
        <v>1.0</v>
      </c>
      <c r="Q547" s="8">
        <f>O547*P547</f>
        <v>0.02142857142857143</v>
      </c>
      <c r="R547" s="8" t="n">
        <v>0</v>
      </c>
      <c r="S547" s="8">
        <f>Q547*R547</f>
        <v>0.0</v>
      </c>
      <c r="T547" s="8" t="n"/>
      <c r="U547" s="8" t="inlineStr"/>
      <c r="V547" s="8" t="inlineStr">
        <is>
          <t>data/item_templates.yaml:mission_chest_zhuolu_zhongyuan.effect_payload</t>
        </is>
      </c>
    </row>
    <row r="548" ht="36" customHeight="1">
      <c r="A548" s="8" t="inlineStr">
        <is>
          <t>zhuolu_zhongyuan</t>
        </is>
      </c>
      <c r="B548" s="8" t="inlineStr">
        <is>
          <t>逐鹿中原</t>
        </is>
      </c>
      <c r="C548" s="8" t="inlineStr">
        <is>
          <t>mission_chest_zhuolu_zhongyuan</t>
        </is>
      </c>
      <c r="D548" s="8" t="inlineStr">
        <is>
          <t>逐鹿中原宝箱</t>
        </is>
      </c>
      <c r="E548" s="8" t="inlineStr">
        <is>
          <t>上古王权</t>
        </is>
      </c>
      <c r="F548" s="8" t="inlineStr">
        <is>
          <t>equip_longhuangguan</t>
        </is>
      </c>
      <c r="G548" s="8" t="inlineStr">
        <is>
          <t>龙皇冠</t>
        </is>
      </c>
      <c r="H548" s="8" t="inlineStr">
        <is>
          <t>orange</t>
        </is>
      </c>
      <c r="I548" s="8" t="inlineStr">
        <is>
          <t>equip_helmet</t>
        </is>
      </c>
      <c r="J548" s="8" t="n">
        <v>0.15</v>
      </c>
      <c r="K548" s="8" t="n">
        <v>1</v>
      </c>
      <c r="L548" s="8" t="n">
        <v>7</v>
      </c>
      <c r="M548" s="8" t="n">
        <v>1</v>
      </c>
      <c r="N548" s="8" t="n">
        <v>1</v>
      </c>
      <c r="O548" s="8">
        <f>J548*K548/L548</f>
        <v>0.02142857142857143</v>
      </c>
      <c r="P548" s="8">
        <f>(M548+N548)/2</f>
        <v>1.0</v>
      </c>
      <c r="Q548" s="8">
        <f>O548*P548</f>
        <v>0.02142857142857143</v>
      </c>
      <c r="R548" s="8" t="n">
        <v>0</v>
      </c>
      <c r="S548" s="8">
        <f>Q548*R548</f>
        <v>0.0</v>
      </c>
      <c r="T548" s="8" t="n"/>
      <c r="U548" s="8" t="inlineStr"/>
      <c r="V548" s="8" t="inlineStr">
        <is>
          <t>data/item_templates.yaml:mission_chest_zhuolu_zhongyuan.effect_payload</t>
        </is>
      </c>
    </row>
    <row r="549" ht="36" customHeight="1">
      <c r="A549" s="8" t="inlineStr">
        <is>
          <t>zhuolu_zhongyuan</t>
        </is>
      </c>
      <c r="B549" s="8" t="inlineStr">
        <is>
          <t>逐鹿中原</t>
        </is>
      </c>
      <c r="C549" s="8" t="inlineStr">
        <is>
          <t>mission_chest_zhuolu_zhongyuan</t>
        </is>
      </c>
      <c r="D549" s="8" t="inlineStr">
        <is>
          <t>逐鹿中原宝箱</t>
        </is>
      </c>
      <c r="E549" s="8" t="inlineStr">
        <is>
          <t>上古王权</t>
        </is>
      </c>
      <c r="F549" s="8" t="inlineStr">
        <is>
          <t>equip_chuanguoyuxi</t>
        </is>
      </c>
      <c r="G549" s="8" t="inlineStr">
        <is>
          <t>传国玉玺</t>
        </is>
      </c>
      <c r="H549" s="8" t="inlineStr">
        <is>
          <t>orange</t>
        </is>
      </c>
      <c r="I549" s="8" t="inlineStr">
        <is>
          <t>equip_ornament</t>
        </is>
      </c>
      <c r="J549" s="8" t="n">
        <v>0.15</v>
      </c>
      <c r="K549" s="8" t="n">
        <v>1</v>
      </c>
      <c r="L549" s="8" t="n">
        <v>7</v>
      </c>
      <c r="M549" s="8" t="n">
        <v>1</v>
      </c>
      <c r="N549" s="8" t="n">
        <v>1</v>
      </c>
      <c r="O549" s="8">
        <f>J549*K549/L549</f>
        <v>0.02142857142857143</v>
      </c>
      <c r="P549" s="8">
        <f>(M549+N549)/2</f>
        <v>1.0</v>
      </c>
      <c r="Q549" s="8">
        <f>O549*P549</f>
        <v>0.02142857142857143</v>
      </c>
      <c r="R549" s="8" t="n">
        <v>0</v>
      </c>
      <c r="S549" s="8">
        <f>Q549*R549</f>
        <v>0.0</v>
      </c>
      <c r="T549" s="8" t="n"/>
      <c r="U549" s="8" t="inlineStr"/>
      <c r="V549" s="8" t="inlineStr">
        <is>
          <t>data/item_templates.yaml:mission_chest_zhuolu_zhongyuan.effect_payload</t>
        </is>
      </c>
    </row>
    <row r="550" ht="36" customHeight="1">
      <c r="A550" s="8" t="inlineStr">
        <is>
          <t>zhuolu_zhongyuan</t>
        </is>
      </c>
      <c r="B550" s="8" t="inlineStr">
        <is>
          <t>逐鹿中原</t>
        </is>
      </c>
      <c r="C550" s="8" t="inlineStr">
        <is>
          <t>mission_chest_zhuolu_zhongyuan</t>
        </is>
      </c>
      <c r="D550" s="8" t="inlineStr">
        <is>
          <t>逐鹿中原宝箱</t>
        </is>
      </c>
      <c r="E550" s="8" t="inlineStr">
        <is>
          <t>上古王权</t>
        </is>
      </c>
      <c r="F550" s="8" t="inlineStr">
        <is>
          <t>equip_qilin</t>
        </is>
      </c>
      <c r="G550" s="8" t="inlineStr">
        <is>
          <t>麒麟</t>
        </is>
      </c>
      <c r="H550" s="8" t="inlineStr">
        <is>
          <t>orange</t>
        </is>
      </c>
      <c r="I550" s="8" t="inlineStr">
        <is>
          <t>equip_mount</t>
        </is>
      </c>
      <c r="J550" s="8" t="n">
        <v>0.15</v>
      </c>
      <c r="K550" s="8" t="n">
        <v>1</v>
      </c>
      <c r="L550" s="8" t="n">
        <v>7</v>
      </c>
      <c r="M550" s="8" t="n">
        <v>1</v>
      </c>
      <c r="N550" s="8" t="n">
        <v>1</v>
      </c>
      <c r="O550" s="8">
        <f>J550*K550/L550</f>
        <v>0.02142857142857143</v>
      </c>
      <c r="P550" s="8">
        <f>(M550+N550)/2</f>
        <v>1.0</v>
      </c>
      <c r="Q550" s="8">
        <f>O550*P550</f>
        <v>0.02142857142857143</v>
      </c>
      <c r="R550" s="8" t="n">
        <v>0</v>
      </c>
      <c r="S550" s="8">
        <f>Q550*R550</f>
        <v>0.0</v>
      </c>
      <c r="T550" s="8" t="n"/>
      <c r="U550" s="8" t="inlineStr"/>
      <c r="V550" s="8" t="inlineStr">
        <is>
          <t>data/item_templates.yaml:mission_chest_zhuolu_zhongyuan.effect_payload</t>
        </is>
      </c>
    </row>
    <row r="551" ht="36" customHeight="1">
      <c r="A551" s="8" t="inlineStr">
        <is>
          <t>zhuolu_zhongyuan</t>
        </is>
      </c>
      <c r="B551" s="8" t="inlineStr">
        <is>
          <t>逐鹿中原</t>
        </is>
      </c>
      <c r="C551" s="8" t="inlineStr">
        <is>
          <t>mission_chest_zhuolu_zhongyuan</t>
        </is>
      </c>
      <c r="D551" s="8" t="inlineStr">
        <is>
          <t>逐鹿中原宝箱</t>
        </is>
      </c>
      <c r="E551" s="8" t="inlineStr">
        <is>
          <t>上古王权</t>
        </is>
      </c>
      <c r="F551" s="8" t="inlineStr">
        <is>
          <t>equip_qingluan</t>
        </is>
      </c>
      <c r="G551" s="8" t="inlineStr">
        <is>
          <t>青鸾</t>
        </is>
      </c>
      <c r="H551" s="8" t="inlineStr">
        <is>
          <t>orange</t>
        </is>
      </c>
      <c r="I551" s="8" t="inlineStr">
        <is>
          <t>equip_mount</t>
        </is>
      </c>
      <c r="J551" s="8" t="n">
        <v>0.15</v>
      </c>
      <c r="K551" s="8" t="n">
        <v>1</v>
      </c>
      <c r="L551" s="8" t="n">
        <v>7</v>
      </c>
      <c r="M551" s="8" t="n">
        <v>1</v>
      </c>
      <c r="N551" s="8" t="n">
        <v>1</v>
      </c>
      <c r="O551" s="8">
        <f>J551*K551/L551</f>
        <v>0.02142857142857143</v>
      </c>
      <c r="P551" s="8">
        <f>(M551+N551)/2</f>
        <v>1.0</v>
      </c>
      <c r="Q551" s="8">
        <f>O551*P551</f>
        <v>0.02142857142857143</v>
      </c>
      <c r="R551" s="8" t="n">
        <v>0</v>
      </c>
      <c r="S551" s="8">
        <f>Q551*R551</f>
        <v>0.0</v>
      </c>
      <c r="T551" s="8" t="n"/>
      <c r="U551" s="8" t="inlineStr"/>
      <c r="V551" s="8" t="inlineStr">
        <is>
          <t>data/item_templates.yaml:mission_chest_zhuolu_zhongyuan.effect_payload</t>
        </is>
      </c>
    </row>
    <row r="552" ht="36" customHeight="1">
      <c r="A552" s="8" t="inlineStr">
        <is>
          <t>zhuolu_zhongyuan</t>
        </is>
      </c>
      <c r="B552" s="8" t="inlineStr">
        <is>
          <t>逐鹿中原</t>
        </is>
      </c>
      <c r="C552" s="8" t="inlineStr">
        <is>
          <t>mission_chest_zhuolu_zhongyuan</t>
        </is>
      </c>
      <c r="D552" s="8" t="inlineStr">
        <is>
          <t>逐鹿中原宝箱</t>
        </is>
      </c>
      <c r="E552" s="8" t="inlineStr">
        <is>
          <t>随飞鸢图纸附带（同次命中）</t>
        </is>
      </c>
      <c r="F552" s="8" t="inlineStr">
        <is>
          <t>tong</t>
        </is>
      </c>
      <c r="G552" s="8" t="inlineStr">
        <is>
          <t>铜</t>
        </is>
      </c>
      <c r="H552" s="8" t="inlineStr">
        <is>
          <t>black</t>
        </is>
      </c>
      <c r="I552" s="8" t="inlineStr">
        <is>
          <t>resource</t>
        </is>
      </c>
      <c r="J552" s="8" t="n">
        <v>0.02</v>
      </c>
      <c r="K552" s="8" t="n">
        <v>1</v>
      </c>
      <c r="L552" s="8" t="n">
        <v>1</v>
      </c>
      <c r="M552" s="8" t="n">
        <v>50</v>
      </c>
      <c r="N552" s="8" t="n">
        <v>50</v>
      </c>
      <c r="O552" s="8">
        <f>J552*K552/L552</f>
        <v>0.02</v>
      </c>
      <c r="P552" s="8">
        <f>(M552+N552)/2</f>
        <v>50.0</v>
      </c>
      <c r="Q552" s="8">
        <f>O552*P552</f>
        <v>1.0</v>
      </c>
      <c r="R552" s="8" t="n">
        <v>0</v>
      </c>
      <c r="S552" s="8">
        <f>Q552*R552</f>
        <v>0.0</v>
      </c>
      <c r="T552" s="8" t="n"/>
      <c r="U552" s="8" t="inlineStr"/>
      <c r="V552" s="8" t="inlineStr">
        <is>
          <t>data/item_templates.yaml:mission_chest_zhuolu_zhongyuan.effect_payload</t>
        </is>
      </c>
    </row>
    <row r="553" ht="36" customHeight="1">
      <c r="A553" s="8" t="inlineStr">
        <is>
          <t>zhuolu_zhongyuan</t>
        </is>
      </c>
      <c r="B553" s="8" t="inlineStr">
        <is>
          <t>逐鹿中原</t>
        </is>
      </c>
      <c r="C553" s="8" t="inlineStr">
        <is>
          <t>mission_chest_zhuolu_zhongyuan</t>
        </is>
      </c>
      <c r="D553" s="8" t="inlineStr">
        <is>
          <t>逐鹿中原宝箱</t>
        </is>
      </c>
      <c r="E553" s="8" t="inlineStr">
        <is>
          <t>随飞鸢图纸附带（同次命中）</t>
        </is>
      </c>
      <c r="F553" s="8" t="inlineStr">
        <is>
          <t>xi</t>
        </is>
      </c>
      <c r="G553" s="8" t="inlineStr">
        <is>
          <t>锡</t>
        </is>
      </c>
      <c r="H553" s="8" t="inlineStr">
        <is>
          <t>black</t>
        </is>
      </c>
      <c r="I553" s="8" t="inlineStr">
        <is>
          <t>resource</t>
        </is>
      </c>
      <c r="J553" s="8" t="n">
        <v>0.02</v>
      </c>
      <c r="K553" s="8" t="n">
        <v>1</v>
      </c>
      <c r="L553" s="8" t="n">
        <v>1</v>
      </c>
      <c r="M553" s="8" t="n">
        <v>34</v>
      </c>
      <c r="N553" s="8" t="n">
        <v>34</v>
      </c>
      <c r="O553" s="8">
        <f>J553*K553/L553</f>
        <v>0.02</v>
      </c>
      <c r="P553" s="8">
        <f>(M553+N553)/2</f>
        <v>34.0</v>
      </c>
      <c r="Q553" s="8">
        <f>O553*P553</f>
        <v>0.68</v>
      </c>
      <c r="R553" s="8" t="n">
        <v>0</v>
      </c>
      <c r="S553" s="8">
        <f>Q553*R553</f>
        <v>0.0</v>
      </c>
      <c r="T553" s="8" t="n"/>
      <c r="U553" s="8" t="inlineStr"/>
      <c r="V553" s="8" t="inlineStr">
        <is>
          <t>data/item_templates.yaml:mission_chest_zhuolu_zhongyuan.effect_payload</t>
        </is>
      </c>
    </row>
    <row r="554" ht="36" customHeight="1">
      <c r="A554" s="8" t="inlineStr">
        <is>
          <t>zhuolu_zhongyuan</t>
        </is>
      </c>
      <c r="B554" s="8" t="inlineStr">
        <is>
          <t>逐鹿中原</t>
        </is>
      </c>
      <c r="C554" s="8" t="inlineStr">
        <is>
          <t>mission_chest_zhuolu_zhongyuan</t>
        </is>
      </c>
      <c r="D554" s="8" t="inlineStr">
        <is>
          <t>逐鹿中原宝箱</t>
        </is>
      </c>
      <c r="E554" s="8" t="inlineStr">
        <is>
          <t>随飞鸢图纸附带（同次命中）</t>
        </is>
      </c>
      <c r="F554" s="8" t="inlineStr">
        <is>
          <t>tie</t>
        </is>
      </c>
      <c r="G554" s="8" t="inlineStr">
        <is>
          <t>铁</t>
        </is>
      </c>
      <c r="H554" s="8" t="inlineStr">
        <is>
          <t>black</t>
        </is>
      </c>
      <c r="I554" s="8" t="inlineStr">
        <is>
          <t>resource</t>
        </is>
      </c>
      <c r="J554" s="8" t="n">
        <v>0.02</v>
      </c>
      <c r="K554" s="8" t="n">
        <v>1</v>
      </c>
      <c r="L554" s="8" t="n">
        <v>1</v>
      </c>
      <c r="M554" s="8" t="n">
        <v>26</v>
      </c>
      <c r="N554" s="8" t="n">
        <v>26</v>
      </c>
      <c r="O554" s="8">
        <f>J554*K554/L554</f>
        <v>0.02</v>
      </c>
      <c r="P554" s="8">
        <f>(M554+N554)/2</f>
        <v>26.0</v>
      </c>
      <c r="Q554" s="8">
        <f>O554*P554</f>
        <v>0.52</v>
      </c>
      <c r="R554" s="8" t="n">
        <v>0</v>
      </c>
      <c r="S554" s="8">
        <f>Q554*R554</f>
        <v>0.0</v>
      </c>
      <c r="T554" s="8" t="n"/>
      <c r="U554" s="8" t="inlineStr"/>
      <c r="V554" s="8" t="inlineStr">
        <is>
          <t>data/item_templates.yaml:mission_chest_zhuolu_zhongyuan.effect_payload</t>
        </is>
      </c>
    </row>
    <row r="555" ht="36" customHeight="1">
      <c r="A555" s="8" t="inlineStr">
        <is>
          <t>zhuolu_zhongyuan</t>
        </is>
      </c>
      <c r="B555" s="8" t="inlineStr">
        <is>
          <t>逐鹿中原</t>
        </is>
      </c>
      <c r="C555" s="8" t="inlineStr">
        <is>
          <t>mission_chest_zhuolu_zhongyuan</t>
        </is>
      </c>
      <c r="D555" s="8" t="inlineStr">
        <is>
          <t>逐鹿中原宝箱</t>
        </is>
      </c>
      <c r="E555" s="8" t="inlineStr">
        <is>
          <t>随飞鸢图纸附带（同次命中）</t>
        </is>
      </c>
      <c r="F555" s="8" t="inlineStr">
        <is>
          <t>xuan_tie_essence</t>
        </is>
      </c>
      <c r="G555" s="8" t="inlineStr">
        <is>
          <t>玄铁精华</t>
        </is>
      </c>
      <c r="H555" s="8" t="inlineStr">
        <is>
          <t>blue</t>
        </is>
      </c>
      <c r="I555" s="8" t="inlineStr">
        <is>
          <t>resource</t>
        </is>
      </c>
      <c r="J555" s="8" t="n">
        <v>0.02</v>
      </c>
      <c r="K555" s="8" t="n">
        <v>1</v>
      </c>
      <c r="L555" s="8" t="n">
        <v>1</v>
      </c>
      <c r="M555" s="8" t="n">
        <v>2</v>
      </c>
      <c r="N555" s="8" t="n">
        <v>2</v>
      </c>
      <c r="O555" s="8">
        <f>J555*K555/L555</f>
        <v>0.02</v>
      </c>
      <c r="P555" s="8">
        <f>(M555+N555)/2</f>
        <v>2.0</v>
      </c>
      <c r="Q555" s="8">
        <f>O555*P555</f>
        <v>0.04</v>
      </c>
      <c r="R555" s="8" t="n">
        <v>0</v>
      </c>
      <c r="S555" s="8">
        <f>Q555*R555</f>
        <v>0.0</v>
      </c>
      <c r="T555" s="8" t="n"/>
      <c r="U555" s="8" t="inlineStr"/>
      <c r="V555" s="8" t="inlineStr">
        <is>
          <t>data/item_templates.yaml:mission_chest_zhuolu_zhongyuan.effect_payload</t>
        </is>
      </c>
    </row>
    <row r="556" ht="36" customHeight="1">
      <c r="A556" s="8" t="inlineStr">
        <is>
          <t>zhuolu_zhongyuan</t>
        </is>
      </c>
      <c r="B556" s="8" t="inlineStr">
        <is>
          <t>逐鹿中原</t>
        </is>
      </c>
      <c r="C556" s="8" t="inlineStr">
        <is>
          <t>mission_chest_zhuolu_zhongyuan</t>
        </is>
      </c>
      <c r="D556" s="8" t="inlineStr">
        <is>
          <t>逐鹿中原宝箱</t>
        </is>
      </c>
      <c r="E556" s="8" t="inlineStr">
        <is>
          <t>随飞鸢图纸附带（同次命中）</t>
        </is>
      </c>
      <c r="F556" s="8" t="inlineStr">
        <is>
          <t>zitanmu</t>
        </is>
      </c>
      <c r="G556" s="8" t="inlineStr">
        <is>
          <t>紫檀木</t>
        </is>
      </c>
      <c r="H556" s="8" t="inlineStr">
        <is>
          <t>green</t>
        </is>
      </c>
      <c r="I556" s="8" t="inlineStr">
        <is>
          <t>resource</t>
        </is>
      </c>
      <c r="J556" s="8" t="n">
        <v>0.02</v>
      </c>
      <c r="K556" s="8" t="n">
        <v>1</v>
      </c>
      <c r="L556" s="8" t="n">
        <v>1</v>
      </c>
      <c r="M556" s="8" t="n">
        <v>8</v>
      </c>
      <c r="N556" s="8" t="n">
        <v>8</v>
      </c>
      <c r="O556" s="8">
        <f>J556*K556/L556</f>
        <v>0.02</v>
      </c>
      <c r="P556" s="8">
        <f>(M556+N556)/2</f>
        <v>8.0</v>
      </c>
      <c r="Q556" s="8">
        <f>O556*P556</f>
        <v>0.16</v>
      </c>
      <c r="R556" s="8" t="n">
        <v>0</v>
      </c>
      <c r="S556" s="8">
        <f>Q556*R556</f>
        <v>0.0</v>
      </c>
      <c r="T556" s="8" t="n"/>
      <c r="U556" s="8" t="inlineStr"/>
      <c r="V556" s="8" t="inlineStr">
        <is>
          <t>data/item_templates.yaml:mission_chest_zhuolu_zhongyuan.effect_payload</t>
        </is>
      </c>
    </row>
    <row r="557" ht="36" customHeight="1">
      <c r="A557" s="8" t="inlineStr">
        <is>
          <t>zhuolu_zhongyuan</t>
        </is>
      </c>
      <c r="B557" s="8" t="inlineStr">
        <is>
          <t>逐鹿中原</t>
        </is>
      </c>
      <c r="C557" s="8" t="inlineStr">
        <is>
          <t>mission_chest_zhuolu_zhongyuan</t>
        </is>
      </c>
      <c r="D557" s="8" t="inlineStr">
        <is>
          <t>逐鹿中原宝箱</t>
        </is>
      </c>
      <c r="E557" s="8" t="inlineStr">
        <is>
          <t>随飞鸢图纸附带（同次命中）</t>
        </is>
      </c>
      <c r="F557" s="8" t="inlineStr">
        <is>
          <t>shuiqumu</t>
        </is>
      </c>
      <c r="G557" s="8" t="inlineStr">
        <is>
          <t>水曲木</t>
        </is>
      </c>
      <c r="H557" s="8" t="inlineStr">
        <is>
          <t>black</t>
        </is>
      </c>
      <c r="I557" s="8" t="inlineStr">
        <is>
          <t>resource</t>
        </is>
      </c>
      <c r="J557" s="8" t="n">
        <v>0.02</v>
      </c>
      <c r="K557" s="8" t="n">
        <v>1</v>
      </c>
      <c r="L557" s="8" t="n">
        <v>1</v>
      </c>
      <c r="M557" s="8" t="n">
        <v>11</v>
      </c>
      <c r="N557" s="8" t="n">
        <v>11</v>
      </c>
      <c r="O557" s="8">
        <f>J557*K557/L557</f>
        <v>0.02</v>
      </c>
      <c r="P557" s="8">
        <f>(M557+N557)/2</f>
        <v>11.0</v>
      </c>
      <c r="Q557" s="8">
        <f>O557*P557</f>
        <v>0.22</v>
      </c>
      <c r="R557" s="8" t="n">
        <v>0</v>
      </c>
      <c r="S557" s="8">
        <f>Q557*R557</f>
        <v>0.0</v>
      </c>
      <c r="T557" s="8" t="n"/>
      <c r="U557" s="8" t="inlineStr"/>
      <c r="V557" s="8" t="inlineStr">
        <is>
          <t>data/item_templates.yaml:mission_chest_zhuolu_zhongyuan.effect_payload</t>
        </is>
      </c>
    </row>
    <row r="558" ht="36" customHeight="1">
      <c r="A558" s="8" t="inlineStr">
        <is>
          <t>zhuolu_zhongyuan</t>
        </is>
      </c>
      <c r="B558" s="8" t="inlineStr">
        <is>
          <t>逐鹿中原</t>
        </is>
      </c>
      <c r="C558" s="8" t="inlineStr">
        <is>
          <t>mission_chest_zhuolu_zhongyuan</t>
        </is>
      </c>
      <c r="D558" s="8" t="inlineStr">
        <is>
          <t>逐鹿中原宝箱</t>
        </is>
      </c>
      <c r="E558" s="8" t="inlineStr">
        <is>
          <t>随飞鸢图纸附带（同次命中）</t>
        </is>
      </c>
      <c r="F558" s="8" t="inlineStr">
        <is>
          <t>tiemu</t>
        </is>
      </c>
      <c r="G558" s="8" t="inlineStr">
        <is>
          <t>铁木</t>
        </is>
      </c>
      <c r="H558" s="8" t="inlineStr">
        <is>
          <t>green</t>
        </is>
      </c>
      <c r="I558" s="8" t="inlineStr">
        <is>
          <t>resource</t>
        </is>
      </c>
      <c r="J558" s="8" t="n">
        <v>0.02</v>
      </c>
      <c r="K558" s="8" t="n">
        <v>1</v>
      </c>
      <c r="L558" s="8" t="n">
        <v>1</v>
      </c>
      <c r="M558" s="8" t="n">
        <v>7</v>
      </c>
      <c r="N558" s="8" t="n">
        <v>7</v>
      </c>
      <c r="O558" s="8">
        <f>J558*K558/L558</f>
        <v>0.02</v>
      </c>
      <c r="P558" s="8">
        <f>(M558+N558)/2</f>
        <v>7.0</v>
      </c>
      <c r="Q558" s="8">
        <f>O558*P558</f>
        <v>0.14</v>
      </c>
      <c r="R558" s="8" t="n">
        <v>0</v>
      </c>
      <c r="S558" s="8">
        <f>Q558*R558</f>
        <v>0.0</v>
      </c>
      <c r="T558" s="8" t="n"/>
      <c r="U558" s="8" t="inlineStr"/>
      <c r="V558" s="8" t="inlineStr">
        <is>
          <t>data/item_templates.yaml:mission_chest_zhuolu_zhongyuan.effect_payload</t>
        </is>
      </c>
    </row>
    <row r="559" ht="36" customHeight="1">
      <c r="A559" s="8" t="inlineStr">
        <is>
          <t>zhuolu_zhongyuan</t>
        </is>
      </c>
      <c r="B559" s="8" t="inlineStr">
        <is>
          <t>逐鹿中原</t>
        </is>
      </c>
      <c r="C559" s="8" t="inlineStr">
        <is>
          <t>mission_chest_zhuolu_zhongyuan</t>
        </is>
      </c>
      <c r="D559" s="8" t="inlineStr">
        <is>
          <t>逐鹿中原宝箱</t>
        </is>
      </c>
      <c r="E559" s="8" t="inlineStr">
        <is>
          <t>随飞鸢图纸附带（同次命中）</t>
        </is>
      </c>
      <c r="F559" s="8" t="inlineStr">
        <is>
          <t>heiyuanshi</t>
        </is>
      </c>
      <c r="G559" s="8" t="inlineStr">
        <is>
          <t>黑原石</t>
        </is>
      </c>
      <c r="H559" s="8" t="inlineStr">
        <is>
          <t>green</t>
        </is>
      </c>
      <c r="I559" s="8" t="inlineStr">
        <is>
          <t>resource</t>
        </is>
      </c>
      <c r="J559" s="8" t="n">
        <v>0.02</v>
      </c>
      <c r="K559" s="8" t="n">
        <v>1</v>
      </c>
      <c r="L559" s="8" t="n">
        <v>1</v>
      </c>
      <c r="M559" s="8" t="n">
        <v>6</v>
      </c>
      <c r="N559" s="8" t="n">
        <v>6</v>
      </c>
      <c r="O559" s="8">
        <f>J559*K559/L559</f>
        <v>0.02</v>
      </c>
      <c r="P559" s="8">
        <f>(M559+N559)/2</f>
        <v>6.0</v>
      </c>
      <c r="Q559" s="8">
        <f>O559*P559</f>
        <v>0.12</v>
      </c>
      <c r="R559" s="8" t="n">
        <v>0</v>
      </c>
      <c r="S559" s="8">
        <f>Q559*R559</f>
        <v>0.0</v>
      </c>
      <c r="T559" s="8" t="n"/>
      <c r="U559" s="8" t="inlineStr"/>
      <c r="V559" s="8" t="inlineStr">
        <is>
          <t>data/item_templates.yaml:mission_chest_zhuolu_zhongyuan.effect_payload</t>
        </is>
      </c>
    </row>
    <row r="560" ht="36" customHeight="1">
      <c r="A560" s="8" t="inlineStr">
        <is>
          <t>zhuolu_zhongyuan</t>
        </is>
      </c>
      <c r="B560" s="8" t="inlineStr">
        <is>
          <t>逐鹿中原</t>
        </is>
      </c>
      <c r="C560" s="8" t="inlineStr">
        <is>
          <t>mission_chest_zhuolu_zhongyuan</t>
        </is>
      </c>
      <c r="D560" s="8" t="inlineStr">
        <is>
          <t>逐鹿中原宝箱</t>
        </is>
      </c>
      <c r="E560" s="8" t="inlineStr">
        <is>
          <t>随飞鸢图纸附带（同次命中）</t>
        </is>
      </c>
      <c r="F560" s="8" t="inlineStr">
        <is>
          <t>jingangmei</t>
        </is>
      </c>
      <c r="G560" s="8" t="inlineStr">
        <is>
          <t>金刚煤</t>
        </is>
      </c>
      <c r="H560" s="8" t="inlineStr">
        <is>
          <t>green</t>
        </is>
      </c>
      <c r="I560" s="8" t="inlineStr">
        <is>
          <t>resource</t>
        </is>
      </c>
      <c r="J560" s="8" t="n">
        <v>0.02</v>
      </c>
      <c r="K560" s="8" t="n">
        <v>1</v>
      </c>
      <c r="L560" s="8" t="n">
        <v>1</v>
      </c>
      <c r="M560" s="8" t="n">
        <v>6</v>
      </c>
      <c r="N560" s="8" t="n">
        <v>6</v>
      </c>
      <c r="O560" s="8">
        <f>J560*K560/L560</f>
        <v>0.02</v>
      </c>
      <c r="P560" s="8">
        <f>(M560+N560)/2</f>
        <v>6.0</v>
      </c>
      <c r="Q560" s="8">
        <f>O560*P560</f>
        <v>0.12</v>
      </c>
      <c r="R560" s="8" t="n">
        <v>0</v>
      </c>
      <c r="S560" s="8">
        <f>Q560*R560</f>
        <v>0.0</v>
      </c>
      <c r="T560" s="8" t="n"/>
      <c r="U560" s="8" t="inlineStr"/>
      <c r="V560" s="8" t="inlineStr">
        <is>
          <t>data/item_templates.yaml:mission_chest_zhuolu_zhongyuan.effect_payload</t>
        </is>
      </c>
    </row>
    <row r="561" ht="36" customHeight="1">
      <c r="A561" s="8" t="inlineStr">
        <is>
          <t>zhuolu_zhongyuan</t>
        </is>
      </c>
      <c r="B561" s="8" t="inlineStr">
        <is>
          <t>逐鹿中原</t>
        </is>
      </c>
      <c r="C561" s="8" t="inlineStr">
        <is>
          <t>mission_chest_zhuolu_zhongyuan</t>
        </is>
      </c>
      <c r="D561" s="8" t="inlineStr">
        <is>
          <t>逐鹿中原宝箱</t>
        </is>
      </c>
      <c r="E561" s="8" t="inlineStr">
        <is>
          <t>随飞鸢图纸附带（同次命中）</t>
        </is>
      </c>
      <c r="F561" s="8" t="inlineStr">
        <is>
          <t>paozi</t>
        </is>
      </c>
      <c r="G561" s="8" t="inlineStr">
        <is>
          <t>刨子</t>
        </is>
      </c>
      <c r="H561" s="8" t="inlineStr">
        <is>
          <t>black</t>
        </is>
      </c>
      <c r="I561" s="8" t="inlineStr">
        <is>
          <t>resource</t>
        </is>
      </c>
      <c r="J561" s="8" t="n">
        <v>0.02</v>
      </c>
      <c r="K561" s="8" t="n">
        <v>1</v>
      </c>
      <c r="L561" s="8" t="n">
        <v>1</v>
      </c>
      <c r="M561" s="8" t="n">
        <v>7</v>
      </c>
      <c r="N561" s="8" t="n">
        <v>7</v>
      </c>
      <c r="O561" s="8">
        <f>J561*K561/L561</f>
        <v>0.02</v>
      </c>
      <c r="P561" s="8">
        <f>(M561+N561)/2</f>
        <v>7.0</v>
      </c>
      <c r="Q561" s="8">
        <f>O561*P561</f>
        <v>0.14</v>
      </c>
      <c r="R561" s="8" t="n">
        <v>0</v>
      </c>
      <c r="S561" s="8">
        <f>Q561*R561</f>
        <v>0.0</v>
      </c>
      <c r="T561" s="8" t="n"/>
      <c r="U561" s="8" t="inlineStr"/>
      <c r="V561" s="8" t="inlineStr">
        <is>
          <t>data/item_templates.yaml:mission_chest_zhuolu_zhongyuan.effect_payload</t>
        </is>
      </c>
    </row>
    <row r="562" ht="36" customHeight="1">
      <c r="A562" s="8" t="inlineStr">
        <is>
          <t>zhuolu_zhongyuan</t>
        </is>
      </c>
      <c r="B562" s="8" t="inlineStr">
        <is>
          <t>逐鹿中原</t>
        </is>
      </c>
      <c r="C562" s="8" t="inlineStr">
        <is>
          <t>mission_chest_zhuolu_zhongyuan</t>
        </is>
      </c>
      <c r="D562" s="8" t="inlineStr">
        <is>
          <t>逐鹿中原宝箱</t>
        </is>
      </c>
      <c r="E562" s="8" t="inlineStr">
        <is>
          <t>随飞鸢图纸附带（同次命中）</t>
        </is>
      </c>
      <c r="F562" s="8" t="inlineStr">
        <is>
          <t>zaozi</t>
        </is>
      </c>
      <c r="G562" s="8" t="inlineStr">
        <is>
          <t>凿子</t>
        </is>
      </c>
      <c r="H562" s="8" t="inlineStr">
        <is>
          <t>black</t>
        </is>
      </c>
      <c r="I562" s="8" t="inlineStr">
        <is>
          <t>resource</t>
        </is>
      </c>
      <c r="J562" s="8" t="n">
        <v>0.02</v>
      </c>
      <c r="K562" s="8" t="n">
        <v>1</v>
      </c>
      <c r="L562" s="8" t="n">
        <v>1</v>
      </c>
      <c r="M562" s="8" t="n">
        <v>4</v>
      </c>
      <c r="N562" s="8" t="n">
        <v>4</v>
      </c>
      <c r="O562" s="8">
        <f>J562*K562/L562</f>
        <v>0.02</v>
      </c>
      <c r="P562" s="8">
        <f>(M562+N562)/2</f>
        <v>4.0</v>
      </c>
      <c r="Q562" s="8">
        <f>O562*P562</f>
        <v>0.08</v>
      </c>
      <c r="R562" s="8" t="n">
        <v>0</v>
      </c>
      <c r="S562" s="8">
        <f>Q562*R562</f>
        <v>0.0</v>
      </c>
      <c r="T562" s="8" t="n"/>
      <c r="U562" s="8" t="inlineStr"/>
      <c r="V562" s="8" t="inlineStr">
        <is>
          <t>data/item_templates.yaml:mission_chest_zhuolu_zhongyuan.effect_payload</t>
        </is>
      </c>
    </row>
    <row r="563" ht="36" customHeight="1">
      <c r="A563" s="8" t="inlineStr">
        <is>
          <t>zhuolu_zhongyuan</t>
        </is>
      </c>
      <c r="B563" s="8" t="inlineStr">
        <is>
          <t>逐鹿中原</t>
        </is>
      </c>
      <c r="C563" s="8" t="inlineStr">
        <is>
          <t>mission_chest_zhuolu_zhongyuan</t>
        </is>
      </c>
      <c r="D563" s="8" t="inlineStr">
        <is>
          <t>逐鹿中原宝箱</t>
        </is>
      </c>
      <c r="E563" s="8" t="inlineStr">
        <is>
          <t>随飞鸢图纸附带（同次命中）</t>
        </is>
      </c>
      <c r="F563" s="8" t="inlineStr">
        <is>
          <t>gaolu</t>
        </is>
      </c>
      <c r="G563" s="8" t="inlineStr">
        <is>
          <t>高炉</t>
        </is>
      </c>
      <c r="H563" s="8" t="inlineStr">
        <is>
          <t>blue</t>
        </is>
      </c>
      <c r="I563" s="8" t="inlineStr">
        <is>
          <t>resource</t>
        </is>
      </c>
      <c r="J563" s="8" t="n">
        <v>0.02</v>
      </c>
      <c r="K563" s="8" t="n">
        <v>1</v>
      </c>
      <c r="L563" s="8" t="n">
        <v>1</v>
      </c>
      <c r="M563" s="8" t="n">
        <v>3</v>
      </c>
      <c r="N563" s="8" t="n">
        <v>3</v>
      </c>
      <c r="O563" s="8">
        <f>J563*K563/L563</f>
        <v>0.02</v>
      </c>
      <c r="P563" s="8">
        <f>(M563+N563)/2</f>
        <v>3.0</v>
      </c>
      <c r="Q563" s="8">
        <f>O563*P563</f>
        <v>0.06</v>
      </c>
      <c r="R563" s="8" t="n">
        <v>0</v>
      </c>
      <c r="S563" s="8">
        <f>Q563*R563</f>
        <v>0.0</v>
      </c>
      <c r="T563" s="8" t="n"/>
      <c r="U563" s="8" t="inlineStr"/>
      <c r="V563" s="8" t="inlineStr">
        <is>
          <t>data/item_templates.yaml:mission_chest_zhuolu_zhongyuan.effect_payload</t>
        </is>
      </c>
    </row>
    <row r="564" ht="36" customHeight="1">
      <c r="A564" s="8" t="inlineStr">
        <is>
          <t>zhuolu_zhongyuan</t>
        </is>
      </c>
      <c r="B564" s="8" t="inlineStr">
        <is>
          <t>逐鹿中原</t>
        </is>
      </c>
      <c r="C564" s="8" t="inlineStr">
        <is>
          <t>mission_chest_zhuolu_zhongyuan</t>
        </is>
      </c>
      <c r="D564" s="8" t="inlineStr">
        <is>
          <t>逐鹿中原宝箱</t>
        </is>
      </c>
      <c r="E564" s="8" t="inlineStr">
        <is>
          <t>随飞鸢图纸附带（同次命中）</t>
        </is>
      </c>
      <c r="F564" s="8" t="inlineStr">
        <is>
          <t>air_stone</t>
        </is>
      </c>
      <c r="G564" s="8" t="inlineStr">
        <is>
          <t>空气之石</t>
        </is>
      </c>
      <c r="H564" s="8" t="inlineStr">
        <is>
          <t>blue</t>
        </is>
      </c>
      <c r="I564" s="8" t="inlineStr">
        <is>
          <t>resource</t>
        </is>
      </c>
      <c r="J564" s="8" t="n">
        <v>0.02</v>
      </c>
      <c r="K564" s="8" t="n">
        <v>1</v>
      </c>
      <c r="L564" s="8" t="n">
        <v>1</v>
      </c>
      <c r="M564" s="8" t="n">
        <v>2</v>
      </c>
      <c r="N564" s="8" t="n">
        <v>2</v>
      </c>
      <c r="O564" s="8">
        <f>J564*K564/L564</f>
        <v>0.02</v>
      </c>
      <c r="P564" s="8">
        <f>(M564+N564)/2</f>
        <v>2.0</v>
      </c>
      <c r="Q564" s="8">
        <f>O564*P564</f>
        <v>0.04</v>
      </c>
      <c r="R564" s="8" t="n">
        <v>0</v>
      </c>
      <c r="S564" s="8">
        <f>Q564*R564</f>
        <v>0.0</v>
      </c>
      <c r="T564" s="8" t="n"/>
      <c r="U564" s="8" t="inlineStr"/>
      <c r="V564" s="8" t="inlineStr">
        <is>
          <t>data/item_templates.yaml:mission_chest_zhuolu_zhongyuan.effect_payload</t>
        </is>
      </c>
    </row>
    <row r="565" ht="36" customHeight="1">
      <c r="A565" s="8" t="inlineStr">
        <is>
          <t>zhuolu_zhongyuan</t>
        </is>
      </c>
      <c r="B565" s="8" t="inlineStr">
        <is>
          <t>逐鹿中原</t>
        </is>
      </c>
      <c r="C565" s="8" t="inlineStr">
        <is>
          <t>mission_chest_zhuolu_zhongyuan</t>
        </is>
      </c>
      <c r="D565" s="8" t="inlineStr">
        <is>
          <t>逐鹿中原宝箱</t>
        </is>
      </c>
      <c r="E565" s="8" t="inlineStr">
        <is>
          <t>随飞鸢图纸附带（同次命中）</t>
        </is>
      </c>
      <c r="F565" s="8" t="inlineStr">
        <is>
          <t>fire_stone</t>
        </is>
      </c>
      <c r="G565" s="8" t="inlineStr">
        <is>
          <t>火焰之石</t>
        </is>
      </c>
      <c r="H565" s="8" t="inlineStr">
        <is>
          <t>blue</t>
        </is>
      </c>
      <c r="I565" s="8" t="inlineStr">
        <is>
          <t>resource</t>
        </is>
      </c>
      <c r="J565" s="8" t="n">
        <v>0.02</v>
      </c>
      <c r="K565" s="8" t="n">
        <v>1</v>
      </c>
      <c r="L565" s="8" t="n">
        <v>1</v>
      </c>
      <c r="M565" s="8" t="n">
        <v>1</v>
      </c>
      <c r="N565" s="8" t="n">
        <v>1</v>
      </c>
      <c r="O565" s="8">
        <f>J565*K565/L565</f>
        <v>0.02</v>
      </c>
      <c r="P565" s="8">
        <f>(M565+N565)/2</f>
        <v>1.0</v>
      </c>
      <c r="Q565" s="8">
        <f>O565*P565</f>
        <v>0.02</v>
      </c>
      <c r="R565" s="8" t="n">
        <v>0</v>
      </c>
      <c r="S565" s="8">
        <f>Q565*R565</f>
        <v>0.0</v>
      </c>
      <c r="T565" s="8" t="n"/>
      <c r="U565" s="8" t="inlineStr"/>
      <c r="V565" s="8" t="inlineStr">
        <is>
          <t>data/item_templates.yaml:mission_chest_zhuolu_zhongyuan.effect_payload</t>
        </is>
      </c>
    </row>
    <row r="566" ht="36" customHeight="1">
      <c r="A566" s="8" t="inlineStr">
        <is>
          <t>zhuolu_zhongyuan</t>
        </is>
      </c>
      <c r="B566" s="8" t="inlineStr">
        <is>
          <t>逐鹿中原</t>
        </is>
      </c>
      <c r="C566" s="8" t="inlineStr">
        <is>
          <t>mission_chest_zhuolu_zhongyuan</t>
        </is>
      </c>
      <c r="D566" s="8" t="inlineStr">
        <is>
          <t>逐鹿中原宝箱</t>
        </is>
      </c>
      <c r="E566" s="8" t="inlineStr">
        <is>
          <t>随赤霄机凤图纸附带（同次命中）</t>
        </is>
      </c>
      <c r="F566" s="8" t="inlineStr">
        <is>
          <t>tong</t>
        </is>
      </c>
      <c r="G566" s="8" t="inlineStr">
        <is>
          <t>铜</t>
        </is>
      </c>
      <c r="H566" s="8" t="inlineStr">
        <is>
          <t>black</t>
        </is>
      </c>
      <c r="I566" s="8" t="inlineStr">
        <is>
          <t>resource</t>
        </is>
      </c>
      <c r="J566" s="8" t="n">
        <v>0.02</v>
      </c>
      <c r="K566" s="8" t="n">
        <v>1</v>
      </c>
      <c r="L566" s="8" t="n">
        <v>1</v>
      </c>
      <c r="M566" s="8" t="n">
        <v>53</v>
      </c>
      <c r="N566" s="8" t="n">
        <v>53</v>
      </c>
      <c r="O566" s="8">
        <f>J566*K566/L566</f>
        <v>0.02</v>
      </c>
      <c r="P566" s="8">
        <f>(M566+N566)/2</f>
        <v>53.0</v>
      </c>
      <c r="Q566" s="8">
        <f>O566*P566</f>
        <v>1.06</v>
      </c>
      <c r="R566" s="8" t="n">
        <v>0</v>
      </c>
      <c r="S566" s="8">
        <f>Q566*R566</f>
        <v>0.0</v>
      </c>
      <c r="T566" s="8" t="n"/>
      <c r="U566" s="8" t="inlineStr"/>
      <c r="V566" s="8" t="inlineStr">
        <is>
          <t>data/item_templates.yaml:mission_chest_zhuolu_zhongyuan.effect_payload</t>
        </is>
      </c>
    </row>
    <row r="567" ht="36" customHeight="1">
      <c r="A567" s="8" t="inlineStr">
        <is>
          <t>zhuolu_zhongyuan</t>
        </is>
      </c>
      <c r="B567" s="8" t="inlineStr">
        <is>
          <t>逐鹿中原</t>
        </is>
      </c>
      <c r="C567" s="8" t="inlineStr">
        <is>
          <t>mission_chest_zhuolu_zhongyuan</t>
        </is>
      </c>
      <c r="D567" s="8" t="inlineStr">
        <is>
          <t>逐鹿中原宝箱</t>
        </is>
      </c>
      <c r="E567" s="8" t="inlineStr">
        <is>
          <t>随赤霄机凤图纸附带（同次命中）</t>
        </is>
      </c>
      <c r="F567" s="8" t="inlineStr">
        <is>
          <t>xi</t>
        </is>
      </c>
      <c r="G567" s="8" t="inlineStr">
        <is>
          <t>锡</t>
        </is>
      </c>
      <c r="H567" s="8" t="inlineStr">
        <is>
          <t>black</t>
        </is>
      </c>
      <c r="I567" s="8" t="inlineStr">
        <is>
          <t>resource</t>
        </is>
      </c>
      <c r="J567" s="8" t="n">
        <v>0.02</v>
      </c>
      <c r="K567" s="8" t="n">
        <v>1</v>
      </c>
      <c r="L567" s="8" t="n">
        <v>1</v>
      </c>
      <c r="M567" s="8" t="n">
        <v>35</v>
      </c>
      <c r="N567" s="8" t="n">
        <v>35</v>
      </c>
      <c r="O567" s="8">
        <f>J567*K567/L567</f>
        <v>0.02</v>
      </c>
      <c r="P567" s="8">
        <f>(M567+N567)/2</f>
        <v>35.0</v>
      </c>
      <c r="Q567" s="8">
        <f>O567*P567</f>
        <v>0.7000000000000001</v>
      </c>
      <c r="R567" s="8" t="n">
        <v>0</v>
      </c>
      <c r="S567" s="8">
        <f>Q567*R567</f>
        <v>0.0</v>
      </c>
      <c r="T567" s="8" t="n"/>
      <c r="U567" s="8" t="inlineStr"/>
      <c r="V567" s="8" t="inlineStr">
        <is>
          <t>data/item_templates.yaml:mission_chest_zhuolu_zhongyuan.effect_payload</t>
        </is>
      </c>
    </row>
    <row r="568" ht="36" customHeight="1">
      <c r="A568" s="8" t="inlineStr">
        <is>
          <t>zhuolu_zhongyuan</t>
        </is>
      </c>
      <c r="B568" s="8" t="inlineStr">
        <is>
          <t>逐鹿中原</t>
        </is>
      </c>
      <c r="C568" s="8" t="inlineStr">
        <is>
          <t>mission_chest_zhuolu_zhongyuan</t>
        </is>
      </c>
      <c r="D568" s="8" t="inlineStr">
        <is>
          <t>逐鹿中原宝箱</t>
        </is>
      </c>
      <c r="E568" s="8" t="inlineStr">
        <is>
          <t>随赤霄机凤图纸附带（同次命中）</t>
        </is>
      </c>
      <c r="F568" s="8" t="inlineStr">
        <is>
          <t>tie</t>
        </is>
      </c>
      <c r="G568" s="8" t="inlineStr">
        <is>
          <t>铁</t>
        </is>
      </c>
      <c r="H568" s="8" t="inlineStr">
        <is>
          <t>black</t>
        </is>
      </c>
      <c r="I568" s="8" t="inlineStr">
        <is>
          <t>resource</t>
        </is>
      </c>
      <c r="J568" s="8" t="n">
        <v>0.02</v>
      </c>
      <c r="K568" s="8" t="n">
        <v>1</v>
      </c>
      <c r="L568" s="8" t="n">
        <v>1</v>
      </c>
      <c r="M568" s="8" t="n">
        <v>28</v>
      </c>
      <c r="N568" s="8" t="n">
        <v>28</v>
      </c>
      <c r="O568" s="8">
        <f>J568*K568/L568</f>
        <v>0.02</v>
      </c>
      <c r="P568" s="8">
        <f>(M568+N568)/2</f>
        <v>28.0</v>
      </c>
      <c r="Q568" s="8">
        <f>O568*P568</f>
        <v>0.56</v>
      </c>
      <c r="R568" s="8" t="n">
        <v>0</v>
      </c>
      <c r="S568" s="8">
        <f>Q568*R568</f>
        <v>0.0</v>
      </c>
      <c r="T568" s="8" t="n"/>
      <c r="U568" s="8" t="inlineStr"/>
      <c r="V568" s="8" t="inlineStr">
        <is>
          <t>data/item_templates.yaml:mission_chest_zhuolu_zhongyuan.effect_payload</t>
        </is>
      </c>
    </row>
    <row r="569" ht="36" customHeight="1">
      <c r="A569" s="8" t="inlineStr">
        <is>
          <t>zhuolu_zhongyuan</t>
        </is>
      </c>
      <c r="B569" s="8" t="inlineStr">
        <is>
          <t>逐鹿中原</t>
        </is>
      </c>
      <c r="C569" s="8" t="inlineStr">
        <is>
          <t>mission_chest_zhuolu_zhongyuan</t>
        </is>
      </c>
      <c r="D569" s="8" t="inlineStr">
        <is>
          <t>逐鹿中原宝箱</t>
        </is>
      </c>
      <c r="E569" s="8" t="inlineStr">
        <is>
          <t>随赤霄机凤图纸附带（同次命中）</t>
        </is>
      </c>
      <c r="F569" s="8" t="inlineStr">
        <is>
          <t>xuan_tie_essence</t>
        </is>
      </c>
      <c r="G569" s="8" t="inlineStr">
        <is>
          <t>玄铁精华</t>
        </is>
      </c>
      <c r="H569" s="8" t="inlineStr">
        <is>
          <t>blue</t>
        </is>
      </c>
      <c r="I569" s="8" t="inlineStr">
        <is>
          <t>resource</t>
        </is>
      </c>
      <c r="J569" s="8" t="n">
        <v>0.02</v>
      </c>
      <c r="K569" s="8" t="n">
        <v>1</v>
      </c>
      <c r="L569" s="8" t="n">
        <v>1</v>
      </c>
      <c r="M569" s="8" t="n">
        <v>2</v>
      </c>
      <c r="N569" s="8" t="n">
        <v>2</v>
      </c>
      <c r="O569" s="8">
        <f>J569*K569/L569</f>
        <v>0.02</v>
      </c>
      <c r="P569" s="8">
        <f>(M569+N569)/2</f>
        <v>2.0</v>
      </c>
      <c r="Q569" s="8">
        <f>O569*P569</f>
        <v>0.04</v>
      </c>
      <c r="R569" s="8" t="n">
        <v>0</v>
      </c>
      <c r="S569" s="8">
        <f>Q569*R569</f>
        <v>0.0</v>
      </c>
      <c r="T569" s="8" t="n"/>
      <c r="U569" s="8" t="inlineStr"/>
      <c r="V569" s="8" t="inlineStr">
        <is>
          <t>data/item_templates.yaml:mission_chest_zhuolu_zhongyuan.effect_payload</t>
        </is>
      </c>
    </row>
    <row r="570" ht="36" customHeight="1">
      <c r="A570" s="8" t="inlineStr">
        <is>
          <t>zhuolu_zhongyuan</t>
        </is>
      </c>
      <c r="B570" s="8" t="inlineStr">
        <is>
          <t>逐鹿中原</t>
        </is>
      </c>
      <c r="C570" s="8" t="inlineStr">
        <is>
          <t>mission_chest_zhuolu_zhongyuan</t>
        </is>
      </c>
      <c r="D570" s="8" t="inlineStr">
        <is>
          <t>逐鹿中原宝箱</t>
        </is>
      </c>
      <c r="E570" s="8" t="inlineStr">
        <is>
          <t>随赤霄机凤图纸附带（同次命中）</t>
        </is>
      </c>
      <c r="F570" s="8" t="inlineStr">
        <is>
          <t>zitanmu</t>
        </is>
      </c>
      <c r="G570" s="8" t="inlineStr">
        <is>
          <t>紫檀木</t>
        </is>
      </c>
      <c r="H570" s="8" t="inlineStr">
        <is>
          <t>green</t>
        </is>
      </c>
      <c r="I570" s="8" t="inlineStr">
        <is>
          <t>resource</t>
        </is>
      </c>
      <c r="J570" s="8" t="n">
        <v>0.02</v>
      </c>
      <c r="K570" s="8" t="n">
        <v>1</v>
      </c>
      <c r="L570" s="8" t="n">
        <v>1</v>
      </c>
      <c r="M570" s="8" t="n">
        <v>7</v>
      </c>
      <c r="N570" s="8" t="n">
        <v>7</v>
      </c>
      <c r="O570" s="8">
        <f>J570*K570/L570</f>
        <v>0.02</v>
      </c>
      <c r="P570" s="8">
        <f>(M570+N570)/2</f>
        <v>7.0</v>
      </c>
      <c r="Q570" s="8">
        <f>O570*P570</f>
        <v>0.14</v>
      </c>
      <c r="R570" s="8" t="n">
        <v>0</v>
      </c>
      <c r="S570" s="8">
        <f>Q570*R570</f>
        <v>0.0</v>
      </c>
      <c r="T570" s="8" t="n"/>
      <c r="U570" s="8" t="inlineStr"/>
      <c r="V570" s="8" t="inlineStr">
        <is>
          <t>data/item_templates.yaml:mission_chest_zhuolu_zhongyuan.effect_payload</t>
        </is>
      </c>
    </row>
    <row r="571" ht="36" customHeight="1">
      <c r="A571" s="8" t="inlineStr">
        <is>
          <t>zhuolu_zhongyuan</t>
        </is>
      </c>
      <c r="B571" s="8" t="inlineStr">
        <is>
          <t>逐鹿中原</t>
        </is>
      </c>
      <c r="C571" s="8" t="inlineStr">
        <is>
          <t>mission_chest_zhuolu_zhongyuan</t>
        </is>
      </c>
      <c r="D571" s="8" t="inlineStr">
        <is>
          <t>逐鹿中原宝箱</t>
        </is>
      </c>
      <c r="E571" s="8" t="inlineStr">
        <is>
          <t>随赤霄机凤图纸附带（同次命中）</t>
        </is>
      </c>
      <c r="F571" s="8" t="inlineStr">
        <is>
          <t>shuiqumu</t>
        </is>
      </c>
      <c r="G571" s="8" t="inlineStr">
        <is>
          <t>水曲木</t>
        </is>
      </c>
      <c r="H571" s="8" t="inlineStr">
        <is>
          <t>black</t>
        </is>
      </c>
      <c r="I571" s="8" t="inlineStr">
        <is>
          <t>resource</t>
        </is>
      </c>
      <c r="J571" s="8" t="n">
        <v>0.02</v>
      </c>
      <c r="K571" s="8" t="n">
        <v>1</v>
      </c>
      <c r="L571" s="8" t="n">
        <v>1</v>
      </c>
      <c r="M571" s="8" t="n">
        <v>5</v>
      </c>
      <c r="N571" s="8" t="n">
        <v>5</v>
      </c>
      <c r="O571" s="8">
        <f>J571*K571/L571</f>
        <v>0.02</v>
      </c>
      <c r="P571" s="8">
        <f>(M571+N571)/2</f>
        <v>5.0</v>
      </c>
      <c r="Q571" s="8">
        <f>O571*P571</f>
        <v>0.1</v>
      </c>
      <c r="R571" s="8" t="n">
        <v>0</v>
      </c>
      <c r="S571" s="8">
        <f>Q571*R571</f>
        <v>0.0</v>
      </c>
      <c r="T571" s="8" t="n"/>
      <c r="U571" s="8" t="inlineStr"/>
      <c r="V571" s="8" t="inlineStr">
        <is>
          <t>data/item_templates.yaml:mission_chest_zhuolu_zhongyuan.effect_payload</t>
        </is>
      </c>
    </row>
    <row r="572" ht="36" customHeight="1">
      <c r="A572" s="8" t="inlineStr">
        <is>
          <t>zhuolu_zhongyuan</t>
        </is>
      </c>
      <c r="B572" s="8" t="inlineStr">
        <is>
          <t>逐鹿中原</t>
        </is>
      </c>
      <c r="C572" s="8" t="inlineStr">
        <is>
          <t>mission_chest_zhuolu_zhongyuan</t>
        </is>
      </c>
      <c r="D572" s="8" t="inlineStr">
        <is>
          <t>逐鹿中原宝箱</t>
        </is>
      </c>
      <c r="E572" s="8" t="inlineStr">
        <is>
          <t>随赤霄机凤图纸附带（同次命中）</t>
        </is>
      </c>
      <c r="F572" s="8" t="inlineStr">
        <is>
          <t>tiemu</t>
        </is>
      </c>
      <c r="G572" s="8" t="inlineStr">
        <is>
          <t>铁木</t>
        </is>
      </c>
      <c r="H572" s="8" t="inlineStr">
        <is>
          <t>green</t>
        </is>
      </c>
      <c r="I572" s="8" t="inlineStr">
        <is>
          <t>resource</t>
        </is>
      </c>
      <c r="J572" s="8" t="n">
        <v>0.02</v>
      </c>
      <c r="K572" s="8" t="n">
        <v>1</v>
      </c>
      <c r="L572" s="8" t="n">
        <v>1</v>
      </c>
      <c r="M572" s="8" t="n">
        <v>10</v>
      </c>
      <c r="N572" s="8" t="n">
        <v>10</v>
      </c>
      <c r="O572" s="8">
        <f>J572*K572/L572</f>
        <v>0.02</v>
      </c>
      <c r="P572" s="8">
        <f>(M572+N572)/2</f>
        <v>10.0</v>
      </c>
      <c r="Q572" s="8">
        <f>O572*P572</f>
        <v>0.2</v>
      </c>
      <c r="R572" s="8" t="n">
        <v>0</v>
      </c>
      <c r="S572" s="8">
        <f>Q572*R572</f>
        <v>0.0</v>
      </c>
      <c r="T572" s="8" t="n"/>
      <c r="U572" s="8" t="inlineStr"/>
      <c r="V572" s="8" t="inlineStr">
        <is>
          <t>data/item_templates.yaml:mission_chest_zhuolu_zhongyuan.effect_payload</t>
        </is>
      </c>
    </row>
    <row r="573" ht="36" customHeight="1">
      <c r="A573" s="8" t="inlineStr">
        <is>
          <t>zhuolu_zhongyuan</t>
        </is>
      </c>
      <c r="B573" s="8" t="inlineStr">
        <is>
          <t>逐鹿中原</t>
        </is>
      </c>
      <c r="C573" s="8" t="inlineStr">
        <is>
          <t>mission_chest_zhuolu_zhongyuan</t>
        </is>
      </c>
      <c r="D573" s="8" t="inlineStr">
        <is>
          <t>逐鹿中原宝箱</t>
        </is>
      </c>
      <c r="E573" s="8" t="inlineStr">
        <is>
          <t>随赤霄机凤图纸附带（同次命中）</t>
        </is>
      </c>
      <c r="F573" s="8" t="inlineStr">
        <is>
          <t>heiyuanshi</t>
        </is>
      </c>
      <c r="G573" s="8" t="inlineStr">
        <is>
          <t>黑原石</t>
        </is>
      </c>
      <c r="H573" s="8" t="inlineStr">
        <is>
          <t>green</t>
        </is>
      </c>
      <c r="I573" s="8" t="inlineStr">
        <is>
          <t>resource</t>
        </is>
      </c>
      <c r="J573" s="8" t="n">
        <v>0.02</v>
      </c>
      <c r="K573" s="8" t="n">
        <v>1</v>
      </c>
      <c r="L573" s="8" t="n">
        <v>1</v>
      </c>
      <c r="M573" s="8" t="n">
        <v>11</v>
      </c>
      <c r="N573" s="8" t="n">
        <v>11</v>
      </c>
      <c r="O573" s="8">
        <f>J573*K573/L573</f>
        <v>0.02</v>
      </c>
      <c r="P573" s="8">
        <f>(M573+N573)/2</f>
        <v>11.0</v>
      </c>
      <c r="Q573" s="8">
        <f>O573*P573</f>
        <v>0.22</v>
      </c>
      <c r="R573" s="8" t="n">
        <v>0</v>
      </c>
      <c r="S573" s="8">
        <f>Q573*R573</f>
        <v>0.0</v>
      </c>
      <c r="T573" s="8" t="n"/>
      <c r="U573" s="8" t="inlineStr"/>
      <c r="V573" s="8" t="inlineStr">
        <is>
          <t>data/item_templates.yaml:mission_chest_zhuolu_zhongyuan.effect_payload</t>
        </is>
      </c>
    </row>
    <row r="574" ht="36" customHeight="1">
      <c r="A574" s="8" t="inlineStr">
        <is>
          <t>zhuolu_zhongyuan</t>
        </is>
      </c>
      <c r="B574" s="8" t="inlineStr">
        <is>
          <t>逐鹿中原</t>
        </is>
      </c>
      <c r="C574" s="8" t="inlineStr">
        <is>
          <t>mission_chest_zhuolu_zhongyuan</t>
        </is>
      </c>
      <c r="D574" s="8" t="inlineStr">
        <is>
          <t>逐鹿中原宝箱</t>
        </is>
      </c>
      <c r="E574" s="8" t="inlineStr">
        <is>
          <t>随赤霄机凤图纸附带（同次命中）</t>
        </is>
      </c>
      <c r="F574" s="8" t="inlineStr">
        <is>
          <t>jingangmei</t>
        </is>
      </c>
      <c r="G574" s="8" t="inlineStr">
        <is>
          <t>金刚煤</t>
        </is>
      </c>
      <c r="H574" s="8" t="inlineStr">
        <is>
          <t>green</t>
        </is>
      </c>
      <c r="I574" s="8" t="inlineStr">
        <is>
          <t>resource</t>
        </is>
      </c>
      <c r="J574" s="8" t="n">
        <v>0.02</v>
      </c>
      <c r="K574" s="8" t="n">
        <v>1</v>
      </c>
      <c r="L574" s="8" t="n">
        <v>1</v>
      </c>
      <c r="M574" s="8" t="n">
        <v>11</v>
      </c>
      <c r="N574" s="8" t="n">
        <v>11</v>
      </c>
      <c r="O574" s="8">
        <f>J574*K574/L574</f>
        <v>0.02</v>
      </c>
      <c r="P574" s="8">
        <f>(M574+N574)/2</f>
        <v>11.0</v>
      </c>
      <c r="Q574" s="8">
        <f>O574*P574</f>
        <v>0.22</v>
      </c>
      <c r="R574" s="8" t="n">
        <v>0</v>
      </c>
      <c r="S574" s="8">
        <f>Q574*R574</f>
        <v>0.0</v>
      </c>
      <c r="T574" s="8" t="n"/>
      <c r="U574" s="8" t="inlineStr"/>
      <c r="V574" s="8" t="inlineStr">
        <is>
          <t>data/item_templates.yaml:mission_chest_zhuolu_zhongyuan.effect_payload</t>
        </is>
      </c>
    </row>
    <row r="575" ht="36" customHeight="1">
      <c r="A575" s="8" t="inlineStr">
        <is>
          <t>zhuolu_zhongyuan</t>
        </is>
      </c>
      <c r="B575" s="8" t="inlineStr">
        <is>
          <t>逐鹿中原</t>
        </is>
      </c>
      <c r="C575" s="8" t="inlineStr">
        <is>
          <t>mission_chest_zhuolu_zhongyuan</t>
        </is>
      </c>
      <c r="D575" s="8" t="inlineStr">
        <is>
          <t>逐鹿中原宝箱</t>
        </is>
      </c>
      <c r="E575" s="8" t="inlineStr">
        <is>
          <t>随赤霄机凤图纸附带（同次命中）</t>
        </is>
      </c>
      <c r="F575" s="8" t="inlineStr">
        <is>
          <t>paozi</t>
        </is>
      </c>
      <c r="G575" s="8" t="inlineStr">
        <is>
          <t>刨子</t>
        </is>
      </c>
      <c r="H575" s="8" t="inlineStr">
        <is>
          <t>black</t>
        </is>
      </c>
      <c r="I575" s="8" t="inlineStr">
        <is>
          <t>resource</t>
        </is>
      </c>
      <c r="J575" s="8" t="n">
        <v>0.02</v>
      </c>
      <c r="K575" s="8" t="n">
        <v>1</v>
      </c>
      <c r="L575" s="8" t="n">
        <v>1</v>
      </c>
      <c r="M575" s="8" t="n">
        <v>4</v>
      </c>
      <c r="N575" s="8" t="n">
        <v>4</v>
      </c>
      <c r="O575" s="8">
        <f>J575*K575/L575</f>
        <v>0.02</v>
      </c>
      <c r="P575" s="8">
        <f>(M575+N575)/2</f>
        <v>4.0</v>
      </c>
      <c r="Q575" s="8">
        <f>O575*P575</f>
        <v>0.08</v>
      </c>
      <c r="R575" s="8" t="n">
        <v>0</v>
      </c>
      <c r="S575" s="8">
        <f>Q575*R575</f>
        <v>0.0</v>
      </c>
      <c r="T575" s="8" t="n"/>
      <c r="U575" s="8" t="inlineStr"/>
      <c r="V575" s="8" t="inlineStr">
        <is>
          <t>data/item_templates.yaml:mission_chest_zhuolu_zhongyuan.effect_payload</t>
        </is>
      </c>
    </row>
    <row r="576" ht="36" customHeight="1">
      <c r="A576" s="8" t="inlineStr">
        <is>
          <t>zhuolu_zhongyuan</t>
        </is>
      </c>
      <c r="B576" s="8" t="inlineStr">
        <is>
          <t>逐鹿中原</t>
        </is>
      </c>
      <c r="C576" s="8" t="inlineStr">
        <is>
          <t>mission_chest_zhuolu_zhongyuan</t>
        </is>
      </c>
      <c r="D576" s="8" t="inlineStr">
        <is>
          <t>逐鹿中原宝箱</t>
        </is>
      </c>
      <c r="E576" s="8" t="inlineStr">
        <is>
          <t>随赤霄机凤图纸附带（同次命中）</t>
        </is>
      </c>
      <c r="F576" s="8" t="inlineStr">
        <is>
          <t>zaozi</t>
        </is>
      </c>
      <c r="G576" s="8" t="inlineStr">
        <is>
          <t>凿子</t>
        </is>
      </c>
      <c r="H576" s="8" t="inlineStr">
        <is>
          <t>black</t>
        </is>
      </c>
      <c r="I576" s="8" t="inlineStr">
        <is>
          <t>resource</t>
        </is>
      </c>
      <c r="J576" s="8" t="n">
        <v>0.02</v>
      </c>
      <c r="K576" s="8" t="n">
        <v>1</v>
      </c>
      <c r="L576" s="8" t="n">
        <v>1</v>
      </c>
      <c r="M576" s="8" t="n">
        <v>7</v>
      </c>
      <c r="N576" s="8" t="n">
        <v>7</v>
      </c>
      <c r="O576" s="8">
        <f>J576*K576/L576</f>
        <v>0.02</v>
      </c>
      <c r="P576" s="8">
        <f>(M576+N576)/2</f>
        <v>7.0</v>
      </c>
      <c r="Q576" s="8">
        <f>O576*P576</f>
        <v>0.14</v>
      </c>
      <c r="R576" s="8" t="n">
        <v>0</v>
      </c>
      <c r="S576" s="8">
        <f>Q576*R576</f>
        <v>0.0</v>
      </c>
      <c r="T576" s="8" t="n"/>
      <c r="U576" s="8" t="inlineStr"/>
      <c r="V576" s="8" t="inlineStr">
        <is>
          <t>data/item_templates.yaml:mission_chest_zhuolu_zhongyuan.effect_payload</t>
        </is>
      </c>
    </row>
    <row r="577" ht="36" customHeight="1">
      <c r="A577" s="8" t="inlineStr">
        <is>
          <t>zhuolu_zhongyuan</t>
        </is>
      </c>
      <c r="B577" s="8" t="inlineStr">
        <is>
          <t>逐鹿中原</t>
        </is>
      </c>
      <c r="C577" s="8" t="inlineStr">
        <is>
          <t>mission_chest_zhuolu_zhongyuan</t>
        </is>
      </c>
      <c r="D577" s="8" t="inlineStr">
        <is>
          <t>逐鹿中原宝箱</t>
        </is>
      </c>
      <c r="E577" s="8" t="inlineStr">
        <is>
          <t>随赤霄机凤图纸附带（同次命中）</t>
        </is>
      </c>
      <c r="F577" s="8" t="inlineStr">
        <is>
          <t>gaolu</t>
        </is>
      </c>
      <c r="G577" s="8" t="inlineStr">
        <is>
          <t>高炉</t>
        </is>
      </c>
      <c r="H577" s="8" t="inlineStr">
        <is>
          <t>blue</t>
        </is>
      </c>
      <c r="I577" s="8" t="inlineStr">
        <is>
          <t>resource</t>
        </is>
      </c>
      <c r="J577" s="8" t="n">
        <v>0.02</v>
      </c>
      <c r="K577" s="8" t="n">
        <v>1</v>
      </c>
      <c r="L577" s="8" t="n">
        <v>1</v>
      </c>
      <c r="M577" s="8" t="n">
        <v>4</v>
      </c>
      <c r="N577" s="8" t="n">
        <v>4</v>
      </c>
      <c r="O577" s="8">
        <f>J577*K577/L577</f>
        <v>0.02</v>
      </c>
      <c r="P577" s="8">
        <f>(M577+N577)/2</f>
        <v>4.0</v>
      </c>
      <c r="Q577" s="8">
        <f>O577*P577</f>
        <v>0.08</v>
      </c>
      <c r="R577" s="8" t="n">
        <v>0</v>
      </c>
      <c r="S577" s="8">
        <f>Q577*R577</f>
        <v>0.0</v>
      </c>
      <c r="T577" s="8" t="n"/>
      <c r="U577" s="8" t="inlineStr"/>
      <c r="V577" s="8" t="inlineStr">
        <is>
          <t>data/item_templates.yaml:mission_chest_zhuolu_zhongyuan.effect_payload</t>
        </is>
      </c>
    </row>
    <row r="578" ht="36" customHeight="1">
      <c r="A578" s="8" t="inlineStr">
        <is>
          <t>zhuolu_zhongyuan</t>
        </is>
      </c>
      <c r="B578" s="8" t="inlineStr">
        <is>
          <t>逐鹿中原</t>
        </is>
      </c>
      <c r="C578" s="8" t="inlineStr">
        <is>
          <t>mission_chest_zhuolu_zhongyuan</t>
        </is>
      </c>
      <c r="D578" s="8" t="inlineStr">
        <is>
          <t>逐鹿中原宝箱</t>
        </is>
      </c>
      <c r="E578" s="8" t="inlineStr">
        <is>
          <t>随赤霄机凤图纸附带（同次命中）</t>
        </is>
      </c>
      <c r="F578" s="8" t="inlineStr">
        <is>
          <t>fire_stone</t>
        </is>
      </c>
      <c r="G578" s="8" t="inlineStr">
        <is>
          <t>火焰之石</t>
        </is>
      </c>
      <c r="H578" s="8" t="inlineStr">
        <is>
          <t>blue</t>
        </is>
      </c>
      <c r="I578" s="8" t="inlineStr">
        <is>
          <t>resource</t>
        </is>
      </c>
      <c r="J578" s="8" t="n">
        <v>0.02</v>
      </c>
      <c r="K578" s="8" t="n">
        <v>1</v>
      </c>
      <c r="L578" s="8" t="n">
        <v>1</v>
      </c>
      <c r="M578" s="8" t="n">
        <v>2</v>
      </c>
      <c r="N578" s="8" t="n">
        <v>2</v>
      </c>
      <c r="O578" s="8">
        <f>J578*K578/L578</f>
        <v>0.02</v>
      </c>
      <c r="P578" s="8">
        <f>(M578+N578)/2</f>
        <v>2.0</v>
      </c>
      <c r="Q578" s="8">
        <f>O578*P578</f>
        <v>0.04</v>
      </c>
      <c r="R578" s="8" t="n">
        <v>0</v>
      </c>
      <c r="S578" s="8">
        <f>Q578*R578</f>
        <v>0.0</v>
      </c>
      <c r="T578" s="8" t="n"/>
      <c r="U578" s="8" t="inlineStr"/>
      <c r="V578" s="8" t="inlineStr">
        <is>
          <t>data/item_templates.yaml:mission_chest_zhuolu_zhongyuan.effect_payload</t>
        </is>
      </c>
    </row>
    <row r="579" ht="36" customHeight="1">
      <c r="A579" s="8" t="inlineStr">
        <is>
          <t>zhuolu_zhongyuan</t>
        </is>
      </c>
      <c r="B579" s="8" t="inlineStr">
        <is>
          <t>逐鹿中原</t>
        </is>
      </c>
      <c r="C579" s="8" t="inlineStr">
        <is>
          <t>mission_chest_zhuolu_zhongyuan</t>
        </is>
      </c>
      <c r="D579" s="8" t="inlineStr">
        <is>
          <t>逐鹿中原宝箱</t>
        </is>
      </c>
      <c r="E579" s="8" t="inlineStr">
        <is>
          <t>随赤霄机凤图纸附带（同次命中）</t>
        </is>
      </c>
      <c r="F579" s="8" t="inlineStr">
        <is>
          <t>air_stone</t>
        </is>
      </c>
      <c r="G579" s="8" t="inlineStr">
        <is>
          <t>空气之石</t>
        </is>
      </c>
      <c r="H579" s="8" t="inlineStr">
        <is>
          <t>blue</t>
        </is>
      </c>
      <c r="I579" s="8" t="inlineStr">
        <is>
          <t>resource</t>
        </is>
      </c>
      <c r="J579" s="8" t="n">
        <v>0.02</v>
      </c>
      <c r="K579" s="8" t="n">
        <v>1</v>
      </c>
      <c r="L579" s="8" t="n">
        <v>1</v>
      </c>
      <c r="M579" s="8" t="n">
        <v>1</v>
      </c>
      <c r="N579" s="8" t="n">
        <v>1</v>
      </c>
      <c r="O579" s="8">
        <f>J579*K579/L579</f>
        <v>0.02</v>
      </c>
      <c r="P579" s="8">
        <f>(M579+N579)/2</f>
        <v>1.0</v>
      </c>
      <c r="Q579" s="8">
        <f>O579*P579</f>
        <v>0.02</v>
      </c>
      <c r="R579" s="8" t="n">
        <v>0</v>
      </c>
      <c r="S579" s="8">
        <f>Q579*R579</f>
        <v>0.0</v>
      </c>
      <c r="T579" s="8" t="n"/>
      <c r="U579" s="8" t="inlineStr"/>
      <c r="V579" s="8" t="inlineStr">
        <is>
          <t>data/item_templates.yaml:mission_chest_zhuolu_zhongyuan.effect_payload</t>
        </is>
      </c>
    </row>
    <row r="580" ht="36" customHeight="1">
      <c r="A580" s="8" t="inlineStr">
        <is>
          <t>zhuolu_zhongyuan</t>
        </is>
      </c>
      <c r="B580" s="8" t="inlineStr">
        <is>
          <t>逐鹿中原</t>
        </is>
      </c>
      <c r="C580" s="8" t="inlineStr">
        <is>
          <t>mission_chest_zhuolu_zhongyuan</t>
        </is>
      </c>
      <c r="D580" s="8" t="inlineStr">
        <is>
          <t>逐鹿中原宝箱</t>
        </is>
      </c>
      <c r="E580" s="8" t="inlineStr">
        <is>
          <t>随墨家机关人图纸附带（同次命中）</t>
        </is>
      </c>
      <c r="F580" s="8" t="inlineStr">
        <is>
          <t>tong</t>
        </is>
      </c>
      <c r="G580" s="8" t="inlineStr">
        <is>
          <t>铜</t>
        </is>
      </c>
      <c r="H580" s="8" t="inlineStr">
        <is>
          <t>black</t>
        </is>
      </c>
      <c r="I580" s="8" t="inlineStr">
        <is>
          <t>resource</t>
        </is>
      </c>
      <c r="J580" s="8" t="n">
        <v>0.02</v>
      </c>
      <c r="K580" s="8" t="n">
        <v>1</v>
      </c>
      <c r="L580" s="8" t="n">
        <v>1</v>
      </c>
      <c r="M580" s="8" t="n">
        <v>58</v>
      </c>
      <c r="N580" s="8" t="n">
        <v>58</v>
      </c>
      <c r="O580" s="8">
        <f>J580*K580/L580</f>
        <v>0.02</v>
      </c>
      <c r="P580" s="8">
        <f>(M580+N580)/2</f>
        <v>58.0</v>
      </c>
      <c r="Q580" s="8">
        <f>O580*P580</f>
        <v>1.16</v>
      </c>
      <c r="R580" s="8" t="n">
        <v>0</v>
      </c>
      <c r="S580" s="8">
        <f>Q580*R580</f>
        <v>0.0</v>
      </c>
      <c r="T580" s="8" t="n"/>
      <c r="U580" s="8" t="inlineStr"/>
      <c r="V580" s="8" t="inlineStr">
        <is>
          <t>data/item_templates.yaml:mission_chest_zhuolu_zhongyuan.effect_payload</t>
        </is>
      </c>
    </row>
    <row r="581" ht="36" customHeight="1">
      <c r="A581" s="8" t="inlineStr">
        <is>
          <t>zhuolu_zhongyuan</t>
        </is>
      </c>
      <c r="B581" s="8" t="inlineStr">
        <is>
          <t>逐鹿中原</t>
        </is>
      </c>
      <c r="C581" s="8" t="inlineStr">
        <is>
          <t>mission_chest_zhuolu_zhongyuan</t>
        </is>
      </c>
      <c r="D581" s="8" t="inlineStr">
        <is>
          <t>逐鹿中原宝箱</t>
        </is>
      </c>
      <c r="E581" s="8" t="inlineStr">
        <is>
          <t>随墨家机关人图纸附带（同次命中）</t>
        </is>
      </c>
      <c r="F581" s="8" t="inlineStr">
        <is>
          <t>xi</t>
        </is>
      </c>
      <c r="G581" s="8" t="inlineStr">
        <is>
          <t>锡</t>
        </is>
      </c>
      <c r="H581" s="8" t="inlineStr">
        <is>
          <t>black</t>
        </is>
      </c>
      <c r="I581" s="8" t="inlineStr">
        <is>
          <t>resource</t>
        </is>
      </c>
      <c r="J581" s="8" t="n">
        <v>0.02</v>
      </c>
      <c r="K581" s="8" t="n">
        <v>1</v>
      </c>
      <c r="L581" s="8" t="n">
        <v>1</v>
      </c>
      <c r="M581" s="8" t="n">
        <v>38</v>
      </c>
      <c r="N581" s="8" t="n">
        <v>38</v>
      </c>
      <c r="O581" s="8">
        <f>J581*K581/L581</f>
        <v>0.02</v>
      </c>
      <c r="P581" s="8">
        <f>(M581+N581)/2</f>
        <v>38.0</v>
      </c>
      <c r="Q581" s="8">
        <f>O581*P581</f>
        <v>0.76</v>
      </c>
      <c r="R581" s="8" t="n">
        <v>0</v>
      </c>
      <c r="S581" s="8">
        <f>Q581*R581</f>
        <v>0.0</v>
      </c>
      <c r="T581" s="8" t="n"/>
      <c r="U581" s="8" t="inlineStr"/>
      <c r="V581" s="8" t="inlineStr">
        <is>
          <t>data/item_templates.yaml:mission_chest_zhuolu_zhongyuan.effect_payload</t>
        </is>
      </c>
    </row>
    <row r="582" ht="36" customHeight="1">
      <c r="A582" s="8" t="inlineStr">
        <is>
          <t>zhuolu_zhongyuan</t>
        </is>
      </c>
      <c r="B582" s="8" t="inlineStr">
        <is>
          <t>逐鹿中原</t>
        </is>
      </c>
      <c r="C582" s="8" t="inlineStr">
        <is>
          <t>mission_chest_zhuolu_zhongyuan</t>
        </is>
      </c>
      <c r="D582" s="8" t="inlineStr">
        <is>
          <t>逐鹿中原宝箱</t>
        </is>
      </c>
      <c r="E582" s="8" t="inlineStr">
        <is>
          <t>随墨家机关人图纸附带（同次命中）</t>
        </is>
      </c>
      <c r="F582" s="8" t="inlineStr">
        <is>
          <t>tie</t>
        </is>
      </c>
      <c r="G582" s="8" t="inlineStr">
        <is>
          <t>铁</t>
        </is>
      </c>
      <c r="H582" s="8" t="inlineStr">
        <is>
          <t>black</t>
        </is>
      </c>
      <c r="I582" s="8" t="inlineStr">
        <is>
          <t>resource</t>
        </is>
      </c>
      <c r="J582" s="8" t="n">
        <v>0.02</v>
      </c>
      <c r="K582" s="8" t="n">
        <v>1</v>
      </c>
      <c r="L582" s="8" t="n">
        <v>1</v>
      </c>
      <c r="M582" s="8" t="n">
        <v>31</v>
      </c>
      <c r="N582" s="8" t="n">
        <v>31</v>
      </c>
      <c r="O582" s="8">
        <f>J582*K582/L582</f>
        <v>0.02</v>
      </c>
      <c r="P582" s="8">
        <f>(M582+N582)/2</f>
        <v>31.0</v>
      </c>
      <c r="Q582" s="8">
        <f>O582*P582</f>
        <v>0.62</v>
      </c>
      <c r="R582" s="8" t="n">
        <v>0</v>
      </c>
      <c r="S582" s="8">
        <f>Q582*R582</f>
        <v>0.0</v>
      </c>
      <c r="T582" s="8" t="n"/>
      <c r="U582" s="8" t="inlineStr"/>
      <c r="V582" s="8" t="inlineStr">
        <is>
          <t>data/item_templates.yaml:mission_chest_zhuolu_zhongyuan.effect_payload</t>
        </is>
      </c>
    </row>
    <row r="583" ht="36" customHeight="1">
      <c r="A583" s="8" t="inlineStr">
        <is>
          <t>zhuolu_zhongyuan</t>
        </is>
      </c>
      <c r="B583" s="8" t="inlineStr">
        <is>
          <t>逐鹿中原</t>
        </is>
      </c>
      <c r="C583" s="8" t="inlineStr">
        <is>
          <t>mission_chest_zhuolu_zhongyuan</t>
        </is>
      </c>
      <c r="D583" s="8" t="inlineStr">
        <is>
          <t>逐鹿中原宝箱</t>
        </is>
      </c>
      <c r="E583" s="8" t="inlineStr">
        <is>
          <t>随墨家机关人图纸附带（同次命中）</t>
        </is>
      </c>
      <c r="F583" s="8" t="inlineStr">
        <is>
          <t>xuan_tie_essence</t>
        </is>
      </c>
      <c r="G583" s="8" t="inlineStr">
        <is>
          <t>玄铁精华</t>
        </is>
      </c>
      <c r="H583" s="8" t="inlineStr">
        <is>
          <t>blue</t>
        </is>
      </c>
      <c r="I583" s="8" t="inlineStr">
        <is>
          <t>resource</t>
        </is>
      </c>
      <c r="J583" s="8" t="n">
        <v>0.02</v>
      </c>
      <c r="K583" s="8" t="n">
        <v>1</v>
      </c>
      <c r="L583" s="8" t="n">
        <v>1</v>
      </c>
      <c r="M583" s="8" t="n">
        <v>2</v>
      </c>
      <c r="N583" s="8" t="n">
        <v>2</v>
      </c>
      <c r="O583" s="8">
        <f>J583*K583/L583</f>
        <v>0.02</v>
      </c>
      <c r="P583" s="8">
        <f>(M583+N583)/2</f>
        <v>2.0</v>
      </c>
      <c r="Q583" s="8">
        <f>O583*P583</f>
        <v>0.04</v>
      </c>
      <c r="R583" s="8" t="n">
        <v>0</v>
      </c>
      <c r="S583" s="8">
        <f>Q583*R583</f>
        <v>0.0</v>
      </c>
      <c r="T583" s="8" t="n"/>
      <c r="U583" s="8" t="inlineStr"/>
      <c r="V583" s="8" t="inlineStr">
        <is>
          <t>data/item_templates.yaml:mission_chest_zhuolu_zhongyuan.effect_payload</t>
        </is>
      </c>
    </row>
    <row r="584" ht="36" customHeight="1">
      <c r="A584" s="8" t="inlineStr">
        <is>
          <t>zhuolu_zhongyuan</t>
        </is>
      </c>
      <c r="B584" s="8" t="inlineStr">
        <is>
          <t>逐鹿中原</t>
        </is>
      </c>
      <c r="C584" s="8" t="inlineStr">
        <is>
          <t>mission_chest_zhuolu_zhongyuan</t>
        </is>
      </c>
      <c r="D584" s="8" t="inlineStr">
        <is>
          <t>逐鹿中原宝箱</t>
        </is>
      </c>
      <c r="E584" s="8" t="inlineStr">
        <is>
          <t>随墨家机关人图纸附带（同次命中）</t>
        </is>
      </c>
      <c r="F584" s="8" t="inlineStr">
        <is>
          <t>zitanmu</t>
        </is>
      </c>
      <c r="G584" s="8" t="inlineStr">
        <is>
          <t>紫檀木</t>
        </is>
      </c>
      <c r="H584" s="8" t="inlineStr">
        <is>
          <t>green</t>
        </is>
      </c>
      <c r="I584" s="8" t="inlineStr">
        <is>
          <t>resource</t>
        </is>
      </c>
      <c r="J584" s="8" t="n">
        <v>0.02</v>
      </c>
      <c r="K584" s="8" t="n">
        <v>1</v>
      </c>
      <c r="L584" s="8" t="n">
        <v>1</v>
      </c>
      <c r="M584" s="8" t="n">
        <v>7</v>
      </c>
      <c r="N584" s="8" t="n">
        <v>7</v>
      </c>
      <c r="O584" s="8">
        <f>J584*K584/L584</f>
        <v>0.02</v>
      </c>
      <c r="P584" s="8">
        <f>(M584+N584)/2</f>
        <v>7.0</v>
      </c>
      <c r="Q584" s="8">
        <f>O584*P584</f>
        <v>0.14</v>
      </c>
      <c r="R584" s="8" t="n">
        <v>0</v>
      </c>
      <c r="S584" s="8">
        <f>Q584*R584</f>
        <v>0.0</v>
      </c>
      <c r="T584" s="8" t="n"/>
      <c r="U584" s="8" t="inlineStr"/>
      <c r="V584" s="8" t="inlineStr">
        <is>
          <t>data/item_templates.yaml:mission_chest_zhuolu_zhongyuan.effect_payload</t>
        </is>
      </c>
    </row>
    <row r="585" ht="36" customHeight="1">
      <c r="A585" s="8" t="inlineStr">
        <is>
          <t>zhuolu_zhongyuan</t>
        </is>
      </c>
      <c r="B585" s="8" t="inlineStr">
        <is>
          <t>逐鹿中原</t>
        </is>
      </c>
      <c r="C585" s="8" t="inlineStr">
        <is>
          <t>mission_chest_zhuolu_zhongyuan</t>
        </is>
      </c>
      <c r="D585" s="8" t="inlineStr">
        <is>
          <t>逐鹿中原宝箱</t>
        </is>
      </c>
      <c r="E585" s="8" t="inlineStr">
        <is>
          <t>随墨家机关人图纸附带（同次命中）</t>
        </is>
      </c>
      <c r="F585" s="8" t="inlineStr">
        <is>
          <t>shuiqumu</t>
        </is>
      </c>
      <c r="G585" s="8" t="inlineStr">
        <is>
          <t>水曲木</t>
        </is>
      </c>
      <c r="H585" s="8" t="inlineStr">
        <is>
          <t>black</t>
        </is>
      </c>
      <c r="I585" s="8" t="inlineStr">
        <is>
          <t>resource</t>
        </is>
      </c>
      <c r="J585" s="8" t="n">
        <v>0.02</v>
      </c>
      <c r="K585" s="8" t="n">
        <v>1</v>
      </c>
      <c r="L585" s="8" t="n">
        <v>1</v>
      </c>
      <c r="M585" s="8" t="n">
        <v>5</v>
      </c>
      <c r="N585" s="8" t="n">
        <v>5</v>
      </c>
      <c r="O585" s="8">
        <f>J585*K585/L585</f>
        <v>0.02</v>
      </c>
      <c r="P585" s="8">
        <f>(M585+N585)/2</f>
        <v>5.0</v>
      </c>
      <c r="Q585" s="8">
        <f>O585*P585</f>
        <v>0.1</v>
      </c>
      <c r="R585" s="8" t="n">
        <v>0</v>
      </c>
      <c r="S585" s="8">
        <f>Q585*R585</f>
        <v>0.0</v>
      </c>
      <c r="T585" s="8" t="n"/>
      <c r="U585" s="8" t="inlineStr"/>
      <c r="V585" s="8" t="inlineStr">
        <is>
          <t>data/item_templates.yaml:mission_chest_zhuolu_zhongyuan.effect_payload</t>
        </is>
      </c>
    </row>
    <row r="586" ht="36" customHeight="1">
      <c r="A586" s="8" t="inlineStr">
        <is>
          <t>zhuolu_zhongyuan</t>
        </is>
      </c>
      <c r="B586" s="8" t="inlineStr">
        <is>
          <t>逐鹿中原</t>
        </is>
      </c>
      <c r="C586" s="8" t="inlineStr">
        <is>
          <t>mission_chest_zhuolu_zhongyuan</t>
        </is>
      </c>
      <c r="D586" s="8" t="inlineStr">
        <is>
          <t>逐鹿中原宝箱</t>
        </is>
      </c>
      <c r="E586" s="8" t="inlineStr">
        <is>
          <t>随墨家机关人图纸附带（同次命中）</t>
        </is>
      </c>
      <c r="F586" s="8" t="inlineStr">
        <is>
          <t>tiemu</t>
        </is>
      </c>
      <c r="G586" s="8" t="inlineStr">
        <is>
          <t>铁木</t>
        </is>
      </c>
      <c r="H586" s="8" t="inlineStr">
        <is>
          <t>green</t>
        </is>
      </c>
      <c r="I586" s="8" t="inlineStr">
        <is>
          <t>resource</t>
        </is>
      </c>
      <c r="J586" s="8" t="n">
        <v>0.02</v>
      </c>
      <c r="K586" s="8" t="n">
        <v>1</v>
      </c>
      <c r="L586" s="8" t="n">
        <v>1</v>
      </c>
      <c r="M586" s="8" t="n">
        <v>13</v>
      </c>
      <c r="N586" s="8" t="n">
        <v>13</v>
      </c>
      <c r="O586" s="8">
        <f>J586*K586/L586</f>
        <v>0.02</v>
      </c>
      <c r="P586" s="8">
        <f>(M586+N586)/2</f>
        <v>13.0</v>
      </c>
      <c r="Q586" s="8">
        <f>O586*P586</f>
        <v>0.26</v>
      </c>
      <c r="R586" s="8" t="n">
        <v>0</v>
      </c>
      <c r="S586" s="8">
        <f>Q586*R586</f>
        <v>0.0</v>
      </c>
      <c r="T586" s="8" t="n"/>
      <c r="U586" s="8" t="inlineStr"/>
      <c r="V586" s="8" t="inlineStr">
        <is>
          <t>data/item_templates.yaml:mission_chest_zhuolu_zhongyuan.effect_payload</t>
        </is>
      </c>
    </row>
    <row r="587" ht="36" customHeight="1">
      <c r="A587" s="8" t="inlineStr">
        <is>
          <t>zhuolu_zhongyuan</t>
        </is>
      </c>
      <c r="B587" s="8" t="inlineStr">
        <is>
          <t>逐鹿中原</t>
        </is>
      </c>
      <c r="C587" s="8" t="inlineStr">
        <is>
          <t>mission_chest_zhuolu_zhongyuan</t>
        </is>
      </c>
      <c r="D587" s="8" t="inlineStr">
        <is>
          <t>逐鹿中原宝箱</t>
        </is>
      </c>
      <c r="E587" s="8" t="inlineStr">
        <is>
          <t>随墨家机关人图纸附带（同次命中）</t>
        </is>
      </c>
      <c r="F587" s="8" t="inlineStr">
        <is>
          <t>heiyuanshi</t>
        </is>
      </c>
      <c r="G587" s="8" t="inlineStr">
        <is>
          <t>黑原石</t>
        </is>
      </c>
      <c r="H587" s="8" t="inlineStr">
        <is>
          <t>green</t>
        </is>
      </c>
      <c r="I587" s="8" t="inlineStr">
        <is>
          <t>resource</t>
        </is>
      </c>
      <c r="J587" s="8" t="n">
        <v>0.02</v>
      </c>
      <c r="K587" s="8" t="n">
        <v>1</v>
      </c>
      <c r="L587" s="8" t="n">
        <v>1</v>
      </c>
      <c r="M587" s="8" t="n">
        <v>14</v>
      </c>
      <c r="N587" s="8" t="n">
        <v>14</v>
      </c>
      <c r="O587" s="8">
        <f>J587*K587/L587</f>
        <v>0.02</v>
      </c>
      <c r="P587" s="8">
        <f>(M587+N587)/2</f>
        <v>14.0</v>
      </c>
      <c r="Q587" s="8">
        <f>O587*P587</f>
        <v>0.28</v>
      </c>
      <c r="R587" s="8" t="n">
        <v>0</v>
      </c>
      <c r="S587" s="8">
        <f>Q587*R587</f>
        <v>0.0</v>
      </c>
      <c r="T587" s="8" t="n"/>
      <c r="U587" s="8" t="inlineStr"/>
      <c r="V587" s="8" t="inlineStr">
        <is>
          <t>data/item_templates.yaml:mission_chest_zhuolu_zhongyuan.effect_payload</t>
        </is>
      </c>
    </row>
    <row r="588" ht="36" customHeight="1">
      <c r="A588" s="8" t="inlineStr">
        <is>
          <t>zhuolu_zhongyuan</t>
        </is>
      </c>
      <c r="B588" s="8" t="inlineStr">
        <is>
          <t>逐鹿中原</t>
        </is>
      </c>
      <c r="C588" s="8" t="inlineStr">
        <is>
          <t>mission_chest_zhuolu_zhongyuan</t>
        </is>
      </c>
      <c r="D588" s="8" t="inlineStr">
        <is>
          <t>逐鹿中原宝箱</t>
        </is>
      </c>
      <c r="E588" s="8" t="inlineStr">
        <is>
          <t>随墨家机关人图纸附带（同次命中）</t>
        </is>
      </c>
      <c r="F588" s="8" t="inlineStr">
        <is>
          <t>jingangmei</t>
        </is>
      </c>
      <c r="G588" s="8" t="inlineStr">
        <is>
          <t>金刚煤</t>
        </is>
      </c>
      <c r="H588" s="8" t="inlineStr">
        <is>
          <t>green</t>
        </is>
      </c>
      <c r="I588" s="8" t="inlineStr">
        <is>
          <t>resource</t>
        </is>
      </c>
      <c r="J588" s="8" t="n">
        <v>0.02</v>
      </c>
      <c r="K588" s="8" t="n">
        <v>1</v>
      </c>
      <c r="L588" s="8" t="n">
        <v>1</v>
      </c>
      <c r="M588" s="8" t="n">
        <v>13</v>
      </c>
      <c r="N588" s="8" t="n">
        <v>13</v>
      </c>
      <c r="O588" s="8">
        <f>J588*K588/L588</f>
        <v>0.02</v>
      </c>
      <c r="P588" s="8">
        <f>(M588+N588)/2</f>
        <v>13.0</v>
      </c>
      <c r="Q588" s="8">
        <f>O588*P588</f>
        <v>0.26</v>
      </c>
      <c r="R588" s="8" t="n">
        <v>0</v>
      </c>
      <c r="S588" s="8">
        <f>Q588*R588</f>
        <v>0.0</v>
      </c>
      <c r="T588" s="8" t="n"/>
      <c r="U588" s="8" t="inlineStr"/>
      <c r="V588" s="8" t="inlineStr">
        <is>
          <t>data/item_templates.yaml:mission_chest_zhuolu_zhongyuan.effect_payload</t>
        </is>
      </c>
    </row>
    <row r="589" ht="36" customHeight="1">
      <c r="A589" s="8" t="inlineStr">
        <is>
          <t>zhuolu_zhongyuan</t>
        </is>
      </c>
      <c r="B589" s="8" t="inlineStr">
        <is>
          <t>逐鹿中原</t>
        </is>
      </c>
      <c r="C589" s="8" t="inlineStr">
        <is>
          <t>mission_chest_zhuolu_zhongyuan</t>
        </is>
      </c>
      <c r="D589" s="8" t="inlineStr">
        <is>
          <t>逐鹿中原宝箱</t>
        </is>
      </c>
      <c r="E589" s="8" t="inlineStr">
        <is>
          <t>随墨家机关人图纸附带（同次命中）</t>
        </is>
      </c>
      <c r="F589" s="8" t="inlineStr">
        <is>
          <t>paozi</t>
        </is>
      </c>
      <c r="G589" s="8" t="inlineStr">
        <is>
          <t>刨子</t>
        </is>
      </c>
      <c r="H589" s="8" t="inlineStr">
        <is>
          <t>black</t>
        </is>
      </c>
      <c r="I589" s="8" t="inlineStr">
        <is>
          <t>resource</t>
        </is>
      </c>
      <c r="J589" s="8" t="n">
        <v>0.02</v>
      </c>
      <c r="K589" s="8" t="n">
        <v>1</v>
      </c>
      <c r="L589" s="8" t="n">
        <v>1</v>
      </c>
      <c r="M589" s="8" t="n">
        <v>6</v>
      </c>
      <c r="N589" s="8" t="n">
        <v>6</v>
      </c>
      <c r="O589" s="8">
        <f>J589*K589/L589</f>
        <v>0.02</v>
      </c>
      <c r="P589" s="8">
        <f>(M589+N589)/2</f>
        <v>6.0</v>
      </c>
      <c r="Q589" s="8">
        <f>O589*P589</f>
        <v>0.12</v>
      </c>
      <c r="R589" s="8" t="n">
        <v>0</v>
      </c>
      <c r="S589" s="8">
        <f>Q589*R589</f>
        <v>0.0</v>
      </c>
      <c r="T589" s="8" t="n"/>
      <c r="U589" s="8" t="inlineStr"/>
      <c r="V589" s="8" t="inlineStr">
        <is>
          <t>data/item_templates.yaml:mission_chest_zhuolu_zhongyuan.effect_payload</t>
        </is>
      </c>
    </row>
    <row r="590" ht="36" customHeight="1">
      <c r="A590" s="8" t="inlineStr">
        <is>
          <t>zhuolu_zhongyuan</t>
        </is>
      </c>
      <c r="B590" s="8" t="inlineStr">
        <is>
          <t>逐鹿中原</t>
        </is>
      </c>
      <c r="C590" s="8" t="inlineStr">
        <is>
          <t>mission_chest_zhuolu_zhongyuan</t>
        </is>
      </c>
      <c r="D590" s="8" t="inlineStr">
        <is>
          <t>逐鹿中原宝箱</t>
        </is>
      </c>
      <c r="E590" s="8" t="inlineStr">
        <is>
          <t>随墨家机关人图纸附带（同次命中）</t>
        </is>
      </c>
      <c r="F590" s="8" t="inlineStr">
        <is>
          <t>zaozi</t>
        </is>
      </c>
      <c r="G590" s="8" t="inlineStr">
        <is>
          <t>凿子</t>
        </is>
      </c>
      <c r="H590" s="8" t="inlineStr">
        <is>
          <t>black</t>
        </is>
      </c>
      <c r="I590" s="8" t="inlineStr">
        <is>
          <t>resource</t>
        </is>
      </c>
      <c r="J590" s="8" t="n">
        <v>0.02</v>
      </c>
      <c r="K590" s="8" t="n">
        <v>1</v>
      </c>
      <c r="L590" s="8" t="n">
        <v>1</v>
      </c>
      <c r="M590" s="8" t="n">
        <v>10</v>
      </c>
      <c r="N590" s="8" t="n">
        <v>10</v>
      </c>
      <c r="O590" s="8">
        <f>J590*K590/L590</f>
        <v>0.02</v>
      </c>
      <c r="P590" s="8">
        <f>(M590+N590)/2</f>
        <v>10.0</v>
      </c>
      <c r="Q590" s="8">
        <f>O590*P590</f>
        <v>0.2</v>
      </c>
      <c r="R590" s="8" t="n">
        <v>0</v>
      </c>
      <c r="S590" s="8">
        <f>Q590*R590</f>
        <v>0.0</v>
      </c>
      <c r="T590" s="8" t="n"/>
      <c r="U590" s="8" t="inlineStr"/>
      <c r="V590" s="8" t="inlineStr">
        <is>
          <t>data/item_templates.yaml:mission_chest_zhuolu_zhongyuan.effect_payload</t>
        </is>
      </c>
    </row>
    <row r="591" ht="36" customHeight="1">
      <c r="A591" s="8" t="inlineStr">
        <is>
          <t>zhuolu_zhongyuan</t>
        </is>
      </c>
      <c r="B591" s="8" t="inlineStr">
        <is>
          <t>逐鹿中原</t>
        </is>
      </c>
      <c r="C591" s="8" t="inlineStr">
        <is>
          <t>mission_chest_zhuolu_zhongyuan</t>
        </is>
      </c>
      <c r="D591" s="8" t="inlineStr">
        <is>
          <t>逐鹿中原宝箱</t>
        </is>
      </c>
      <c r="E591" s="8" t="inlineStr">
        <is>
          <t>随墨家机关人图纸附带（同次命中）</t>
        </is>
      </c>
      <c r="F591" s="8" t="inlineStr">
        <is>
          <t>gaolu</t>
        </is>
      </c>
      <c r="G591" s="8" t="inlineStr">
        <is>
          <t>高炉</t>
        </is>
      </c>
      <c r="H591" s="8" t="inlineStr">
        <is>
          <t>blue</t>
        </is>
      </c>
      <c r="I591" s="8" t="inlineStr">
        <is>
          <t>resource</t>
        </is>
      </c>
      <c r="J591" s="8" t="n">
        <v>0.02</v>
      </c>
      <c r="K591" s="8" t="n">
        <v>1</v>
      </c>
      <c r="L591" s="8" t="n">
        <v>1</v>
      </c>
      <c r="M591" s="8" t="n">
        <v>5</v>
      </c>
      <c r="N591" s="8" t="n">
        <v>5</v>
      </c>
      <c r="O591" s="8">
        <f>J591*K591/L591</f>
        <v>0.02</v>
      </c>
      <c r="P591" s="8">
        <f>(M591+N591)/2</f>
        <v>5.0</v>
      </c>
      <c r="Q591" s="8">
        <f>O591*P591</f>
        <v>0.1</v>
      </c>
      <c r="R591" s="8" t="n">
        <v>0</v>
      </c>
      <c r="S591" s="8">
        <f>Q591*R591</f>
        <v>0.0</v>
      </c>
      <c r="T591" s="8" t="n"/>
      <c r="U591" s="8" t="inlineStr"/>
      <c r="V591" s="8" t="inlineStr">
        <is>
          <t>data/item_templates.yaml:mission_chest_zhuolu_zhongyuan.effect_payload</t>
        </is>
      </c>
    </row>
    <row r="592" ht="36" customHeight="1">
      <c r="A592" s="8" t="inlineStr">
        <is>
          <t>zhuolu_zhongyuan</t>
        </is>
      </c>
      <c r="B592" s="8" t="inlineStr">
        <is>
          <t>逐鹿中原</t>
        </is>
      </c>
      <c r="C592" s="8" t="inlineStr">
        <is>
          <t>mission_chest_zhuolu_zhongyuan</t>
        </is>
      </c>
      <c r="D592" s="8" t="inlineStr">
        <is>
          <t>逐鹿中原宝箱</t>
        </is>
      </c>
      <c r="E592" s="8" t="inlineStr">
        <is>
          <t>随墨家机关人图纸附带（同次命中）</t>
        </is>
      </c>
      <c r="F592" s="8" t="inlineStr">
        <is>
          <t>earth_stone</t>
        </is>
      </c>
      <c r="G592" s="8" t="inlineStr">
        <is>
          <t>大地之石</t>
        </is>
      </c>
      <c r="H592" s="8" t="inlineStr">
        <is>
          <t>blue</t>
        </is>
      </c>
      <c r="I592" s="8" t="inlineStr">
        <is>
          <t>resource</t>
        </is>
      </c>
      <c r="J592" s="8" t="n">
        <v>0.02</v>
      </c>
      <c r="K592" s="8" t="n">
        <v>1</v>
      </c>
      <c r="L592" s="8" t="n">
        <v>1</v>
      </c>
      <c r="M592" s="8" t="n">
        <v>1</v>
      </c>
      <c r="N592" s="8" t="n">
        <v>1</v>
      </c>
      <c r="O592" s="8">
        <f>J592*K592/L592</f>
        <v>0.02</v>
      </c>
      <c r="P592" s="8">
        <f>(M592+N592)/2</f>
        <v>1.0</v>
      </c>
      <c r="Q592" s="8">
        <f>O592*P592</f>
        <v>0.02</v>
      </c>
      <c r="R592" s="8" t="n">
        <v>0</v>
      </c>
      <c r="S592" s="8">
        <f>Q592*R592</f>
        <v>0.0</v>
      </c>
      <c r="T592" s="8" t="n"/>
      <c r="U592" s="8" t="inlineStr"/>
      <c r="V592" s="8" t="inlineStr">
        <is>
          <t>data/item_templates.yaml:mission_chest_zhuolu_zhongyuan.effect_payload</t>
        </is>
      </c>
    </row>
    <row r="593" ht="36" customHeight="1">
      <c r="A593" s="8" t="inlineStr">
        <is>
          <t>zhuolu_zhongyuan</t>
        </is>
      </c>
      <c r="B593" s="8" t="inlineStr">
        <is>
          <t>逐鹿中原</t>
        </is>
      </c>
      <c r="C593" s="8" t="inlineStr">
        <is>
          <t>mission_chest_zhuolu_zhongyuan</t>
        </is>
      </c>
      <c r="D593" s="8" t="inlineStr">
        <is>
          <t>逐鹿中原宝箱</t>
        </is>
      </c>
      <c r="E593" s="8" t="inlineStr">
        <is>
          <t>随墨家机关人图纸附带（同次命中）</t>
        </is>
      </c>
      <c r="F593" s="8" t="inlineStr">
        <is>
          <t>fire_stone</t>
        </is>
      </c>
      <c r="G593" s="8" t="inlineStr">
        <is>
          <t>火焰之石</t>
        </is>
      </c>
      <c r="H593" s="8" t="inlineStr">
        <is>
          <t>blue</t>
        </is>
      </c>
      <c r="I593" s="8" t="inlineStr">
        <is>
          <t>resource</t>
        </is>
      </c>
      <c r="J593" s="8" t="n">
        <v>0.02</v>
      </c>
      <c r="K593" s="8" t="n">
        <v>1</v>
      </c>
      <c r="L593" s="8" t="n">
        <v>1</v>
      </c>
      <c r="M593" s="8" t="n">
        <v>1</v>
      </c>
      <c r="N593" s="8" t="n">
        <v>1</v>
      </c>
      <c r="O593" s="8">
        <f>J593*K593/L593</f>
        <v>0.02</v>
      </c>
      <c r="P593" s="8">
        <f>(M593+N593)/2</f>
        <v>1.0</v>
      </c>
      <c r="Q593" s="8">
        <f>O593*P593</f>
        <v>0.02</v>
      </c>
      <c r="R593" s="8" t="n">
        <v>0</v>
      </c>
      <c r="S593" s="8">
        <f>Q593*R593</f>
        <v>0.0</v>
      </c>
      <c r="T593" s="8" t="n"/>
      <c r="U593" s="8" t="inlineStr"/>
      <c r="V593" s="8" t="inlineStr">
        <is>
          <t>data/item_templates.yaml:mission_chest_zhuolu_zhongyuan.effect_payload</t>
        </is>
      </c>
    </row>
    <row r="594" ht="36" customHeight="1">
      <c r="A594" s="8" t="inlineStr">
        <is>
          <t>zhuolu_zhongyuan</t>
        </is>
      </c>
      <c r="B594" s="8" t="inlineStr">
        <is>
          <t>逐鹿中原</t>
        </is>
      </c>
      <c r="C594" s="8" t="inlineStr">
        <is>
          <t>mission_chest_zhuolu_zhongyuan</t>
        </is>
      </c>
      <c r="D594" s="8" t="inlineStr">
        <is>
          <t>逐鹿中原宝箱</t>
        </is>
      </c>
      <c r="E594" s="8" t="inlineStr">
        <is>
          <t>随墨家机关人图纸附带（同次命中）</t>
        </is>
      </c>
      <c r="F594" s="8" t="inlineStr">
        <is>
          <t>water_stone</t>
        </is>
      </c>
      <c r="G594" s="8" t="inlineStr">
        <is>
          <t>纯水之石</t>
        </is>
      </c>
      <c r="H594" s="8" t="inlineStr">
        <is>
          <t>blue</t>
        </is>
      </c>
      <c r="I594" s="8" t="inlineStr">
        <is>
          <t>resource</t>
        </is>
      </c>
      <c r="J594" s="8" t="n">
        <v>0.02</v>
      </c>
      <c r="K594" s="8" t="n">
        <v>1</v>
      </c>
      <c r="L594" s="8" t="n">
        <v>1</v>
      </c>
      <c r="M594" s="8" t="n">
        <v>1</v>
      </c>
      <c r="N594" s="8" t="n">
        <v>1</v>
      </c>
      <c r="O594" s="8">
        <f>J594*K594/L594</f>
        <v>0.02</v>
      </c>
      <c r="P594" s="8">
        <f>(M594+N594)/2</f>
        <v>1.0</v>
      </c>
      <c r="Q594" s="8">
        <f>O594*P594</f>
        <v>0.02</v>
      </c>
      <c r="R594" s="8" t="n">
        <v>0</v>
      </c>
      <c r="S594" s="8">
        <f>Q594*R594</f>
        <v>0.0</v>
      </c>
      <c r="T594" s="8" t="n"/>
      <c r="U594" s="8" t="inlineStr"/>
      <c r="V594" s="8" t="inlineStr">
        <is>
          <t>data/item_templates.yaml:mission_chest_zhuolu_zhongyuan.effect_payload</t>
        </is>
      </c>
    </row>
    <row r="595" ht="36" customHeight="1">
      <c r="A595" s="8" t="inlineStr">
        <is>
          <t>guandu_zhizhan</t>
        </is>
      </c>
      <c r="B595" s="8" t="inlineStr">
        <is>
          <t>官渡之战</t>
        </is>
      </c>
      <c r="C595" s="8" t="inlineStr">
        <is>
          <t>mission_chest_guandu_zhizhan</t>
        </is>
      </c>
      <c r="D595" s="8" t="inlineStr">
        <is>
          <t>官渡之战宝箱</t>
        </is>
      </c>
      <c r="E595" s="8" t="inlineStr">
        <is>
          <t>必得</t>
        </is>
      </c>
      <c r="F595" s="8" t="inlineStr">
        <is>
          <t>experience_fruit</t>
        </is>
      </c>
      <c r="G595" s="8" t="inlineStr">
        <is>
          <t>经验果</t>
        </is>
      </c>
      <c r="H595" s="8" t="inlineStr">
        <is>
          <t>green</t>
        </is>
      </c>
      <c r="I595" s="8" t="inlineStr">
        <is>
          <t>experience_items</t>
        </is>
      </c>
      <c r="J595" s="8" t="n">
        <v>1</v>
      </c>
      <c r="K595" s="8" t="n">
        <v>1</v>
      </c>
      <c r="L595" s="8" t="n">
        <v>1</v>
      </c>
      <c r="M595" s="8" t="n">
        <v>66</v>
      </c>
      <c r="N595" s="8" t="n">
        <v>66</v>
      </c>
      <c r="O595" s="8">
        <f>J595*K595/L595</f>
        <v>1.0</v>
      </c>
      <c r="P595" s="8">
        <f>(M595+N595)/2</f>
        <v>66.0</v>
      </c>
      <c r="Q595" s="8">
        <f>O595*P595</f>
        <v>66.0</v>
      </c>
      <c r="R595" s="8" t="n">
        <v>1</v>
      </c>
      <c r="S595" s="8">
        <f>Q595*R595</f>
        <v>66.0</v>
      </c>
      <c r="T595" s="8" t="n"/>
      <c r="U595" s="8" t="inlineStr"/>
      <c r="V595" s="8" t="inlineStr">
        <is>
          <t>data/item_templates.yaml:mission_chest_guandu_zhizhan.effect_payload</t>
        </is>
      </c>
    </row>
    <row r="596" ht="36" customHeight="1">
      <c r="A596" s="8" t="inlineStr">
        <is>
          <t>guandu_zhizhan</t>
        </is>
      </c>
      <c r="B596" s="8" t="inlineStr">
        <is>
          <t>官渡之战</t>
        </is>
      </c>
      <c r="C596" s="8" t="inlineStr">
        <is>
          <t>mission_chest_guandu_zhizhan</t>
        </is>
      </c>
      <c r="D596" s="8" t="inlineStr">
        <is>
          <t>官渡之战宝箱</t>
        </is>
      </c>
      <c r="E596" s="8" t="inlineStr">
        <is>
          <t>必得</t>
        </is>
      </c>
      <c r="F596" s="8" t="inlineStr">
        <is>
          <t>buxuedan</t>
        </is>
      </c>
      <c r="G596" s="8" t="inlineStr">
        <is>
          <t>补血丹</t>
        </is>
      </c>
      <c r="H596" s="8" t="inlineStr">
        <is>
          <t>black</t>
        </is>
      </c>
      <c r="I596" s="8" t="inlineStr">
        <is>
          <t>medicine</t>
        </is>
      </c>
      <c r="J596" s="8" t="n">
        <v>1</v>
      </c>
      <c r="K596" s="8" t="n">
        <v>1</v>
      </c>
      <c r="L596" s="8" t="n">
        <v>1</v>
      </c>
      <c r="M596" s="8" t="n">
        <v>4</v>
      </c>
      <c r="N596" s="8" t="n">
        <v>4</v>
      </c>
      <c r="O596" s="8">
        <f>J596*K596/L596</f>
        <v>1.0</v>
      </c>
      <c r="P596" s="8">
        <f>(M596+N596)/2</f>
        <v>4.0</v>
      </c>
      <c r="Q596" s="8">
        <f>O596*P596</f>
        <v>4.0</v>
      </c>
      <c r="R596" s="8" t="n">
        <v>0</v>
      </c>
      <c r="S596" s="8">
        <f>Q596*R596</f>
        <v>0.0</v>
      </c>
      <c r="T596" s="8" t="n"/>
      <c r="U596" s="8" t="inlineStr"/>
      <c r="V596" s="8" t="inlineStr">
        <is>
          <t>data/item_templates.yaml:mission_chest_guandu_zhizhan.effect_payload</t>
        </is>
      </c>
    </row>
    <row r="597" ht="36" customHeight="1">
      <c r="A597" s="8" t="inlineStr">
        <is>
          <t>guandu_zhizhan</t>
        </is>
      </c>
      <c r="B597" s="8" t="inlineStr">
        <is>
          <t>官渡之战</t>
        </is>
      </c>
      <c r="C597" s="8" t="inlineStr">
        <is>
          <t>mission_chest_guandu_zhizhan</t>
        </is>
      </c>
      <c r="D597" s="8" t="inlineStr">
        <is>
          <t>官渡之战宝箱</t>
        </is>
      </c>
      <c r="E597" s="8" t="inlineStr">
        <is>
          <t>必得</t>
        </is>
      </c>
      <c r="F597" s="8" t="inlineStr">
        <is>
          <t>tong</t>
        </is>
      </c>
      <c r="G597" s="8" t="inlineStr">
        <is>
          <t>铜</t>
        </is>
      </c>
      <c r="H597" s="8" t="inlineStr">
        <is>
          <t>black</t>
        </is>
      </c>
      <c r="I597" s="8" t="inlineStr">
        <is>
          <t>resource</t>
        </is>
      </c>
      <c r="J597" s="8" t="n">
        <v>1</v>
      </c>
      <c r="K597" s="8" t="n">
        <v>1</v>
      </c>
      <c r="L597" s="8" t="n">
        <v>1</v>
      </c>
      <c r="M597" s="8" t="n">
        <v>12</v>
      </c>
      <c r="N597" s="8" t="n">
        <v>12</v>
      </c>
      <c r="O597" s="8">
        <f>J597*K597/L597</f>
        <v>1.0</v>
      </c>
      <c r="P597" s="8">
        <f>(M597+N597)/2</f>
        <v>12.0</v>
      </c>
      <c r="Q597" s="8">
        <f>O597*P597</f>
        <v>12.0</v>
      </c>
      <c r="R597" s="8" t="n">
        <v>0</v>
      </c>
      <c r="S597" s="8">
        <f>Q597*R597</f>
        <v>0.0</v>
      </c>
      <c r="T597" s="8" t="n"/>
      <c r="U597" s="8" t="inlineStr"/>
      <c r="V597" s="8" t="inlineStr">
        <is>
          <t>data/item_templates.yaml:mission_chest_guandu_zhizhan.effect_payload</t>
        </is>
      </c>
    </row>
    <row r="598" ht="36" customHeight="1">
      <c r="A598" s="8" t="inlineStr">
        <is>
          <t>guandu_zhizhan</t>
        </is>
      </c>
      <c r="B598" s="8" t="inlineStr">
        <is>
          <t>官渡之战</t>
        </is>
      </c>
      <c r="C598" s="8" t="inlineStr">
        <is>
          <t>mission_chest_guandu_zhizhan</t>
        </is>
      </c>
      <c r="D598" s="8" t="inlineStr">
        <is>
          <t>官渡之战宝箱</t>
        </is>
      </c>
      <c r="E598" s="8" t="inlineStr">
        <is>
          <t>必得</t>
        </is>
      </c>
      <c r="F598" s="8" t="inlineStr">
        <is>
          <t>xi</t>
        </is>
      </c>
      <c r="G598" s="8" t="inlineStr">
        <is>
          <t>锡</t>
        </is>
      </c>
      <c r="H598" s="8" t="inlineStr">
        <is>
          <t>black</t>
        </is>
      </c>
      <c r="I598" s="8" t="inlineStr">
        <is>
          <t>resource</t>
        </is>
      </c>
      <c r="J598" s="8" t="n">
        <v>1</v>
      </c>
      <c r="K598" s="8" t="n">
        <v>1</v>
      </c>
      <c r="L598" s="8" t="n">
        <v>1</v>
      </c>
      <c r="M598" s="8" t="n">
        <v>8</v>
      </c>
      <c r="N598" s="8" t="n">
        <v>8</v>
      </c>
      <c r="O598" s="8">
        <f>J598*K598/L598</f>
        <v>1.0</v>
      </c>
      <c r="P598" s="8">
        <f>(M598+N598)/2</f>
        <v>8.0</v>
      </c>
      <c r="Q598" s="8">
        <f>O598*P598</f>
        <v>8.0</v>
      </c>
      <c r="R598" s="8" t="n">
        <v>0</v>
      </c>
      <c r="S598" s="8">
        <f>Q598*R598</f>
        <v>0.0</v>
      </c>
      <c r="T598" s="8" t="n"/>
      <c r="U598" s="8" t="inlineStr"/>
      <c r="V598" s="8" t="inlineStr">
        <is>
          <t>data/item_templates.yaml:mission_chest_guandu_zhizhan.effect_payload</t>
        </is>
      </c>
    </row>
    <row r="599" ht="36" customHeight="1">
      <c r="A599" s="8" t="inlineStr">
        <is>
          <t>guandu_zhizhan</t>
        </is>
      </c>
      <c r="B599" s="8" t="inlineStr">
        <is>
          <t>官渡之战</t>
        </is>
      </c>
      <c r="C599" s="8" t="inlineStr">
        <is>
          <t>mission_chest_guandu_zhizhan</t>
        </is>
      </c>
      <c r="D599" s="8" t="inlineStr">
        <is>
          <t>官渡之战宝箱</t>
        </is>
      </c>
      <c r="E599" s="8" t="inlineStr">
        <is>
          <t>必得</t>
        </is>
      </c>
      <c r="F599" s="8" t="inlineStr">
        <is>
          <t>tie</t>
        </is>
      </c>
      <c r="G599" s="8" t="inlineStr">
        <is>
          <t>铁</t>
        </is>
      </c>
      <c r="H599" s="8" t="inlineStr">
        <is>
          <t>black</t>
        </is>
      </c>
      <c r="I599" s="8" t="inlineStr">
        <is>
          <t>resource</t>
        </is>
      </c>
      <c r="J599" s="8" t="n">
        <v>1</v>
      </c>
      <c r="K599" s="8" t="n">
        <v>1</v>
      </c>
      <c r="L599" s="8" t="n">
        <v>1</v>
      </c>
      <c r="M599" s="8" t="n">
        <v>5</v>
      </c>
      <c r="N599" s="8" t="n">
        <v>5</v>
      </c>
      <c r="O599" s="8">
        <f>J599*K599/L599</f>
        <v>1.0</v>
      </c>
      <c r="P599" s="8">
        <f>(M599+N599)/2</f>
        <v>5.0</v>
      </c>
      <c r="Q599" s="8">
        <f>O599*P599</f>
        <v>5.0</v>
      </c>
      <c r="R599" s="8" t="n">
        <v>0</v>
      </c>
      <c r="S599" s="8">
        <f>Q599*R599</f>
        <v>0.0</v>
      </c>
      <c r="T599" s="8" t="n"/>
      <c r="U599" s="8" t="inlineStr"/>
      <c r="V599" s="8" t="inlineStr">
        <is>
          <t>data/item_templates.yaml:mission_chest_guandu_zhizhan.effect_payload</t>
        </is>
      </c>
    </row>
    <row r="600" ht="36" customHeight="1">
      <c r="A600" s="8" t="inlineStr">
        <is>
          <t>guandu_zhizhan</t>
        </is>
      </c>
      <c r="B600" s="8" t="inlineStr">
        <is>
          <t>官渡之战</t>
        </is>
      </c>
      <c r="C600" s="8" t="inlineStr">
        <is>
          <t>mission_chest_guandu_zhizhan</t>
        </is>
      </c>
      <c r="D600" s="8" t="inlineStr">
        <is>
          <t>官渡之战宝箱</t>
        </is>
      </c>
      <c r="E600" s="8" t="inlineStr">
        <is>
          <t>必得</t>
        </is>
      </c>
      <c r="F600" s="8" t="inlineStr">
        <is>
          <t>guandu_emperor_fragment</t>
        </is>
      </c>
      <c r="G600" s="8" t="inlineStr">
        <is>
          <t>官渡帝王战章</t>
        </is>
      </c>
      <c r="H600" s="8" t="inlineStr">
        <is>
          <t>orange</t>
        </is>
      </c>
      <c r="I600" s="8" t="inlineStr">
        <is>
          <t>tool</t>
        </is>
      </c>
      <c r="J600" s="8" t="n">
        <v>1</v>
      </c>
      <c r="K600" s="8" t="n">
        <v>1</v>
      </c>
      <c r="L600" s="8" t="n">
        <v>1</v>
      </c>
      <c r="M600" s="8" t="n">
        <v>1</v>
      </c>
      <c r="N600" s="8" t="n">
        <v>1</v>
      </c>
      <c r="O600" s="8">
        <f>J600*K600/L600</f>
        <v>1.0</v>
      </c>
      <c r="P600" s="8">
        <f>(M600+N600)/2</f>
        <v>1.0</v>
      </c>
      <c r="Q600" s="8">
        <f>O600*P600</f>
        <v>1.0</v>
      </c>
      <c r="R600" s="8" t="n">
        <v>0</v>
      </c>
      <c r="S600" s="8">
        <f>Q600*R600</f>
        <v>0.0</v>
      </c>
      <c r="T600" s="8" t="n"/>
      <c r="U600" s="8" t="inlineStr"/>
      <c r="V600" s="8" t="inlineStr">
        <is>
          <t>data/item_templates.yaml:mission_chest_guandu_zhizhan.effect_payload</t>
        </is>
      </c>
    </row>
    <row r="601" ht="36" customHeight="1">
      <c r="A601" s="8" t="inlineStr">
        <is>
          <t>guandu_zhizhan</t>
        </is>
      </c>
      <c r="B601" s="8" t="inlineStr">
        <is>
          <t>官渡之战</t>
        </is>
      </c>
      <c r="C601" s="8" t="inlineStr">
        <is>
          <t>mission_chest_guandu_zhizhan</t>
        </is>
      </c>
      <c r="D601" s="8" t="inlineStr">
        <is>
          <t>官渡之战宝箱</t>
        </is>
      </c>
      <c r="E601" s="8" t="inlineStr">
        <is>
          <t>experience_watermelon</t>
        </is>
      </c>
      <c r="F601" s="8" t="inlineStr">
        <is>
          <t>experience_watermelon</t>
        </is>
      </c>
      <c r="G601" s="8" t="inlineStr">
        <is>
          <t>经验西瓜</t>
        </is>
      </c>
      <c r="H601" s="8" t="inlineStr">
        <is>
          <t>purple</t>
        </is>
      </c>
      <c r="I601" s="8" t="inlineStr">
        <is>
          <t>experience_items</t>
        </is>
      </c>
      <c r="J601" s="8" t="n">
        <v>0.75</v>
      </c>
      <c r="K601" s="8" t="n">
        <v>1</v>
      </c>
      <c r="L601" s="8" t="n">
        <v>1</v>
      </c>
      <c r="M601" s="8" t="n">
        <v>5</v>
      </c>
      <c r="N601" s="8" t="n">
        <v>5</v>
      </c>
      <c r="O601" s="8">
        <f>J601*K601/L601</f>
        <v>0.75</v>
      </c>
      <c r="P601" s="8">
        <f>(M601+N601)/2</f>
        <v>5.0</v>
      </c>
      <c r="Q601" s="8">
        <f>O601*P601</f>
        <v>3.75</v>
      </c>
      <c r="R601" s="8" t="n">
        <v>24</v>
      </c>
      <c r="S601" s="8">
        <f>Q601*R601</f>
        <v>90.0</v>
      </c>
      <c r="T601" s="8" t="n"/>
      <c r="U601" s="8" t="inlineStr"/>
      <c r="V601" s="8" t="inlineStr">
        <is>
          <t>data/item_templates.yaml:mission_chest_guandu_zhizhan.effect_payload</t>
        </is>
      </c>
    </row>
    <row r="602" ht="36" customHeight="1">
      <c r="A602" s="8" t="inlineStr">
        <is>
          <t>guandu_zhizhan</t>
        </is>
      </c>
      <c r="B602" s="8" t="inlineStr">
        <is>
          <t>官渡之战</t>
        </is>
      </c>
      <c r="C602" s="8" t="inlineStr">
        <is>
          <t>mission_chest_guandu_zhizhan</t>
        </is>
      </c>
      <c r="D602" s="8" t="inlineStr">
        <is>
          <t>官渡之战宝箱</t>
        </is>
      </c>
      <c r="E602" s="8" t="inlineStr">
        <is>
          <t>官渡橙色军备</t>
        </is>
      </c>
      <c r="F602" s="8" t="inlineStr">
        <is>
          <t>equip_taixudiguan</t>
        </is>
      </c>
      <c r="G602" s="8" t="inlineStr">
        <is>
          <t>太虚帝冠</t>
        </is>
      </c>
      <c r="H602" s="8" t="inlineStr">
        <is>
          <t>orange</t>
        </is>
      </c>
      <c r="I602" s="8" t="inlineStr">
        <is>
          <t>equip_helmet</t>
        </is>
      </c>
      <c r="J602" s="8" t="n">
        <v>0.15</v>
      </c>
      <c r="K602" s="8" t="n">
        <v>120</v>
      </c>
      <c r="L602" s="8" t="n">
        <v>588</v>
      </c>
      <c r="M602" s="8" t="n">
        <v>1</v>
      </c>
      <c r="N602" s="8" t="n">
        <v>1</v>
      </c>
      <c r="O602" s="8">
        <f>J602*K602/L602</f>
        <v>0.030612244897959183</v>
      </c>
      <c r="P602" s="8">
        <f>(M602+N602)/2</f>
        <v>1.0</v>
      </c>
      <c r="Q602" s="8">
        <f>O602*P602</f>
        <v>0.030612244897959183</v>
      </c>
      <c r="R602" s="8" t="n">
        <v>0</v>
      </c>
      <c r="S602" s="8">
        <f>Q602*R602</f>
        <v>0.0</v>
      </c>
      <c r="T602" s="8" t="n"/>
      <c r="U602" s="8" t="inlineStr"/>
      <c r="V602" s="8" t="inlineStr">
        <is>
          <t>data/item_templates.yaml:mission_chest_guandu_zhizhan.effect_payload</t>
        </is>
      </c>
    </row>
    <row r="603" ht="36" customHeight="1">
      <c r="A603" s="8" t="inlineStr">
        <is>
          <t>guandu_zhizhan</t>
        </is>
      </c>
      <c r="B603" s="8" t="inlineStr">
        <is>
          <t>官渡之战</t>
        </is>
      </c>
      <c r="C603" s="8" t="inlineStr">
        <is>
          <t>mission_chest_guandu_zhizhan</t>
        </is>
      </c>
      <c r="D603" s="8" t="inlineStr">
        <is>
          <t>官渡之战宝箱</t>
        </is>
      </c>
      <c r="E603" s="8" t="inlineStr">
        <is>
          <t>官渡橙色军备</t>
        </is>
      </c>
      <c r="F603" s="8" t="inlineStr">
        <is>
          <t>equip_hundunlongpao</t>
        </is>
      </c>
      <c r="G603" s="8" t="inlineStr">
        <is>
          <t>混沌龙袍</t>
        </is>
      </c>
      <c r="H603" s="8" t="inlineStr">
        <is>
          <t>orange</t>
        </is>
      </c>
      <c r="I603" s="8" t="inlineStr">
        <is>
          <t>equip_armor</t>
        </is>
      </c>
      <c r="J603" s="8" t="n">
        <v>0.15</v>
      </c>
      <c r="K603" s="8" t="n">
        <v>120</v>
      </c>
      <c r="L603" s="8" t="n">
        <v>588</v>
      </c>
      <c r="M603" s="8" t="n">
        <v>1</v>
      </c>
      <c r="N603" s="8" t="n">
        <v>1</v>
      </c>
      <c r="O603" s="8">
        <f>J603*K603/L603</f>
        <v>0.030612244897959183</v>
      </c>
      <c r="P603" s="8">
        <f>(M603+N603)/2</f>
        <v>1.0</v>
      </c>
      <c r="Q603" s="8">
        <f>O603*P603</f>
        <v>0.030612244897959183</v>
      </c>
      <c r="R603" s="8" t="n">
        <v>0</v>
      </c>
      <c r="S603" s="8">
        <f>Q603*R603</f>
        <v>0.0</v>
      </c>
      <c r="T603" s="8" t="n"/>
      <c r="U603" s="8" t="inlineStr"/>
      <c r="V603" s="8" t="inlineStr">
        <is>
          <t>data/item_templates.yaml:mission_chest_guandu_zhizhan.effect_payload</t>
        </is>
      </c>
    </row>
    <row r="604" ht="36" customHeight="1">
      <c r="A604" s="8" t="inlineStr">
        <is>
          <t>guandu_zhizhan</t>
        </is>
      </c>
      <c r="B604" s="8" t="inlineStr">
        <is>
          <t>官渡之战</t>
        </is>
      </c>
      <c r="C604" s="8" t="inlineStr">
        <is>
          <t>mission_chest_guandu_zhizhan</t>
        </is>
      </c>
      <c r="D604" s="8" t="inlineStr">
        <is>
          <t>官渡之战宝箱</t>
        </is>
      </c>
      <c r="E604" s="8" t="inlineStr">
        <is>
          <t>官渡橙色军备</t>
        </is>
      </c>
      <c r="F604" s="8" t="inlineStr">
        <is>
          <t>equip_diwangkui</t>
        </is>
      </c>
      <c r="G604" s="8" t="inlineStr">
        <is>
          <t>帝王盔</t>
        </is>
      </c>
      <c r="H604" s="8" t="inlineStr">
        <is>
          <t>orange</t>
        </is>
      </c>
      <c r="I604" s="8" t="inlineStr">
        <is>
          <t>equip_helmet</t>
        </is>
      </c>
      <c r="J604" s="8" t="n">
        <v>0.15</v>
      </c>
      <c r="K604" s="8" t="n">
        <v>120</v>
      </c>
      <c r="L604" s="8" t="n">
        <v>588</v>
      </c>
      <c r="M604" s="8" t="n">
        <v>1</v>
      </c>
      <c r="N604" s="8" t="n">
        <v>1</v>
      </c>
      <c r="O604" s="8">
        <f>J604*K604/L604</f>
        <v>0.030612244897959183</v>
      </c>
      <c r="P604" s="8">
        <f>(M604+N604)/2</f>
        <v>1.0</v>
      </c>
      <c r="Q604" s="8">
        <f>O604*P604</f>
        <v>0.030612244897959183</v>
      </c>
      <c r="R604" s="8" t="n">
        <v>0</v>
      </c>
      <c r="S604" s="8">
        <f>Q604*R604</f>
        <v>0.0</v>
      </c>
      <c r="T604" s="8" t="n"/>
      <c r="U604" s="8" t="inlineStr"/>
      <c r="V604" s="8" t="inlineStr">
        <is>
          <t>data/item_templates.yaml:mission_chest_guandu_zhizhan.effect_payload</t>
        </is>
      </c>
    </row>
    <row r="605" ht="36" customHeight="1">
      <c r="A605" s="8" t="inlineStr">
        <is>
          <t>guandu_zhizhan</t>
        </is>
      </c>
      <c r="B605" s="8" t="inlineStr">
        <is>
          <t>官渡之战</t>
        </is>
      </c>
      <c r="C605" s="8" t="inlineStr">
        <is>
          <t>mission_chest_guandu_zhizhan</t>
        </is>
      </c>
      <c r="D605" s="8" t="inlineStr">
        <is>
          <t>官渡之战宝箱</t>
        </is>
      </c>
      <c r="E605" s="8" t="inlineStr">
        <is>
          <t>官渡橙色军备</t>
        </is>
      </c>
      <c r="F605" s="8" t="inlineStr">
        <is>
          <t>equip_panlonggun</t>
        </is>
      </c>
      <c r="G605" s="8" t="inlineStr">
        <is>
          <t>盘龙棍</t>
        </is>
      </c>
      <c r="H605" s="8" t="inlineStr">
        <is>
          <t>orange</t>
        </is>
      </c>
      <c r="I605" s="8" t="inlineStr">
        <is>
          <t>equip_weapon</t>
        </is>
      </c>
      <c r="J605" s="8" t="n">
        <v>0.15</v>
      </c>
      <c r="K605" s="8" t="n">
        <v>96</v>
      </c>
      <c r="L605" s="8" t="n">
        <v>588</v>
      </c>
      <c r="M605" s="8" t="n">
        <v>1</v>
      </c>
      <c r="N605" s="8" t="n">
        <v>1</v>
      </c>
      <c r="O605" s="8">
        <f>J605*K605/L605</f>
        <v>0.024489795918367346</v>
      </c>
      <c r="P605" s="8">
        <f>(M605+N605)/2</f>
        <v>1.0</v>
      </c>
      <c r="Q605" s="8">
        <f>O605*P605</f>
        <v>0.024489795918367346</v>
      </c>
      <c r="R605" s="8" t="n">
        <v>0</v>
      </c>
      <c r="S605" s="8">
        <f>Q605*R605</f>
        <v>0.0</v>
      </c>
      <c r="T605" s="8" t="n"/>
      <c r="U605" s="8" t="inlineStr"/>
      <c r="V605" s="8" t="inlineStr">
        <is>
          <t>data/item_templates.yaml:mission_chest_guandu_zhizhan.effect_payload</t>
        </is>
      </c>
    </row>
    <row r="606" ht="36" customHeight="1">
      <c r="A606" s="8" t="inlineStr">
        <is>
          <t>guandu_zhizhan</t>
        </is>
      </c>
      <c r="B606" s="8" t="inlineStr">
        <is>
          <t>官渡之战</t>
        </is>
      </c>
      <c r="C606" s="8" t="inlineStr">
        <is>
          <t>mission_chest_guandu_zhizhan</t>
        </is>
      </c>
      <c r="D606" s="8" t="inlineStr">
        <is>
          <t>官渡之战宝箱</t>
        </is>
      </c>
      <c r="E606" s="8" t="inlineStr">
        <is>
          <t>官渡橙色军备</t>
        </is>
      </c>
      <c r="F606" s="8" t="inlineStr">
        <is>
          <t>equip_qiankunshengong</t>
        </is>
      </c>
      <c r="G606" s="8" t="inlineStr">
        <is>
          <t>乾坤神弓</t>
        </is>
      </c>
      <c r="H606" s="8" t="inlineStr">
        <is>
          <t>orange</t>
        </is>
      </c>
      <c r="I606" s="8" t="inlineStr">
        <is>
          <t>equip_weapon</t>
        </is>
      </c>
      <c r="J606" s="8" t="n">
        <v>0.15</v>
      </c>
      <c r="K606" s="8" t="n">
        <v>96</v>
      </c>
      <c r="L606" s="8" t="n">
        <v>588</v>
      </c>
      <c r="M606" s="8" t="n">
        <v>1</v>
      </c>
      <c r="N606" s="8" t="n">
        <v>1</v>
      </c>
      <c r="O606" s="8">
        <f>J606*K606/L606</f>
        <v>0.024489795918367346</v>
      </c>
      <c r="P606" s="8">
        <f>(M606+N606)/2</f>
        <v>1.0</v>
      </c>
      <c r="Q606" s="8">
        <f>O606*P606</f>
        <v>0.024489795918367346</v>
      </c>
      <c r="R606" s="8" t="n">
        <v>0</v>
      </c>
      <c r="S606" s="8">
        <f>Q606*R606</f>
        <v>0.0</v>
      </c>
      <c r="T606" s="8" t="n"/>
      <c r="U606" s="8" t="inlineStr"/>
      <c r="V606" s="8" t="inlineStr">
        <is>
          <t>data/item_templates.yaml:mission_chest_guandu_zhizhan.effect_payload</t>
        </is>
      </c>
    </row>
    <row r="607" ht="36" customHeight="1">
      <c r="A607" s="8" t="inlineStr">
        <is>
          <t>guandu_zhizhan</t>
        </is>
      </c>
      <c r="B607" s="8" t="inlineStr">
        <is>
          <t>官渡之战</t>
        </is>
      </c>
      <c r="C607" s="8" t="inlineStr">
        <is>
          <t>mission_chest_guandu_zhizhan</t>
        </is>
      </c>
      <c r="D607" s="8" t="inlineStr">
        <is>
          <t>官渡之战宝箱</t>
        </is>
      </c>
      <c r="E607" s="8" t="inlineStr">
        <is>
          <t>官渡橙色军备</t>
        </is>
      </c>
      <c r="F607" s="8" t="inlineStr">
        <is>
          <t>equip_changshengjian</t>
        </is>
      </c>
      <c r="G607" s="8" t="inlineStr">
        <is>
          <t>长生剑</t>
        </is>
      </c>
      <c r="H607" s="8" t="inlineStr">
        <is>
          <t>orange</t>
        </is>
      </c>
      <c r="I607" s="8" t="inlineStr">
        <is>
          <t>equip_weapon</t>
        </is>
      </c>
      <c r="J607" s="8" t="n">
        <v>0.15</v>
      </c>
      <c r="K607" s="8" t="n">
        <v>36</v>
      </c>
      <c r="L607" s="8" t="n">
        <v>588</v>
      </c>
      <c r="M607" s="8" t="n">
        <v>1</v>
      </c>
      <c r="N607" s="8" t="n">
        <v>1</v>
      </c>
      <c r="O607" s="8">
        <f>J607*K607/L607</f>
        <v>0.009183673469387754</v>
      </c>
      <c r="P607" s="8">
        <f>(M607+N607)/2</f>
        <v>1.0</v>
      </c>
      <c r="Q607" s="8">
        <f>O607*P607</f>
        <v>0.009183673469387754</v>
      </c>
      <c r="R607" s="8" t="n">
        <v>0</v>
      </c>
      <c r="S607" s="8">
        <f>Q607*R607</f>
        <v>0.0</v>
      </c>
      <c r="T607" s="8" t="n"/>
      <c r="U607" s="8" t="inlineStr"/>
      <c r="V607" s="8" t="inlineStr">
        <is>
          <t>data/item_templates.yaml:mission_chest_guandu_zhizhan.effect_payload</t>
        </is>
      </c>
    </row>
    <row r="608" ht="36" customHeight="1">
      <c r="A608" s="8" t="inlineStr">
        <is>
          <t>guandu_zhizhan</t>
        </is>
      </c>
      <c r="B608" s="8" t="inlineStr">
        <is>
          <t>官渡之战</t>
        </is>
      </c>
      <c r="C608" s="8" t="inlineStr">
        <is>
          <t>mission_chest_guandu_zhizhan</t>
        </is>
      </c>
      <c r="D608" s="8" t="inlineStr">
        <is>
          <t>官渡之战宝箱</t>
        </is>
      </c>
      <c r="E608" s="8" t="inlineStr">
        <is>
          <t>曹氏名驹</t>
        </is>
      </c>
      <c r="F608" s="8" t="inlineStr">
        <is>
          <t>equip_jueying</t>
        </is>
      </c>
      <c r="G608" s="8" t="inlineStr">
        <is>
          <t>绝影</t>
        </is>
      </c>
      <c r="H608" s="8" t="inlineStr">
        <is>
          <t>purple</t>
        </is>
      </c>
      <c r="I608" s="8" t="inlineStr">
        <is>
          <t>equip_mount</t>
        </is>
      </c>
      <c r="J608" s="8" t="n">
        <v>0.25</v>
      </c>
      <c r="K608" s="8" t="n">
        <v>1</v>
      </c>
      <c r="L608" s="8" t="n">
        <v>2</v>
      </c>
      <c r="M608" s="8" t="n">
        <v>1</v>
      </c>
      <c r="N608" s="8" t="n">
        <v>1</v>
      </c>
      <c r="O608" s="8">
        <f>J608*K608/L608</f>
        <v>0.125</v>
      </c>
      <c r="P608" s="8">
        <f>(M608+N608)/2</f>
        <v>1.0</v>
      </c>
      <c r="Q608" s="8">
        <f>O608*P608</f>
        <v>0.125</v>
      </c>
      <c r="R608" s="8" t="n">
        <v>0</v>
      </c>
      <c r="S608" s="8">
        <f>Q608*R608</f>
        <v>0.0</v>
      </c>
      <c r="T608" s="8" t="n"/>
      <c r="U608" s="8" t="inlineStr"/>
      <c r="V608" s="8" t="inlineStr">
        <is>
          <t>data/item_templates.yaml:mission_chest_guandu_zhizhan.effect_payload</t>
        </is>
      </c>
    </row>
    <row r="609" ht="36" customHeight="1">
      <c r="A609" s="8" t="inlineStr">
        <is>
          <t>guandu_zhizhan</t>
        </is>
      </c>
      <c r="B609" s="8" t="inlineStr">
        <is>
          <t>官渡之战</t>
        </is>
      </c>
      <c r="C609" s="8" t="inlineStr">
        <is>
          <t>mission_chest_guandu_zhizhan</t>
        </is>
      </c>
      <c r="D609" s="8" t="inlineStr">
        <is>
          <t>官渡之战宝箱</t>
        </is>
      </c>
      <c r="E609" s="8" t="inlineStr">
        <is>
          <t>曹氏名驹</t>
        </is>
      </c>
      <c r="F609" s="8" t="inlineStr">
        <is>
          <t>equip_zhaohuangfeidian</t>
        </is>
      </c>
      <c r="G609" s="8" t="inlineStr">
        <is>
          <t>爪黄飞电</t>
        </is>
      </c>
      <c r="H609" s="8" t="inlineStr">
        <is>
          <t>purple</t>
        </is>
      </c>
      <c r="I609" s="8" t="inlineStr">
        <is>
          <t>equip_mount</t>
        </is>
      </c>
      <c r="J609" s="8" t="n">
        <v>0.25</v>
      </c>
      <c r="K609" s="8" t="n">
        <v>1</v>
      </c>
      <c r="L609" s="8" t="n">
        <v>2</v>
      </c>
      <c r="M609" s="8" t="n">
        <v>1</v>
      </c>
      <c r="N609" s="8" t="n">
        <v>1</v>
      </c>
      <c r="O609" s="8">
        <f>J609*K609/L609</f>
        <v>0.125</v>
      </c>
      <c r="P609" s="8">
        <f>(M609+N609)/2</f>
        <v>1.0</v>
      </c>
      <c r="Q609" s="8">
        <f>O609*P609</f>
        <v>0.125</v>
      </c>
      <c r="R609" s="8" t="n">
        <v>0</v>
      </c>
      <c r="S609" s="8">
        <f>Q609*R609</f>
        <v>0.0</v>
      </c>
      <c r="T609" s="8" t="n"/>
      <c r="U609" s="8" t="inlineStr"/>
      <c r="V609" s="8" t="inlineStr">
        <is>
          <t>data/item_templates.yaml:mission_chest_guandu_zhizhan.effect_payload</t>
        </is>
      </c>
    </row>
    <row r="610" ht="36" customHeight="1">
      <c r="A610" s="8" t="inlineStr">
        <is>
          <t>huashan_lunjian_advanced</t>
        </is>
      </c>
      <c r="B610" s="8" t="inlineStr">
        <is>
          <t>华山论剑</t>
        </is>
      </c>
      <c r="C610" s="8" t="inlineStr">
        <is>
          <t>mission_chest_huashan_lunjian_advanced</t>
        </is>
      </c>
      <c r="D610" s="8" t="inlineStr">
        <is>
          <t>华山论剑宝箱</t>
        </is>
      </c>
      <c r="E610" s="8" t="inlineStr">
        <is>
          <t>必得</t>
        </is>
      </c>
      <c r="F610" s="8" t="inlineStr">
        <is>
          <t>experience_fruit</t>
        </is>
      </c>
      <c r="G610" s="8" t="inlineStr">
        <is>
          <t>经验果</t>
        </is>
      </c>
      <c r="H610" s="8" t="inlineStr">
        <is>
          <t>green</t>
        </is>
      </c>
      <c r="I610" s="8" t="inlineStr">
        <is>
          <t>experience_items</t>
        </is>
      </c>
      <c r="J610" s="8" t="n">
        <v>1</v>
      </c>
      <c r="K610" s="8" t="n">
        <v>1</v>
      </c>
      <c r="L610" s="8" t="n">
        <v>1</v>
      </c>
      <c r="M610" s="8" t="n">
        <v>185</v>
      </c>
      <c r="N610" s="8" t="n">
        <v>185</v>
      </c>
      <c r="O610" s="8">
        <f>J610*K610/L610</f>
        <v>1.0</v>
      </c>
      <c r="P610" s="8">
        <f>(M610+N610)/2</f>
        <v>185.0</v>
      </c>
      <c r="Q610" s="8">
        <f>O610*P610</f>
        <v>185.0</v>
      </c>
      <c r="R610" s="8" t="n">
        <v>1</v>
      </c>
      <c r="S610" s="8">
        <f>Q610*R610</f>
        <v>185.0</v>
      </c>
      <c r="T610" s="8" t="n"/>
      <c r="U610" s="8" t="inlineStr"/>
      <c r="V610" s="8" t="inlineStr">
        <is>
          <t>data/item_templates.yaml:mission_chest_huashan_lunjian_advanced.effect_payload</t>
        </is>
      </c>
    </row>
    <row r="611" ht="36" customHeight="1">
      <c r="A611" s="8" t="inlineStr">
        <is>
          <t>huashan_lunjian_advanced</t>
        </is>
      </c>
      <c r="B611" s="8" t="inlineStr">
        <is>
          <t>华山论剑</t>
        </is>
      </c>
      <c r="C611" s="8" t="inlineStr">
        <is>
          <t>mission_chest_huashan_lunjian_advanced</t>
        </is>
      </c>
      <c r="D611" s="8" t="inlineStr">
        <is>
          <t>华山论剑宝箱</t>
        </is>
      </c>
      <c r="E611" s="8" t="inlineStr">
        <is>
          <t>必得</t>
        </is>
      </c>
      <c r="F611" s="8" t="inlineStr">
        <is>
          <t>buxuedan</t>
        </is>
      </c>
      <c r="G611" s="8" t="inlineStr">
        <is>
          <t>补血丹</t>
        </is>
      </c>
      <c r="H611" s="8" t="inlineStr">
        <is>
          <t>black</t>
        </is>
      </c>
      <c r="I611" s="8" t="inlineStr">
        <is>
          <t>medicine</t>
        </is>
      </c>
      <c r="J611" s="8" t="n">
        <v>1</v>
      </c>
      <c r="K611" s="8" t="n">
        <v>1</v>
      </c>
      <c r="L611" s="8" t="n">
        <v>1</v>
      </c>
      <c r="M611" s="8" t="n">
        <v>4</v>
      </c>
      <c r="N611" s="8" t="n">
        <v>4</v>
      </c>
      <c r="O611" s="8">
        <f>J611*K611/L611</f>
        <v>1.0</v>
      </c>
      <c r="P611" s="8">
        <f>(M611+N611)/2</f>
        <v>4.0</v>
      </c>
      <c r="Q611" s="8">
        <f>O611*P611</f>
        <v>4.0</v>
      </c>
      <c r="R611" s="8" t="n">
        <v>0</v>
      </c>
      <c r="S611" s="8">
        <f>Q611*R611</f>
        <v>0.0</v>
      </c>
      <c r="T611" s="8" t="n"/>
      <c r="U611" s="8" t="inlineStr"/>
      <c r="V611" s="8" t="inlineStr">
        <is>
          <t>data/item_templates.yaml:mission_chest_huashan_lunjian_advanced.effect_payload</t>
        </is>
      </c>
    </row>
    <row r="612" ht="36" customHeight="1">
      <c r="A612" s="8" t="inlineStr">
        <is>
          <t>huashan_lunjian_advanced</t>
        </is>
      </c>
      <c r="B612" s="8" t="inlineStr">
        <is>
          <t>华山论剑</t>
        </is>
      </c>
      <c r="C612" s="8" t="inlineStr">
        <is>
          <t>mission_chest_huashan_lunjian_advanced</t>
        </is>
      </c>
      <c r="D612" s="8" t="inlineStr">
        <is>
          <t>华山论剑宝箱</t>
        </is>
      </c>
      <c r="E612" s="8" t="inlineStr">
        <is>
          <t>必得</t>
        </is>
      </c>
      <c r="F612" s="8" t="inlineStr">
        <is>
          <t>tong</t>
        </is>
      </c>
      <c r="G612" s="8" t="inlineStr">
        <is>
          <t>铜</t>
        </is>
      </c>
      <c r="H612" s="8" t="inlineStr">
        <is>
          <t>black</t>
        </is>
      </c>
      <c r="I612" s="8" t="inlineStr">
        <is>
          <t>resource</t>
        </is>
      </c>
      <c r="J612" s="8" t="n">
        <v>1</v>
      </c>
      <c r="K612" s="8" t="n">
        <v>1</v>
      </c>
      <c r="L612" s="8" t="n">
        <v>1</v>
      </c>
      <c r="M612" s="8" t="n">
        <v>12</v>
      </c>
      <c r="N612" s="8" t="n">
        <v>12</v>
      </c>
      <c r="O612" s="8">
        <f>J612*K612/L612</f>
        <v>1.0</v>
      </c>
      <c r="P612" s="8">
        <f>(M612+N612)/2</f>
        <v>12.0</v>
      </c>
      <c r="Q612" s="8">
        <f>O612*P612</f>
        <v>12.0</v>
      </c>
      <c r="R612" s="8" t="n">
        <v>0</v>
      </c>
      <c r="S612" s="8">
        <f>Q612*R612</f>
        <v>0.0</v>
      </c>
      <c r="T612" s="8" t="n"/>
      <c r="U612" s="8" t="inlineStr"/>
      <c r="V612" s="8" t="inlineStr">
        <is>
          <t>data/item_templates.yaml:mission_chest_huashan_lunjian_advanced.effect_payload</t>
        </is>
      </c>
    </row>
    <row r="613" ht="36" customHeight="1">
      <c r="A613" s="8" t="inlineStr">
        <is>
          <t>huashan_lunjian_advanced</t>
        </is>
      </c>
      <c r="B613" s="8" t="inlineStr">
        <is>
          <t>华山论剑</t>
        </is>
      </c>
      <c r="C613" s="8" t="inlineStr">
        <is>
          <t>mission_chest_huashan_lunjian_advanced</t>
        </is>
      </c>
      <c r="D613" s="8" t="inlineStr">
        <is>
          <t>华山论剑宝箱</t>
        </is>
      </c>
      <c r="E613" s="8" t="inlineStr">
        <is>
          <t>必得</t>
        </is>
      </c>
      <c r="F613" s="8" t="inlineStr">
        <is>
          <t>xi</t>
        </is>
      </c>
      <c r="G613" s="8" t="inlineStr">
        <is>
          <t>锡</t>
        </is>
      </c>
      <c r="H613" s="8" t="inlineStr">
        <is>
          <t>black</t>
        </is>
      </c>
      <c r="I613" s="8" t="inlineStr">
        <is>
          <t>resource</t>
        </is>
      </c>
      <c r="J613" s="8" t="n">
        <v>1</v>
      </c>
      <c r="K613" s="8" t="n">
        <v>1</v>
      </c>
      <c r="L613" s="8" t="n">
        <v>1</v>
      </c>
      <c r="M613" s="8" t="n">
        <v>8</v>
      </c>
      <c r="N613" s="8" t="n">
        <v>8</v>
      </c>
      <c r="O613" s="8">
        <f>J613*K613/L613</f>
        <v>1.0</v>
      </c>
      <c r="P613" s="8">
        <f>(M613+N613)/2</f>
        <v>8.0</v>
      </c>
      <c r="Q613" s="8">
        <f>O613*P613</f>
        <v>8.0</v>
      </c>
      <c r="R613" s="8" t="n">
        <v>0</v>
      </c>
      <c r="S613" s="8">
        <f>Q613*R613</f>
        <v>0.0</v>
      </c>
      <c r="T613" s="8" t="n"/>
      <c r="U613" s="8" t="inlineStr"/>
      <c r="V613" s="8" t="inlineStr">
        <is>
          <t>data/item_templates.yaml:mission_chest_huashan_lunjian_advanced.effect_payload</t>
        </is>
      </c>
    </row>
    <row r="614" ht="36" customHeight="1">
      <c r="A614" s="8" t="inlineStr">
        <is>
          <t>huashan_lunjian_advanced</t>
        </is>
      </c>
      <c r="B614" s="8" t="inlineStr">
        <is>
          <t>华山论剑</t>
        </is>
      </c>
      <c r="C614" s="8" t="inlineStr">
        <is>
          <t>mission_chest_huashan_lunjian_advanced</t>
        </is>
      </c>
      <c r="D614" s="8" t="inlineStr">
        <is>
          <t>华山论剑宝箱</t>
        </is>
      </c>
      <c r="E614" s="8" t="inlineStr">
        <is>
          <t>必得</t>
        </is>
      </c>
      <c r="F614" s="8" t="inlineStr">
        <is>
          <t>tie</t>
        </is>
      </c>
      <c r="G614" s="8" t="inlineStr">
        <is>
          <t>铁</t>
        </is>
      </c>
      <c r="H614" s="8" t="inlineStr">
        <is>
          <t>black</t>
        </is>
      </c>
      <c r="I614" s="8" t="inlineStr">
        <is>
          <t>resource</t>
        </is>
      </c>
      <c r="J614" s="8" t="n">
        <v>1</v>
      </c>
      <c r="K614" s="8" t="n">
        <v>1</v>
      </c>
      <c r="L614" s="8" t="n">
        <v>1</v>
      </c>
      <c r="M614" s="8" t="n">
        <v>5</v>
      </c>
      <c r="N614" s="8" t="n">
        <v>5</v>
      </c>
      <c r="O614" s="8">
        <f>J614*K614/L614</f>
        <v>1.0</v>
      </c>
      <c r="P614" s="8">
        <f>(M614+N614)/2</f>
        <v>5.0</v>
      </c>
      <c r="Q614" s="8">
        <f>O614*P614</f>
        <v>5.0</v>
      </c>
      <c r="R614" s="8" t="n">
        <v>0</v>
      </c>
      <c r="S614" s="8">
        <f>Q614*R614</f>
        <v>0.0</v>
      </c>
      <c r="T614" s="8" t="n"/>
      <c r="U614" s="8" t="inlineStr"/>
      <c r="V614" s="8" t="inlineStr">
        <is>
          <t>data/item_templates.yaml:mission_chest_huashan_lunjian_advanced.effect_payload</t>
        </is>
      </c>
    </row>
    <row r="615" ht="36" customHeight="1">
      <c r="A615" s="8" t="inlineStr">
        <is>
          <t>huashan_lunjian_advanced</t>
        </is>
      </c>
      <c r="B615" s="8" t="inlineStr">
        <is>
          <t>华山论剑</t>
        </is>
      </c>
      <c r="C615" s="8" t="inlineStr">
        <is>
          <t>mission_chest_huashan_lunjian_advanced</t>
        </is>
      </c>
      <c r="D615" s="8" t="inlineStr">
        <is>
          <t>华山论剑宝箱</t>
        </is>
      </c>
      <c r="E615" s="8" t="inlineStr">
        <is>
          <t>必得</t>
        </is>
      </c>
      <c r="F615" s="8" t="inlineStr">
        <is>
          <t>huashan_sword_fragment</t>
        </is>
      </c>
      <c r="G615" s="8" t="inlineStr">
        <is>
          <t>华山重剑心得</t>
        </is>
      </c>
      <c r="H615" s="8" t="inlineStr">
        <is>
          <t>orange</t>
        </is>
      </c>
      <c r="I615" s="8" t="inlineStr">
        <is>
          <t>tool</t>
        </is>
      </c>
      <c r="J615" s="8" t="n">
        <v>1</v>
      </c>
      <c r="K615" s="8" t="n">
        <v>1</v>
      </c>
      <c r="L615" s="8" t="n">
        <v>1</v>
      </c>
      <c r="M615" s="8" t="n">
        <v>1</v>
      </c>
      <c r="N615" s="8" t="n">
        <v>1</v>
      </c>
      <c r="O615" s="8">
        <f>J615*K615/L615</f>
        <v>1.0</v>
      </c>
      <c r="P615" s="8">
        <f>(M615+N615)/2</f>
        <v>1.0</v>
      </c>
      <c r="Q615" s="8">
        <f>O615*P615</f>
        <v>1.0</v>
      </c>
      <c r="R615" s="8" t="n">
        <v>0</v>
      </c>
      <c r="S615" s="8">
        <f>Q615*R615</f>
        <v>0.0</v>
      </c>
      <c r="T615" s="8" t="n"/>
      <c r="U615" s="8" t="inlineStr"/>
      <c r="V615" s="8" t="inlineStr">
        <is>
          <t>data/item_templates.yaml:mission_chest_huashan_lunjian_advanced.effect_payload</t>
        </is>
      </c>
    </row>
    <row r="616" ht="36" customHeight="1">
      <c r="A616" s="8" t="inlineStr">
        <is>
          <t>huashan_lunjian_advanced</t>
        </is>
      </c>
      <c r="B616" s="8" t="inlineStr">
        <is>
          <t>华山论剑</t>
        </is>
      </c>
      <c r="C616" s="8" t="inlineStr">
        <is>
          <t>mission_chest_huashan_lunjian_advanced</t>
        </is>
      </c>
      <c r="D616" s="8" t="inlineStr">
        <is>
          <t>华山论剑宝箱</t>
        </is>
      </c>
      <c r="E616" s="8" t="inlineStr">
        <is>
          <t>武林名器</t>
        </is>
      </c>
      <c r="F616" s="8" t="inlineStr">
        <is>
          <t>blueprint_taotieding</t>
        </is>
      </c>
      <c r="G616" s="8" t="inlineStr">
        <is>
          <t>饕餮鼎图纸</t>
        </is>
      </c>
      <c r="H616" s="8" t="inlineStr">
        <is>
          <t>purple</t>
        </is>
      </c>
      <c r="I616" s="8" t="inlineStr">
        <is>
          <t>tool</t>
        </is>
      </c>
      <c r="J616" s="8" t="n">
        <v>1</v>
      </c>
      <c r="K616" s="8" t="n">
        <v>85</v>
      </c>
      <c r="L616" s="8" t="n">
        <v>1800</v>
      </c>
      <c r="M616" s="8" t="n">
        <v>1</v>
      </c>
      <c r="N616" s="8" t="n">
        <v>1</v>
      </c>
      <c r="O616" s="8">
        <f>J616*K616/L616</f>
        <v>0.04722222222222222</v>
      </c>
      <c r="P616" s="8">
        <f>(M616+N616)/2</f>
        <v>1.0</v>
      </c>
      <c r="Q616" s="8">
        <f>O616*P616</f>
        <v>0.04722222222222222</v>
      </c>
      <c r="R616" s="8" t="n">
        <v>0</v>
      </c>
      <c r="S616" s="8">
        <f>Q616*R616</f>
        <v>0.0</v>
      </c>
      <c r="T616" s="8" t="n">
        <v>10</v>
      </c>
      <c r="U616" s="8" t="inlineStr">
        <is>
          <t>饕餮鼎</t>
        </is>
      </c>
      <c r="V616" s="8" t="inlineStr">
        <is>
          <t>data/item_templates.yaml:mission_chest_huashan_lunjian_advanced.effect_payload</t>
        </is>
      </c>
    </row>
    <row r="617" ht="36" customHeight="1">
      <c r="A617" s="8" t="inlineStr">
        <is>
          <t>huashan_lunjian_advanced</t>
        </is>
      </c>
      <c r="B617" s="8" t="inlineStr">
        <is>
          <t>华山论剑</t>
        </is>
      </c>
      <c r="C617" s="8" t="inlineStr">
        <is>
          <t>mission_chest_huashan_lunjian_advanced</t>
        </is>
      </c>
      <c r="D617" s="8" t="inlineStr">
        <is>
          <t>华山论剑宝箱</t>
        </is>
      </c>
      <c r="E617" s="8" t="inlineStr">
        <is>
          <t>武林名器</t>
        </is>
      </c>
      <c r="F617" s="8" t="inlineStr">
        <is>
          <t>equip_yuanyangdao</t>
        </is>
      </c>
      <c r="G617" s="8" t="inlineStr">
        <is>
          <t>鸳鸯刀</t>
        </is>
      </c>
      <c r="H617" s="8" t="inlineStr">
        <is>
          <t>purple</t>
        </is>
      </c>
      <c r="I617" s="8" t="inlineStr">
        <is>
          <t>equip_weapon</t>
        </is>
      </c>
      <c r="J617" s="8" t="n">
        <v>1</v>
      </c>
      <c r="K617" s="8" t="n">
        <v>85</v>
      </c>
      <c r="L617" s="8" t="n">
        <v>1800</v>
      </c>
      <c r="M617" s="8" t="n">
        <v>1</v>
      </c>
      <c r="N617" s="8" t="n">
        <v>1</v>
      </c>
      <c r="O617" s="8">
        <f>J617*K617/L617</f>
        <v>0.04722222222222222</v>
      </c>
      <c r="P617" s="8">
        <f>(M617+N617)/2</f>
        <v>1.0</v>
      </c>
      <c r="Q617" s="8">
        <f>O617*P617</f>
        <v>0.04722222222222222</v>
      </c>
      <c r="R617" s="8" t="n">
        <v>0</v>
      </c>
      <c r="S617" s="8">
        <f>Q617*R617</f>
        <v>0.0</v>
      </c>
      <c r="T617" s="8" t="n"/>
      <c r="U617" s="8" t="inlineStr"/>
      <c r="V617" s="8" t="inlineStr">
        <is>
          <t>data/item_templates.yaml:mission_chest_huashan_lunjian_advanced.effect_payload</t>
        </is>
      </c>
    </row>
    <row r="618" ht="36" customHeight="1">
      <c r="A618" s="8" t="inlineStr">
        <is>
          <t>huashan_lunjian_advanced</t>
        </is>
      </c>
      <c r="B618" s="8" t="inlineStr">
        <is>
          <t>华山论剑</t>
        </is>
      </c>
      <c r="C618" s="8" t="inlineStr">
        <is>
          <t>mission_chest_huashan_lunjian_advanced</t>
        </is>
      </c>
      <c r="D618" s="8" t="inlineStr">
        <is>
          <t>华山论剑宝箱</t>
        </is>
      </c>
      <c r="E618" s="8" t="inlineStr">
        <is>
          <t>武林名器</t>
        </is>
      </c>
      <c r="F618" s="8" t="inlineStr">
        <is>
          <t>equip_shenghuoling</t>
        </is>
      </c>
      <c r="G618" s="8" t="inlineStr">
        <is>
          <t>圣火令</t>
        </is>
      </c>
      <c r="H618" s="8" t="inlineStr">
        <is>
          <t>purple</t>
        </is>
      </c>
      <c r="I618" s="8" t="inlineStr">
        <is>
          <t>equip_ornament</t>
        </is>
      </c>
      <c r="J618" s="8" t="n">
        <v>1</v>
      </c>
      <c r="K618" s="8" t="n">
        <v>85</v>
      </c>
      <c r="L618" s="8" t="n">
        <v>1800</v>
      </c>
      <c r="M618" s="8" t="n">
        <v>1</v>
      </c>
      <c r="N618" s="8" t="n">
        <v>1</v>
      </c>
      <c r="O618" s="8">
        <f>J618*K618/L618</f>
        <v>0.04722222222222222</v>
      </c>
      <c r="P618" s="8">
        <f>(M618+N618)/2</f>
        <v>1.0</v>
      </c>
      <c r="Q618" s="8">
        <f>O618*P618</f>
        <v>0.04722222222222222</v>
      </c>
      <c r="R618" s="8" t="n">
        <v>0</v>
      </c>
      <c r="S618" s="8">
        <f>Q618*R618</f>
        <v>0.0</v>
      </c>
      <c r="T618" s="8" t="n"/>
      <c r="U618" s="8" t="inlineStr"/>
      <c r="V618" s="8" t="inlineStr">
        <is>
          <t>data/item_templates.yaml:mission_chest_huashan_lunjian_advanced.effect_payload</t>
        </is>
      </c>
    </row>
    <row r="619" ht="36" customHeight="1">
      <c r="A619" s="8" t="inlineStr">
        <is>
          <t>huashan_lunjian_advanced</t>
        </is>
      </c>
      <c r="B619" s="8" t="inlineStr">
        <is>
          <t>华山论剑</t>
        </is>
      </c>
      <c r="C619" s="8" t="inlineStr">
        <is>
          <t>mission_chest_huashan_lunjian_advanced</t>
        </is>
      </c>
      <c r="D619" s="8" t="inlineStr">
        <is>
          <t>华山论剑宝箱</t>
        </is>
      </c>
      <c r="E619" s="8" t="inlineStr">
        <is>
          <t>武林名器</t>
        </is>
      </c>
      <c r="F619" s="8" t="inlineStr">
        <is>
          <t>equip_duoqinghuan</t>
        </is>
      </c>
      <c r="G619" s="8" t="inlineStr">
        <is>
          <t>多情环</t>
        </is>
      </c>
      <c r="H619" s="8" t="inlineStr">
        <is>
          <t>purple</t>
        </is>
      </c>
      <c r="I619" s="8" t="inlineStr">
        <is>
          <t>equip_weapon</t>
        </is>
      </c>
      <c r="J619" s="8" t="n">
        <v>1</v>
      </c>
      <c r="K619" s="8" t="n">
        <v>85</v>
      </c>
      <c r="L619" s="8" t="n">
        <v>1800</v>
      </c>
      <c r="M619" s="8" t="n">
        <v>1</v>
      </c>
      <c r="N619" s="8" t="n">
        <v>1</v>
      </c>
      <c r="O619" s="8">
        <f>J619*K619/L619</f>
        <v>0.04722222222222222</v>
      </c>
      <c r="P619" s="8">
        <f>(M619+N619)/2</f>
        <v>1.0</v>
      </c>
      <c r="Q619" s="8">
        <f>O619*P619</f>
        <v>0.04722222222222222</v>
      </c>
      <c r="R619" s="8" t="n">
        <v>0</v>
      </c>
      <c r="S619" s="8">
        <f>Q619*R619</f>
        <v>0.0</v>
      </c>
      <c r="T619" s="8" t="n"/>
      <c r="U619" s="8" t="inlineStr"/>
      <c r="V619" s="8" t="inlineStr">
        <is>
          <t>data/item_templates.yaml:mission_chest_huashan_lunjian_advanced.effect_payload</t>
        </is>
      </c>
    </row>
    <row r="620" ht="36" customHeight="1">
      <c r="A620" s="8" t="inlineStr">
        <is>
          <t>huashan_lunjian_advanced</t>
        </is>
      </c>
      <c r="B620" s="8" t="inlineStr">
        <is>
          <t>华山论剑</t>
        </is>
      </c>
      <c r="C620" s="8" t="inlineStr">
        <is>
          <t>mission_chest_huashan_lunjian_advanced</t>
        </is>
      </c>
      <c r="D620" s="8" t="inlineStr">
        <is>
          <t>华山论剑宝箱</t>
        </is>
      </c>
      <c r="E620" s="8" t="inlineStr">
        <is>
          <t>武林名器</t>
        </is>
      </c>
      <c r="F620" s="8" t="inlineStr">
        <is>
          <t>equip_tulongdao</t>
        </is>
      </c>
      <c r="G620" s="8" t="inlineStr">
        <is>
          <t>屠龙刀</t>
        </is>
      </c>
      <c r="H620" s="8" t="inlineStr">
        <is>
          <t>purple</t>
        </is>
      </c>
      <c r="I620" s="8" t="inlineStr">
        <is>
          <t>equip_weapon</t>
        </is>
      </c>
      <c r="J620" s="8" t="n">
        <v>1</v>
      </c>
      <c r="K620" s="8" t="n">
        <v>85</v>
      </c>
      <c r="L620" s="8" t="n">
        <v>1800</v>
      </c>
      <c r="M620" s="8" t="n">
        <v>1</v>
      </c>
      <c r="N620" s="8" t="n">
        <v>1</v>
      </c>
      <c r="O620" s="8">
        <f>J620*K620/L620</f>
        <v>0.04722222222222222</v>
      </c>
      <c r="P620" s="8">
        <f>(M620+N620)/2</f>
        <v>1.0</v>
      </c>
      <c r="Q620" s="8">
        <f>O620*P620</f>
        <v>0.04722222222222222</v>
      </c>
      <c r="R620" s="8" t="n">
        <v>0</v>
      </c>
      <c r="S620" s="8">
        <f>Q620*R620</f>
        <v>0.0</v>
      </c>
      <c r="T620" s="8" t="n"/>
      <c r="U620" s="8" t="inlineStr"/>
      <c r="V620" s="8" t="inlineStr">
        <is>
          <t>data/item_templates.yaml:mission_chest_huashan_lunjian_advanced.effect_payload</t>
        </is>
      </c>
    </row>
    <row r="621" ht="36" customHeight="1">
      <c r="A621" s="8" t="inlineStr">
        <is>
          <t>huashan_lunjian_advanced</t>
        </is>
      </c>
      <c r="B621" s="8" t="inlineStr">
        <is>
          <t>华山论剑</t>
        </is>
      </c>
      <c r="C621" s="8" t="inlineStr">
        <is>
          <t>mission_chest_huashan_lunjian_advanced</t>
        </is>
      </c>
      <c r="D621" s="8" t="inlineStr">
        <is>
          <t>华山论剑宝箱</t>
        </is>
      </c>
      <c r="E621" s="8" t="inlineStr">
        <is>
          <t>武林名器</t>
        </is>
      </c>
      <c r="F621" s="8" t="inlineStr">
        <is>
          <t>equip_liekongxue</t>
        </is>
      </c>
      <c r="G621" s="8" t="inlineStr">
        <is>
          <t>裂空靴</t>
        </is>
      </c>
      <c r="H621" s="8" t="inlineStr">
        <is>
          <t>purple</t>
        </is>
      </c>
      <c r="I621" s="8" t="inlineStr">
        <is>
          <t>equip_shoes</t>
        </is>
      </c>
      <c r="J621" s="8" t="n">
        <v>1</v>
      </c>
      <c r="K621" s="8" t="n">
        <v>85</v>
      </c>
      <c r="L621" s="8" t="n">
        <v>1800</v>
      </c>
      <c r="M621" s="8" t="n">
        <v>1</v>
      </c>
      <c r="N621" s="8" t="n">
        <v>1</v>
      </c>
      <c r="O621" s="8">
        <f>J621*K621/L621</f>
        <v>0.04722222222222222</v>
      </c>
      <c r="P621" s="8">
        <f>(M621+N621)/2</f>
        <v>1.0</v>
      </c>
      <c r="Q621" s="8">
        <f>O621*P621</f>
        <v>0.04722222222222222</v>
      </c>
      <c r="R621" s="8" t="n">
        <v>0</v>
      </c>
      <c r="S621" s="8">
        <f>Q621*R621</f>
        <v>0.0</v>
      </c>
      <c r="T621" s="8" t="n"/>
      <c r="U621" s="8" t="inlineStr"/>
      <c r="V621" s="8" t="inlineStr">
        <is>
          <t>data/item_templates.yaml:mission_chest_huashan_lunjian_advanced.effect_payload</t>
        </is>
      </c>
    </row>
    <row r="622" ht="36" customHeight="1">
      <c r="A622" s="8" t="inlineStr">
        <is>
          <t>huashan_lunjian_advanced</t>
        </is>
      </c>
      <c r="B622" s="8" t="inlineStr">
        <is>
          <t>华山论剑</t>
        </is>
      </c>
      <c r="C622" s="8" t="inlineStr">
        <is>
          <t>mission_chest_huashan_lunjian_advanced</t>
        </is>
      </c>
      <c r="D622" s="8" t="inlineStr">
        <is>
          <t>华山论剑宝箱</t>
        </is>
      </c>
      <c r="E622" s="8" t="inlineStr">
        <is>
          <t>武林名器</t>
        </is>
      </c>
      <c r="F622" s="8" t="inlineStr">
        <is>
          <t>equip_shuanghuagong</t>
        </is>
      </c>
      <c r="G622" s="8" t="inlineStr">
        <is>
          <t>霜华弓</t>
        </is>
      </c>
      <c r="H622" s="8" t="inlineStr">
        <is>
          <t>purple</t>
        </is>
      </c>
      <c r="I622" s="8" t="inlineStr">
        <is>
          <t>equip_weapon</t>
        </is>
      </c>
      <c r="J622" s="8" t="n">
        <v>1</v>
      </c>
      <c r="K622" s="8" t="n">
        <v>85</v>
      </c>
      <c r="L622" s="8" t="n">
        <v>1800</v>
      </c>
      <c r="M622" s="8" t="n">
        <v>1</v>
      </c>
      <c r="N622" s="8" t="n">
        <v>1</v>
      </c>
      <c r="O622" s="8">
        <f>J622*K622/L622</f>
        <v>0.04722222222222222</v>
      </c>
      <c r="P622" s="8">
        <f>(M622+N622)/2</f>
        <v>1.0</v>
      </c>
      <c r="Q622" s="8">
        <f>O622*P622</f>
        <v>0.04722222222222222</v>
      </c>
      <c r="R622" s="8" t="n">
        <v>0</v>
      </c>
      <c r="S622" s="8">
        <f>Q622*R622</f>
        <v>0.0</v>
      </c>
      <c r="T622" s="8" t="n"/>
      <c r="U622" s="8" t="inlineStr"/>
      <c r="V622" s="8" t="inlineStr">
        <is>
          <t>data/item_templates.yaml:mission_chest_huashan_lunjian_advanced.effect_payload</t>
        </is>
      </c>
    </row>
    <row r="623" ht="36" customHeight="1">
      <c r="A623" s="8" t="inlineStr">
        <is>
          <t>huashan_lunjian_advanced</t>
        </is>
      </c>
      <c r="B623" s="8" t="inlineStr">
        <is>
          <t>华山论剑</t>
        </is>
      </c>
      <c r="C623" s="8" t="inlineStr">
        <is>
          <t>mission_chest_huashan_lunjian_advanced</t>
        </is>
      </c>
      <c r="D623" s="8" t="inlineStr">
        <is>
          <t>华山论剑宝箱</t>
        </is>
      </c>
      <c r="E623" s="8" t="inlineStr">
        <is>
          <t>武林名器</t>
        </is>
      </c>
      <c r="F623" s="8" t="inlineStr">
        <is>
          <t>equip_yuxiao</t>
        </is>
      </c>
      <c r="G623" s="8" t="inlineStr">
        <is>
          <t>玉箫</t>
        </is>
      </c>
      <c r="H623" s="8" t="inlineStr">
        <is>
          <t>purple</t>
        </is>
      </c>
      <c r="I623" s="8" t="inlineStr">
        <is>
          <t>equip_weapon</t>
        </is>
      </c>
      <c r="J623" s="8" t="n">
        <v>1</v>
      </c>
      <c r="K623" s="8" t="n">
        <v>85</v>
      </c>
      <c r="L623" s="8" t="n">
        <v>1800</v>
      </c>
      <c r="M623" s="8" t="n">
        <v>1</v>
      </c>
      <c r="N623" s="8" t="n">
        <v>1</v>
      </c>
      <c r="O623" s="8">
        <f>J623*K623/L623</f>
        <v>0.04722222222222222</v>
      </c>
      <c r="P623" s="8">
        <f>(M623+N623)/2</f>
        <v>1.0</v>
      </c>
      <c r="Q623" s="8">
        <f>O623*P623</f>
        <v>0.04722222222222222</v>
      </c>
      <c r="R623" s="8" t="n">
        <v>0</v>
      </c>
      <c r="S623" s="8">
        <f>Q623*R623</f>
        <v>0.0</v>
      </c>
      <c r="T623" s="8" t="n"/>
      <c r="U623" s="8" t="inlineStr"/>
      <c r="V623" s="8" t="inlineStr">
        <is>
          <t>data/item_templates.yaml:mission_chest_huashan_lunjian_advanced.effect_payload</t>
        </is>
      </c>
    </row>
    <row r="624" ht="36" customHeight="1">
      <c r="A624" s="8" t="inlineStr">
        <is>
          <t>huashan_lunjian_advanced</t>
        </is>
      </c>
      <c r="B624" s="8" t="inlineStr">
        <is>
          <t>华山论剑</t>
        </is>
      </c>
      <c r="C624" s="8" t="inlineStr">
        <is>
          <t>mission_chest_huashan_lunjian_advanced</t>
        </is>
      </c>
      <c r="D624" s="8" t="inlineStr">
        <is>
          <t>华山论剑宝箱</t>
        </is>
      </c>
      <c r="E624" s="8" t="inlineStr">
        <is>
          <t>武林名器</t>
        </is>
      </c>
      <c r="F624" s="8" t="inlineStr">
        <is>
          <t>equip_wuqiaojian</t>
        </is>
      </c>
      <c r="G624" s="8" t="inlineStr">
        <is>
          <t>乌鞘剑</t>
        </is>
      </c>
      <c r="H624" s="8" t="inlineStr">
        <is>
          <t>purple</t>
        </is>
      </c>
      <c r="I624" s="8" t="inlineStr">
        <is>
          <t>equip_weapon</t>
        </is>
      </c>
      <c r="J624" s="8" t="n">
        <v>1</v>
      </c>
      <c r="K624" s="8" t="n">
        <v>85</v>
      </c>
      <c r="L624" s="8" t="n">
        <v>1800</v>
      </c>
      <c r="M624" s="8" t="n">
        <v>1</v>
      </c>
      <c r="N624" s="8" t="n">
        <v>1</v>
      </c>
      <c r="O624" s="8">
        <f>J624*K624/L624</f>
        <v>0.04722222222222222</v>
      </c>
      <c r="P624" s="8">
        <f>(M624+N624)/2</f>
        <v>1.0</v>
      </c>
      <c r="Q624" s="8">
        <f>O624*P624</f>
        <v>0.04722222222222222</v>
      </c>
      <c r="R624" s="8" t="n">
        <v>0</v>
      </c>
      <c r="S624" s="8">
        <f>Q624*R624</f>
        <v>0.0</v>
      </c>
      <c r="T624" s="8" t="n"/>
      <c r="U624" s="8" t="inlineStr"/>
      <c r="V624" s="8" t="inlineStr">
        <is>
          <t>data/item_templates.yaml:mission_chest_huashan_lunjian_advanced.effect_payload</t>
        </is>
      </c>
    </row>
    <row r="625" ht="36" customHeight="1">
      <c r="A625" s="8" t="inlineStr">
        <is>
          <t>huashan_lunjian_advanced</t>
        </is>
      </c>
      <c r="B625" s="8" t="inlineStr">
        <is>
          <t>华山论剑</t>
        </is>
      </c>
      <c r="C625" s="8" t="inlineStr">
        <is>
          <t>mission_chest_huashan_lunjian_advanced</t>
        </is>
      </c>
      <c r="D625" s="8" t="inlineStr">
        <is>
          <t>华山论剑宝箱</t>
        </is>
      </c>
      <c r="E625" s="8" t="inlineStr">
        <is>
          <t>武林名器</t>
        </is>
      </c>
      <c r="F625" s="8" t="inlineStr">
        <is>
          <t>equip_tiancanbaoyi</t>
        </is>
      </c>
      <c r="G625" s="8" t="inlineStr">
        <is>
          <t>天蚕宝衣</t>
        </is>
      </c>
      <c r="H625" s="8" t="inlineStr">
        <is>
          <t>purple</t>
        </is>
      </c>
      <c r="I625" s="8" t="inlineStr">
        <is>
          <t>equip_armor</t>
        </is>
      </c>
      <c r="J625" s="8" t="n">
        <v>1</v>
      </c>
      <c r="K625" s="8" t="n">
        <v>85</v>
      </c>
      <c r="L625" s="8" t="n">
        <v>1800</v>
      </c>
      <c r="M625" s="8" t="n">
        <v>1</v>
      </c>
      <c r="N625" s="8" t="n">
        <v>1</v>
      </c>
      <c r="O625" s="8">
        <f>J625*K625/L625</f>
        <v>0.04722222222222222</v>
      </c>
      <c r="P625" s="8">
        <f>(M625+N625)/2</f>
        <v>1.0</v>
      </c>
      <c r="Q625" s="8">
        <f>O625*P625</f>
        <v>0.04722222222222222</v>
      </c>
      <c r="R625" s="8" t="n">
        <v>0</v>
      </c>
      <c r="S625" s="8">
        <f>Q625*R625</f>
        <v>0.0</v>
      </c>
      <c r="T625" s="8" t="n"/>
      <c r="U625" s="8" t="inlineStr"/>
      <c r="V625" s="8" t="inlineStr">
        <is>
          <t>data/item_templates.yaml:mission_chest_huashan_lunjian_advanced.effect_payload</t>
        </is>
      </c>
    </row>
    <row r="626" ht="36" customHeight="1">
      <c r="A626" s="8" t="inlineStr">
        <is>
          <t>huashan_lunjian_advanced</t>
        </is>
      </c>
      <c r="B626" s="8" t="inlineStr">
        <is>
          <t>华山论剑</t>
        </is>
      </c>
      <c r="C626" s="8" t="inlineStr">
        <is>
          <t>mission_chest_huashan_lunjian_advanced</t>
        </is>
      </c>
      <c r="D626" s="8" t="inlineStr">
        <is>
          <t>华山论剑宝箱</t>
        </is>
      </c>
      <c r="E626" s="8" t="inlineStr">
        <is>
          <t>武林名器</t>
        </is>
      </c>
      <c r="F626" s="8" t="inlineStr">
        <is>
          <t>equip_biyudao</t>
        </is>
      </c>
      <c r="G626" s="8" t="inlineStr">
        <is>
          <t>碧玉刀</t>
        </is>
      </c>
      <c r="H626" s="8" t="inlineStr">
        <is>
          <t>purple</t>
        </is>
      </c>
      <c r="I626" s="8" t="inlineStr">
        <is>
          <t>equip_weapon</t>
        </is>
      </c>
      <c r="J626" s="8" t="n">
        <v>1</v>
      </c>
      <c r="K626" s="8" t="n">
        <v>85</v>
      </c>
      <c r="L626" s="8" t="n">
        <v>1800</v>
      </c>
      <c r="M626" s="8" t="n">
        <v>1</v>
      </c>
      <c r="N626" s="8" t="n">
        <v>1</v>
      </c>
      <c r="O626" s="8">
        <f>J626*K626/L626</f>
        <v>0.04722222222222222</v>
      </c>
      <c r="P626" s="8">
        <f>(M626+N626)/2</f>
        <v>1.0</v>
      </c>
      <c r="Q626" s="8">
        <f>O626*P626</f>
        <v>0.04722222222222222</v>
      </c>
      <c r="R626" s="8" t="n">
        <v>0</v>
      </c>
      <c r="S626" s="8">
        <f>Q626*R626</f>
        <v>0.0</v>
      </c>
      <c r="T626" s="8" t="n"/>
      <c r="U626" s="8" t="inlineStr"/>
      <c r="V626" s="8" t="inlineStr">
        <is>
          <t>data/item_templates.yaml:mission_chest_huashan_lunjian_advanced.effect_payload</t>
        </is>
      </c>
    </row>
    <row r="627" ht="36" customHeight="1">
      <c r="A627" s="8" t="inlineStr">
        <is>
          <t>huashan_lunjian_advanced</t>
        </is>
      </c>
      <c r="B627" s="8" t="inlineStr">
        <is>
          <t>华山论剑</t>
        </is>
      </c>
      <c r="C627" s="8" t="inlineStr">
        <is>
          <t>mission_chest_huashan_lunjian_advanced</t>
        </is>
      </c>
      <c r="D627" s="8" t="inlineStr">
        <is>
          <t>华山论剑宝箱</t>
        </is>
      </c>
      <c r="E627" s="8" t="inlineStr">
        <is>
          <t>武林名器</t>
        </is>
      </c>
      <c r="F627" s="8" t="inlineStr">
        <is>
          <t>equip_libiegou</t>
        </is>
      </c>
      <c r="G627" s="8" t="inlineStr">
        <is>
          <t>离别钩</t>
        </is>
      </c>
      <c r="H627" s="8" t="inlineStr">
        <is>
          <t>purple</t>
        </is>
      </c>
      <c r="I627" s="8" t="inlineStr">
        <is>
          <t>equip_weapon</t>
        </is>
      </c>
      <c r="J627" s="8" t="n">
        <v>1</v>
      </c>
      <c r="K627" s="8" t="n">
        <v>85</v>
      </c>
      <c r="L627" s="8" t="n">
        <v>1800</v>
      </c>
      <c r="M627" s="8" t="n">
        <v>1</v>
      </c>
      <c r="N627" s="8" t="n">
        <v>1</v>
      </c>
      <c r="O627" s="8">
        <f>J627*K627/L627</f>
        <v>0.04722222222222222</v>
      </c>
      <c r="P627" s="8">
        <f>(M627+N627)/2</f>
        <v>1.0</v>
      </c>
      <c r="Q627" s="8">
        <f>O627*P627</f>
        <v>0.04722222222222222</v>
      </c>
      <c r="R627" s="8" t="n">
        <v>0</v>
      </c>
      <c r="S627" s="8">
        <f>Q627*R627</f>
        <v>0.0</v>
      </c>
      <c r="T627" s="8" t="n"/>
      <c r="U627" s="8" t="inlineStr"/>
      <c r="V627" s="8" t="inlineStr">
        <is>
          <t>data/item_templates.yaml:mission_chest_huashan_lunjian_advanced.effect_payload</t>
        </is>
      </c>
    </row>
    <row r="628" ht="36" customHeight="1">
      <c r="A628" s="8" t="inlineStr">
        <is>
          <t>huashan_lunjian_advanced</t>
        </is>
      </c>
      <c r="B628" s="8" t="inlineStr">
        <is>
          <t>华山论剑</t>
        </is>
      </c>
      <c r="C628" s="8" t="inlineStr">
        <is>
          <t>mission_chest_huashan_lunjian_advanced</t>
        </is>
      </c>
      <c r="D628" s="8" t="inlineStr">
        <is>
          <t>华山论剑宝箱</t>
        </is>
      </c>
      <c r="E628" s="8" t="inlineStr">
        <is>
          <t>武林名器</t>
        </is>
      </c>
      <c r="F628" s="8" t="inlineStr">
        <is>
          <t>equip_ziweiruanjian</t>
        </is>
      </c>
      <c r="G628" s="8" t="inlineStr">
        <is>
          <t>紫薇软剑</t>
        </is>
      </c>
      <c r="H628" s="8" t="inlineStr">
        <is>
          <t>purple</t>
        </is>
      </c>
      <c r="I628" s="8" t="inlineStr">
        <is>
          <t>equip_weapon</t>
        </is>
      </c>
      <c r="J628" s="8" t="n">
        <v>1</v>
      </c>
      <c r="K628" s="8" t="n">
        <v>85</v>
      </c>
      <c r="L628" s="8" t="n">
        <v>1800</v>
      </c>
      <c r="M628" s="8" t="n">
        <v>1</v>
      </c>
      <c r="N628" s="8" t="n">
        <v>1</v>
      </c>
      <c r="O628" s="8">
        <f>J628*K628/L628</f>
        <v>0.04722222222222222</v>
      </c>
      <c r="P628" s="8">
        <f>(M628+N628)/2</f>
        <v>1.0</v>
      </c>
      <c r="Q628" s="8">
        <f>O628*P628</f>
        <v>0.04722222222222222</v>
      </c>
      <c r="R628" s="8" t="n">
        <v>0</v>
      </c>
      <c r="S628" s="8">
        <f>Q628*R628</f>
        <v>0.0</v>
      </c>
      <c r="T628" s="8" t="n"/>
      <c r="U628" s="8" t="inlineStr"/>
      <c r="V628" s="8" t="inlineStr">
        <is>
          <t>data/item_templates.yaml:mission_chest_huashan_lunjian_advanced.effect_payload</t>
        </is>
      </c>
    </row>
    <row r="629" ht="36" customHeight="1">
      <c r="A629" s="8" t="inlineStr">
        <is>
          <t>huashan_lunjian_advanced</t>
        </is>
      </c>
      <c r="B629" s="8" t="inlineStr">
        <is>
          <t>华山论剑</t>
        </is>
      </c>
      <c r="C629" s="8" t="inlineStr">
        <is>
          <t>mission_chest_huashan_lunjian_advanced</t>
        </is>
      </c>
      <c r="D629" s="8" t="inlineStr">
        <is>
          <t>华山论剑宝箱</t>
        </is>
      </c>
      <c r="E629" s="8" t="inlineStr">
        <is>
          <t>武林名器</t>
        </is>
      </c>
      <c r="F629" s="8" t="inlineStr">
        <is>
          <t>equip_xiuhuazhen</t>
        </is>
      </c>
      <c r="G629" s="8" t="inlineStr">
        <is>
          <t>绣花针</t>
        </is>
      </c>
      <c r="H629" s="8" t="inlineStr">
        <is>
          <t>purple</t>
        </is>
      </c>
      <c r="I629" s="8" t="inlineStr">
        <is>
          <t>equip_weapon</t>
        </is>
      </c>
      <c r="J629" s="8" t="n">
        <v>1</v>
      </c>
      <c r="K629" s="8" t="n">
        <v>85</v>
      </c>
      <c r="L629" s="8" t="n">
        <v>1800</v>
      </c>
      <c r="M629" s="8" t="n">
        <v>1</v>
      </c>
      <c r="N629" s="8" t="n">
        <v>1</v>
      </c>
      <c r="O629" s="8">
        <f>J629*K629/L629</f>
        <v>0.04722222222222222</v>
      </c>
      <c r="P629" s="8">
        <f>(M629+N629)/2</f>
        <v>1.0</v>
      </c>
      <c r="Q629" s="8">
        <f>O629*P629</f>
        <v>0.04722222222222222</v>
      </c>
      <c r="R629" s="8" t="n">
        <v>0</v>
      </c>
      <c r="S629" s="8">
        <f>Q629*R629</f>
        <v>0.0</v>
      </c>
      <c r="T629" s="8" t="n"/>
      <c r="U629" s="8" t="inlineStr"/>
      <c r="V629" s="8" t="inlineStr">
        <is>
          <t>data/item_templates.yaml:mission_chest_huashan_lunjian_advanced.effect_payload</t>
        </is>
      </c>
    </row>
    <row r="630" ht="36" customHeight="1">
      <c r="A630" s="8" t="inlineStr">
        <is>
          <t>huashan_lunjian_advanced</t>
        </is>
      </c>
      <c r="B630" s="8" t="inlineStr">
        <is>
          <t>华山论剑</t>
        </is>
      </c>
      <c r="C630" s="8" t="inlineStr">
        <is>
          <t>mission_chest_huashan_lunjian_advanced</t>
        </is>
      </c>
      <c r="D630" s="8" t="inlineStr">
        <is>
          <t>华山论剑宝箱</t>
        </is>
      </c>
      <c r="E630" s="8" t="inlineStr">
        <is>
          <t>武林名器</t>
        </is>
      </c>
      <c r="F630" s="8" t="inlineStr">
        <is>
          <t>equip_xuedao</t>
        </is>
      </c>
      <c r="G630" s="8" t="inlineStr">
        <is>
          <t>血刀</t>
        </is>
      </c>
      <c r="H630" s="8" t="inlineStr">
        <is>
          <t>purple</t>
        </is>
      </c>
      <c r="I630" s="8" t="inlineStr">
        <is>
          <t>equip_weapon</t>
        </is>
      </c>
      <c r="J630" s="8" t="n">
        <v>1</v>
      </c>
      <c r="K630" s="8" t="n">
        <v>85</v>
      </c>
      <c r="L630" s="8" t="n">
        <v>1800</v>
      </c>
      <c r="M630" s="8" t="n">
        <v>1</v>
      </c>
      <c r="N630" s="8" t="n">
        <v>1</v>
      </c>
      <c r="O630" s="8">
        <f>J630*K630/L630</f>
        <v>0.04722222222222222</v>
      </c>
      <c r="P630" s="8">
        <f>(M630+N630)/2</f>
        <v>1.0</v>
      </c>
      <c r="Q630" s="8">
        <f>O630*P630</f>
        <v>0.04722222222222222</v>
      </c>
      <c r="R630" s="8" t="n">
        <v>0</v>
      </c>
      <c r="S630" s="8">
        <f>Q630*R630</f>
        <v>0.0</v>
      </c>
      <c r="T630" s="8" t="n"/>
      <c r="U630" s="8" t="inlineStr"/>
      <c r="V630" s="8" t="inlineStr">
        <is>
          <t>data/item_templates.yaml:mission_chest_huashan_lunjian_advanced.effect_payload</t>
        </is>
      </c>
    </row>
    <row r="631" ht="36" customHeight="1">
      <c r="A631" s="8" t="inlineStr">
        <is>
          <t>huashan_lunjian_advanced</t>
        </is>
      </c>
      <c r="B631" s="8" t="inlineStr">
        <is>
          <t>华山论剑</t>
        </is>
      </c>
      <c r="C631" s="8" t="inlineStr">
        <is>
          <t>mission_chest_huashan_lunjian_advanced</t>
        </is>
      </c>
      <c r="D631" s="8" t="inlineStr">
        <is>
          <t>华山论剑宝箱</t>
        </is>
      </c>
      <c r="E631" s="8" t="inlineStr">
        <is>
          <t>武林名器</t>
        </is>
      </c>
      <c r="F631" s="8" t="inlineStr">
        <is>
          <t>equip_jinshejian</t>
        </is>
      </c>
      <c r="G631" s="8" t="inlineStr">
        <is>
          <t>金蛇剑</t>
        </is>
      </c>
      <c r="H631" s="8" t="inlineStr">
        <is>
          <t>purple</t>
        </is>
      </c>
      <c r="I631" s="8" t="inlineStr">
        <is>
          <t>equip_weapon</t>
        </is>
      </c>
      <c r="J631" s="8" t="n">
        <v>1</v>
      </c>
      <c r="K631" s="8" t="n">
        <v>85</v>
      </c>
      <c r="L631" s="8" t="n">
        <v>1800</v>
      </c>
      <c r="M631" s="8" t="n">
        <v>1</v>
      </c>
      <c r="N631" s="8" t="n">
        <v>1</v>
      </c>
      <c r="O631" s="8">
        <f>J631*K631/L631</f>
        <v>0.04722222222222222</v>
      </c>
      <c r="P631" s="8">
        <f>(M631+N631)/2</f>
        <v>1.0</v>
      </c>
      <c r="Q631" s="8">
        <f>O631*P631</f>
        <v>0.04722222222222222</v>
      </c>
      <c r="R631" s="8" t="n">
        <v>0</v>
      </c>
      <c r="S631" s="8">
        <f>Q631*R631</f>
        <v>0.0</v>
      </c>
      <c r="T631" s="8" t="n"/>
      <c r="U631" s="8" t="inlineStr"/>
      <c r="V631" s="8" t="inlineStr">
        <is>
          <t>data/item_templates.yaml:mission_chest_huashan_lunjian_advanced.effect_payload</t>
        </is>
      </c>
    </row>
    <row r="632" ht="36" customHeight="1">
      <c r="A632" s="8" t="inlineStr">
        <is>
          <t>huashan_lunjian_advanced</t>
        </is>
      </c>
      <c r="B632" s="8" t="inlineStr">
        <is>
          <t>华山论剑</t>
        </is>
      </c>
      <c r="C632" s="8" t="inlineStr">
        <is>
          <t>mission_chest_huashan_lunjian_advanced</t>
        </is>
      </c>
      <c r="D632" s="8" t="inlineStr">
        <is>
          <t>华山论剑宝箱</t>
        </is>
      </c>
      <c r="E632" s="8" t="inlineStr">
        <is>
          <t>武林名器</t>
        </is>
      </c>
      <c r="F632" s="8" t="inlineStr">
        <is>
          <t>equip_jinshezui</t>
        </is>
      </c>
      <c r="G632" s="8" t="inlineStr">
        <is>
          <t>金蛇锥</t>
        </is>
      </c>
      <c r="H632" s="8" t="inlineStr">
        <is>
          <t>purple</t>
        </is>
      </c>
      <c r="I632" s="8" t="inlineStr">
        <is>
          <t>equip_weapon</t>
        </is>
      </c>
      <c r="J632" s="8" t="n">
        <v>1</v>
      </c>
      <c r="K632" s="8" t="n">
        <v>85</v>
      </c>
      <c r="L632" s="8" t="n">
        <v>1800</v>
      </c>
      <c r="M632" s="8" t="n">
        <v>1</v>
      </c>
      <c r="N632" s="8" t="n">
        <v>1</v>
      </c>
      <c r="O632" s="8">
        <f>J632*K632/L632</f>
        <v>0.04722222222222222</v>
      </c>
      <c r="P632" s="8">
        <f>(M632+N632)/2</f>
        <v>1.0</v>
      </c>
      <c r="Q632" s="8">
        <f>O632*P632</f>
        <v>0.04722222222222222</v>
      </c>
      <c r="R632" s="8" t="n">
        <v>0</v>
      </c>
      <c r="S632" s="8">
        <f>Q632*R632</f>
        <v>0.0</v>
      </c>
      <c r="T632" s="8" t="n"/>
      <c r="U632" s="8" t="inlineStr"/>
      <c r="V632" s="8" t="inlineStr">
        <is>
          <t>data/item_templates.yaml:mission_chest_huashan_lunjian_advanced.effect_payload</t>
        </is>
      </c>
    </row>
    <row r="633" ht="36" customHeight="1">
      <c r="A633" s="8" t="inlineStr">
        <is>
          <t>huashan_lunjian_advanced</t>
        </is>
      </c>
      <c r="B633" s="8" t="inlineStr">
        <is>
          <t>华山论剑</t>
        </is>
      </c>
      <c r="C633" s="8" t="inlineStr">
        <is>
          <t>mission_chest_huashan_lunjian_advanced</t>
        </is>
      </c>
      <c r="D633" s="8" t="inlineStr">
        <is>
          <t>华山论剑宝箱</t>
        </is>
      </c>
      <c r="E633" s="8" t="inlineStr">
        <is>
          <t>武林名器</t>
        </is>
      </c>
      <c r="F633" s="8" t="inlineStr">
        <is>
          <t>equip_jinlun</t>
        </is>
      </c>
      <c r="G633" s="8" t="inlineStr">
        <is>
          <t>金轮</t>
        </is>
      </c>
      <c r="H633" s="8" t="inlineStr">
        <is>
          <t>purple</t>
        </is>
      </c>
      <c r="I633" s="8" t="inlineStr">
        <is>
          <t>equip_weapon</t>
        </is>
      </c>
      <c r="J633" s="8" t="n">
        <v>1</v>
      </c>
      <c r="K633" s="8" t="n">
        <v>85</v>
      </c>
      <c r="L633" s="8" t="n">
        <v>1800</v>
      </c>
      <c r="M633" s="8" t="n">
        <v>1</v>
      </c>
      <c r="N633" s="8" t="n">
        <v>1</v>
      </c>
      <c r="O633" s="8">
        <f>J633*K633/L633</f>
        <v>0.04722222222222222</v>
      </c>
      <c r="P633" s="8">
        <f>(M633+N633)/2</f>
        <v>1.0</v>
      </c>
      <c r="Q633" s="8">
        <f>O633*P633</f>
        <v>0.04722222222222222</v>
      </c>
      <c r="R633" s="8" t="n">
        <v>0</v>
      </c>
      <c r="S633" s="8">
        <f>Q633*R633</f>
        <v>0.0</v>
      </c>
      <c r="T633" s="8" t="n"/>
      <c r="U633" s="8" t="inlineStr"/>
      <c r="V633" s="8" t="inlineStr">
        <is>
          <t>data/item_templates.yaml:mission_chest_huashan_lunjian_advanced.effect_payload</t>
        </is>
      </c>
    </row>
    <row r="634" ht="36" customHeight="1">
      <c r="A634" s="8" t="inlineStr">
        <is>
          <t>huashan_lunjian_advanced</t>
        </is>
      </c>
      <c r="B634" s="8" t="inlineStr">
        <is>
          <t>华山论剑</t>
        </is>
      </c>
      <c r="C634" s="8" t="inlineStr">
        <is>
          <t>mission_chest_huashan_lunjian_advanced</t>
        </is>
      </c>
      <c r="D634" s="8" t="inlineStr">
        <is>
          <t>华山论剑宝箱</t>
        </is>
      </c>
      <c r="E634" s="8" t="inlineStr">
        <is>
          <t>武林名器</t>
        </is>
      </c>
      <c r="F634" s="8" t="inlineStr">
        <is>
          <t>equip_yuanyuewandao</t>
        </is>
      </c>
      <c r="G634" s="8" t="inlineStr">
        <is>
          <t>圆月弯刀</t>
        </is>
      </c>
      <c r="H634" s="8" t="inlineStr">
        <is>
          <t>orange</t>
        </is>
      </c>
      <c r="I634" s="8" t="inlineStr">
        <is>
          <t>equip_weapon</t>
        </is>
      </c>
      <c r="J634" s="8" t="n">
        <v>1</v>
      </c>
      <c r="K634" s="8" t="n">
        <v>27</v>
      </c>
      <c r="L634" s="8" t="n">
        <v>1800</v>
      </c>
      <c r="M634" s="8" t="n">
        <v>1</v>
      </c>
      <c r="N634" s="8" t="n">
        <v>1</v>
      </c>
      <c r="O634" s="8">
        <f>J634*K634/L634</f>
        <v>0.015</v>
      </c>
      <c r="P634" s="8">
        <f>(M634+N634)/2</f>
        <v>1.0</v>
      </c>
      <c r="Q634" s="8">
        <f>O634*P634</f>
        <v>0.015</v>
      </c>
      <c r="R634" s="8" t="n">
        <v>0</v>
      </c>
      <c r="S634" s="8">
        <f>Q634*R634</f>
        <v>0.0</v>
      </c>
      <c r="T634" s="8" t="n"/>
      <c r="U634" s="8" t="inlineStr"/>
      <c r="V634" s="8" t="inlineStr">
        <is>
          <t>data/item_templates.yaml:mission_chest_huashan_lunjian_advanced.effect_payload</t>
        </is>
      </c>
    </row>
    <row r="635" ht="36" customHeight="1">
      <c r="A635" s="8" t="inlineStr">
        <is>
          <t>huashan_lunjian_advanced</t>
        </is>
      </c>
      <c r="B635" s="8" t="inlineStr">
        <is>
          <t>华山论剑</t>
        </is>
      </c>
      <c r="C635" s="8" t="inlineStr">
        <is>
          <t>mission_chest_huashan_lunjian_advanced</t>
        </is>
      </c>
      <c r="D635" s="8" t="inlineStr">
        <is>
          <t>华山论剑宝箱</t>
        </is>
      </c>
      <c r="E635" s="8" t="inlineStr">
        <is>
          <t>武林名器</t>
        </is>
      </c>
      <c r="F635" s="8" t="inlineStr">
        <is>
          <t>equip_tianyamingyuedao</t>
        </is>
      </c>
      <c r="G635" s="8" t="inlineStr">
        <is>
          <t>天涯明月刀</t>
        </is>
      </c>
      <c r="H635" s="8" t="inlineStr">
        <is>
          <t>orange</t>
        </is>
      </c>
      <c r="I635" s="8" t="inlineStr">
        <is>
          <t>equip_weapon</t>
        </is>
      </c>
      <c r="J635" s="8" t="n">
        <v>1</v>
      </c>
      <c r="K635" s="8" t="n">
        <v>27</v>
      </c>
      <c r="L635" s="8" t="n">
        <v>1800</v>
      </c>
      <c r="M635" s="8" t="n">
        <v>1</v>
      </c>
      <c r="N635" s="8" t="n">
        <v>1</v>
      </c>
      <c r="O635" s="8">
        <f>J635*K635/L635</f>
        <v>0.015</v>
      </c>
      <c r="P635" s="8">
        <f>(M635+N635)/2</f>
        <v>1.0</v>
      </c>
      <c r="Q635" s="8">
        <f>O635*P635</f>
        <v>0.015</v>
      </c>
      <c r="R635" s="8" t="n">
        <v>0</v>
      </c>
      <c r="S635" s="8">
        <f>Q635*R635</f>
        <v>0.0</v>
      </c>
      <c r="T635" s="8" t="n"/>
      <c r="U635" s="8" t="inlineStr"/>
      <c r="V635" s="8" t="inlineStr">
        <is>
          <t>data/item_templates.yaml:mission_chest_huashan_lunjian_advanced.effect_payload</t>
        </is>
      </c>
    </row>
    <row r="636" ht="36" customHeight="1">
      <c r="A636" s="8" t="inlineStr">
        <is>
          <t>huashan_lunjian_advanced</t>
        </is>
      </c>
      <c r="B636" s="8" t="inlineStr">
        <is>
          <t>华山论剑</t>
        </is>
      </c>
      <c r="C636" s="8" t="inlineStr">
        <is>
          <t>mission_chest_huashan_lunjian_advanced</t>
        </is>
      </c>
      <c r="D636" s="8" t="inlineStr">
        <is>
          <t>华山论剑宝箱</t>
        </is>
      </c>
      <c r="E636" s="8" t="inlineStr">
        <is>
          <t>武林名器</t>
        </is>
      </c>
      <c r="F636" s="8" t="inlineStr">
        <is>
          <t>equip_kongquelin</t>
        </is>
      </c>
      <c r="G636" s="8" t="inlineStr">
        <is>
          <t>孔雀翎</t>
        </is>
      </c>
      <c r="H636" s="8" t="inlineStr">
        <is>
          <t>orange</t>
        </is>
      </c>
      <c r="I636" s="8" t="inlineStr">
        <is>
          <t>equip_weapon</t>
        </is>
      </c>
      <c r="J636" s="8" t="n">
        <v>1</v>
      </c>
      <c r="K636" s="8" t="n">
        <v>27</v>
      </c>
      <c r="L636" s="8" t="n">
        <v>1800</v>
      </c>
      <c r="M636" s="8" t="n">
        <v>1</v>
      </c>
      <c r="N636" s="8" t="n">
        <v>1</v>
      </c>
      <c r="O636" s="8">
        <f>J636*K636/L636</f>
        <v>0.015</v>
      </c>
      <c r="P636" s="8">
        <f>(M636+N636)/2</f>
        <v>1.0</v>
      </c>
      <c r="Q636" s="8">
        <f>O636*P636</f>
        <v>0.015</v>
      </c>
      <c r="R636" s="8" t="n">
        <v>0</v>
      </c>
      <c r="S636" s="8">
        <f>Q636*R636</f>
        <v>0.0</v>
      </c>
      <c r="T636" s="8" t="n"/>
      <c r="U636" s="8" t="inlineStr"/>
      <c r="V636" s="8" t="inlineStr">
        <is>
          <t>data/item_templates.yaml:mission_chest_huashan_lunjian_advanced.effect_payload</t>
        </is>
      </c>
    </row>
    <row r="637" ht="36" customHeight="1">
      <c r="A637" s="8" t="inlineStr">
        <is>
          <t>huashan_lunjian_advanced</t>
        </is>
      </c>
      <c r="B637" s="8" t="inlineStr">
        <is>
          <t>华山论剑</t>
        </is>
      </c>
      <c r="C637" s="8" t="inlineStr">
        <is>
          <t>mission_chest_huashan_lunjian_advanced</t>
        </is>
      </c>
      <c r="D637" s="8" t="inlineStr">
        <is>
          <t>华山论剑宝箱</t>
        </is>
      </c>
      <c r="E637" s="8" t="inlineStr">
        <is>
          <t>武林名器</t>
        </is>
      </c>
      <c r="F637" s="8" t="inlineStr">
        <is>
          <t>equip_xiaolifeidao</t>
        </is>
      </c>
      <c r="G637" s="8" t="inlineStr">
        <is>
          <t>小李飞刀</t>
        </is>
      </c>
      <c r="H637" s="8" t="inlineStr">
        <is>
          <t>orange</t>
        </is>
      </c>
      <c r="I637" s="8" t="inlineStr">
        <is>
          <t>equip_weapon</t>
        </is>
      </c>
      <c r="J637" s="8" t="n">
        <v>1</v>
      </c>
      <c r="K637" s="8" t="n">
        <v>27</v>
      </c>
      <c r="L637" s="8" t="n">
        <v>1800</v>
      </c>
      <c r="M637" s="8" t="n">
        <v>1</v>
      </c>
      <c r="N637" s="8" t="n">
        <v>1</v>
      </c>
      <c r="O637" s="8">
        <f>J637*K637/L637</f>
        <v>0.015</v>
      </c>
      <c r="P637" s="8">
        <f>(M637+N637)/2</f>
        <v>1.0</v>
      </c>
      <c r="Q637" s="8">
        <f>O637*P637</f>
        <v>0.015</v>
      </c>
      <c r="R637" s="8" t="n">
        <v>0</v>
      </c>
      <c r="S637" s="8">
        <f>Q637*R637</f>
        <v>0.0</v>
      </c>
      <c r="T637" s="8" t="n"/>
      <c r="U637" s="8" t="inlineStr"/>
      <c r="V637" s="8" t="inlineStr">
        <is>
          <t>data/item_templates.yaml:mission_chest_huashan_lunjian_advanced.effect_payload</t>
        </is>
      </c>
    </row>
    <row r="638" ht="36" customHeight="1">
      <c r="A638" s="8" t="inlineStr">
        <is>
          <t>huashan_lunjian_advanced</t>
        </is>
      </c>
      <c r="B638" s="8" t="inlineStr">
        <is>
          <t>华山论剑</t>
        </is>
      </c>
      <c r="C638" s="8" t="inlineStr">
        <is>
          <t>mission_chest_huashan_lunjian_advanced</t>
        </is>
      </c>
      <c r="D638" s="8" t="inlineStr">
        <is>
          <t>华山论剑宝箱</t>
        </is>
      </c>
      <c r="E638" s="8" t="inlineStr">
        <is>
          <t>武林名器</t>
        </is>
      </c>
      <c r="F638" s="8" t="inlineStr">
        <is>
          <t>equip_dagoubang</t>
        </is>
      </c>
      <c r="G638" s="8" t="inlineStr">
        <is>
          <t>打狗棒</t>
        </is>
      </c>
      <c r="H638" s="8" t="inlineStr">
        <is>
          <t>orange</t>
        </is>
      </c>
      <c r="I638" s="8" t="inlineStr">
        <is>
          <t>equip_weapon</t>
        </is>
      </c>
      <c r="J638" s="8" t="n">
        <v>1</v>
      </c>
      <c r="K638" s="8" t="n">
        <v>27</v>
      </c>
      <c r="L638" s="8" t="n">
        <v>1800</v>
      </c>
      <c r="M638" s="8" t="n">
        <v>1</v>
      </c>
      <c r="N638" s="8" t="n">
        <v>1</v>
      </c>
      <c r="O638" s="8">
        <f>J638*K638/L638</f>
        <v>0.015</v>
      </c>
      <c r="P638" s="8">
        <f>(M638+N638)/2</f>
        <v>1.0</v>
      </c>
      <c r="Q638" s="8">
        <f>O638*P638</f>
        <v>0.015</v>
      </c>
      <c r="R638" s="8" t="n">
        <v>0</v>
      </c>
      <c r="S638" s="8">
        <f>Q638*R638</f>
        <v>0.0</v>
      </c>
      <c r="T638" s="8" t="n"/>
      <c r="U638" s="8" t="inlineStr"/>
      <c r="V638" s="8" t="inlineStr">
        <is>
          <t>data/item_templates.yaml:mission_chest_huashan_lunjian_advanced.effect_payload</t>
        </is>
      </c>
    </row>
    <row r="639" ht="36" customHeight="1">
      <c r="A639" s="8" t="inlineStr">
        <is>
          <t>huashan_lunjian_advanced</t>
        </is>
      </c>
      <c r="B639" s="8" t="inlineStr">
        <is>
          <t>华山论剑</t>
        </is>
      </c>
      <c r="C639" s="8" t="inlineStr">
        <is>
          <t>mission_chest_huashan_lunjian_advanced</t>
        </is>
      </c>
      <c r="D639" s="8" t="inlineStr">
        <is>
          <t>华山论剑宝箱</t>
        </is>
      </c>
      <c r="E639" s="8" t="inlineStr">
        <is>
          <t>武林名器</t>
        </is>
      </c>
      <c r="F639" s="8" t="inlineStr">
        <is>
          <t>equip_xuantiechongjian</t>
        </is>
      </c>
      <c r="G639" s="8" t="inlineStr">
        <is>
          <t>玄铁重剑</t>
        </is>
      </c>
      <c r="H639" s="8" t="inlineStr">
        <is>
          <t>orange</t>
        </is>
      </c>
      <c r="I639" s="8" t="inlineStr">
        <is>
          <t>equip_weapon</t>
        </is>
      </c>
      <c r="J639" s="8" t="n">
        <v>1</v>
      </c>
      <c r="K639" s="8" t="n">
        <v>27</v>
      </c>
      <c r="L639" s="8" t="n">
        <v>1800</v>
      </c>
      <c r="M639" s="8" t="n">
        <v>1</v>
      </c>
      <c r="N639" s="8" t="n">
        <v>1</v>
      </c>
      <c r="O639" s="8">
        <f>J639*K639/L639</f>
        <v>0.015</v>
      </c>
      <c r="P639" s="8">
        <f>(M639+N639)/2</f>
        <v>1.0</v>
      </c>
      <c r="Q639" s="8">
        <f>O639*P639</f>
        <v>0.015</v>
      </c>
      <c r="R639" s="8" t="n">
        <v>0</v>
      </c>
      <c r="S639" s="8">
        <f>Q639*R639</f>
        <v>0.0</v>
      </c>
      <c r="T639" s="8" t="n"/>
      <c r="U639" s="8" t="inlineStr"/>
      <c r="V639" s="8" t="inlineStr">
        <is>
          <t>data/item_templates.yaml:mission_chest_huashan_lunjian_advanced.effect_payload</t>
        </is>
      </c>
    </row>
    <row r="640" ht="36" customHeight="1">
      <c r="A640" s="8" t="inlineStr">
        <is>
          <t>huashan_lunjian_advanced</t>
        </is>
      </c>
      <c r="B640" s="8" t="inlineStr">
        <is>
          <t>华山论剑</t>
        </is>
      </c>
      <c r="C640" s="8" t="inlineStr">
        <is>
          <t>mission_chest_huashan_lunjian_advanced</t>
        </is>
      </c>
      <c r="D640" s="8" t="inlineStr">
        <is>
          <t>华山论剑宝箱</t>
        </is>
      </c>
      <c r="E640" s="8" t="inlineStr">
        <is>
          <t>武林名器</t>
        </is>
      </c>
      <c r="F640" s="8" t="inlineStr">
        <is>
          <t>equip_shendiao</t>
        </is>
      </c>
      <c r="G640" s="8" t="inlineStr">
        <is>
          <t>神雕</t>
        </is>
      </c>
      <c r="H640" s="8" t="inlineStr">
        <is>
          <t>orange</t>
        </is>
      </c>
      <c r="I640" s="8" t="inlineStr">
        <is>
          <t>equip_mount</t>
        </is>
      </c>
      <c r="J640" s="8" t="n">
        <v>1</v>
      </c>
      <c r="K640" s="8" t="n">
        <v>27</v>
      </c>
      <c r="L640" s="8" t="n">
        <v>1800</v>
      </c>
      <c r="M640" s="8" t="n">
        <v>1</v>
      </c>
      <c r="N640" s="8" t="n">
        <v>1</v>
      </c>
      <c r="O640" s="8">
        <f>J640*K640/L640</f>
        <v>0.015</v>
      </c>
      <c r="P640" s="8">
        <f>(M640+N640)/2</f>
        <v>1.0</v>
      </c>
      <c r="Q640" s="8">
        <f>O640*P640</f>
        <v>0.015</v>
      </c>
      <c r="R640" s="8" t="n">
        <v>0</v>
      </c>
      <c r="S640" s="8">
        <f>Q640*R640</f>
        <v>0.0</v>
      </c>
      <c r="T640" s="8" t="n"/>
      <c r="U640" s="8" t="inlineStr"/>
      <c r="V640" s="8" t="inlineStr">
        <is>
          <t>data/item_templates.yaml:mission_chest_huashan_lunjian_advanced.effect_payload</t>
        </is>
      </c>
    </row>
    <row r="641" ht="36" customHeight="1">
      <c r="A641" s="8" t="inlineStr">
        <is>
          <t>huashan_lunjian_advanced</t>
        </is>
      </c>
      <c r="B641" s="8" t="inlineStr">
        <is>
          <t>华山论剑</t>
        </is>
      </c>
      <c r="C641" s="8" t="inlineStr">
        <is>
          <t>mission_chest_huashan_lunjian_advanced</t>
        </is>
      </c>
      <c r="D641" s="8" t="inlineStr">
        <is>
          <t>华山论剑宝箱</t>
        </is>
      </c>
      <c r="E641" s="8" t="inlineStr">
        <is>
          <t>武林名器</t>
        </is>
      </c>
      <c r="F641" s="8" t="inlineStr">
        <is>
          <t>equip_shangshanfaeling</t>
        </is>
      </c>
      <c r="G641" s="8" t="inlineStr">
        <is>
          <t>赏善罚恶令</t>
        </is>
      </c>
      <c r="H641" s="8" t="inlineStr">
        <is>
          <t>orange</t>
        </is>
      </c>
      <c r="I641" s="8" t="inlineStr">
        <is>
          <t>equip_ornament</t>
        </is>
      </c>
      <c r="J641" s="8" t="n">
        <v>1</v>
      </c>
      <c r="K641" s="8" t="n">
        <v>27</v>
      </c>
      <c r="L641" s="8" t="n">
        <v>1800</v>
      </c>
      <c r="M641" s="8" t="n">
        <v>1</v>
      </c>
      <c r="N641" s="8" t="n">
        <v>1</v>
      </c>
      <c r="O641" s="8">
        <f>J641*K641/L641</f>
        <v>0.015</v>
      </c>
      <c r="P641" s="8">
        <f>(M641+N641)/2</f>
        <v>1.0</v>
      </c>
      <c r="Q641" s="8">
        <f>O641*P641</f>
        <v>0.015</v>
      </c>
      <c r="R641" s="8" t="n">
        <v>0</v>
      </c>
      <c r="S641" s="8">
        <f>Q641*R641</f>
        <v>0.0</v>
      </c>
      <c r="T641" s="8" t="n"/>
      <c r="U641" s="8" t="inlineStr"/>
      <c r="V641" s="8" t="inlineStr">
        <is>
          <t>data/item_templates.yaml:mission_chest_huashan_lunjian_advanced.effect_payload</t>
        </is>
      </c>
    </row>
    <row r="642" ht="36" customHeight="1">
      <c r="A642" s="8" t="inlineStr">
        <is>
          <t>huashan_lunjian_advanced</t>
        </is>
      </c>
      <c r="B642" s="8" t="inlineStr">
        <is>
          <t>华山论剑</t>
        </is>
      </c>
      <c r="C642" s="8" t="inlineStr">
        <is>
          <t>mission_chest_huashan_lunjian_advanced</t>
        </is>
      </c>
      <c r="D642" s="8" t="inlineStr">
        <is>
          <t>华山论剑宝箱</t>
        </is>
      </c>
      <c r="E642" s="8" t="inlineStr">
        <is>
          <t>武林名器</t>
        </is>
      </c>
      <c r="F642" s="8" t="inlineStr">
        <is>
          <t>equip_ruanweijia</t>
        </is>
      </c>
      <c r="G642" s="8" t="inlineStr">
        <is>
          <t>软猬甲</t>
        </is>
      </c>
      <c r="H642" s="8" t="inlineStr">
        <is>
          <t>orange</t>
        </is>
      </c>
      <c r="I642" s="8" t="inlineStr">
        <is>
          <t>equip_armor</t>
        </is>
      </c>
      <c r="J642" s="8" t="n">
        <v>1</v>
      </c>
      <c r="K642" s="8" t="n">
        <v>27</v>
      </c>
      <c r="L642" s="8" t="n">
        <v>1800</v>
      </c>
      <c r="M642" s="8" t="n">
        <v>1</v>
      </c>
      <c r="N642" s="8" t="n">
        <v>1</v>
      </c>
      <c r="O642" s="8">
        <f>J642*K642/L642</f>
        <v>0.015</v>
      </c>
      <c r="P642" s="8">
        <f>(M642+N642)/2</f>
        <v>1.0</v>
      </c>
      <c r="Q642" s="8">
        <f>O642*P642</f>
        <v>0.015</v>
      </c>
      <c r="R642" s="8" t="n">
        <v>0</v>
      </c>
      <c r="S642" s="8">
        <f>Q642*R642</f>
        <v>0.0</v>
      </c>
      <c r="T642" s="8" t="n"/>
      <c r="U642" s="8" t="inlineStr"/>
      <c r="V642" s="8" t="inlineStr">
        <is>
          <t>data/item_templates.yaml:mission_chest_huashan_lunjian_advanced.effect_payload</t>
        </is>
      </c>
    </row>
    <row r="643" ht="36" customHeight="1">
      <c r="A643" s="8" t="inlineStr">
        <is>
          <t>huashan_lunjian_advanced</t>
        </is>
      </c>
      <c r="B643" s="8" t="inlineStr">
        <is>
          <t>华山论剑</t>
        </is>
      </c>
      <c r="C643" s="8" t="inlineStr">
        <is>
          <t>mission_chest_huashan_lunjian_advanced</t>
        </is>
      </c>
      <c r="D643" s="8" t="inlineStr">
        <is>
          <t>华山论剑宝箱</t>
        </is>
      </c>
      <c r="E643" s="8" t="inlineStr">
        <is>
          <t>武林名器</t>
        </is>
      </c>
      <c r="F643" s="8" t="inlineStr">
        <is>
          <t>equip_shenxingxue</t>
        </is>
      </c>
      <c r="G643" s="8" t="inlineStr">
        <is>
          <t>神行靴</t>
        </is>
      </c>
      <c r="H643" s="8" t="inlineStr">
        <is>
          <t>orange</t>
        </is>
      </c>
      <c r="I643" s="8" t="inlineStr">
        <is>
          <t>equip_shoes</t>
        </is>
      </c>
      <c r="J643" s="8" t="n">
        <v>1</v>
      </c>
      <c r="K643" s="8" t="n">
        <v>27</v>
      </c>
      <c r="L643" s="8" t="n">
        <v>1800</v>
      </c>
      <c r="M643" s="8" t="n">
        <v>1</v>
      </c>
      <c r="N643" s="8" t="n">
        <v>1</v>
      </c>
      <c r="O643" s="8">
        <f>J643*K643/L643</f>
        <v>0.015</v>
      </c>
      <c r="P643" s="8">
        <f>(M643+N643)/2</f>
        <v>1.0</v>
      </c>
      <c r="Q643" s="8">
        <f>O643*P643</f>
        <v>0.015</v>
      </c>
      <c r="R643" s="8" t="n">
        <v>0</v>
      </c>
      <c r="S643" s="8">
        <f>Q643*R643</f>
        <v>0.0</v>
      </c>
      <c r="T643" s="8" t="n"/>
      <c r="U643" s="8" t="inlineStr"/>
      <c r="V643" s="8" t="inlineStr">
        <is>
          <t>data/item_templates.yaml:mission_chest_huashan_lunjian_advanced.effect_payload</t>
        </is>
      </c>
    </row>
    <row r="644" ht="36" customHeight="1">
      <c r="A644" s="8" t="inlineStr">
        <is>
          <t>huashan_lunjian_advanced</t>
        </is>
      </c>
      <c r="B644" s="8" t="inlineStr">
        <is>
          <t>华山论剑</t>
        </is>
      </c>
      <c r="C644" s="8" t="inlineStr">
        <is>
          <t>mission_chest_huashan_lunjian_advanced</t>
        </is>
      </c>
      <c r="D644" s="8" t="inlineStr">
        <is>
          <t>华山论剑宝箱</t>
        </is>
      </c>
      <c r="E644" s="8" t="inlineStr">
        <is>
          <t>随饕餮鼎图纸附带（同次命中）</t>
        </is>
      </c>
      <c r="F644" s="8" t="inlineStr">
        <is>
          <t>tong</t>
        </is>
      </c>
      <c r="G644" s="8" t="inlineStr">
        <is>
          <t>铜</t>
        </is>
      </c>
      <c r="H644" s="8" t="inlineStr">
        <is>
          <t>black</t>
        </is>
      </c>
      <c r="I644" s="8" t="inlineStr">
        <is>
          <t>resource</t>
        </is>
      </c>
      <c r="J644" s="8" t="n">
        <v>0.04722222222222222</v>
      </c>
      <c r="K644" s="8" t="n">
        <v>1</v>
      </c>
      <c r="L644" s="8" t="n">
        <v>1</v>
      </c>
      <c r="M644" s="8" t="n">
        <v>36</v>
      </c>
      <c r="N644" s="8" t="n">
        <v>36</v>
      </c>
      <c r="O644" s="8">
        <f>J644*K644/L644</f>
        <v>0.04722222222222222</v>
      </c>
      <c r="P644" s="8">
        <f>(M644+N644)/2</f>
        <v>36.0</v>
      </c>
      <c r="Q644" s="8">
        <f>O644*P644</f>
        <v>1.7</v>
      </c>
      <c r="R644" s="8" t="n">
        <v>0</v>
      </c>
      <c r="S644" s="8">
        <f>Q644*R644</f>
        <v>0.0</v>
      </c>
      <c r="T644" s="8" t="n"/>
      <c r="U644" s="8" t="inlineStr"/>
      <c r="V644" s="8" t="inlineStr">
        <is>
          <t>data/item_templates.yaml:mission_chest_huashan_lunjian_advanced.effect_payload</t>
        </is>
      </c>
    </row>
    <row r="645" ht="36" customHeight="1">
      <c r="A645" s="8" t="inlineStr">
        <is>
          <t>huashan_lunjian_advanced</t>
        </is>
      </c>
      <c r="B645" s="8" t="inlineStr">
        <is>
          <t>华山论剑</t>
        </is>
      </c>
      <c r="C645" s="8" t="inlineStr">
        <is>
          <t>mission_chest_huashan_lunjian_advanced</t>
        </is>
      </c>
      <c r="D645" s="8" t="inlineStr">
        <is>
          <t>华山论剑宝箱</t>
        </is>
      </c>
      <c r="E645" s="8" t="inlineStr">
        <is>
          <t>随饕餮鼎图纸附带（同次命中）</t>
        </is>
      </c>
      <c r="F645" s="8" t="inlineStr">
        <is>
          <t>xi</t>
        </is>
      </c>
      <c r="G645" s="8" t="inlineStr">
        <is>
          <t>锡</t>
        </is>
      </c>
      <c r="H645" s="8" t="inlineStr">
        <is>
          <t>black</t>
        </is>
      </c>
      <c r="I645" s="8" t="inlineStr">
        <is>
          <t>resource</t>
        </is>
      </c>
      <c r="J645" s="8" t="n">
        <v>0.04722222222222222</v>
      </c>
      <c r="K645" s="8" t="n">
        <v>1</v>
      </c>
      <c r="L645" s="8" t="n">
        <v>1</v>
      </c>
      <c r="M645" s="8" t="n">
        <v>24</v>
      </c>
      <c r="N645" s="8" t="n">
        <v>24</v>
      </c>
      <c r="O645" s="8">
        <f>J645*K645/L645</f>
        <v>0.04722222222222222</v>
      </c>
      <c r="P645" s="8">
        <f>(M645+N645)/2</f>
        <v>24.0</v>
      </c>
      <c r="Q645" s="8">
        <f>O645*P645</f>
        <v>1.1333333333333333</v>
      </c>
      <c r="R645" s="8" t="n">
        <v>0</v>
      </c>
      <c r="S645" s="8">
        <f>Q645*R645</f>
        <v>0.0</v>
      </c>
      <c r="T645" s="8" t="n"/>
      <c r="U645" s="8" t="inlineStr"/>
      <c r="V645" s="8" t="inlineStr">
        <is>
          <t>data/item_templates.yaml:mission_chest_huashan_lunjian_advanced.effect_payload</t>
        </is>
      </c>
    </row>
    <row r="646" ht="36" customHeight="1">
      <c r="A646" s="8" t="inlineStr">
        <is>
          <t>huashan_lunjian_advanced</t>
        </is>
      </c>
      <c r="B646" s="8" t="inlineStr">
        <is>
          <t>华山论剑</t>
        </is>
      </c>
      <c r="C646" s="8" t="inlineStr">
        <is>
          <t>mission_chest_huashan_lunjian_advanced</t>
        </is>
      </c>
      <c r="D646" s="8" t="inlineStr">
        <is>
          <t>华山论剑宝箱</t>
        </is>
      </c>
      <c r="E646" s="8" t="inlineStr">
        <is>
          <t>随饕餮鼎图纸附带（同次命中）</t>
        </is>
      </c>
      <c r="F646" s="8" t="inlineStr">
        <is>
          <t>tie</t>
        </is>
      </c>
      <c r="G646" s="8" t="inlineStr">
        <is>
          <t>铁</t>
        </is>
      </c>
      <c r="H646" s="8" t="inlineStr">
        <is>
          <t>black</t>
        </is>
      </c>
      <c r="I646" s="8" t="inlineStr">
        <is>
          <t>resource</t>
        </is>
      </c>
      <c r="J646" s="8" t="n">
        <v>0.04722222222222222</v>
      </c>
      <c r="K646" s="8" t="n">
        <v>1</v>
      </c>
      <c r="L646" s="8" t="n">
        <v>1</v>
      </c>
      <c r="M646" s="8" t="n">
        <v>19</v>
      </c>
      <c r="N646" s="8" t="n">
        <v>19</v>
      </c>
      <c r="O646" s="8">
        <f>J646*K646/L646</f>
        <v>0.04722222222222222</v>
      </c>
      <c r="P646" s="8">
        <f>(M646+N646)/2</f>
        <v>19.0</v>
      </c>
      <c r="Q646" s="8">
        <f>O646*P646</f>
        <v>0.8972222222222221</v>
      </c>
      <c r="R646" s="8" t="n">
        <v>0</v>
      </c>
      <c r="S646" s="8">
        <f>Q646*R646</f>
        <v>0.0</v>
      </c>
      <c r="T646" s="8" t="n"/>
      <c r="U646" s="8" t="inlineStr"/>
      <c r="V646" s="8" t="inlineStr">
        <is>
          <t>data/item_templates.yaml:mission_chest_huashan_lunjian_advanced.effect_payload</t>
        </is>
      </c>
    </row>
    <row r="647" ht="36" customHeight="1">
      <c r="A647" s="8" t="inlineStr">
        <is>
          <t>huashan_lunjian_advanced</t>
        </is>
      </c>
      <c r="B647" s="8" t="inlineStr">
        <is>
          <t>华山论剑</t>
        </is>
      </c>
      <c r="C647" s="8" t="inlineStr">
        <is>
          <t>mission_chest_huashan_lunjian_advanced</t>
        </is>
      </c>
      <c r="D647" s="8" t="inlineStr">
        <is>
          <t>华山论剑宝箱</t>
        </is>
      </c>
      <c r="E647" s="8" t="inlineStr">
        <is>
          <t>随饕餮鼎图纸附带（同次命中）</t>
        </is>
      </c>
      <c r="F647" s="8" t="inlineStr">
        <is>
          <t>wood_essence</t>
        </is>
      </c>
      <c r="G647" s="8" t="inlineStr">
        <is>
          <t>木质精华</t>
        </is>
      </c>
      <c r="H647" s="8" t="inlineStr">
        <is>
          <t>green</t>
        </is>
      </c>
      <c r="I647" s="8" t="inlineStr">
        <is>
          <t>resource</t>
        </is>
      </c>
      <c r="J647" s="8" t="n">
        <v>0.04722222222222222</v>
      </c>
      <c r="K647" s="8" t="n">
        <v>1</v>
      </c>
      <c r="L647" s="8" t="n">
        <v>1</v>
      </c>
      <c r="M647" s="8" t="n">
        <v>1</v>
      </c>
      <c r="N647" s="8" t="n">
        <v>1</v>
      </c>
      <c r="O647" s="8">
        <f>J647*K647/L647</f>
        <v>0.04722222222222222</v>
      </c>
      <c r="P647" s="8">
        <f>(M647+N647)/2</f>
        <v>1.0</v>
      </c>
      <c r="Q647" s="8">
        <f>O647*P647</f>
        <v>0.04722222222222222</v>
      </c>
      <c r="R647" s="8" t="n">
        <v>0</v>
      </c>
      <c r="S647" s="8">
        <f>Q647*R647</f>
        <v>0.0</v>
      </c>
      <c r="T647" s="8" t="n"/>
      <c r="U647" s="8" t="inlineStr"/>
      <c r="V647" s="8" t="inlineStr">
        <is>
          <t>data/item_templates.yaml:mission_chest_huashan_lunjian_advanced.effect_payload</t>
        </is>
      </c>
    </row>
    <row r="648" ht="36" customHeight="1">
      <c r="A648" s="8" t="inlineStr">
        <is>
          <t>huashan_lunjian_advanced</t>
        </is>
      </c>
      <c r="B648" s="8" t="inlineStr">
        <is>
          <t>华山论剑</t>
        </is>
      </c>
      <c r="C648" s="8" t="inlineStr">
        <is>
          <t>mission_chest_huashan_lunjian_advanced</t>
        </is>
      </c>
      <c r="D648" s="8" t="inlineStr">
        <is>
          <t>华山论剑宝箱</t>
        </is>
      </c>
      <c r="E648" s="8" t="inlineStr">
        <is>
          <t>随饕餮鼎图纸附带（同次命中）</t>
        </is>
      </c>
      <c r="F648" s="8" t="inlineStr">
        <is>
          <t>copper_essence</t>
        </is>
      </c>
      <c r="G648" s="8" t="inlineStr">
        <is>
          <t>铜质精华</t>
        </is>
      </c>
      <c r="H648" s="8" t="inlineStr">
        <is>
          <t>green</t>
        </is>
      </c>
      <c r="I648" s="8" t="inlineStr">
        <is>
          <t>resource</t>
        </is>
      </c>
      <c r="J648" s="8" t="n">
        <v>0.04722222222222222</v>
      </c>
      <c r="K648" s="8" t="n">
        <v>1</v>
      </c>
      <c r="L648" s="8" t="n">
        <v>1</v>
      </c>
      <c r="M648" s="8" t="n">
        <v>2</v>
      </c>
      <c r="N648" s="8" t="n">
        <v>2</v>
      </c>
      <c r="O648" s="8">
        <f>J648*K648/L648</f>
        <v>0.04722222222222222</v>
      </c>
      <c r="P648" s="8">
        <f>(M648+N648)/2</f>
        <v>2.0</v>
      </c>
      <c r="Q648" s="8">
        <f>O648*P648</f>
        <v>0.09444444444444444</v>
      </c>
      <c r="R648" s="8" t="n">
        <v>0</v>
      </c>
      <c r="S648" s="8">
        <f>Q648*R648</f>
        <v>0.0</v>
      </c>
      <c r="T648" s="8" t="n"/>
      <c r="U648" s="8" t="inlineStr"/>
      <c r="V648" s="8" t="inlineStr">
        <is>
          <t>data/item_templates.yaml:mission_chest_huashan_lunjian_advanced.effect_payload</t>
        </is>
      </c>
    </row>
    <row r="649" ht="36" customHeight="1">
      <c r="A649" s="8" t="inlineStr">
        <is>
          <t>huashan_lunjian_advanced</t>
        </is>
      </c>
      <c r="B649" s="8" t="inlineStr">
        <is>
          <t>华山论剑</t>
        </is>
      </c>
      <c r="C649" s="8" t="inlineStr">
        <is>
          <t>mission_chest_huashan_lunjian_advanced</t>
        </is>
      </c>
      <c r="D649" s="8" t="inlineStr">
        <is>
          <t>华山论剑宝箱</t>
        </is>
      </c>
      <c r="E649" s="8" t="inlineStr">
        <is>
          <t>随饕餮鼎图纸附带（同次命中）</t>
        </is>
      </c>
      <c r="F649" s="8" t="inlineStr">
        <is>
          <t>xuan_tie_essence</t>
        </is>
      </c>
      <c r="G649" s="8" t="inlineStr">
        <is>
          <t>玄铁精华</t>
        </is>
      </c>
      <c r="H649" s="8" t="inlineStr">
        <is>
          <t>blue</t>
        </is>
      </c>
      <c r="I649" s="8" t="inlineStr">
        <is>
          <t>resource</t>
        </is>
      </c>
      <c r="J649" s="8" t="n">
        <v>0.04722222222222222</v>
      </c>
      <c r="K649" s="8" t="n">
        <v>1</v>
      </c>
      <c r="L649" s="8" t="n">
        <v>1</v>
      </c>
      <c r="M649" s="8" t="n">
        <v>1</v>
      </c>
      <c r="N649" s="8" t="n">
        <v>1</v>
      </c>
      <c r="O649" s="8">
        <f>J649*K649/L649</f>
        <v>0.04722222222222222</v>
      </c>
      <c r="P649" s="8">
        <f>(M649+N649)/2</f>
        <v>1.0</v>
      </c>
      <c r="Q649" s="8">
        <f>O649*P649</f>
        <v>0.04722222222222222</v>
      </c>
      <c r="R649" s="8" t="n">
        <v>0</v>
      </c>
      <c r="S649" s="8">
        <f>Q649*R649</f>
        <v>0.0</v>
      </c>
      <c r="T649" s="8" t="n"/>
      <c r="U649" s="8" t="inlineStr"/>
      <c r="V649" s="8" t="inlineStr">
        <is>
          <t>data/item_templates.yaml:mission_chest_huashan_lunjian_advanced.effect_payload</t>
        </is>
      </c>
    </row>
    <row r="650" ht="36" customHeight="1">
      <c r="A650" s="8" t="inlineStr">
        <is>
          <t>huashan_lunjian_advanced</t>
        </is>
      </c>
      <c r="B650" s="8" t="inlineStr">
        <is>
          <t>华山论剑</t>
        </is>
      </c>
      <c r="C650" s="8" t="inlineStr">
        <is>
          <t>mission_chest_huashan_lunjian_advanced</t>
        </is>
      </c>
      <c r="D650" s="8" t="inlineStr">
        <is>
          <t>华山论剑宝箱</t>
        </is>
      </c>
      <c r="E650" s="8" t="inlineStr">
        <is>
          <t>随饕餮鼎图纸附带（同次命中）</t>
        </is>
      </c>
      <c r="F650" s="8" t="inlineStr">
        <is>
          <t>tiemu</t>
        </is>
      </c>
      <c r="G650" s="8" t="inlineStr">
        <is>
          <t>铁木</t>
        </is>
      </c>
      <c r="H650" s="8" t="inlineStr">
        <is>
          <t>green</t>
        </is>
      </c>
      <c r="I650" s="8" t="inlineStr">
        <is>
          <t>resource</t>
        </is>
      </c>
      <c r="J650" s="8" t="n">
        <v>0.04722222222222222</v>
      </c>
      <c r="K650" s="8" t="n">
        <v>1</v>
      </c>
      <c r="L650" s="8" t="n">
        <v>1</v>
      </c>
      <c r="M650" s="8" t="n">
        <v>6</v>
      </c>
      <c r="N650" s="8" t="n">
        <v>6</v>
      </c>
      <c r="O650" s="8">
        <f>J650*K650/L650</f>
        <v>0.04722222222222222</v>
      </c>
      <c r="P650" s="8">
        <f>(M650+N650)/2</f>
        <v>6.0</v>
      </c>
      <c r="Q650" s="8">
        <f>O650*P650</f>
        <v>0.2833333333333333</v>
      </c>
      <c r="R650" s="8" t="n">
        <v>0</v>
      </c>
      <c r="S650" s="8">
        <f>Q650*R650</f>
        <v>0.0</v>
      </c>
      <c r="T650" s="8" t="n"/>
      <c r="U650" s="8" t="inlineStr"/>
      <c r="V650" s="8" t="inlineStr">
        <is>
          <t>data/item_templates.yaml:mission_chest_huashan_lunjian_advanced.effect_payload</t>
        </is>
      </c>
    </row>
    <row r="651" ht="36" customHeight="1">
      <c r="A651" s="8" t="inlineStr">
        <is>
          <t>huashan_lunjian_advanced</t>
        </is>
      </c>
      <c r="B651" s="8" t="inlineStr">
        <is>
          <t>华山论剑</t>
        </is>
      </c>
      <c r="C651" s="8" t="inlineStr">
        <is>
          <t>mission_chest_huashan_lunjian_advanced</t>
        </is>
      </c>
      <c r="D651" s="8" t="inlineStr">
        <is>
          <t>华山论剑宝箱</t>
        </is>
      </c>
      <c r="E651" s="8" t="inlineStr">
        <is>
          <t>随饕餮鼎图纸附带（同次命中）</t>
        </is>
      </c>
      <c r="F651" s="8" t="inlineStr">
        <is>
          <t>heiyuanshi</t>
        </is>
      </c>
      <c r="G651" s="8" t="inlineStr">
        <is>
          <t>黑原石</t>
        </is>
      </c>
      <c r="H651" s="8" t="inlineStr">
        <is>
          <t>green</t>
        </is>
      </c>
      <c r="I651" s="8" t="inlineStr">
        <is>
          <t>resource</t>
        </is>
      </c>
      <c r="J651" s="8" t="n">
        <v>0.04722222222222222</v>
      </c>
      <c r="K651" s="8" t="n">
        <v>1</v>
      </c>
      <c r="L651" s="8" t="n">
        <v>1</v>
      </c>
      <c r="M651" s="8" t="n">
        <v>9</v>
      </c>
      <c r="N651" s="8" t="n">
        <v>9</v>
      </c>
      <c r="O651" s="8">
        <f>J651*K651/L651</f>
        <v>0.04722222222222222</v>
      </c>
      <c r="P651" s="8">
        <f>(M651+N651)/2</f>
        <v>9.0</v>
      </c>
      <c r="Q651" s="8">
        <f>O651*P651</f>
        <v>0.425</v>
      </c>
      <c r="R651" s="8" t="n">
        <v>0</v>
      </c>
      <c r="S651" s="8">
        <f>Q651*R651</f>
        <v>0.0</v>
      </c>
      <c r="T651" s="8" t="n"/>
      <c r="U651" s="8" t="inlineStr"/>
      <c r="V651" s="8" t="inlineStr">
        <is>
          <t>data/item_templates.yaml:mission_chest_huashan_lunjian_advanced.effect_payload</t>
        </is>
      </c>
    </row>
    <row r="652" ht="36" customHeight="1">
      <c r="A652" s="8" t="inlineStr">
        <is>
          <t>huashan_lunjian_advanced</t>
        </is>
      </c>
      <c r="B652" s="8" t="inlineStr">
        <is>
          <t>华山论剑</t>
        </is>
      </c>
      <c r="C652" s="8" t="inlineStr">
        <is>
          <t>mission_chest_huashan_lunjian_advanced</t>
        </is>
      </c>
      <c r="D652" s="8" t="inlineStr">
        <is>
          <t>华山论剑宝箱</t>
        </is>
      </c>
      <c r="E652" s="8" t="inlineStr">
        <is>
          <t>随饕餮鼎图纸附带（同次命中）</t>
        </is>
      </c>
      <c r="F652" s="8" t="inlineStr">
        <is>
          <t>jingangmei</t>
        </is>
      </c>
      <c r="G652" s="8" t="inlineStr">
        <is>
          <t>金刚煤</t>
        </is>
      </c>
      <c r="H652" s="8" t="inlineStr">
        <is>
          <t>green</t>
        </is>
      </c>
      <c r="I652" s="8" t="inlineStr">
        <is>
          <t>resource</t>
        </is>
      </c>
      <c r="J652" s="8" t="n">
        <v>0.04722222222222222</v>
      </c>
      <c r="K652" s="8" t="n">
        <v>1</v>
      </c>
      <c r="L652" s="8" t="n">
        <v>1</v>
      </c>
      <c r="M652" s="8" t="n">
        <v>7</v>
      </c>
      <c r="N652" s="8" t="n">
        <v>7</v>
      </c>
      <c r="O652" s="8">
        <f>J652*K652/L652</f>
        <v>0.04722222222222222</v>
      </c>
      <c r="P652" s="8">
        <f>(M652+N652)/2</f>
        <v>7.0</v>
      </c>
      <c r="Q652" s="8">
        <f>O652*P652</f>
        <v>0.33055555555555555</v>
      </c>
      <c r="R652" s="8" t="n">
        <v>0</v>
      </c>
      <c r="S652" s="8">
        <f>Q652*R652</f>
        <v>0.0</v>
      </c>
      <c r="T652" s="8" t="n"/>
      <c r="U652" s="8" t="inlineStr"/>
      <c r="V652" s="8" t="inlineStr">
        <is>
          <t>data/item_templates.yaml:mission_chest_huashan_lunjian_advanced.effect_payload</t>
        </is>
      </c>
    </row>
    <row r="653" ht="36" customHeight="1">
      <c r="A653" s="8" t="inlineStr">
        <is>
          <t>huashan_lunjian_advanced</t>
        </is>
      </c>
      <c r="B653" s="8" t="inlineStr">
        <is>
          <t>华山论剑</t>
        </is>
      </c>
      <c r="C653" s="8" t="inlineStr">
        <is>
          <t>mission_chest_huashan_lunjian_advanced</t>
        </is>
      </c>
      <c r="D653" s="8" t="inlineStr">
        <is>
          <t>华山论剑宝箱</t>
        </is>
      </c>
      <c r="E653" s="8" t="inlineStr">
        <is>
          <t>随饕餮鼎图纸附带（同次命中）</t>
        </is>
      </c>
      <c r="F653" s="8" t="inlineStr">
        <is>
          <t>paozi</t>
        </is>
      </c>
      <c r="G653" s="8" t="inlineStr">
        <is>
          <t>刨子</t>
        </is>
      </c>
      <c r="H653" s="8" t="inlineStr">
        <is>
          <t>black</t>
        </is>
      </c>
      <c r="I653" s="8" t="inlineStr">
        <is>
          <t>resource</t>
        </is>
      </c>
      <c r="J653" s="8" t="n">
        <v>0.04722222222222222</v>
      </c>
      <c r="K653" s="8" t="n">
        <v>1</v>
      </c>
      <c r="L653" s="8" t="n">
        <v>1</v>
      </c>
      <c r="M653" s="8" t="n">
        <v>1</v>
      </c>
      <c r="N653" s="8" t="n">
        <v>1</v>
      </c>
      <c r="O653" s="8">
        <f>J653*K653/L653</f>
        <v>0.04722222222222222</v>
      </c>
      <c r="P653" s="8">
        <f>(M653+N653)/2</f>
        <v>1.0</v>
      </c>
      <c r="Q653" s="8">
        <f>O653*P653</f>
        <v>0.04722222222222222</v>
      </c>
      <c r="R653" s="8" t="n">
        <v>0</v>
      </c>
      <c r="S653" s="8">
        <f>Q653*R653</f>
        <v>0.0</v>
      </c>
      <c r="T653" s="8" t="n"/>
      <c r="U653" s="8" t="inlineStr"/>
      <c r="V653" s="8" t="inlineStr">
        <is>
          <t>data/item_templates.yaml:mission_chest_huashan_lunjian_advanced.effect_payload</t>
        </is>
      </c>
    </row>
    <row r="654" ht="36" customHeight="1">
      <c r="A654" s="8" t="inlineStr">
        <is>
          <t>huashan_lunjian_advanced</t>
        </is>
      </c>
      <c r="B654" s="8" t="inlineStr">
        <is>
          <t>华山论剑</t>
        </is>
      </c>
      <c r="C654" s="8" t="inlineStr">
        <is>
          <t>mission_chest_huashan_lunjian_advanced</t>
        </is>
      </c>
      <c r="D654" s="8" t="inlineStr">
        <is>
          <t>华山论剑宝箱</t>
        </is>
      </c>
      <c r="E654" s="8" t="inlineStr">
        <is>
          <t>随饕餮鼎图纸附带（同次命中）</t>
        </is>
      </c>
      <c r="F654" s="8" t="inlineStr">
        <is>
          <t>zaozi</t>
        </is>
      </c>
      <c r="G654" s="8" t="inlineStr">
        <is>
          <t>凿子</t>
        </is>
      </c>
      <c r="H654" s="8" t="inlineStr">
        <is>
          <t>black</t>
        </is>
      </c>
      <c r="I654" s="8" t="inlineStr">
        <is>
          <t>resource</t>
        </is>
      </c>
      <c r="J654" s="8" t="n">
        <v>0.04722222222222222</v>
      </c>
      <c r="K654" s="8" t="n">
        <v>1</v>
      </c>
      <c r="L654" s="8" t="n">
        <v>1</v>
      </c>
      <c r="M654" s="8" t="n">
        <v>6</v>
      </c>
      <c r="N654" s="8" t="n">
        <v>6</v>
      </c>
      <c r="O654" s="8">
        <f>J654*K654/L654</f>
        <v>0.04722222222222222</v>
      </c>
      <c r="P654" s="8">
        <f>(M654+N654)/2</f>
        <v>6.0</v>
      </c>
      <c r="Q654" s="8">
        <f>O654*P654</f>
        <v>0.2833333333333333</v>
      </c>
      <c r="R654" s="8" t="n">
        <v>0</v>
      </c>
      <c r="S654" s="8">
        <f>Q654*R654</f>
        <v>0.0</v>
      </c>
      <c r="T654" s="8" t="n"/>
      <c r="U654" s="8" t="inlineStr"/>
      <c r="V654" s="8" t="inlineStr">
        <is>
          <t>data/item_templates.yaml:mission_chest_huashan_lunjian_advanced.effect_payload</t>
        </is>
      </c>
    </row>
    <row r="655" ht="36" customHeight="1">
      <c r="A655" s="8" t="inlineStr">
        <is>
          <t>huashan_lunjian_advanced</t>
        </is>
      </c>
      <c r="B655" s="8" t="inlineStr">
        <is>
          <t>华山论剑</t>
        </is>
      </c>
      <c r="C655" s="8" t="inlineStr">
        <is>
          <t>mission_chest_huashan_lunjian_advanced</t>
        </is>
      </c>
      <c r="D655" s="8" t="inlineStr">
        <is>
          <t>华山论剑宝箱</t>
        </is>
      </c>
      <c r="E655" s="8" t="inlineStr">
        <is>
          <t>随饕餮鼎图纸附带（同次命中）</t>
        </is>
      </c>
      <c r="F655" s="8" t="inlineStr">
        <is>
          <t>gaolu</t>
        </is>
      </c>
      <c r="G655" s="8" t="inlineStr">
        <is>
          <t>高炉</t>
        </is>
      </c>
      <c r="H655" s="8" t="inlineStr">
        <is>
          <t>blue</t>
        </is>
      </c>
      <c r="I655" s="8" t="inlineStr">
        <is>
          <t>resource</t>
        </is>
      </c>
      <c r="J655" s="8" t="n">
        <v>0.04722222222222222</v>
      </c>
      <c r="K655" s="8" t="n">
        <v>1</v>
      </c>
      <c r="L655" s="8" t="n">
        <v>1</v>
      </c>
      <c r="M655" s="8" t="n">
        <v>2</v>
      </c>
      <c r="N655" s="8" t="n">
        <v>2</v>
      </c>
      <c r="O655" s="8">
        <f>J655*K655/L655</f>
        <v>0.04722222222222222</v>
      </c>
      <c r="P655" s="8">
        <f>(M655+N655)/2</f>
        <v>2.0</v>
      </c>
      <c r="Q655" s="8">
        <f>O655*P655</f>
        <v>0.09444444444444444</v>
      </c>
      <c r="R655" s="8" t="n">
        <v>0</v>
      </c>
      <c r="S655" s="8">
        <f>Q655*R655</f>
        <v>0.0</v>
      </c>
      <c r="T655" s="8" t="n"/>
      <c r="U655" s="8" t="inlineStr"/>
      <c r="V655" s="8" t="inlineStr">
        <is>
          <t>data/item_templates.yaml:mission_chest_huashan_lunjian_advanced.effect_payload</t>
        </is>
      </c>
    </row>
    <row r="656" ht="36" customHeight="1">
      <c r="A656" s="8" t="inlineStr">
        <is>
          <t>huashan_lunjian_advanced</t>
        </is>
      </c>
      <c r="B656" s="8" t="inlineStr">
        <is>
          <t>华山论剑</t>
        </is>
      </c>
      <c r="C656" s="8" t="inlineStr">
        <is>
          <t>mission_chest_huashan_lunjian_advanced</t>
        </is>
      </c>
      <c r="D656" s="8" t="inlineStr">
        <is>
          <t>华山论剑宝箱</t>
        </is>
      </c>
      <c r="E656" s="8" t="inlineStr">
        <is>
          <t>随饕餮鼎图纸附带（同次命中）</t>
        </is>
      </c>
      <c r="F656" s="8" t="inlineStr">
        <is>
          <t>water_stone</t>
        </is>
      </c>
      <c r="G656" s="8" t="inlineStr">
        <is>
          <t>纯水之石</t>
        </is>
      </c>
      <c r="H656" s="8" t="inlineStr">
        <is>
          <t>blue</t>
        </is>
      </c>
      <c r="I656" s="8" t="inlineStr">
        <is>
          <t>resource</t>
        </is>
      </c>
      <c r="J656" s="8" t="n">
        <v>0.04722222222222222</v>
      </c>
      <c r="K656" s="8" t="n">
        <v>1</v>
      </c>
      <c r="L656" s="8" t="n">
        <v>1</v>
      </c>
      <c r="M656" s="8" t="n">
        <v>1</v>
      </c>
      <c r="N656" s="8" t="n">
        <v>1</v>
      </c>
      <c r="O656" s="8">
        <f>J656*K656/L656</f>
        <v>0.04722222222222222</v>
      </c>
      <c r="P656" s="8">
        <f>(M656+N656)/2</f>
        <v>1.0</v>
      </c>
      <c r="Q656" s="8">
        <f>O656*P656</f>
        <v>0.04722222222222222</v>
      </c>
      <c r="R656" s="8" t="n">
        <v>0</v>
      </c>
      <c r="S656" s="8">
        <f>Q656*R656</f>
        <v>0.0</v>
      </c>
      <c r="T656" s="8" t="n"/>
      <c r="U656" s="8" t="inlineStr"/>
      <c r="V656" s="8" t="inlineStr">
        <is>
          <t>data/item_templates.yaml:mission_chest_huashan_lunjian_advanced.effect_payload</t>
        </is>
      </c>
    </row>
    <row r="657" ht="36" customHeight="1">
      <c r="A657" s="8" t="inlineStr">
        <is>
          <t>huashan_lunjian_advanced</t>
        </is>
      </c>
      <c r="B657" s="8" t="inlineStr">
        <is>
          <t>华山论剑</t>
        </is>
      </c>
      <c r="C657" s="8" t="inlineStr">
        <is>
          <t>mission_chest_huashan_lunjian_advanced</t>
        </is>
      </c>
      <c r="D657" s="8" t="inlineStr">
        <is>
          <t>华山论剑宝箱</t>
        </is>
      </c>
      <c r="E657" s="8" t="inlineStr">
        <is>
          <t>随饕餮鼎图纸附带（同次命中）</t>
        </is>
      </c>
      <c r="F657" s="8" t="inlineStr">
        <is>
          <t>earth_stone</t>
        </is>
      </c>
      <c r="G657" s="8" t="inlineStr">
        <is>
          <t>大地之石</t>
        </is>
      </c>
      <c r="H657" s="8" t="inlineStr">
        <is>
          <t>blue</t>
        </is>
      </c>
      <c r="I657" s="8" t="inlineStr">
        <is>
          <t>resource</t>
        </is>
      </c>
      <c r="J657" s="8" t="n">
        <v>0.04722222222222222</v>
      </c>
      <c r="K657" s="8" t="n">
        <v>1</v>
      </c>
      <c r="L657" s="8" t="n">
        <v>1</v>
      </c>
      <c r="M657" s="8" t="n">
        <v>1</v>
      </c>
      <c r="N657" s="8" t="n">
        <v>1</v>
      </c>
      <c r="O657" s="8">
        <f>J657*K657/L657</f>
        <v>0.04722222222222222</v>
      </c>
      <c r="P657" s="8">
        <f>(M657+N657)/2</f>
        <v>1.0</v>
      </c>
      <c r="Q657" s="8">
        <f>O657*P657</f>
        <v>0.04722222222222222</v>
      </c>
      <c r="R657" s="8" t="n">
        <v>0</v>
      </c>
      <c r="S657" s="8">
        <f>Q657*R657</f>
        <v>0.0</v>
      </c>
      <c r="T657" s="8" t="n"/>
      <c r="U657" s="8" t="inlineStr"/>
      <c r="V657" s="8" t="inlineStr">
        <is>
          <t>data/item_templates.yaml:mission_chest_huashan_lunjian_advanced.effect_payload</t>
        </is>
      </c>
    </row>
    <row r="658" ht="36" customHeight="1">
      <c r="A658" s="8" t="inlineStr">
        <is>
          <t>huashan_lunjian_advanced</t>
        </is>
      </c>
      <c r="B658" s="8" t="inlineStr">
        <is>
          <t>华山论剑</t>
        </is>
      </c>
      <c r="C658" s="8" t="inlineStr">
        <is>
          <t>mission_chest_huashan_lunjian_advanced</t>
        </is>
      </c>
      <c r="D658" s="8" t="inlineStr">
        <is>
          <t>华山论剑宝箱</t>
        </is>
      </c>
      <c r="E658" s="8" t="inlineStr">
        <is>
          <t>随饕餮鼎图纸附带（同次命中）</t>
        </is>
      </c>
      <c r="F658" s="8" t="inlineStr">
        <is>
          <t>fire_stone</t>
        </is>
      </c>
      <c r="G658" s="8" t="inlineStr">
        <is>
          <t>火焰之石</t>
        </is>
      </c>
      <c r="H658" s="8" t="inlineStr">
        <is>
          <t>blue</t>
        </is>
      </c>
      <c r="I658" s="8" t="inlineStr">
        <is>
          <t>resource</t>
        </is>
      </c>
      <c r="J658" s="8" t="n">
        <v>0.04722222222222222</v>
      </c>
      <c r="K658" s="8" t="n">
        <v>1</v>
      </c>
      <c r="L658" s="8" t="n">
        <v>1</v>
      </c>
      <c r="M658" s="8" t="n">
        <v>1</v>
      </c>
      <c r="N658" s="8" t="n">
        <v>1</v>
      </c>
      <c r="O658" s="8">
        <f>J658*K658/L658</f>
        <v>0.04722222222222222</v>
      </c>
      <c r="P658" s="8">
        <f>(M658+N658)/2</f>
        <v>1.0</v>
      </c>
      <c r="Q658" s="8">
        <f>O658*P658</f>
        <v>0.04722222222222222</v>
      </c>
      <c r="R658" s="8" t="n">
        <v>0</v>
      </c>
      <c r="S658" s="8">
        <f>Q658*R658</f>
        <v>0.0</v>
      </c>
      <c r="T658" s="8" t="n"/>
      <c r="U658" s="8" t="inlineStr"/>
      <c r="V658" s="8" t="inlineStr">
        <is>
          <t>data/item_templates.yaml:mission_chest_huashan_lunjian_advanced.effect_payload</t>
        </is>
      </c>
    </row>
    <row r="659" ht="36" customHeight="1">
      <c r="A659" s="8" t="inlineStr">
        <is>
          <t>sishui_huaxiong_chengwei</t>
        </is>
      </c>
      <c r="B659" s="8" t="inlineStr">
        <is>
          <t>飞将浮沉录：汜水关华雄逞威</t>
        </is>
      </c>
      <c r="C659" s="8" t="inlineStr">
        <is>
          <t>mission_chest_sishui_huaxiong_chengwei</t>
        </is>
      </c>
      <c r="D659" s="8" t="inlineStr">
        <is>
          <t>汜水关宝箱</t>
        </is>
      </c>
      <c r="E659" s="8" t="inlineStr">
        <is>
          <t>必得</t>
        </is>
      </c>
      <c r="F659" s="8" t="inlineStr">
        <is>
          <t>experience_fruit</t>
        </is>
      </c>
      <c r="G659" s="8" t="inlineStr">
        <is>
          <t>经验果</t>
        </is>
      </c>
      <c r="H659" s="8" t="inlineStr">
        <is>
          <t>green</t>
        </is>
      </c>
      <c r="I659" s="8" t="inlineStr">
        <is>
          <t>experience_items</t>
        </is>
      </c>
      <c r="J659" s="8" t="n">
        <v>1</v>
      </c>
      <c r="K659" s="8" t="n">
        <v>1</v>
      </c>
      <c r="L659" s="8" t="n">
        <v>1</v>
      </c>
      <c r="M659" s="8" t="n">
        <v>44</v>
      </c>
      <c r="N659" s="8" t="n">
        <v>44</v>
      </c>
      <c r="O659" s="8">
        <f>J659*K659/L659</f>
        <v>1.0</v>
      </c>
      <c r="P659" s="8">
        <f>(M659+N659)/2</f>
        <v>44.0</v>
      </c>
      <c r="Q659" s="8">
        <f>O659*P659</f>
        <v>44.0</v>
      </c>
      <c r="R659" s="8" t="n">
        <v>1</v>
      </c>
      <c r="S659" s="8">
        <f>Q659*R659</f>
        <v>44.0</v>
      </c>
      <c r="T659" s="8" t="n"/>
      <c r="U659" s="8" t="inlineStr"/>
      <c r="V659" s="8" t="inlineStr">
        <is>
          <t>data/item_templates.yaml:mission_chest_sishui_huaxiong_chengwei.effect_payload</t>
        </is>
      </c>
    </row>
    <row r="660" ht="36" customHeight="1">
      <c r="A660" s="8" t="inlineStr">
        <is>
          <t>sishui_huaxiong_chengwei</t>
        </is>
      </c>
      <c r="B660" s="8" t="inlineStr">
        <is>
          <t>飞将浮沉录：汜水关华雄逞威</t>
        </is>
      </c>
      <c r="C660" s="8" t="inlineStr">
        <is>
          <t>mission_chest_sishui_huaxiong_chengwei</t>
        </is>
      </c>
      <c r="D660" s="8" t="inlineStr">
        <is>
          <t>汜水关宝箱</t>
        </is>
      </c>
      <c r="E660" s="8" t="inlineStr">
        <is>
          <t>必得</t>
        </is>
      </c>
      <c r="F660" s="8" t="inlineStr">
        <is>
          <t>sishui_battle_report</t>
        </is>
      </c>
      <c r="G660" s="8" t="inlineStr">
        <is>
          <t>汜水关战报</t>
        </is>
      </c>
      <c r="H660" s="8" t="inlineStr">
        <is>
          <t>blue</t>
        </is>
      </c>
      <c r="I660" s="8" t="inlineStr">
        <is>
          <t>resource</t>
        </is>
      </c>
      <c r="J660" s="8" t="n">
        <v>1</v>
      </c>
      <c r="K660" s="8" t="n">
        <v>1</v>
      </c>
      <c r="L660" s="8" t="n">
        <v>1</v>
      </c>
      <c r="M660" s="8" t="n">
        <v>1</v>
      </c>
      <c r="N660" s="8" t="n">
        <v>1</v>
      </c>
      <c r="O660" s="8">
        <f>J660*K660/L660</f>
        <v>1.0</v>
      </c>
      <c r="P660" s="8">
        <f>(M660+N660)/2</f>
        <v>1.0</v>
      </c>
      <c r="Q660" s="8">
        <f>O660*P660</f>
        <v>1.0</v>
      </c>
      <c r="R660" s="8" t="n">
        <v>0</v>
      </c>
      <c r="S660" s="8">
        <f>Q660*R660</f>
        <v>0.0</v>
      </c>
      <c r="T660" s="8" t="n"/>
      <c r="U660" s="8" t="inlineStr"/>
      <c r="V660" s="8" t="inlineStr">
        <is>
          <t>data/item_templates.yaml:mission_chest_sishui_huaxiong_chengwei.effect_payload</t>
        </is>
      </c>
    </row>
    <row r="661" ht="36" customHeight="1">
      <c r="A661" s="8" t="inlineStr">
        <is>
          <t>sishui_huaxiong_chengwei</t>
        </is>
      </c>
      <c r="B661" s="8" t="inlineStr">
        <is>
          <t>飞将浮沉录：汜水关华雄逞威</t>
        </is>
      </c>
      <c r="C661" s="8" t="inlineStr">
        <is>
          <t>mission_chest_sishui_huaxiong_chengwei</t>
        </is>
      </c>
      <c r="D661" s="8" t="inlineStr">
        <is>
          <t>汜水关宝箱</t>
        </is>
      </c>
      <c r="E661" s="8" t="inlineStr">
        <is>
          <t>必得</t>
        </is>
      </c>
      <c r="F661" s="8" t="inlineStr">
        <is>
          <t>buxuedan</t>
        </is>
      </c>
      <c r="G661" s="8" t="inlineStr">
        <is>
          <t>补血丹</t>
        </is>
      </c>
      <c r="H661" s="8" t="inlineStr">
        <is>
          <t>black</t>
        </is>
      </c>
      <c r="I661" s="8" t="inlineStr">
        <is>
          <t>medicine</t>
        </is>
      </c>
      <c r="J661" s="8" t="n">
        <v>1</v>
      </c>
      <c r="K661" s="8" t="n">
        <v>1</v>
      </c>
      <c r="L661" s="8" t="n">
        <v>1</v>
      </c>
      <c r="M661" s="8" t="n">
        <v>4</v>
      </c>
      <c r="N661" s="8" t="n">
        <v>4</v>
      </c>
      <c r="O661" s="8">
        <f>J661*K661/L661</f>
        <v>1.0</v>
      </c>
      <c r="P661" s="8">
        <f>(M661+N661)/2</f>
        <v>4.0</v>
      </c>
      <c r="Q661" s="8">
        <f>O661*P661</f>
        <v>4.0</v>
      </c>
      <c r="R661" s="8" t="n">
        <v>0</v>
      </c>
      <c r="S661" s="8">
        <f>Q661*R661</f>
        <v>0.0</v>
      </c>
      <c r="T661" s="8" t="n"/>
      <c r="U661" s="8" t="inlineStr"/>
      <c r="V661" s="8" t="inlineStr">
        <is>
          <t>data/item_templates.yaml:mission_chest_sishui_huaxiong_chengwei.effect_payload</t>
        </is>
      </c>
    </row>
    <row r="662" ht="36" customHeight="1">
      <c r="A662" s="8" t="inlineStr">
        <is>
          <t>sishui_huaxiong_chengwei</t>
        </is>
      </c>
      <c r="B662" s="8" t="inlineStr">
        <is>
          <t>飞将浮沉录：汜水关华雄逞威</t>
        </is>
      </c>
      <c r="C662" s="8" t="inlineStr">
        <is>
          <t>mission_chest_sishui_huaxiong_chengwei</t>
        </is>
      </c>
      <c r="D662" s="8" t="inlineStr">
        <is>
          <t>汜水关宝箱</t>
        </is>
      </c>
      <c r="E662" s="8" t="inlineStr">
        <is>
          <t>必得</t>
        </is>
      </c>
      <c r="F662" s="8" t="inlineStr">
        <is>
          <t>tong</t>
        </is>
      </c>
      <c r="G662" s="8" t="inlineStr">
        <is>
          <t>铜</t>
        </is>
      </c>
      <c r="H662" s="8" t="inlineStr">
        <is>
          <t>black</t>
        </is>
      </c>
      <c r="I662" s="8" t="inlineStr">
        <is>
          <t>resource</t>
        </is>
      </c>
      <c r="J662" s="8" t="n">
        <v>1</v>
      </c>
      <c r="K662" s="8" t="n">
        <v>1</v>
      </c>
      <c r="L662" s="8" t="n">
        <v>1</v>
      </c>
      <c r="M662" s="8" t="n">
        <v>12</v>
      </c>
      <c r="N662" s="8" t="n">
        <v>12</v>
      </c>
      <c r="O662" s="8">
        <f>J662*K662/L662</f>
        <v>1.0</v>
      </c>
      <c r="P662" s="8">
        <f>(M662+N662)/2</f>
        <v>12.0</v>
      </c>
      <c r="Q662" s="8">
        <f>O662*P662</f>
        <v>12.0</v>
      </c>
      <c r="R662" s="8" t="n">
        <v>0</v>
      </c>
      <c r="S662" s="8">
        <f>Q662*R662</f>
        <v>0.0</v>
      </c>
      <c r="T662" s="8" t="n"/>
      <c r="U662" s="8" t="inlineStr"/>
      <c r="V662" s="8" t="inlineStr">
        <is>
          <t>data/item_templates.yaml:mission_chest_sishui_huaxiong_chengwei.effect_payload</t>
        </is>
      </c>
    </row>
    <row r="663" ht="36" customHeight="1">
      <c r="A663" s="8" t="inlineStr">
        <is>
          <t>sishui_huaxiong_chengwei</t>
        </is>
      </c>
      <c r="B663" s="8" t="inlineStr">
        <is>
          <t>飞将浮沉录：汜水关华雄逞威</t>
        </is>
      </c>
      <c r="C663" s="8" t="inlineStr">
        <is>
          <t>mission_chest_sishui_huaxiong_chengwei</t>
        </is>
      </c>
      <c r="D663" s="8" t="inlineStr">
        <is>
          <t>汜水关宝箱</t>
        </is>
      </c>
      <c r="E663" s="8" t="inlineStr">
        <is>
          <t>必得</t>
        </is>
      </c>
      <c r="F663" s="8" t="inlineStr">
        <is>
          <t>xi</t>
        </is>
      </c>
      <c r="G663" s="8" t="inlineStr">
        <is>
          <t>锡</t>
        </is>
      </c>
      <c r="H663" s="8" t="inlineStr">
        <is>
          <t>black</t>
        </is>
      </c>
      <c r="I663" s="8" t="inlineStr">
        <is>
          <t>resource</t>
        </is>
      </c>
      <c r="J663" s="8" t="n">
        <v>1</v>
      </c>
      <c r="K663" s="8" t="n">
        <v>1</v>
      </c>
      <c r="L663" s="8" t="n">
        <v>1</v>
      </c>
      <c r="M663" s="8" t="n">
        <v>8</v>
      </c>
      <c r="N663" s="8" t="n">
        <v>8</v>
      </c>
      <c r="O663" s="8">
        <f>J663*K663/L663</f>
        <v>1.0</v>
      </c>
      <c r="P663" s="8">
        <f>(M663+N663)/2</f>
        <v>8.0</v>
      </c>
      <c r="Q663" s="8">
        <f>O663*P663</f>
        <v>8.0</v>
      </c>
      <c r="R663" s="8" t="n">
        <v>0</v>
      </c>
      <c r="S663" s="8">
        <f>Q663*R663</f>
        <v>0.0</v>
      </c>
      <c r="T663" s="8" t="n"/>
      <c r="U663" s="8" t="inlineStr"/>
      <c r="V663" s="8" t="inlineStr">
        <is>
          <t>data/item_templates.yaml:mission_chest_sishui_huaxiong_chengwei.effect_payload</t>
        </is>
      </c>
    </row>
    <row r="664" ht="36" customHeight="1">
      <c r="A664" s="8" t="inlineStr">
        <is>
          <t>sishui_huaxiong_chengwei</t>
        </is>
      </c>
      <c r="B664" s="8" t="inlineStr">
        <is>
          <t>飞将浮沉录：汜水关华雄逞威</t>
        </is>
      </c>
      <c r="C664" s="8" t="inlineStr">
        <is>
          <t>mission_chest_sishui_huaxiong_chengwei</t>
        </is>
      </c>
      <c r="D664" s="8" t="inlineStr">
        <is>
          <t>汜水关宝箱</t>
        </is>
      </c>
      <c r="E664" s="8" t="inlineStr">
        <is>
          <t>必得</t>
        </is>
      </c>
      <c r="F664" s="8" t="inlineStr">
        <is>
          <t>tie</t>
        </is>
      </c>
      <c r="G664" s="8" t="inlineStr">
        <is>
          <t>铁</t>
        </is>
      </c>
      <c r="H664" s="8" t="inlineStr">
        <is>
          <t>black</t>
        </is>
      </c>
      <c r="I664" s="8" t="inlineStr">
        <is>
          <t>resource</t>
        </is>
      </c>
      <c r="J664" s="8" t="n">
        <v>1</v>
      </c>
      <c r="K664" s="8" t="n">
        <v>1</v>
      </c>
      <c r="L664" s="8" t="n">
        <v>1</v>
      </c>
      <c r="M664" s="8" t="n">
        <v>5</v>
      </c>
      <c r="N664" s="8" t="n">
        <v>5</v>
      </c>
      <c r="O664" s="8">
        <f>J664*K664/L664</f>
        <v>1.0</v>
      </c>
      <c r="P664" s="8">
        <f>(M664+N664)/2</f>
        <v>5.0</v>
      </c>
      <c r="Q664" s="8">
        <f>O664*P664</f>
        <v>5.0</v>
      </c>
      <c r="R664" s="8" t="n">
        <v>0</v>
      </c>
      <c r="S664" s="8">
        <f>Q664*R664</f>
        <v>0.0</v>
      </c>
      <c r="T664" s="8" t="n"/>
      <c r="U664" s="8" t="inlineStr"/>
      <c r="V664" s="8" t="inlineStr">
        <is>
          <t>data/item_templates.yaml:mission_chest_sishui_huaxiong_chengwei.effect_payload</t>
        </is>
      </c>
    </row>
    <row r="665" ht="36" customHeight="1">
      <c r="A665" s="8" t="inlineStr">
        <is>
          <t>sishui_huaxiong_chengwei</t>
        </is>
      </c>
      <c r="B665" s="8" t="inlineStr">
        <is>
          <t>飞将浮沉录：汜水关华雄逞威</t>
        </is>
      </c>
      <c r="C665" s="8" t="inlineStr">
        <is>
          <t>mission_chest_sishui_huaxiong_chengwei</t>
        </is>
      </c>
      <c r="D665" s="8" t="inlineStr">
        <is>
          <t>汜水关宝箱</t>
        </is>
      </c>
      <c r="E665" s="8" t="inlineStr">
        <is>
          <t>experience_watermelon</t>
        </is>
      </c>
      <c r="F665" s="8" t="inlineStr">
        <is>
          <t>experience_watermelon</t>
        </is>
      </c>
      <c r="G665" s="8" t="inlineStr">
        <is>
          <t>经验西瓜</t>
        </is>
      </c>
      <c r="H665" s="8" t="inlineStr">
        <is>
          <t>purple</t>
        </is>
      </c>
      <c r="I665" s="8" t="inlineStr">
        <is>
          <t>experience_items</t>
        </is>
      </c>
      <c r="J665" s="8" t="n">
        <v>0.85</v>
      </c>
      <c r="K665" s="8" t="n">
        <v>1</v>
      </c>
      <c r="L665" s="8" t="n">
        <v>1</v>
      </c>
      <c r="M665" s="8" t="n">
        <v>5</v>
      </c>
      <c r="N665" s="8" t="n">
        <v>5</v>
      </c>
      <c r="O665" s="8">
        <f>J665*K665/L665</f>
        <v>0.85</v>
      </c>
      <c r="P665" s="8">
        <f>(M665+N665)/2</f>
        <v>5.0</v>
      </c>
      <c r="Q665" s="8">
        <f>O665*P665</f>
        <v>4.25</v>
      </c>
      <c r="R665" s="8" t="n">
        <v>24</v>
      </c>
      <c r="S665" s="8">
        <f>Q665*R665</f>
        <v>102.0</v>
      </c>
      <c r="T665" s="8" t="n"/>
      <c r="U665" s="8" t="inlineStr"/>
      <c r="V665" s="8" t="inlineStr">
        <is>
          <t>data/item_templates.yaml:mission_chest_sishui_huaxiong_chengwei.effect_payload</t>
        </is>
      </c>
    </row>
    <row r="666" ht="36" customHeight="1">
      <c r="A666" s="8" t="inlineStr">
        <is>
          <t>sishui_huaxiong_chengwei</t>
        </is>
      </c>
      <c r="B666" s="8" t="inlineStr">
        <is>
          <t>飞将浮沉录：汜水关华雄逞威</t>
        </is>
      </c>
      <c r="C666" s="8" t="inlineStr">
        <is>
          <t>mission_chest_sishui_huaxiong_chengwei</t>
        </is>
      </c>
      <c r="D666" s="8" t="inlineStr">
        <is>
          <t>汜水关宝箱</t>
        </is>
      </c>
      <c r="E666" s="8" t="inlineStr">
        <is>
          <t>sishui_equipment_pool</t>
        </is>
      </c>
      <c r="F666" s="8" t="inlineStr">
        <is>
          <t>equip_pozhenqiang</t>
        </is>
      </c>
      <c r="G666" s="8" t="inlineStr">
        <is>
          <t>破阵枪</t>
        </is>
      </c>
      <c r="H666" s="8" t="inlineStr">
        <is>
          <t>blue</t>
        </is>
      </c>
      <c r="I666" s="8" t="inlineStr">
        <is>
          <t>equip_weapon</t>
        </is>
      </c>
      <c r="J666" s="8" t="n">
        <v>0.1</v>
      </c>
      <c r="K666" s="8" t="n">
        <v>1</v>
      </c>
      <c r="L666" s="8" t="n">
        <v>3</v>
      </c>
      <c r="M666" s="8" t="n">
        <v>1</v>
      </c>
      <c r="N666" s="8" t="n">
        <v>1</v>
      </c>
      <c r="O666" s="8">
        <f>J666*K666/L666</f>
        <v>0.03333333333333333</v>
      </c>
      <c r="P666" s="8">
        <f>(M666+N666)/2</f>
        <v>1.0</v>
      </c>
      <c r="Q666" s="8">
        <f>O666*P666</f>
        <v>0.03333333333333333</v>
      </c>
      <c r="R666" s="8" t="n">
        <v>0</v>
      </c>
      <c r="S666" s="8">
        <f>Q666*R666</f>
        <v>0.0</v>
      </c>
      <c r="T666" s="8" t="n"/>
      <c r="U666" s="8" t="inlineStr"/>
      <c r="V666" s="8" t="inlineStr">
        <is>
          <t>data/item_templates.yaml:mission_chest_sishui_huaxiong_chengwei.effect_payload</t>
        </is>
      </c>
    </row>
    <row r="667" ht="36" customHeight="1">
      <c r="A667" s="8" t="inlineStr">
        <is>
          <t>sishui_huaxiong_chengwei</t>
        </is>
      </c>
      <c r="B667" s="8" t="inlineStr">
        <is>
          <t>飞将浮沉录：汜水关华雄逞威</t>
        </is>
      </c>
      <c r="C667" s="8" t="inlineStr">
        <is>
          <t>mission_chest_sishui_huaxiong_chengwei</t>
        </is>
      </c>
      <c r="D667" s="8" t="inlineStr">
        <is>
          <t>汜水关宝箱</t>
        </is>
      </c>
      <c r="E667" s="8" t="inlineStr">
        <is>
          <t>sishui_equipment_pool</t>
        </is>
      </c>
      <c r="F667" s="8" t="inlineStr">
        <is>
          <t>equip_chuanyungong</t>
        </is>
      </c>
      <c r="G667" s="8" t="inlineStr">
        <is>
          <t>穿云弓</t>
        </is>
      </c>
      <c r="H667" s="8" t="inlineStr">
        <is>
          <t>blue</t>
        </is>
      </c>
      <c r="I667" s="8" t="inlineStr">
        <is>
          <t>equip_weapon</t>
        </is>
      </c>
      <c r="J667" s="8" t="n">
        <v>0.1</v>
      </c>
      <c r="K667" s="8" t="n">
        <v>1</v>
      </c>
      <c r="L667" s="8" t="n">
        <v>3</v>
      </c>
      <c r="M667" s="8" t="n">
        <v>1</v>
      </c>
      <c r="N667" s="8" t="n">
        <v>1</v>
      </c>
      <c r="O667" s="8">
        <f>J667*K667/L667</f>
        <v>0.03333333333333333</v>
      </c>
      <c r="P667" s="8">
        <f>(M667+N667)/2</f>
        <v>1.0</v>
      </c>
      <c r="Q667" s="8">
        <f>O667*P667</f>
        <v>0.03333333333333333</v>
      </c>
      <c r="R667" s="8" t="n">
        <v>0</v>
      </c>
      <c r="S667" s="8">
        <f>Q667*R667</f>
        <v>0.0</v>
      </c>
      <c r="T667" s="8" t="n"/>
      <c r="U667" s="8" t="inlineStr"/>
      <c r="V667" s="8" t="inlineStr">
        <is>
          <t>data/item_templates.yaml:mission_chest_sishui_huaxiong_chengwei.effect_payload</t>
        </is>
      </c>
    </row>
    <row r="668" ht="36" customHeight="1">
      <c r="A668" s="8" t="inlineStr">
        <is>
          <t>sishui_huaxiong_chengwei</t>
        </is>
      </c>
      <c r="B668" s="8" t="inlineStr">
        <is>
          <t>飞将浮沉录：汜水关华雄逞威</t>
        </is>
      </c>
      <c r="C668" s="8" t="inlineStr">
        <is>
          <t>mission_chest_sishui_huaxiong_chengwei</t>
        </is>
      </c>
      <c r="D668" s="8" t="inlineStr">
        <is>
          <t>汜水关宝箱</t>
        </is>
      </c>
      <c r="E668" s="8" t="inlineStr">
        <is>
          <t>sishui_equipment_pool</t>
        </is>
      </c>
      <c r="F668" s="8" t="inlineStr">
        <is>
          <t>equip_longwenyupei</t>
        </is>
      </c>
      <c r="G668" s="8" t="inlineStr">
        <is>
          <t>龙纹玉佩</t>
        </is>
      </c>
      <c r="H668" s="8" t="inlineStr">
        <is>
          <t>blue</t>
        </is>
      </c>
      <c r="I668" s="8" t="inlineStr">
        <is>
          <t>equip_ornament</t>
        </is>
      </c>
      <c r="J668" s="8" t="n">
        <v>0.1</v>
      </c>
      <c r="K668" s="8" t="n">
        <v>1</v>
      </c>
      <c r="L668" s="8" t="n">
        <v>3</v>
      </c>
      <c r="M668" s="8" t="n">
        <v>1</v>
      </c>
      <c r="N668" s="8" t="n">
        <v>1</v>
      </c>
      <c r="O668" s="8">
        <f>J668*K668/L668</f>
        <v>0.03333333333333333</v>
      </c>
      <c r="P668" s="8">
        <f>(M668+N668)/2</f>
        <v>1.0</v>
      </c>
      <c r="Q668" s="8">
        <f>O668*P668</f>
        <v>0.03333333333333333</v>
      </c>
      <c r="R668" s="8" t="n">
        <v>0</v>
      </c>
      <c r="S668" s="8">
        <f>Q668*R668</f>
        <v>0.0</v>
      </c>
      <c r="T668" s="8" t="n"/>
      <c r="U668" s="8" t="inlineStr"/>
      <c r="V668" s="8" t="inlineStr">
        <is>
          <t>data/item_templates.yaml:mission_chest_sishui_huaxiong_chengwei.effect_payload</t>
        </is>
      </c>
    </row>
    <row r="669" ht="36" customHeight="1">
      <c r="A669" s="8" t="inlineStr">
        <is>
          <t>sishui_huaxiong_chengwei</t>
        </is>
      </c>
      <c r="B669" s="8" t="inlineStr">
        <is>
          <t>飞将浮沉录：汜水关华雄逞威</t>
        </is>
      </c>
      <c r="C669" s="8" t="inlineStr">
        <is>
          <t>mission_chest_sishui_huaxiong_chengwei</t>
        </is>
      </c>
      <c r="D669" s="8" t="inlineStr">
        <is>
          <t>汜水关宝箱</t>
        </is>
      </c>
      <c r="E669" s="8" t="inlineStr">
        <is>
          <t>equip_zhuyuye</t>
        </is>
      </c>
      <c r="F669" s="8" t="inlineStr">
        <is>
          <t>equip_zhuyuye</t>
        </is>
      </c>
      <c r="G669" s="8" t="inlineStr">
        <is>
          <t>茱萸叶</t>
        </is>
      </c>
      <c r="H669" s="8" t="inlineStr">
        <is>
          <t>purple</t>
        </is>
      </c>
      <c r="I669" s="8" t="inlineStr">
        <is>
          <t>equip_ornament</t>
        </is>
      </c>
      <c r="J669" s="8" t="n">
        <v>0.005</v>
      </c>
      <c r="K669" s="8" t="n">
        <v>1</v>
      </c>
      <c r="L669" s="8" t="n">
        <v>1</v>
      </c>
      <c r="M669" s="8" t="n">
        <v>1</v>
      </c>
      <c r="N669" s="8" t="n">
        <v>1</v>
      </c>
      <c r="O669" s="8">
        <f>J669*K669/L669</f>
        <v>0.005</v>
      </c>
      <c r="P669" s="8">
        <f>(M669+N669)/2</f>
        <v>1.0</v>
      </c>
      <c r="Q669" s="8">
        <f>O669*P669</f>
        <v>0.005</v>
      </c>
      <c r="R669" s="8" t="n">
        <v>0</v>
      </c>
      <c r="S669" s="8">
        <f>Q669*R669</f>
        <v>0.0</v>
      </c>
      <c r="T669" s="8" t="n"/>
      <c r="U669" s="8" t="inlineStr"/>
      <c r="V669" s="8" t="inlineStr">
        <is>
          <t>data/item_templates.yaml:mission_chest_sishui_huaxiong_chengwei.effect_payload</t>
        </is>
      </c>
    </row>
    <row r="670" ht="36" customHeight="1">
      <c r="A670" s="8" t="inlineStr">
        <is>
          <t>hulao_qunying_zhan_lvbu</t>
        </is>
      </c>
      <c r="B670" s="8" t="inlineStr">
        <is>
          <t>飞将浮沉录：虎牢关群英战吕布</t>
        </is>
      </c>
      <c r="C670" s="8" t="inlineStr">
        <is>
          <t>mission_chest_hulao_qunying_zhan_lvbu</t>
        </is>
      </c>
      <c r="D670" s="8" t="inlineStr">
        <is>
          <t>虎牢关宝箱</t>
        </is>
      </c>
      <c r="E670" s="8" t="inlineStr">
        <is>
          <t>必得</t>
        </is>
      </c>
      <c r="F670" s="8" t="inlineStr">
        <is>
          <t>experience_fruit</t>
        </is>
      </c>
      <c r="G670" s="8" t="inlineStr">
        <is>
          <t>经验果</t>
        </is>
      </c>
      <c r="H670" s="8" t="inlineStr">
        <is>
          <t>green</t>
        </is>
      </c>
      <c r="I670" s="8" t="inlineStr">
        <is>
          <t>experience_items</t>
        </is>
      </c>
      <c r="J670" s="8" t="n">
        <v>1</v>
      </c>
      <c r="K670" s="8" t="n">
        <v>1</v>
      </c>
      <c r="L670" s="8" t="n">
        <v>1</v>
      </c>
      <c r="M670" s="8" t="n">
        <v>69</v>
      </c>
      <c r="N670" s="8" t="n">
        <v>69</v>
      </c>
      <c r="O670" s="8">
        <f>J670*K670/L670</f>
        <v>1.0</v>
      </c>
      <c r="P670" s="8">
        <f>(M670+N670)/2</f>
        <v>69.0</v>
      </c>
      <c r="Q670" s="8">
        <f>O670*P670</f>
        <v>69.0</v>
      </c>
      <c r="R670" s="8" t="n">
        <v>1</v>
      </c>
      <c r="S670" s="8">
        <f>Q670*R670</f>
        <v>69.0</v>
      </c>
      <c r="T670" s="8" t="n"/>
      <c r="U670" s="8" t="inlineStr"/>
      <c r="V670" s="8" t="inlineStr">
        <is>
          <t>data/item_templates.yaml:mission_chest_hulao_qunying_zhan_lvbu.effect_payload</t>
        </is>
      </c>
    </row>
    <row r="671" ht="36" customHeight="1">
      <c r="A671" s="8" t="inlineStr">
        <is>
          <t>hulao_qunying_zhan_lvbu</t>
        </is>
      </c>
      <c r="B671" s="8" t="inlineStr">
        <is>
          <t>飞将浮沉录：虎牢关群英战吕布</t>
        </is>
      </c>
      <c r="C671" s="8" t="inlineStr">
        <is>
          <t>mission_chest_hulao_qunying_zhan_lvbu</t>
        </is>
      </c>
      <c r="D671" s="8" t="inlineStr">
        <is>
          <t>虎牢关宝箱</t>
        </is>
      </c>
      <c r="E671" s="8" t="inlineStr">
        <is>
          <t>必得</t>
        </is>
      </c>
      <c r="F671" s="8" t="inlineStr">
        <is>
          <t>hulao_war_banner</t>
        </is>
      </c>
      <c r="G671" s="8" t="inlineStr">
        <is>
          <t>虎牢关战旗</t>
        </is>
      </c>
      <c r="H671" s="8" t="inlineStr">
        <is>
          <t>purple</t>
        </is>
      </c>
      <c r="I671" s="8" t="inlineStr">
        <is>
          <t>resource</t>
        </is>
      </c>
      <c r="J671" s="8" t="n">
        <v>1</v>
      </c>
      <c r="K671" s="8" t="n">
        <v>1</v>
      </c>
      <c r="L671" s="8" t="n">
        <v>1</v>
      </c>
      <c r="M671" s="8" t="n">
        <v>1</v>
      </c>
      <c r="N671" s="8" t="n">
        <v>1</v>
      </c>
      <c r="O671" s="8">
        <f>J671*K671/L671</f>
        <v>1.0</v>
      </c>
      <c r="P671" s="8">
        <f>(M671+N671)/2</f>
        <v>1.0</v>
      </c>
      <c r="Q671" s="8">
        <f>O671*P671</f>
        <v>1.0</v>
      </c>
      <c r="R671" s="8" t="n">
        <v>0</v>
      </c>
      <c r="S671" s="8">
        <f>Q671*R671</f>
        <v>0.0</v>
      </c>
      <c r="T671" s="8" t="n"/>
      <c r="U671" s="8" t="inlineStr"/>
      <c r="V671" s="8" t="inlineStr">
        <is>
          <t>data/item_templates.yaml:mission_chest_hulao_qunying_zhan_lvbu.effect_payload</t>
        </is>
      </c>
    </row>
    <row r="672" ht="36" customHeight="1">
      <c r="A672" s="8" t="inlineStr">
        <is>
          <t>hulao_qunying_zhan_lvbu</t>
        </is>
      </c>
      <c r="B672" s="8" t="inlineStr">
        <is>
          <t>飞将浮沉录：虎牢关群英战吕布</t>
        </is>
      </c>
      <c r="C672" s="8" t="inlineStr">
        <is>
          <t>mission_chest_hulao_qunying_zhan_lvbu</t>
        </is>
      </c>
      <c r="D672" s="8" t="inlineStr">
        <is>
          <t>虎牢关宝箱</t>
        </is>
      </c>
      <c r="E672" s="8" t="inlineStr">
        <is>
          <t>必得</t>
        </is>
      </c>
      <c r="F672" s="8" t="inlineStr">
        <is>
          <t>buxuedan</t>
        </is>
      </c>
      <c r="G672" s="8" t="inlineStr">
        <is>
          <t>补血丹</t>
        </is>
      </c>
      <c r="H672" s="8" t="inlineStr">
        <is>
          <t>black</t>
        </is>
      </c>
      <c r="I672" s="8" t="inlineStr">
        <is>
          <t>medicine</t>
        </is>
      </c>
      <c r="J672" s="8" t="n">
        <v>1</v>
      </c>
      <c r="K672" s="8" t="n">
        <v>1</v>
      </c>
      <c r="L672" s="8" t="n">
        <v>1</v>
      </c>
      <c r="M672" s="8" t="n">
        <v>4</v>
      </c>
      <c r="N672" s="8" t="n">
        <v>4</v>
      </c>
      <c r="O672" s="8">
        <f>J672*K672/L672</f>
        <v>1.0</v>
      </c>
      <c r="P672" s="8">
        <f>(M672+N672)/2</f>
        <v>4.0</v>
      </c>
      <c r="Q672" s="8">
        <f>O672*P672</f>
        <v>4.0</v>
      </c>
      <c r="R672" s="8" t="n">
        <v>0</v>
      </c>
      <c r="S672" s="8">
        <f>Q672*R672</f>
        <v>0.0</v>
      </c>
      <c r="T672" s="8" t="n"/>
      <c r="U672" s="8" t="inlineStr"/>
      <c r="V672" s="8" t="inlineStr">
        <is>
          <t>data/item_templates.yaml:mission_chest_hulao_qunying_zhan_lvbu.effect_payload</t>
        </is>
      </c>
    </row>
    <row r="673" ht="36" customHeight="1">
      <c r="A673" s="8" t="inlineStr">
        <is>
          <t>hulao_qunying_zhan_lvbu</t>
        </is>
      </c>
      <c r="B673" s="8" t="inlineStr">
        <is>
          <t>飞将浮沉录：虎牢关群英战吕布</t>
        </is>
      </c>
      <c r="C673" s="8" t="inlineStr">
        <is>
          <t>mission_chest_hulao_qunying_zhan_lvbu</t>
        </is>
      </c>
      <c r="D673" s="8" t="inlineStr">
        <is>
          <t>虎牢关宝箱</t>
        </is>
      </c>
      <c r="E673" s="8" t="inlineStr">
        <is>
          <t>必得</t>
        </is>
      </c>
      <c r="F673" s="8" t="inlineStr">
        <is>
          <t>tong</t>
        </is>
      </c>
      <c r="G673" s="8" t="inlineStr">
        <is>
          <t>铜</t>
        </is>
      </c>
      <c r="H673" s="8" t="inlineStr">
        <is>
          <t>black</t>
        </is>
      </c>
      <c r="I673" s="8" t="inlineStr">
        <is>
          <t>resource</t>
        </is>
      </c>
      <c r="J673" s="8" t="n">
        <v>1</v>
      </c>
      <c r="K673" s="8" t="n">
        <v>1</v>
      </c>
      <c r="L673" s="8" t="n">
        <v>1</v>
      </c>
      <c r="M673" s="8" t="n">
        <v>12</v>
      </c>
      <c r="N673" s="8" t="n">
        <v>12</v>
      </c>
      <c r="O673" s="8">
        <f>J673*K673/L673</f>
        <v>1.0</v>
      </c>
      <c r="P673" s="8">
        <f>(M673+N673)/2</f>
        <v>12.0</v>
      </c>
      <c r="Q673" s="8">
        <f>O673*P673</f>
        <v>12.0</v>
      </c>
      <c r="R673" s="8" t="n">
        <v>0</v>
      </c>
      <c r="S673" s="8">
        <f>Q673*R673</f>
        <v>0.0</v>
      </c>
      <c r="T673" s="8" t="n"/>
      <c r="U673" s="8" t="inlineStr"/>
      <c r="V673" s="8" t="inlineStr">
        <is>
          <t>data/item_templates.yaml:mission_chest_hulao_qunying_zhan_lvbu.effect_payload</t>
        </is>
      </c>
    </row>
    <row r="674" ht="36" customHeight="1">
      <c r="A674" s="8" t="inlineStr">
        <is>
          <t>hulao_qunying_zhan_lvbu</t>
        </is>
      </c>
      <c r="B674" s="8" t="inlineStr">
        <is>
          <t>飞将浮沉录：虎牢关群英战吕布</t>
        </is>
      </c>
      <c r="C674" s="8" t="inlineStr">
        <is>
          <t>mission_chest_hulao_qunying_zhan_lvbu</t>
        </is>
      </c>
      <c r="D674" s="8" t="inlineStr">
        <is>
          <t>虎牢关宝箱</t>
        </is>
      </c>
      <c r="E674" s="8" t="inlineStr">
        <is>
          <t>必得</t>
        </is>
      </c>
      <c r="F674" s="8" t="inlineStr">
        <is>
          <t>xi</t>
        </is>
      </c>
      <c r="G674" s="8" t="inlineStr">
        <is>
          <t>锡</t>
        </is>
      </c>
      <c r="H674" s="8" t="inlineStr">
        <is>
          <t>black</t>
        </is>
      </c>
      <c r="I674" s="8" t="inlineStr">
        <is>
          <t>resource</t>
        </is>
      </c>
      <c r="J674" s="8" t="n">
        <v>1</v>
      </c>
      <c r="K674" s="8" t="n">
        <v>1</v>
      </c>
      <c r="L674" s="8" t="n">
        <v>1</v>
      </c>
      <c r="M674" s="8" t="n">
        <v>8</v>
      </c>
      <c r="N674" s="8" t="n">
        <v>8</v>
      </c>
      <c r="O674" s="8">
        <f>J674*K674/L674</f>
        <v>1.0</v>
      </c>
      <c r="P674" s="8">
        <f>(M674+N674)/2</f>
        <v>8.0</v>
      </c>
      <c r="Q674" s="8">
        <f>O674*P674</f>
        <v>8.0</v>
      </c>
      <c r="R674" s="8" t="n">
        <v>0</v>
      </c>
      <c r="S674" s="8">
        <f>Q674*R674</f>
        <v>0.0</v>
      </c>
      <c r="T674" s="8" t="n"/>
      <c r="U674" s="8" t="inlineStr"/>
      <c r="V674" s="8" t="inlineStr">
        <is>
          <t>data/item_templates.yaml:mission_chest_hulao_qunying_zhan_lvbu.effect_payload</t>
        </is>
      </c>
    </row>
    <row r="675" ht="36" customHeight="1">
      <c r="A675" s="8" t="inlineStr">
        <is>
          <t>hulao_qunying_zhan_lvbu</t>
        </is>
      </c>
      <c r="B675" s="8" t="inlineStr">
        <is>
          <t>飞将浮沉录：虎牢关群英战吕布</t>
        </is>
      </c>
      <c r="C675" s="8" t="inlineStr">
        <is>
          <t>mission_chest_hulao_qunying_zhan_lvbu</t>
        </is>
      </c>
      <c r="D675" s="8" t="inlineStr">
        <is>
          <t>虎牢关宝箱</t>
        </is>
      </c>
      <c r="E675" s="8" t="inlineStr">
        <is>
          <t>必得</t>
        </is>
      </c>
      <c r="F675" s="8" t="inlineStr">
        <is>
          <t>tie</t>
        </is>
      </c>
      <c r="G675" s="8" t="inlineStr">
        <is>
          <t>铁</t>
        </is>
      </c>
      <c r="H675" s="8" t="inlineStr">
        <is>
          <t>black</t>
        </is>
      </c>
      <c r="I675" s="8" t="inlineStr">
        <is>
          <t>resource</t>
        </is>
      </c>
      <c r="J675" s="8" t="n">
        <v>1</v>
      </c>
      <c r="K675" s="8" t="n">
        <v>1</v>
      </c>
      <c r="L675" s="8" t="n">
        <v>1</v>
      </c>
      <c r="M675" s="8" t="n">
        <v>5</v>
      </c>
      <c r="N675" s="8" t="n">
        <v>5</v>
      </c>
      <c r="O675" s="8">
        <f>J675*K675/L675</f>
        <v>1.0</v>
      </c>
      <c r="P675" s="8">
        <f>(M675+N675)/2</f>
        <v>5.0</v>
      </c>
      <c r="Q675" s="8">
        <f>O675*P675</f>
        <v>5.0</v>
      </c>
      <c r="R675" s="8" t="n">
        <v>0</v>
      </c>
      <c r="S675" s="8">
        <f>Q675*R675</f>
        <v>0.0</v>
      </c>
      <c r="T675" s="8" t="n"/>
      <c r="U675" s="8" t="inlineStr"/>
      <c r="V675" s="8" t="inlineStr">
        <is>
          <t>data/item_templates.yaml:mission_chest_hulao_qunying_zhan_lvbu.effect_payload</t>
        </is>
      </c>
    </row>
    <row r="676" ht="36" customHeight="1">
      <c r="A676" s="8" t="inlineStr">
        <is>
          <t>hulao_qunying_zhan_lvbu</t>
        </is>
      </c>
      <c r="B676" s="8" t="inlineStr">
        <is>
          <t>飞将浮沉录：虎牢关群英战吕布</t>
        </is>
      </c>
      <c r="C676" s="8" t="inlineStr">
        <is>
          <t>mission_chest_hulao_qunying_zhan_lvbu</t>
        </is>
      </c>
      <c r="D676" s="8" t="inlineStr">
        <is>
          <t>虎牢关宝箱</t>
        </is>
      </c>
      <c r="E676" s="8" t="inlineStr">
        <is>
          <t>必得</t>
        </is>
      </c>
      <c r="F676" s="8" t="inlineStr">
        <is>
          <t>hulao_halberd_fragment</t>
        </is>
      </c>
      <c r="G676" s="8" t="inlineStr">
        <is>
          <t>虎牢画戟战魂</t>
        </is>
      </c>
      <c r="H676" s="8" t="inlineStr">
        <is>
          <t>orange</t>
        </is>
      </c>
      <c r="I676" s="8" t="inlineStr">
        <is>
          <t>tool</t>
        </is>
      </c>
      <c r="J676" s="8" t="n">
        <v>1</v>
      </c>
      <c r="K676" s="8" t="n">
        <v>1</v>
      </c>
      <c r="L676" s="8" t="n">
        <v>1</v>
      </c>
      <c r="M676" s="8" t="n">
        <v>1</v>
      </c>
      <c r="N676" s="8" t="n">
        <v>1</v>
      </c>
      <c r="O676" s="8">
        <f>J676*K676/L676</f>
        <v>1.0</v>
      </c>
      <c r="P676" s="8">
        <f>(M676+N676)/2</f>
        <v>1.0</v>
      </c>
      <c r="Q676" s="8">
        <f>O676*P676</f>
        <v>1.0</v>
      </c>
      <c r="R676" s="8" t="n">
        <v>0</v>
      </c>
      <c r="S676" s="8">
        <f>Q676*R676</f>
        <v>0.0</v>
      </c>
      <c r="T676" s="8" t="n"/>
      <c r="U676" s="8" t="inlineStr"/>
      <c r="V676" s="8" t="inlineStr">
        <is>
          <t>data/item_templates.yaml:mission_chest_hulao_qunying_zhan_lvbu.effect_payload</t>
        </is>
      </c>
    </row>
    <row r="677" ht="36" customHeight="1">
      <c r="A677" s="8" t="inlineStr">
        <is>
          <t>hulao_qunying_zhan_lvbu</t>
        </is>
      </c>
      <c r="B677" s="8" t="inlineStr">
        <is>
          <t>飞将浮沉录：虎牢关群英战吕布</t>
        </is>
      </c>
      <c r="C677" s="8" t="inlineStr">
        <is>
          <t>mission_chest_hulao_qunying_zhan_lvbu</t>
        </is>
      </c>
      <c r="D677" s="8" t="inlineStr">
        <is>
          <t>虎牢关宝箱</t>
        </is>
      </c>
      <c r="E677" s="8" t="inlineStr">
        <is>
          <t>experience_watermelon</t>
        </is>
      </c>
      <c r="F677" s="8" t="inlineStr">
        <is>
          <t>experience_watermelon</t>
        </is>
      </c>
      <c r="G677" s="8" t="inlineStr">
        <is>
          <t>经验西瓜</t>
        </is>
      </c>
      <c r="H677" s="8" t="inlineStr">
        <is>
          <t>purple</t>
        </is>
      </c>
      <c r="I677" s="8" t="inlineStr">
        <is>
          <t>experience_items</t>
        </is>
      </c>
      <c r="J677" s="8" t="n">
        <v>0.75</v>
      </c>
      <c r="K677" s="8" t="n">
        <v>1</v>
      </c>
      <c r="L677" s="8" t="n">
        <v>1</v>
      </c>
      <c r="M677" s="8" t="n">
        <v>5</v>
      </c>
      <c r="N677" s="8" t="n">
        <v>5</v>
      </c>
      <c r="O677" s="8">
        <f>J677*K677/L677</f>
        <v>0.75</v>
      </c>
      <c r="P677" s="8">
        <f>(M677+N677)/2</f>
        <v>5.0</v>
      </c>
      <c r="Q677" s="8">
        <f>O677*P677</f>
        <v>3.75</v>
      </c>
      <c r="R677" s="8" t="n">
        <v>24</v>
      </c>
      <c r="S677" s="8">
        <f>Q677*R677</f>
        <v>90.0</v>
      </c>
      <c r="T677" s="8" t="n"/>
      <c r="U677" s="8" t="inlineStr"/>
      <c r="V677" s="8" t="inlineStr">
        <is>
          <t>data/item_templates.yaml:mission_chest_hulao_qunying_zhan_lvbu.effect_payload</t>
        </is>
      </c>
    </row>
    <row r="678" ht="36" customHeight="1">
      <c r="A678" s="8" t="inlineStr">
        <is>
          <t>hulao_qunying_zhan_lvbu</t>
        </is>
      </c>
      <c r="B678" s="8" t="inlineStr">
        <is>
          <t>飞将浮沉录：虎牢关群英战吕布</t>
        </is>
      </c>
      <c r="C678" s="8" t="inlineStr">
        <is>
          <t>mission_chest_hulao_qunying_zhan_lvbu</t>
        </is>
      </c>
      <c r="D678" s="8" t="inlineStr">
        <is>
          <t>虎牢关宝箱</t>
        </is>
      </c>
      <c r="E678" s="8" t="inlineStr">
        <is>
          <t>主题装备</t>
        </is>
      </c>
      <c r="F678" s="8" t="inlineStr">
        <is>
          <t>equip_fangtianhuaji</t>
        </is>
      </c>
      <c r="G678" s="8" t="inlineStr">
        <is>
          <t>方天画戟</t>
        </is>
      </c>
      <c r="H678" s="8" t="inlineStr">
        <is>
          <t>orange</t>
        </is>
      </c>
      <c r="I678" s="8" t="inlineStr">
        <is>
          <t>equip_weapon</t>
        </is>
      </c>
      <c r="J678" s="8" t="n">
        <v>0.1</v>
      </c>
      <c r="K678" s="8" t="n">
        <v>1</v>
      </c>
      <c r="L678" s="8" t="n">
        <v>3</v>
      </c>
      <c r="M678" s="8" t="n">
        <v>1</v>
      </c>
      <c r="N678" s="8" t="n">
        <v>1</v>
      </c>
      <c r="O678" s="8">
        <f>J678*K678/L678</f>
        <v>0.03333333333333333</v>
      </c>
      <c r="P678" s="8">
        <f>(M678+N678)/2</f>
        <v>1.0</v>
      </c>
      <c r="Q678" s="8">
        <f>O678*P678</f>
        <v>0.03333333333333333</v>
      </c>
      <c r="R678" s="8" t="n">
        <v>0</v>
      </c>
      <c r="S678" s="8">
        <f>Q678*R678</f>
        <v>0.0</v>
      </c>
      <c r="T678" s="8" t="n"/>
      <c r="U678" s="8" t="inlineStr"/>
      <c r="V678" s="8" t="inlineStr">
        <is>
          <t>data/item_templates.yaml:mission_chest_hulao_qunying_zhan_lvbu.effect_payload</t>
        </is>
      </c>
    </row>
    <row r="679" ht="36" customHeight="1">
      <c r="A679" s="8" t="inlineStr">
        <is>
          <t>hulao_qunying_zhan_lvbu</t>
        </is>
      </c>
      <c r="B679" s="8" t="inlineStr">
        <is>
          <t>飞将浮沉录：虎牢关群英战吕布</t>
        </is>
      </c>
      <c r="C679" s="8" t="inlineStr">
        <is>
          <t>mission_chest_hulao_qunying_zhan_lvbu</t>
        </is>
      </c>
      <c r="D679" s="8" t="inlineStr">
        <is>
          <t>虎牢关宝箱</t>
        </is>
      </c>
      <c r="E679" s="8" t="inlineStr">
        <is>
          <t>主题装备</t>
        </is>
      </c>
      <c r="F679" s="8" t="inlineStr">
        <is>
          <t>equip_longlinzhanjia</t>
        </is>
      </c>
      <c r="G679" s="8" t="inlineStr">
        <is>
          <t>龙鳞战甲</t>
        </is>
      </c>
      <c r="H679" s="8" t="inlineStr">
        <is>
          <t>orange</t>
        </is>
      </c>
      <c r="I679" s="8" t="inlineStr">
        <is>
          <t>equip_armor</t>
        </is>
      </c>
      <c r="J679" s="8" t="n">
        <v>0.1</v>
      </c>
      <c r="K679" s="8" t="n">
        <v>1</v>
      </c>
      <c r="L679" s="8" t="n">
        <v>3</v>
      </c>
      <c r="M679" s="8" t="n">
        <v>1</v>
      </c>
      <c r="N679" s="8" t="n">
        <v>1</v>
      </c>
      <c r="O679" s="8">
        <f>J679*K679/L679</f>
        <v>0.03333333333333333</v>
      </c>
      <c r="P679" s="8">
        <f>(M679+N679)/2</f>
        <v>1.0</v>
      </c>
      <c r="Q679" s="8">
        <f>O679*P679</f>
        <v>0.03333333333333333</v>
      </c>
      <c r="R679" s="8" t="n">
        <v>0</v>
      </c>
      <c r="S679" s="8">
        <f>Q679*R679</f>
        <v>0.0</v>
      </c>
      <c r="T679" s="8" t="n"/>
      <c r="U679" s="8" t="inlineStr"/>
      <c r="V679" s="8" t="inlineStr">
        <is>
          <t>data/item_templates.yaml:mission_chest_hulao_qunying_zhan_lvbu.effect_payload</t>
        </is>
      </c>
    </row>
    <row r="680" ht="36" customHeight="1">
      <c r="A680" s="8" t="inlineStr">
        <is>
          <t>hulao_qunying_zhan_lvbu</t>
        </is>
      </c>
      <c r="B680" s="8" t="inlineStr">
        <is>
          <t>飞将浮沉录：虎牢关群英战吕布</t>
        </is>
      </c>
      <c r="C680" s="8" t="inlineStr">
        <is>
          <t>mission_chest_hulao_qunying_zhan_lvbu</t>
        </is>
      </c>
      <c r="D680" s="8" t="inlineStr">
        <is>
          <t>虎牢关宝箱</t>
        </is>
      </c>
      <c r="E680" s="8" t="inlineStr">
        <is>
          <t>主题装备</t>
        </is>
      </c>
      <c r="F680" s="8" t="inlineStr">
        <is>
          <t>equip_chituma</t>
        </is>
      </c>
      <c r="G680" s="8" t="inlineStr">
        <is>
          <t>赤兔马</t>
        </is>
      </c>
      <c r="H680" s="8" t="inlineStr">
        <is>
          <t>orange</t>
        </is>
      </c>
      <c r="I680" s="8" t="inlineStr">
        <is>
          <t>equip_mount</t>
        </is>
      </c>
      <c r="J680" s="8" t="n">
        <v>0.1</v>
      </c>
      <c r="K680" s="8" t="n">
        <v>1</v>
      </c>
      <c r="L680" s="8" t="n">
        <v>3</v>
      </c>
      <c r="M680" s="8" t="n">
        <v>1</v>
      </c>
      <c r="N680" s="8" t="n">
        <v>1</v>
      </c>
      <c r="O680" s="8">
        <f>J680*K680/L680</f>
        <v>0.03333333333333333</v>
      </c>
      <c r="P680" s="8">
        <f>(M680+N680)/2</f>
        <v>1.0</v>
      </c>
      <c r="Q680" s="8">
        <f>O680*P680</f>
        <v>0.03333333333333333</v>
      </c>
      <c r="R680" s="8" t="n">
        <v>0</v>
      </c>
      <c r="S680" s="8">
        <f>Q680*R680</f>
        <v>0.0</v>
      </c>
      <c r="T680" s="8" t="n"/>
      <c r="U680" s="8" t="inlineStr"/>
      <c r="V680" s="8" t="inlineStr">
        <is>
          <t>data/item_templates.yaml:mission_chest_hulao_qunying_zhan_lvbu.effect_payload</t>
        </is>
      </c>
    </row>
    <row r="681" ht="36" customHeight="1">
      <c r="A681" s="8" t="inlineStr">
        <is>
          <t>baimenlou_mingyun_jueze</t>
        </is>
      </c>
      <c r="B681" s="8" t="inlineStr">
        <is>
          <t>飞将浮沉录：白门楼命运抉择</t>
        </is>
      </c>
      <c r="C681" s="8" t="inlineStr">
        <is>
          <t>mission_chest_baimenlou_mingyun_jueze</t>
        </is>
      </c>
      <c r="D681" s="8" t="inlineStr">
        <is>
          <t>白门楼宝箱</t>
        </is>
      </c>
      <c r="E681" s="8" t="inlineStr">
        <is>
          <t>必得</t>
        </is>
      </c>
      <c r="F681" s="8" t="inlineStr">
        <is>
          <t>experience_fruit</t>
        </is>
      </c>
      <c r="G681" s="8" t="inlineStr">
        <is>
          <t>经验果</t>
        </is>
      </c>
      <c r="H681" s="8" t="inlineStr">
        <is>
          <t>green</t>
        </is>
      </c>
      <c r="I681" s="8" t="inlineStr">
        <is>
          <t>experience_items</t>
        </is>
      </c>
      <c r="J681" s="8" t="n">
        <v>1</v>
      </c>
      <c r="K681" s="8" t="n">
        <v>1</v>
      </c>
      <c r="L681" s="8" t="n">
        <v>1</v>
      </c>
      <c r="M681" s="8" t="n">
        <v>177</v>
      </c>
      <c r="N681" s="8" t="n">
        <v>177</v>
      </c>
      <c r="O681" s="8">
        <f>J681*K681/L681</f>
        <v>1.0</v>
      </c>
      <c r="P681" s="8">
        <f>(M681+N681)/2</f>
        <v>177.0</v>
      </c>
      <c r="Q681" s="8">
        <f>O681*P681</f>
        <v>177.0</v>
      </c>
      <c r="R681" s="8" t="n">
        <v>1</v>
      </c>
      <c r="S681" s="8">
        <f>Q681*R681</f>
        <v>177.0</v>
      </c>
      <c r="T681" s="8" t="n"/>
      <c r="U681" s="8" t="inlineStr"/>
      <c r="V681" s="8" t="inlineStr">
        <is>
          <t>data/item_templates.yaml:mission_chest_baimenlou_mingyun_jueze.effect_payload</t>
        </is>
      </c>
    </row>
    <row r="682" ht="36" customHeight="1">
      <c r="A682" s="8" t="inlineStr">
        <is>
          <t>baimenlou_mingyun_jueze</t>
        </is>
      </c>
      <c r="B682" s="8" t="inlineStr">
        <is>
          <t>飞将浮沉录：白门楼命运抉择</t>
        </is>
      </c>
      <c r="C682" s="8" t="inlineStr">
        <is>
          <t>mission_chest_baimenlou_mingyun_jueze</t>
        </is>
      </c>
      <c r="D682" s="8" t="inlineStr">
        <is>
          <t>白门楼宝箱</t>
        </is>
      </c>
      <c r="E682" s="8" t="inlineStr">
        <is>
          <t>必得</t>
        </is>
      </c>
      <c r="F682" s="8" t="inlineStr">
        <is>
          <t>buxuedan</t>
        </is>
      </c>
      <c r="G682" s="8" t="inlineStr">
        <is>
          <t>补血丹</t>
        </is>
      </c>
      <c r="H682" s="8" t="inlineStr">
        <is>
          <t>black</t>
        </is>
      </c>
      <c r="I682" s="8" t="inlineStr">
        <is>
          <t>medicine</t>
        </is>
      </c>
      <c r="J682" s="8" t="n">
        <v>1</v>
      </c>
      <c r="K682" s="8" t="n">
        <v>1</v>
      </c>
      <c r="L682" s="8" t="n">
        <v>1</v>
      </c>
      <c r="M682" s="8" t="n">
        <v>4</v>
      </c>
      <c r="N682" s="8" t="n">
        <v>4</v>
      </c>
      <c r="O682" s="8">
        <f>J682*K682/L682</f>
        <v>1.0</v>
      </c>
      <c r="P682" s="8">
        <f>(M682+N682)/2</f>
        <v>4.0</v>
      </c>
      <c r="Q682" s="8">
        <f>O682*P682</f>
        <v>4.0</v>
      </c>
      <c r="R682" s="8" t="n">
        <v>0</v>
      </c>
      <c r="S682" s="8">
        <f>Q682*R682</f>
        <v>0.0</v>
      </c>
      <c r="T682" s="8" t="n"/>
      <c r="U682" s="8" t="inlineStr"/>
      <c r="V682" s="8" t="inlineStr">
        <is>
          <t>data/item_templates.yaml:mission_chest_baimenlou_mingyun_jueze.effect_payload</t>
        </is>
      </c>
    </row>
    <row r="683" ht="36" customHeight="1">
      <c r="A683" s="8" t="inlineStr">
        <is>
          <t>baimenlou_mingyun_jueze</t>
        </is>
      </c>
      <c r="B683" s="8" t="inlineStr">
        <is>
          <t>飞将浮沉录：白门楼命运抉择</t>
        </is>
      </c>
      <c r="C683" s="8" t="inlineStr">
        <is>
          <t>mission_chest_baimenlou_mingyun_jueze</t>
        </is>
      </c>
      <c r="D683" s="8" t="inlineStr">
        <is>
          <t>白门楼宝箱</t>
        </is>
      </c>
      <c r="E683" s="8" t="inlineStr">
        <is>
          <t>必得</t>
        </is>
      </c>
      <c r="F683" s="8" t="inlineStr">
        <is>
          <t>tong</t>
        </is>
      </c>
      <c r="G683" s="8" t="inlineStr">
        <is>
          <t>铜</t>
        </is>
      </c>
      <c r="H683" s="8" t="inlineStr">
        <is>
          <t>black</t>
        </is>
      </c>
      <c r="I683" s="8" t="inlineStr">
        <is>
          <t>resource</t>
        </is>
      </c>
      <c r="J683" s="8" t="n">
        <v>1</v>
      </c>
      <c r="K683" s="8" t="n">
        <v>1</v>
      </c>
      <c r="L683" s="8" t="n">
        <v>1</v>
      </c>
      <c r="M683" s="8" t="n">
        <v>12</v>
      </c>
      <c r="N683" s="8" t="n">
        <v>12</v>
      </c>
      <c r="O683" s="8">
        <f>J683*K683/L683</f>
        <v>1.0</v>
      </c>
      <c r="P683" s="8">
        <f>(M683+N683)/2</f>
        <v>12.0</v>
      </c>
      <c r="Q683" s="8">
        <f>O683*P683</f>
        <v>12.0</v>
      </c>
      <c r="R683" s="8" t="n">
        <v>0</v>
      </c>
      <c r="S683" s="8">
        <f>Q683*R683</f>
        <v>0.0</v>
      </c>
      <c r="T683" s="8" t="n"/>
      <c r="U683" s="8" t="inlineStr"/>
      <c r="V683" s="8" t="inlineStr">
        <is>
          <t>data/item_templates.yaml:mission_chest_baimenlou_mingyun_jueze.effect_payload</t>
        </is>
      </c>
    </row>
    <row r="684" ht="36" customHeight="1">
      <c r="A684" s="8" t="inlineStr">
        <is>
          <t>baimenlou_mingyun_jueze</t>
        </is>
      </c>
      <c r="B684" s="8" t="inlineStr">
        <is>
          <t>飞将浮沉录：白门楼命运抉择</t>
        </is>
      </c>
      <c r="C684" s="8" t="inlineStr">
        <is>
          <t>mission_chest_baimenlou_mingyun_jueze</t>
        </is>
      </c>
      <c r="D684" s="8" t="inlineStr">
        <is>
          <t>白门楼宝箱</t>
        </is>
      </c>
      <c r="E684" s="8" t="inlineStr">
        <is>
          <t>必得</t>
        </is>
      </c>
      <c r="F684" s="8" t="inlineStr">
        <is>
          <t>xi</t>
        </is>
      </c>
      <c r="G684" s="8" t="inlineStr">
        <is>
          <t>锡</t>
        </is>
      </c>
      <c r="H684" s="8" t="inlineStr">
        <is>
          <t>black</t>
        </is>
      </c>
      <c r="I684" s="8" t="inlineStr">
        <is>
          <t>resource</t>
        </is>
      </c>
      <c r="J684" s="8" t="n">
        <v>1</v>
      </c>
      <c r="K684" s="8" t="n">
        <v>1</v>
      </c>
      <c r="L684" s="8" t="n">
        <v>1</v>
      </c>
      <c r="M684" s="8" t="n">
        <v>8</v>
      </c>
      <c r="N684" s="8" t="n">
        <v>8</v>
      </c>
      <c r="O684" s="8">
        <f>J684*K684/L684</f>
        <v>1.0</v>
      </c>
      <c r="P684" s="8">
        <f>(M684+N684)/2</f>
        <v>8.0</v>
      </c>
      <c r="Q684" s="8">
        <f>O684*P684</f>
        <v>8.0</v>
      </c>
      <c r="R684" s="8" t="n">
        <v>0</v>
      </c>
      <c r="S684" s="8">
        <f>Q684*R684</f>
        <v>0.0</v>
      </c>
      <c r="T684" s="8" t="n"/>
      <c r="U684" s="8" t="inlineStr"/>
      <c r="V684" s="8" t="inlineStr">
        <is>
          <t>data/item_templates.yaml:mission_chest_baimenlou_mingyun_jueze.effect_payload</t>
        </is>
      </c>
    </row>
    <row r="685" ht="36" customHeight="1">
      <c r="A685" s="8" t="inlineStr">
        <is>
          <t>baimenlou_mingyun_jueze</t>
        </is>
      </c>
      <c r="B685" s="8" t="inlineStr">
        <is>
          <t>飞将浮沉录：白门楼命运抉择</t>
        </is>
      </c>
      <c r="C685" s="8" t="inlineStr">
        <is>
          <t>mission_chest_baimenlou_mingyun_jueze</t>
        </is>
      </c>
      <c r="D685" s="8" t="inlineStr">
        <is>
          <t>白门楼宝箱</t>
        </is>
      </c>
      <c r="E685" s="8" t="inlineStr">
        <is>
          <t>必得</t>
        </is>
      </c>
      <c r="F685" s="8" t="inlineStr">
        <is>
          <t>tie</t>
        </is>
      </c>
      <c r="G685" s="8" t="inlineStr">
        <is>
          <t>铁</t>
        </is>
      </c>
      <c r="H685" s="8" t="inlineStr">
        <is>
          <t>black</t>
        </is>
      </c>
      <c r="I685" s="8" t="inlineStr">
        <is>
          <t>resource</t>
        </is>
      </c>
      <c r="J685" s="8" t="n">
        <v>1</v>
      </c>
      <c r="K685" s="8" t="n">
        <v>1</v>
      </c>
      <c r="L685" s="8" t="n">
        <v>1</v>
      </c>
      <c r="M685" s="8" t="n">
        <v>5</v>
      </c>
      <c r="N685" s="8" t="n">
        <v>5</v>
      </c>
      <c r="O685" s="8">
        <f>J685*K685/L685</f>
        <v>1.0</v>
      </c>
      <c r="P685" s="8">
        <f>(M685+N685)/2</f>
        <v>5.0</v>
      </c>
      <c r="Q685" s="8">
        <f>O685*P685</f>
        <v>5.0</v>
      </c>
      <c r="R685" s="8" t="n">
        <v>0</v>
      </c>
      <c r="S685" s="8">
        <f>Q685*R685</f>
        <v>0.0</v>
      </c>
      <c r="T685" s="8" t="n"/>
      <c r="U685" s="8" t="inlineStr"/>
      <c r="V685" s="8" t="inlineStr">
        <is>
          <t>data/item_templates.yaml:mission_chest_baimenlou_mingyun_jueze.effect_payload</t>
        </is>
      </c>
    </row>
    <row r="686" ht="36" customHeight="1">
      <c r="A686" s="8" t="inlineStr">
        <is>
          <t>baimenlou_mingyun_jueze</t>
        </is>
      </c>
      <c r="B686" s="8" t="inlineStr">
        <is>
          <t>飞将浮沉录：白门楼命运抉择</t>
        </is>
      </c>
      <c r="C686" s="8" t="inlineStr">
        <is>
          <t>mission_chest_baimenlou_mingyun_jueze</t>
        </is>
      </c>
      <c r="D686" s="8" t="inlineStr">
        <is>
          <t>白门楼宝箱</t>
        </is>
      </c>
      <c r="E686" s="8" t="inlineStr">
        <is>
          <t>必得</t>
        </is>
      </c>
      <c r="F686" s="8" t="inlineStr">
        <is>
          <t>baimenlou_dragon_fragment</t>
        </is>
      </c>
      <c r="G686" s="8" t="inlineStr">
        <is>
          <t>白门楼盘龙战魂</t>
        </is>
      </c>
      <c r="H686" s="8" t="inlineStr">
        <is>
          <t>orange</t>
        </is>
      </c>
      <c r="I686" s="8" t="inlineStr">
        <is>
          <t>tool</t>
        </is>
      </c>
      <c r="J686" s="8" t="n">
        <v>1</v>
      </c>
      <c r="K686" s="8" t="n">
        <v>1</v>
      </c>
      <c r="L686" s="8" t="n">
        <v>1</v>
      </c>
      <c r="M686" s="8" t="n">
        <v>1</v>
      </c>
      <c r="N686" s="8" t="n">
        <v>1</v>
      </c>
      <c r="O686" s="8">
        <f>J686*K686/L686</f>
        <v>1.0</v>
      </c>
      <c r="P686" s="8">
        <f>(M686+N686)/2</f>
        <v>1.0</v>
      </c>
      <c r="Q686" s="8">
        <f>O686*P686</f>
        <v>1.0</v>
      </c>
      <c r="R686" s="8" t="n">
        <v>0</v>
      </c>
      <c r="S686" s="8">
        <f>Q686*R686</f>
        <v>0.0</v>
      </c>
      <c r="T686" s="8" t="n"/>
      <c r="U686" s="8" t="inlineStr"/>
      <c r="V686" s="8" t="inlineStr">
        <is>
          <t>data/item_templates.yaml:mission_chest_baimenlou_mingyun_jueze.effect_payload</t>
        </is>
      </c>
    </row>
    <row r="687" ht="36" customHeight="1">
      <c r="A687" s="8" t="inlineStr">
        <is>
          <t>baimenlou_mingyun_jueze</t>
        </is>
      </c>
      <c r="B687" s="8" t="inlineStr">
        <is>
          <t>飞将浮沉录：白门楼命运抉择</t>
        </is>
      </c>
      <c r="C687" s="8" t="inlineStr">
        <is>
          <t>mission_chest_baimenlou_mingyun_jueze</t>
        </is>
      </c>
      <c r="D687" s="8" t="inlineStr">
        <is>
          <t>白门楼宝箱</t>
        </is>
      </c>
      <c r="E687" s="8" t="inlineStr">
        <is>
          <t>experience_watermelon</t>
        </is>
      </c>
      <c r="F687" s="8" t="inlineStr">
        <is>
          <t>experience_watermelon</t>
        </is>
      </c>
      <c r="G687" s="8" t="inlineStr">
        <is>
          <t>经验西瓜</t>
        </is>
      </c>
      <c r="H687" s="8" t="inlineStr">
        <is>
          <t>purple</t>
        </is>
      </c>
      <c r="I687" s="8" t="inlineStr">
        <is>
          <t>experience_items</t>
        </is>
      </c>
      <c r="J687" s="8" t="n">
        <v>0.9</v>
      </c>
      <c r="K687" s="8" t="n">
        <v>1</v>
      </c>
      <c r="L687" s="8" t="n">
        <v>1</v>
      </c>
      <c r="M687" s="8" t="n">
        <v>8</v>
      </c>
      <c r="N687" s="8" t="n">
        <v>8</v>
      </c>
      <c r="O687" s="8">
        <f>J687*K687/L687</f>
        <v>0.9</v>
      </c>
      <c r="P687" s="8">
        <f>(M687+N687)/2</f>
        <v>8.0</v>
      </c>
      <c r="Q687" s="8">
        <f>O687*P687</f>
        <v>7.2</v>
      </c>
      <c r="R687" s="8" t="n">
        <v>24</v>
      </c>
      <c r="S687" s="8">
        <f>Q687*R687</f>
        <v>172.8</v>
      </c>
      <c r="T687" s="8" t="n"/>
      <c r="U687" s="8" t="inlineStr"/>
      <c r="V687" s="8" t="inlineStr">
        <is>
          <t>data/item_templates.yaml:mission_chest_baimenlou_mingyun_jueze.effect_payload</t>
        </is>
      </c>
    </row>
    <row r="688" ht="36" customHeight="1">
      <c r="A688" s="8" t="inlineStr">
        <is>
          <t>baimenlou_mingyun_jueze</t>
        </is>
      </c>
      <c r="B688" s="8" t="inlineStr">
        <is>
          <t>飞将浮沉录：白门楼命运抉择</t>
        </is>
      </c>
      <c r="C688" s="8" t="inlineStr">
        <is>
          <t>mission_chest_baimenlou_mingyun_jueze</t>
        </is>
      </c>
      <c r="D688" s="8" t="inlineStr">
        <is>
          <t>白门楼宝箱</t>
        </is>
      </c>
      <c r="E688" s="8" t="inlineStr">
        <is>
          <t>lvbu_guest_scroll</t>
        </is>
      </c>
      <c r="F688" s="8" t="inlineStr">
        <is>
          <t>lvbu_guest_scroll</t>
        </is>
      </c>
      <c r="G688" s="8" t="inlineStr">
        <is>
          <t>吕布招募卷轴</t>
        </is>
      </c>
      <c r="H688" s="8" t="inlineStr">
        <is>
          <t>orange</t>
        </is>
      </c>
      <c r="I688" s="8" t="inlineStr">
        <is>
          <t>tool</t>
        </is>
      </c>
      <c r="J688" s="8" t="n">
        <v>0.05</v>
      </c>
      <c r="K688" s="8" t="n">
        <v>1</v>
      </c>
      <c r="L688" s="8" t="n">
        <v>1</v>
      </c>
      <c r="M688" s="8" t="n">
        <v>1</v>
      </c>
      <c r="N688" s="8" t="n">
        <v>1</v>
      </c>
      <c r="O688" s="8">
        <f>J688*K688/L688</f>
        <v>0.05</v>
      </c>
      <c r="P688" s="8">
        <f>(M688+N688)/2</f>
        <v>1.0</v>
      </c>
      <c r="Q688" s="8">
        <f>O688*P688</f>
        <v>0.05</v>
      </c>
      <c r="R688" s="8" t="n">
        <v>0</v>
      </c>
      <c r="S688" s="8">
        <f>Q688*R688</f>
        <v>0.0</v>
      </c>
      <c r="T688" s="8" t="n"/>
      <c r="U688" s="8" t="inlineStr"/>
      <c r="V688" s="8" t="inlineStr">
        <is>
          <t>data/item_templates.yaml:mission_chest_baimenlou_mingyun_jueze.effect_payload</t>
        </is>
      </c>
    </row>
    <row r="689" ht="36" customHeight="1">
      <c r="A689" s="8" t="inlineStr">
        <is>
          <t>baimenlou_mingyun_jueze</t>
        </is>
      </c>
      <c r="B689" s="8" t="inlineStr">
        <is>
          <t>飞将浮沉录：白门楼命运抉择</t>
        </is>
      </c>
      <c r="C689" s="8" t="inlineStr">
        <is>
          <t>mission_chest_baimenlou_mingyun_jueze</t>
        </is>
      </c>
      <c r="D689" s="8" t="inlineStr">
        <is>
          <t>白门楼宝箱</t>
        </is>
      </c>
      <c r="E689" s="8" t="inlineStr">
        <is>
          <t>super_guest_disguise_card</t>
        </is>
      </c>
      <c r="F689" s="8" t="inlineStr">
        <is>
          <t>super_guest_disguise_card</t>
        </is>
      </c>
      <c r="G689" s="8" t="inlineStr">
        <is>
          <t>超级门客易容卡</t>
        </is>
      </c>
      <c r="H689" s="8" t="inlineStr">
        <is>
          <t>orange</t>
        </is>
      </c>
      <c r="I689" s="8" t="inlineStr">
        <is>
          <t>tool</t>
        </is>
      </c>
      <c r="J689" s="8" t="n">
        <v>0.01</v>
      </c>
      <c r="K689" s="8" t="n">
        <v>1</v>
      </c>
      <c r="L689" s="8" t="n">
        <v>1</v>
      </c>
      <c r="M689" s="8" t="n">
        <v>1</v>
      </c>
      <c r="N689" s="8" t="n">
        <v>1</v>
      </c>
      <c r="O689" s="8">
        <f>J689*K689/L689</f>
        <v>0.01</v>
      </c>
      <c r="P689" s="8">
        <f>(M689+N689)/2</f>
        <v>1.0</v>
      </c>
      <c r="Q689" s="8">
        <f>O689*P689</f>
        <v>0.01</v>
      </c>
      <c r="R689" s="8" t="n">
        <v>0</v>
      </c>
      <c r="S689" s="8">
        <f>Q689*R689</f>
        <v>0.0</v>
      </c>
      <c r="T689" s="8" t="n"/>
      <c r="U689" s="8" t="inlineStr"/>
      <c r="V689" s="8" t="inlineStr">
        <is>
          <t>data/item_templates.yaml:mission_chest_baimenlou_mingyun_jueze.effect_payload</t>
        </is>
      </c>
    </row>
    <row r="690" ht="36" customHeight="1">
      <c r="A690" s="8" t="inlineStr">
        <is>
          <t>baimenlou_mingyun_jueze</t>
        </is>
      </c>
      <c r="B690" s="8" t="inlineStr">
        <is>
          <t>飞将浮沉录：白门楼命运抉择</t>
        </is>
      </c>
      <c r="C690" s="8" t="inlineStr">
        <is>
          <t>mission_chest_baimenlou_mingyun_jueze</t>
        </is>
      </c>
      <c r="D690" s="8" t="inlineStr">
        <is>
          <t>白门楼宝箱</t>
        </is>
      </c>
      <c r="E690" s="8" t="inlineStr">
        <is>
          <t>diaochan_guest_scroll</t>
        </is>
      </c>
      <c r="F690" s="8" t="inlineStr">
        <is>
          <t>diaochan_guest_scroll</t>
        </is>
      </c>
      <c r="G690" s="8" t="inlineStr">
        <is>
          <t>貂蝉招募卷轴</t>
        </is>
      </c>
      <c r="H690" s="8" t="inlineStr">
        <is>
          <t>purple</t>
        </is>
      </c>
      <c r="I690" s="8" t="inlineStr">
        <is>
          <t>tool</t>
        </is>
      </c>
      <c r="J690" s="8" t="n">
        <v>0.02</v>
      </c>
      <c r="K690" s="8" t="n">
        <v>1</v>
      </c>
      <c r="L690" s="8" t="n">
        <v>1</v>
      </c>
      <c r="M690" s="8" t="n">
        <v>1</v>
      </c>
      <c r="N690" s="8" t="n">
        <v>1</v>
      </c>
      <c r="O690" s="8">
        <f>J690*K690/L690</f>
        <v>0.02</v>
      </c>
      <c r="P690" s="8">
        <f>(M690+N690)/2</f>
        <v>1.0</v>
      </c>
      <c r="Q690" s="8">
        <f>O690*P690</f>
        <v>0.02</v>
      </c>
      <c r="R690" s="8" t="n">
        <v>0</v>
      </c>
      <c r="S690" s="8">
        <f>Q690*R690</f>
        <v>0.0</v>
      </c>
      <c r="T690" s="8" t="n"/>
      <c r="U690" s="8" t="inlineStr"/>
      <c r="V690" s="8" t="inlineStr">
        <is>
          <t>data/item_templates.yaml:mission_chest_baimenlou_mingyun_jueze.effect_payload</t>
        </is>
      </c>
    </row>
    <row r="691" ht="36" customHeight="1">
      <c r="A691" s="8" t="inlineStr">
        <is>
          <t>baimenlou_mingyun_jueze</t>
        </is>
      </c>
      <c r="B691" s="8" t="inlineStr">
        <is>
          <t>飞将浮沉录：白门楼命运抉择</t>
        </is>
      </c>
      <c r="C691" s="8" t="inlineStr">
        <is>
          <t>mission_chest_baimenlou_mingyun_jueze</t>
        </is>
      </c>
      <c r="D691" s="8" t="inlineStr">
        <is>
          <t>白门楼宝箱</t>
        </is>
      </c>
      <c r="E691" s="8" t="inlineStr">
        <is>
          <t>book_dragon_roar</t>
        </is>
      </c>
      <c r="F691" s="8" t="inlineStr">
        <is>
          <t>book_dragon_roar</t>
        </is>
      </c>
      <c r="G691" s="8" t="inlineStr">
        <is>
          <t>《龙吟破阵》秘术</t>
        </is>
      </c>
      <c r="H691" s="8" t="inlineStr">
        <is>
          <t>purple</t>
        </is>
      </c>
      <c r="I691" s="8" t="inlineStr">
        <is>
          <t>skill_book</t>
        </is>
      </c>
      <c r="J691" s="8" t="n">
        <v>0.036</v>
      </c>
      <c r="K691" s="8" t="n">
        <v>1</v>
      </c>
      <c r="L691" s="8" t="n">
        <v>1</v>
      </c>
      <c r="M691" s="8" t="n">
        <v>1</v>
      </c>
      <c r="N691" s="8" t="n">
        <v>1</v>
      </c>
      <c r="O691" s="8">
        <f>J691*K691/L691</f>
        <v>0.036</v>
      </c>
      <c r="P691" s="8">
        <f>(M691+N691)/2</f>
        <v>1.0</v>
      </c>
      <c r="Q691" s="8">
        <f>O691*P691</f>
        <v>0.036</v>
      </c>
      <c r="R691" s="8" t="n">
        <v>0</v>
      </c>
      <c r="S691" s="8">
        <f>Q691*R691</f>
        <v>0.0</v>
      </c>
      <c r="T691" s="8" t="n"/>
      <c r="U691" s="8" t="inlineStr"/>
      <c r="V691" s="8" t="inlineStr">
        <is>
          <t>data/item_templates.yaml:mission_chest_baimenlou_mingyun_jueze.effect_payload</t>
        </is>
      </c>
    </row>
    <row r="692" ht="36" customHeight="1">
      <c r="A692" s="8" t="inlineStr">
        <is>
          <t>baimenlou_mingyun_jueze</t>
        </is>
      </c>
      <c r="B692" s="8" t="inlineStr">
        <is>
          <t>飞将浮沉录：白门楼命运抉择</t>
        </is>
      </c>
      <c r="C692" s="8" t="inlineStr">
        <is>
          <t>mission_chest_baimenlou_mingyun_jueze</t>
        </is>
      </c>
      <c r="D692" s="8" t="inlineStr">
        <is>
          <t>白门楼宝箱</t>
        </is>
      </c>
      <c r="E692" s="8" t="inlineStr">
        <is>
          <t>book_stratagem_burst</t>
        </is>
      </c>
      <c r="F692" s="8" t="inlineStr">
        <is>
          <t>book_stratagem_burst</t>
        </is>
      </c>
      <c r="G692" s="8" t="inlineStr">
        <is>
          <t>《奇策突袭》秘术</t>
        </is>
      </c>
      <c r="H692" s="8" t="inlineStr">
        <is>
          <t>purple</t>
        </is>
      </c>
      <c r="I692" s="8" t="inlineStr">
        <is>
          <t>skill_book</t>
        </is>
      </c>
      <c r="J692" s="8" t="n">
        <v>0.036</v>
      </c>
      <c r="K692" s="8" t="n">
        <v>1</v>
      </c>
      <c r="L692" s="8" t="n">
        <v>1</v>
      </c>
      <c r="M692" s="8" t="n">
        <v>1</v>
      </c>
      <c r="N692" s="8" t="n">
        <v>1</v>
      </c>
      <c r="O692" s="8">
        <f>J692*K692/L692</f>
        <v>0.036</v>
      </c>
      <c r="P692" s="8">
        <f>(M692+N692)/2</f>
        <v>1.0</v>
      </c>
      <c r="Q692" s="8">
        <f>O692*P692</f>
        <v>0.036</v>
      </c>
      <c r="R692" s="8" t="n">
        <v>0</v>
      </c>
      <c r="S692" s="8">
        <f>Q692*R692</f>
        <v>0.0</v>
      </c>
      <c r="T692" s="8" t="n"/>
      <c r="U692" s="8" t="inlineStr"/>
      <c r="V692" s="8" t="inlineStr">
        <is>
          <t>data/item_templates.yaml:mission_chest_baimenlou_mingyun_jueze.effect_payload</t>
        </is>
      </c>
    </row>
    <row r="693" ht="36" customHeight="1">
      <c r="A693" s="8" t="inlineStr">
        <is>
          <t>baimenlou_mingyun_jueze</t>
        </is>
      </c>
      <c r="B693" s="8" t="inlineStr">
        <is>
          <t>飞将浮沉录：白门楼命运抉择</t>
        </is>
      </c>
      <c r="C693" s="8" t="inlineStr">
        <is>
          <t>mission_chest_baimenlou_mingyun_jueze</t>
        </is>
      </c>
      <c r="D693" s="8" t="inlineStr">
        <is>
          <t>白门楼宝箱</t>
        </is>
      </c>
      <c r="E693" s="8" t="inlineStr">
        <is>
          <t>book_prison_break_blade</t>
        </is>
      </c>
      <c r="F693" s="8" t="inlineStr">
        <is>
          <t>book_prison_break_blade</t>
        </is>
      </c>
      <c r="G693" s="8" t="inlineStr">
        <is>
          <t>《破狱狂刀》秘术</t>
        </is>
      </c>
      <c r="H693" s="8" t="inlineStr">
        <is>
          <t>purple</t>
        </is>
      </c>
      <c r="I693" s="8" t="inlineStr">
        <is>
          <t>skill_book</t>
        </is>
      </c>
      <c r="J693" s="8" t="n">
        <v>0.036</v>
      </c>
      <c r="K693" s="8" t="n">
        <v>1</v>
      </c>
      <c r="L693" s="8" t="n">
        <v>1</v>
      </c>
      <c r="M693" s="8" t="n">
        <v>1</v>
      </c>
      <c r="N693" s="8" t="n">
        <v>1</v>
      </c>
      <c r="O693" s="8">
        <f>J693*K693/L693</f>
        <v>0.036</v>
      </c>
      <c r="P693" s="8">
        <f>(M693+N693)/2</f>
        <v>1.0</v>
      </c>
      <c r="Q693" s="8">
        <f>O693*P693</f>
        <v>0.036</v>
      </c>
      <c r="R693" s="8" t="n">
        <v>0</v>
      </c>
      <c r="S693" s="8">
        <f>Q693*R693</f>
        <v>0.0</v>
      </c>
      <c r="T693" s="8" t="n"/>
      <c r="U693" s="8" t="inlineStr"/>
      <c r="V693" s="8" t="inlineStr">
        <is>
          <t>data/item_templates.yaml:mission_chest_baimenlou_mingyun_jueze.effect_payload</t>
        </is>
      </c>
    </row>
    <row r="694" ht="36" customHeight="1">
      <c r="A694" s="8" t="inlineStr">
        <is>
          <t>baimenlou_mingyun_jueze</t>
        </is>
      </c>
      <c r="B694" s="8" t="inlineStr">
        <is>
          <t>飞将浮沉录：白门楼命运抉择</t>
        </is>
      </c>
      <c r="C694" s="8" t="inlineStr">
        <is>
          <t>mission_chest_baimenlou_mingyun_jueze</t>
        </is>
      </c>
      <c r="D694" s="8" t="inlineStr">
        <is>
          <t>白门楼宝箱</t>
        </is>
      </c>
      <c r="E694" s="8" t="inlineStr">
        <is>
          <t>白门楼橙色名器</t>
        </is>
      </c>
      <c r="F694" s="8" t="inlineStr">
        <is>
          <t>equip_panlonggun</t>
        </is>
      </c>
      <c r="G694" s="8" t="inlineStr">
        <is>
          <t>盘龙棍</t>
        </is>
      </c>
      <c r="H694" s="8" t="inlineStr">
        <is>
          <t>orange</t>
        </is>
      </c>
      <c r="I694" s="8" t="inlineStr">
        <is>
          <t>equip_weapon</t>
        </is>
      </c>
      <c r="J694" s="8" t="n">
        <v>0.1</v>
      </c>
      <c r="K694" s="8" t="n">
        <v>1</v>
      </c>
      <c r="L694" s="8" t="n">
        <v>1</v>
      </c>
      <c r="M694" s="8" t="n">
        <v>1</v>
      </c>
      <c r="N694" s="8" t="n">
        <v>1</v>
      </c>
      <c r="O694" s="8">
        <f>J694*K694/L694</f>
        <v>0.1</v>
      </c>
      <c r="P694" s="8">
        <f>(M694+N694)/2</f>
        <v>1.0</v>
      </c>
      <c r="Q694" s="8">
        <f>O694*P694</f>
        <v>0.1</v>
      </c>
      <c r="R694" s="8" t="n">
        <v>0</v>
      </c>
      <c r="S694" s="8">
        <f>Q694*R694</f>
        <v>0.0</v>
      </c>
      <c r="T694" s="8" t="n"/>
      <c r="U694" s="8" t="inlineStr"/>
      <c r="V694" s="8" t="inlineStr">
        <is>
          <t>data/item_templates.yaml:mission_chest_baimenlou_mingyun_jueze.effect_payload</t>
        </is>
      </c>
    </row>
    <row r="695" ht="36" customHeight="1">
      <c r="A695" s="8" t="inlineStr">
        <is>
          <t>baimenlou_mingyun_jueze</t>
        </is>
      </c>
      <c r="B695" s="8" t="inlineStr">
        <is>
          <t>飞将浮沉录：白门楼命运抉择</t>
        </is>
      </c>
      <c r="C695" s="8" t="inlineStr">
        <is>
          <t>mission_chest_baimenlou_mingyun_jueze</t>
        </is>
      </c>
      <c r="D695" s="8" t="inlineStr">
        <is>
          <t>白门楼宝箱</t>
        </is>
      </c>
      <c r="E695" s="8" t="inlineStr">
        <is>
          <t>白门楼紫色军备</t>
        </is>
      </c>
      <c r="F695" s="8" t="inlineStr">
        <is>
          <t>equip_pojunzhanjia</t>
        </is>
      </c>
      <c r="G695" s="8" t="inlineStr">
        <is>
          <t>破军战甲</t>
        </is>
      </c>
      <c r="H695" s="8" t="inlineStr">
        <is>
          <t>purple</t>
        </is>
      </c>
      <c r="I695" s="8" t="inlineStr">
        <is>
          <t>equip_armor</t>
        </is>
      </c>
      <c r="J695" s="8" t="n">
        <v>0.35</v>
      </c>
      <c r="K695" s="8" t="n">
        <v>1</v>
      </c>
      <c r="L695" s="8" t="n">
        <v>2</v>
      </c>
      <c r="M695" s="8" t="n">
        <v>1</v>
      </c>
      <c r="N695" s="8" t="n">
        <v>1</v>
      </c>
      <c r="O695" s="8">
        <f>J695*K695/L695</f>
        <v>0.175</v>
      </c>
      <c r="P695" s="8">
        <f>(M695+N695)/2</f>
        <v>1.0</v>
      </c>
      <c r="Q695" s="8">
        <f>O695*P695</f>
        <v>0.175</v>
      </c>
      <c r="R695" s="8" t="n">
        <v>0</v>
      </c>
      <c r="S695" s="8">
        <f>Q695*R695</f>
        <v>0.0</v>
      </c>
      <c r="T695" s="8" t="n"/>
      <c r="U695" s="8" t="inlineStr"/>
      <c r="V695" s="8" t="inlineStr">
        <is>
          <t>data/item_templates.yaml:mission_chest_baimenlou_mingyun_jueze.effect_payload</t>
        </is>
      </c>
    </row>
    <row r="696" ht="36" customHeight="1">
      <c r="A696" s="8" t="inlineStr">
        <is>
          <t>baimenlou_mingyun_jueze</t>
        </is>
      </c>
      <c r="B696" s="8" t="inlineStr">
        <is>
          <t>飞将浮沉录：白门楼命运抉择</t>
        </is>
      </c>
      <c r="C696" s="8" t="inlineStr">
        <is>
          <t>mission_chest_baimenlou_mingyun_jueze</t>
        </is>
      </c>
      <c r="D696" s="8" t="inlineStr">
        <is>
          <t>白门楼宝箱</t>
        </is>
      </c>
      <c r="E696" s="8" t="inlineStr">
        <is>
          <t>白门楼紫色军备</t>
        </is>
      </c>
      <c r="F696" s="8" t="inlineStr">
        <is>
          <t>equip_tianjiguan</t>
        </is>
      </c>
      <c r="G696" s="8" t="inlineStr">
        <is>
          <t>天机冠</t>
        </is>
      </c>
      <c r="H696" s="8" t="inlineStr">
        <is>
          <t>purple</t>
        </is>
      </c>
      <c r="I696" s="8" t="inlineStr">
        <is>
          <t>equip_helmet</t>
        </is>
      </c>
      <c r="J696" s="8" t="n">
        <v>0.35</v>
      </c>
      <c r="K696" s="8" t="n">
        <v>1</v>
      </c>
      <c r="L696" s="8" t="n">
        <v>2</v>
      </c>
      <c r="M696" s="8" t="n">
        <v>1</v>
      </c>
      <c r="N696" s="8" t="n">
        <v>1</v>
      </c>
      <c r="O696" s="8">
        <f>J696*K696/L696</f>
        <v>0.175</v>
      </c>
      <c r="P696" s="8">
        <f>(M696+N696)/2</f>
        <v>1.0</v>
      </c>
      <c r="Q696" s="8">
        <f>O696*P696</f>
        <v>0.175</v>
      </c>
      <c r="R696" s="8" t="n">
        <v>0</v>
      </c>
      <c r="S696" s="8">
        <f>Q696*R696</f>
        <v>0.0</v>
      </c>
      <c r="T696" s="8" t="n"/>
      <c r="U696" s="8" t="inlineStr"/>
      <c r="V696" s="8" t="inlineStr">
        <is>
          <t>data/item_templates.yaml:mission_chest_baimenlou_mingyun_jueze.effect_payload</t>
        </is>
      </c>
    </row>
  </sheetData>
  <autoFilter ref="A1:V69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ht="32" customHeight="1">
      <c r="A1" s="7" t="inlineStr">
        <is>
          <t>任务key</t>
        </is>
      </c>
      <c r="B1" s="7" t="inlineStr">
        <is>
          <t>任务名称</t>
        </is>
      </c>
      <c r="C1" s="7" t="inlineStr">
        <is>
          <t>难度</t>
        </is>
      </c>
      <c r="D1" s="7" t="inlineStr">
        <is>
          <t>宝箱名称</t>
        </is>
      </c>
      <c r="E1" s="7" t="inlineStr">
        <is>
          <t>养成定位</t>
        </is>
      </c>
      <c r="F1" s="7" t="inlineStr">
        <is>
          <t>直接银两</t>
        </is>
      </c>
      <c r="G1" s="7" t="inlineStr">
        <is>
          <t>开放星期</t>
        </is>
      </c>
      <c r="H1" s="7" t="inlineStr">
        <is>
          <t>每日基础次数</t>
        </is>
      </c>
      <c r="I1" s="7" t="inlineStr">
        <is>
          <t>固定经验果</t>
        </is>
      </c>
      <c r="J1" s="7" t="inlineStr">
        <is>
          <t>原配置经验期望(小时)</t>
        </is>
      </c>
      <c r="K1" s="7" t="inlineStr">
        <is>
          <t>敌军回收参考(小时)</t>
        </is>
      </c>
      <c r="L1" s="7" t="inlineStr">
        <is>
          <t>新箱经验期望(小时)</t>
        </is>
      </c>
      <c r="M1" s="7" t="inlineStr">
        <is>
          <t>较原配置增加(小时)</t>
        </is>
      </c>
      <c r="N1" s="7" t="inlineStr">
        <is>
          <t>入场消耗</t>
        </is>
      </c>
      <c r="O1" s="7" t="inlineStr">
        <is>
          <t>规则</t>
        </is>
      </c>
    </row>
    <row r="2" ht="36" customHeight="1">
      <c r="A2" s="8" t="inlineStr">
        <is>
          <t>mid_autumn_moon_palace_trial</t>
        </is>
      </c>
      <c r="B2" s="8" t="inlineStr">
        <is>
          <t>广寒宫试炼</t>
        </is>
      </c>
      <c r="C2" s="8" t="inlineStr">
        <is>
          <t>中级</t>
        </is>
      </c>
      <c r="D2" s="8" t="inlineStr">
        <is>
          <t>广寒宫试炼宝箱</t>
        </is>
      </c>
      <c r="E2" s="8" t="inlineStr">
        <is>
          <t>节日收集：月饼兑换与月宫门客</t>
        </is>
      </c>
      <c r="F2" s="8" t="n">
        <v>40000</v>
      </c>
      <c r="G2" s="8" t="inlineStr">
        <is>
          <t>2,4,6,7</t>
        </is>
      </c>
      <c r="H2" s="8" t="n">
        <v>3</v>
      </c>
      <c r="I2" s="8" t="n">
        <v>20</v>
      </c>
      <c r="J2" s="8" t="n">
        <v>0</v>
      </c>
      <c r="K2" s="8" t="n">
        <v>20.66666666666667</v>
      </c>
      <c r="L2" s="8">
        <f>SUMIF('宝箱奖励明细'!A$2:A$696,A2,'宝箱奖励明细'!S$2:S$696)</f>
        <v>20.0</v>
      </c>
      <c r="M2" s="8">
        <f>L2-J2</f>
        <v>20.0</v>
      </c>
      <c r="N2" s="8" t="inlineStr">
        <is>
          <t>{}</t>
        </is>
      </c>
      <c r="O2" s="8" t="inlineStr">
        <is>
          <t>箱不可交易；器械仅图纸；仓容5</t>
        </is>
      </c>
    </row>
    <row r="3" ht="36" customHeight="1">
      <c r="A3" s="8" t="inlineStr">
        <is>
          <t>kasukabe_daisakusen</t>
        </is>
      </c>
      <c r="B3" s="8" t="inlineStr">
        <is>
          <t>春日部大作战</t>
        </is>
      </c>
      <c r="C3" s="8" t="inlineStr">
        <is>
          <t>中级</t>
        </is>
      </c>
      <c r="D3" s="8" t="inlineStr">
        <is>
          <t>春日部大作战宝箱</t>
        </is>
      </c>
      <c r="E3" s="8" t="inlineStr">
        <is>
          <t>活动收集：蜡笔兑换与动感超人专属装备</t>
        </is>
      </c>
      <c r="F3" s="8" t="n">
        <v>40000</v>
      </c>
      <c r="G3" s="8" t="inlineStr">
        <is>
          <t>2,4,6,7</t>
        </is>
      </c>
      <c r="H3" s="8" t="n">
        <v>3</v>
      </c>
      <c r="I3" s="8" t="n">
        <v>77</v>
      </c>
      <c r="J3" s="8" t="n">
        <v>18</v>
      </c>
      <c r="K3" s="8" t="n">
        <v>77.06666666666666</v>
      </c>
      <c r="L3" s="8">
        <f>SUMIF('宝箱奖励明细'!A$2:A$696,A3,'宝箱奖励明细'!S$2:S$696)</f>
        <v>95.0</v>
      </c>
      <c r="M3" s="8">
        <f>L3-J3</f>
        <v>77.0</v>
      </c>
      <c r="N3" s="8" t="inlineStr">
        <is>
          <t>{}</t>
        </is>
      </c>
      <c r="O3" s="8" t="inlineStr">
        <is>
          <t>箱不可交易；器械仅图纸；仓容5</t>
        </is>
      </c>
    </row>
    <row r="4" ht="36" customHeight="1">
      <c r="A4" s="8" t="inlineStr">
        <is>
          <t>huashan_lunjian</t>
        </is>
      </c>
      <c r="B4" s="8" t="inlineStr">
        <is>
          <t>华山论贱</t>
        </is>
      </c>
      <c r="C4" s="8" t="inlineStr">
        <is>
          <t>初级</t>
        </is>
      </c>
      <c r="D4" s="8" t="inlineStr">
        <is>
          <t>华山论贱宝箱</t>
        </is>
      </c>
      <c r="E4" s="8" t="inlineStr">
        <is>
          <t>新手文武入门：折扇、轻盔与驭雷术</t>
        </is>
      </c>
      <c r="F4" s="8" t="n">
        <v>8000</v>
      </c>
      <c r="G4" s="8" t="inlineStr">
        <is>
          <t>每日</t>
        </is>
      </c>
      <c r="H4" s="8" t="n">
        <v>3</v>
      </c>
      <c r="I4" s="8" t="n">
        <v>2</v>
      </c>
      <c r="J4" s="8" t="n">
        <v>0</v>
      </c>
      <c r="K4" s="8" t="n">
        <v>2.4</v>
      </c>
      <c r="L4" s="8">
        <f>SUMIF('宝箱奖励明细'!A$2:A$696,A4,'宝箱奖励明细'!S$2:S$696)</f>
        <v>2.0</v>
      </c>
      <c r="M4" s="8">
        <f>L4-J4</f>
        <v>2.0</v>
      </c>
      <c r="N4" s="8" t="inlineStr">
        <is>
          <t>{}</t>
        </is>
      </c>
      <c r="O4" s="8" t="inlineStr">
        <is>
          <t>箱不可交易；器械仅图纸；仓容5</t>
        </is>
      </c>
    </row>
    <row r="5" ht="36" customHeight="1">
      <c r="A5" s="8" t="inlineStr">
        <is>
          <t>wagangzhai_nixi</t>
        </is>
      </c>
      <c r="B5" s="8" t="inlineStr">
        <is>
          <t>瓦岗寨的逆袭</t>
        </is>
      </c>
      <c r="C5" s="8" t="inlineStr">
        <is>
          <t>中级</t>
        </is>
      </c>
      <c r="D5" s="8" t="inlineStr">
        <is>
          <t>瓦岗寨的逆袭宝箱</t>
        </is>
      </c>
      <c r="E5" s="8" t="inlineStr">
        <is>
          <t>庄园防守：重甲、军阵饰品与玄甲战驹</t>
        </is>
      </c>
      <c r="F5" s="8" t="n">
        <v>40000</v>
      </c>
      <c r="G5" s="8" t="inlineStr">
        <is>
          <t>每日</t>
        </is>
      </c>
      <c r="H5" s="8" t="n">
        <v>3</v>
      </c>
      <c r="I5" s="8" t="n">
        <v>81</v>
      </c>
      <c r="J5" s="8" t="n">
        <v>24</v>
      </c>
      <c r="K5" s="8" t="n">
        <v>81</v>
      </c>
      <c r="L5" s="8">
        <f>SUMIF('宝箱奖励明细'!A$2:A$696,A5,'宝箱奖励明细'!S$2:S$696)</f>
        <v>105.0</v>
      </c>
      <c r="M5" s="8">
        <f>L5-J5</f>
        <v>81.0</v>
      </c>
      <c r="N5" s="8" t="inlineStr">
        <is>
          <t>{}</t>
        </is>
      </c>
      <c r="O5" s="8" t="inlineStr">
        <is>
          <t>箱不可交易；器械仅图纸；仓容5</t>
        </is>
      </c>
    </row>
    <row r="6" ht="36" customHeight="1">
      <c r="A6" s="8" t="inlineStr">
        <is>
          <t>jingyanggang</t>
        </is>
      </c>
      <c r="B6" s="8" t="inlineStr">
        <is>
          <t>景阳冈</t>
        </is>
      </c>
      <c r="C6" s="8" t="inlineStr">
        <is>
          <t>初级</t>
        </is>
      </c>
      <c r="D6" s="8" t="inlineStr">
        <is>
          <t>景阳冈宝箱</t>
        </is>
      </c>
      <c r="E6" s="8" t="inlineStr">
        <is>
          <t>新手猎虎：虎皮靴与虎纹盔</t>
        </is>
      </c>
      <c r="F6" s="8" t="n">
        <v>7000</v>
      </c>
      <c r="G6" s="8" t="inlineStr">
        <is>
          <t>每日</t>
        </is>
      </c>
      <c r="H6" s="8" t="n">
        <v>3</v>
      </c>
      <c r="I6" s="8" t="n">
        <v>1</v>
      </c>
      <c r="J6" s="8" t="n">
        <v>0</v>
      </c>
      <c r="K6" s="8" t="n">
        <v>0.75</v>
      </c>
      <c r="L6" s="8">
        <f>SUMIF('宝箱奖励明细'!A$2:A$696,A6,'宝箱奖励明细'!S$2:S$696)</f>
        <v>1.0</v>
      </c>
      <c r="M6" s="8">
        <f>L6-J6</f>
        <v>1.0</v>
      </c>
      <c r="N6" s="8" t="inlineStr">
        <is>
          <t>{}</t>
        </is>
      </c>
      <c r="O6" s="8" t="inlineStr">
        <is>
          <t>箱不可交易；器械仅图纸；仓容5</t>
        </is>
      </c>
    </row>
    <row r="7" ht="36" customHeight="1">
      <c r="A7" s="8" t="inlineStr">
        <is>
          <t>wulongshan</t>
        </is>
      </c>
      <c r="B7" s="8" t="inlineStr">
        <is>
          <t>乌龙山</t>
        </is>
      </c>
      <c r="C7" s="8" t="inlineStr">
        <is>
          <t>初级</t>
        </is>
      </c>
      <c r="D7" s="8" t="inlineStr">
        <is>
          <t>乌龙山宝箱</t>
        </is>
      </c>
      <c r="E7" s="8" t="inlineStr">
        <is>
          <t>初期武客：棍、盔、靴与入门坐骑</t>
        </is>
      </c>
      <c r="F7" s="8" t="n">
        <v>15000</v>
      </c>
      <c r="G7" s="8" t="inlineStr">
        <is>
          <t>每日</t>
        </is>
      </c>
      <c r="H7" s="8" t="n">
        <v>3</v>
      </c>
      <c r="I7" s="8" t="n">
        <v>4</v>
      </c>
      <c r="J7" s="8" t="n">
        <v>0</v>
      </c>
      <c r="K7" s="8" t="n">
        <v>4.266666666666667</v>
      </c>
      <c r="L7" s="8">
        <f>SUMIF('宝箱奖励明细'!A$2:A$696,A7,'宝箱奖励明细'!S$2:S$696)</f>
        <v>4.0</v>
      </c>
      <c r="M7" s="8">
        <f>L7-J7</f>
        <v>4.0</v>
      </c>
      <c r="N7" s="8" t="inlineStr">
        <is>
          <t>{}</t>
        </is>
      </c>
      <c r="O7" s="8" t="inlineStr">
        <is>
          <t>箱不可交易；器械仅图纸；仓容5</t>
        </is>
      </c>
    </row>
    <row r="8" ht="36" customHeight="1">
      <c r="A8" s="8" t="inlineStr">
        <is>
          <t>wagangzhai</t>
        </is>
      </c>
      <c r="B8" s="8" t="inlineStr">
        <is>
          <t>瓦岗寨</t>
        </is>
      </c>
      <c r="C8" s="8" t="inlineStr">
        <is>
          <t>初级</t>
        </is>
      </c>
      <c r="D8" s="8" t="inlineStr">
        <is>
          <t>瓦岗寨宝箱</t>
        </is>
      </c>
      <c r="E8" s="8" t="inlineStr">
        <is>
          <t>初期军阵：甲胄、长兵与军用饰品</t>
        </is>
      </c>
      <c r="F8" s="8" t="n">
        <v>20000</v>
      </c>
      <c r="G8" s="8" t="inlineStr">
        <is>
          <t>每日</t>
        </is>
      </c>
      <c r="H8" s="8" t="n">
        <v>3</v>
      </c>
      <c r="I8" s="8" t="n">
        <v>7</v>
      </c>
      <c r="J8" s="8" t="n">
        <v>0</v>
      </c>
      <c r="K8" s="8" t="n">
        <v>7.8</v>
      </c>
      <c r="L8" s="8">
        <f>SUMIF('宝箱奖励明细'!A$2:A$696,A8,'宝箱奖励明细'!S$2:S$696)</f>
        <v>7.0</v>
      </c>
      <c r="M8" s="8">
        <f>L8-J8</f>
        <v>7.0</v>
      </c>
      <c r="N8" s="8" t="inlineStr">
        <is>
          <t>{}</t>
        </is>
      </c>
      <c r="O8" s="8" t="inlineStr">
        <is>
          <t>箱不可交易；器械仅图纸；仓容5</t>
        </is>
      </c>
    </row>
    <row r="9" ht="36" customHeight="1">
      <c r="A9" s="8" t="inlineStr">
        <is>
          <t>fugui_shanzhuang</t>
        </is>
      </c>
      <c r="B9" s="8" t="inlineStr">
        <is>
          <t>富贵山庄</t>
        </is>
      </c>
      <c r="C9" s="8" t="inlineStr">
        <is>
          <t>初级</t>
        </is>
      </c>
      <c r="D9" s="8" t="inlineStr">
        <is>
          <t>富贵山庄宝箱</t>
        </is>
      </c>
      <c r="E9" s="8" t="inlineStr">
        <is>
          <t>初期文客：文房、玉佩与筹谋秘术</t>
        </is>
      </c>
      <c r="F9" s="8" t="n">
        <v>14000</v>
      </c>
      <c r="G9" s="8" t="inlineStr">
        <is>
          <t>每日</t>
        </is>
      </c>
      <c r="H9" s="8" t="n">
        <v>3</v>
      </c>
      <c r="I9" s="8" t="n">
        <v>2</v>
      </c>
      <c r="J9" s="8" t="n">
        <v>0</v>
      </c>
      <c r="K9" s="8" t="n">
        <v>2</v>
      </c>
      <c r="L9" s="8">
        <f>SUMIF('宝箱奖励明细'!A$2:A$696,A9,'宝箱奖励明细'!S$2:S$696)</f>
        <v>2.0</v>
      </c>
      <c r="M9" s="8">
        <f>L9-J9</f>
        <v>2.0</v>
      </c>
      <c r="N9" s="8" t="inlineStr">
        <is>
          <t>{}</t>
        </is>
      </c>
      <c r="O9" s="8" t="inlineStr">
        <is>
          <t>箱不可交易；器械仅图纸；仓容5</t>
        </is>
      </c>
    </row>
    <row r="10" ht="36" customHeight="1">
      <c r="A10" s="8" t="inlineStr">
        <is>
          <t>shizipo_heidian</t>
        </is>
      </c>
      <c r="B10" s="8" t="inlineStr">
        <is>
          <t>十字坡黑店</t>
        </is>
      </c>
      <c r="C10" s="8" t="inlineStr">
        <is>
          <t>中级</t>
        </is>
      </c>
      <c r="D10" s="8" t="inlineStr">
        <is>
          <t>十字坡黑店宝箱</t>
        </is>
      </c>
      <c r="E10" s="8" t="inlineStr">
        <is>
          <t>中期奇袭：鞭、刀、阴招秘术</t>
        </is>
      </c>
      <c r="F10" s="8" t="n">
        <v>30000</v>
      </c>
      <c r="G10" s="8" t="inlineStr">
        <is>
          <t>每日</t>
        </is>
      </c>
      <c r="H10" s="8" t="n">
        <v>3</v>
      </c>
      <c r="I10" s="8" t="n">
        <v>16</v>
      </c>
      <c r="J10" s="8" t="n">
        <v>0</v>
      </c>
      <c r="K10" s="8" t="n">
        <v>16.33333333333333</v>
      </c>
      <c r="L10" s="8">
        <f>SUMIF('宝箱奖励明细'!A$2:A$696,A10,'宝箱奖励明细'!S$2:S$696)</f>
        <v>16.0</v>
      </c>
      <c r="M10" s="8">
        <f>L10-J10</f>
        <v>16.0</v>
      </c>
      <c r="N10" s="8" t="inlineStr">
        <is>
          <t>{}</t>
        </is>
      </c>
      <c r="O10" s="8" t="inlineStr">
        <is>
          <t>箱不可交易；器械仅图纸；仓容5</t>
        </is>
      </c>
    </row>
    <row r="11" ht="36" customHeight="1">
      <c r="A11" s="8" t="inlineStr">
        <is>
          <t>shanhaiguan</t>
        </is>
      </c>
      <c r="B11" s="8" t="inlineStr">
        <is>
          <t>山海关</t>
        </is>
      </c>
      <c r="C11" s="8" t="inlineStr">
        <is>
          <t>中级</t>
        </is>
      </c>
      <c r="D11" s="8" t="inlineStr">
        <is>
          <t>山海关宝箱</t>
        </is>
      </c>
      <c r="E11" s="8" t="inlineStr">
        <is>
          <t>中期守关：军备图纸、坐骑与守御秘术</t>
        </is>
      </c>
      <c r="F11" s="8" t="n">
        <v>40000</v>
      </c>
      <c r="G11" s="8" t="inlineStr">
        <is>
          <t>每日</t>
        </is>
      </c>
      <c r="H11" s="8" t="n">
        <v>3</v>
      </c>
      <c r="I11" s="8" t="n">
        <v>20</v>
      </c>
      <c r="J11" s="8" t="n">
        <v>0</v>
      </c>
      <c r="K11" s="8" t="n">
        <v>20.66666666666667</v>
      </c>
      <c r="L11" s="8">
        <f>SUMIF('宝箱奖励明细'!A$2:A$696,A11,'宝箱奖励明细'!S$2:S$696)</f>
        <v>20.0</v>
      </c>
      <c r="M11" s="8">
        <f>L11-J11</f>
        <v>20.0</v>
      </c>
      <c r="N11" s="8" t="inlineStr">
        <is>
          <t>{}</t>
        </is>
      </c>
      <c r="O11" s="8" t="inlineStr">
        <is>
          <t>箱不可交易；器械仅图纸；仓容5</t>
        </is>
      </c>
    </row>
    <row r="12" ht="36" customHeight="1">
      <c r="A12" s="8" t="inlineStr">
        <is>
          <t>shiren_daochang</t>
        </is>
      </c>
      <c r="B12" s="8" t="inlineStr">
        <is>
          <t>十人道场</t>
        </is>
      </c>
      <c r="C12" s="8" t="inlineStr">
        <is>
          <t>中级</t>
        </is>
      </c>
      <c r="D12" s="8" t="inlineStr">
        <is>
          <t>十人道场宝箱</t>
        </is>
      </c>
      <c r="E12" s="8" t="inlineStr">
        <is>
          <t>中期经验试炼：法衣、法器与群体秘术</t>
        </is>
      </c>
      <c r="F12" s="8" t="n">
        <v>20000</v>
      </c>
      <c r="G12" s="8" t="inlineStr">
        <is>
          <t>每日</t>
        </is>
      </c>
      <c r="H12" s="8" t="n">
        <v>3</v>
      </c>
      <c r="I12" s="8" t="n">
        <v>38</v>
      </c>
      <c r="J12" s="8" t="n">
        <v>72</v>
      </c>
      <c r="K12" s="8" t="n">
        <v>38.5</v>
      </c>
      <c r="L12" s="8">
        <f>SUMIF('宝箱奖励明细'!A$2:A$696,A12,'宝箱奖励明细'!S$2:S$696)</f>
        <v>110.0</v>
      </c>
      <c r="M12" s="8">
        <f>L12-J12</f>
        <v>38.0</v>
      </c>
      <c r="N12" s="8" t="inlineStr">
        <is>
          <t>{}</t>
        </is>
      </c>
      <c r="O12" s="8" t="inlineStr">
        <is>
          <t>箱不可交易；器械仅图纸；仓容5</t>
        </is>
      </c>
    </row>
    <row r="13" ht="36" customHeight="1">
      <c r="A13" s="8" t="inlineStr">
        <is>
          <t>jiguanshou_chuxian</t>
        </is>
      </c>
      <c r="B13" s="8" t="inlineStr">
        <is>
          <t>机关兽初现</t>
        </is>
      </c>
      <c r="C13" s="8" t="inlineStr">
        <is>
          <t>初级</t>
        </is>
      </c>
      <c r="D13" s="8" t="inlineStr">
        <is>
          <t>机关兽初现宝箱</t>
        </is>
      </c>
      <c r="E13" s="8" t="inlineStr">
        <is>
          <t>机关入门：绿蓝器械图纸与算筹</t>
        </is>
      </c>
      <c r="F13" s="8" t="n">
        <v>24000</v>
      </c>
      <c r="G13" s="8" t="inlineStr">
        <is>
          <t>每日</t>
        </is>
      </c>
      <c r="H13" s="8" t="n">
        <v>2</v>
      </c>
      <c r="I13" s="8" t="n">
        <v>28</v>
      </c>
      <c r="J13" s="8" t="n">
        <v>0</v>
      </c>
      <c r="K13" s="8" t="n">
        <v>28</v>
      </c>
      <c r="L13" s="8">
        <f>SUMIF('宝箱奖励明细'!A$2:A$696,A13,'宝箱奖励明细'!S$2:S$696)</f>
        <v>28.0</v>
      </c>
      <c r="M13" s="8">
        <f>L13-J13</f>
        <v>28.0</v>
      </c>
      <c r="N13" s="8" t="inlineStr">
        <is>
          <t>{}</t>
        </is>
      </c>
      <c r="O13" s="8" t="inlineStr">
        <is>
          <t>箱不可交易；器械仅图纸；仓容5</t>
        </is>
      </c>
    </row>
    <row r="14" ht="36" customHeight="1">
      <c r="A14" s="8" t="inlineStr">
        <is>
          <t>biwu_zhaoqin</t>
        </is>
      </c>
      <c r="B14" s="8" t="inlineStr">
        <is>
          <t>比武招亲</t>
        </is>
      </c>
      <c r="C14" s="8" t="inlineStr">
        <is>
          <t>初级</t>
        </is>
      </c>
      <c r="D14" s="8" t="inlineStr">
        <is>
          <t>比武招亲宝箱</t>
        </is>
      </c>
      <c r="E14" s="8" t="inlineStr">
        <is>
          <t>初中期武学：护甲、礼器与稀有机关熊图纸</t>
        </is>
      </c>
      <c r="F14" s="8" t="n">
        <v>20000</v>
      </c>
      <c r="G14" s="8" t="inlineStr">
        <is>
          <t>每日</t>
        </is>
      </c>
      <c r="H14" s="8" t="n">
        <v>3</v>
      </c>
      <c r="I14" s="8" t="n">
        <v>2</v>
      </c>
      <c r="J14" s="8" t="n">
        <v>0</v>
      </c>
      <c r="K14" s="8" t="n">
        <v>2.75</v>
      </c>
      <c r="L14" s="8">
        <f>SUMIF('宝箱奖励明细'!A$2:A$696,A14,'宝箱奖励明细'!S$2:S$696)</f>
        <v>2.0</v>
      </c>
      <c r="M14" s="8">
        <f>L14-J14</f>
        <v>2.0</v>
      </c>
      <c r="N14" s="8" t="inlineStr">
        <is>
          <t>{}</t>
        </is>
      </c>
      <c r="O14" s="8" t="inlineStr">
        <is>
          <t>箱不可交易；器械仅图纸；仓容5</t>
        </is>
      </c>
    </row>
    <row r="15" ht="36" customHeight="1">
      <c r="A15" s="8" t="inlineStr">
        <is>
          <t>tianpeng_dijiao_1</t>
        </is>
      </c>
      <c r="B15" s="8" t="inlineStr">
        <is>
          <t>天蓬元帅的地窖（第一层）</t>
        </is>
      </c>
      <c r="C15" s="8" t="inlineStr">
        <is>
          <t>中级</t>
        </is>
      </c>
      <c r="D15" s="8" t="inlineStr">
        <is>
          <t>天蓬地窖一层宝箱</t>
        </is>
      </c>
      <c r="E15" s="8" t="inlineStr">
        <is>
          <t>中期经验主本：大量经验、文武兼用装备</t>
        </is>
      </c>
      <c r="F15" s="8" t="n">
        <v>50000</v>
      </c>
      <c r="G15" s="8" t="inlineStr">
        <is>
          <t>每日</t>
        </is>
      </c>
      <c r="H15" s="8" t="n">
        <v>3</v>
      </c>
      <c r="I15" s="8" t="n">
        <v>60</v>
      </c>
      <c r="J15" s="8" t="n">
        <v>240</v>
      </c>
      <c r="K15" s="8" t="n">
        <v>60</v>
      </c>
      <c r="L15" s="8">
        <f>SUMIF('宝箱奖励明细'!A$2:A$696,A15,'宝箱奖励明细'!S$2:S$696)</f>
        <v>300.0</v>
      </c>
      <c r="M15" s="8">
        <f>L15-J15</f>
        <v>60.0</v>
      </c>
      <c r="N15" s="8" t="inlineStr">
        <is>
          <t>{}</t>
        </is>
      </c>
      <c r="O15" s="8" t="inlineStr">
        <is>
          <t>箱不可交易；器械仅图纸；仓容5</t>
        </is>
      </c>
    </row>
    <row r="16" ht="36" customHeight="1">
      <c r="A16" s="8" t="inlineStr">
        <is>
          <t>tianpeng_dijiao_2</t>
        </is>
      </c>
      <c r="B16" s="8" t="inlineStr">
        <is>
          <t>天蓬元帅的地窖（第二层）</t>
        </is>
      </c>
      <c r="C16" s="8" t="inlineStr">
        <is>
          <t>高级</t>
        </is>
      </c>
      <c r="D16" s="8" t="inlineStr">
        <is>
          <t>天蓬地窖二层宝箱</t>
        </is>
      </c>
      <c r="E16" s="8" t="inlineStr">
        <is>
          <t>后期经验主本：大量经验、狐仙套图纸与玄术饰品</t>
        </is>
      </c>
      <c r="F16" s="8" t="n">
        <v>0</v>
      </c>
      <c r="G16" s="8" t="inlineStr">
        <is>
          <t>每日</t>
        </is>
      </c>
      <c r="H16" s="8" t="n">
        <v>3</v>
      </c>
      <c r="I16" s="8" t="n">
        <v>96</v>
      </c>
      <c r="J16" s="8" t="n">
        <v>316.8</v>
      </c>
      <c r="K16" s="8" t="n">
        <v>96</v>
      </c>
      <c r="L16" s="8">
        <f>SUMIF('宝箱奖励明细'!A$2:A$696,A16,'宝箱奖励明细'!S$2:S$696)</f>
        <v>412.8</v>
      </c>
      <c r="M16" s="8">
        <f>L16-J16</f>
        <v>96.0</v>
      </c>
      <c r="N16" s="8" t="inlineStr">
        <is>
          <t>{}</t>
        </is>
      </c>
      <c r="O16" s="8" t="inlineStr">
        <is>
          <t>箱不可交易；器械仅图纸；仓容5</t>
        </is>
      </c>
    </row>
    <row r="17" ht="36" customHeight="1">
      <c r="A17" s="8" t="inlineStr">
        <is>
          <t>jiguan_chuniao</t>
        </is>
      </c>
      <c r="B17" s="8" t="inlineStr">
        <is>
          <t>机关雏鸟</t>
        </is>
      </c>
      <c r="C17" s="8" t="inlineStr">
        <is>
          <t>中级</t>
        </is>
      </c>
      <c r="D17" s="8" t="inlineStr">
        <is>
          <t>机关雏鸟宝箱</t>
        </is>
      </c>
      <c r="E17" s="8" t="inlineStr">
        <is>
          <t>中期机关养成：雏鸟图纸与随图纸发放的锻造材料</t>
        </is>
      </c>
      <c r="F17" s="8" t="n">
        <v>30000</v>
      </c>
      <c r="G17" s="8" t="inlineStr">
        <is>
          <t>每日</t>
        </is>
      </c>
      <c r="H17" s="8" t="n">
        <v>3</v>
      </c>
      <c r="I17" s="8" t="n">
        <v>28</v>
      </c>
      <c r="J17" s="8" t="n">
        <v>0</v>
      </c>
      <c r="K17" s="8" t="n">
        <v>28</v>
      </c>
      <c r="L17" s="8">
        <f>SUMIF('宝箱奖励明细'!A$2:A$696,A17,'宝箱奖励明细'!S$2:S$696)</f>
        <v>28.0</v>
      </c>
      <c r="M17" s="8">
        <f>L17-J17</f>
        <v>28.0</v>
      </c>
      <c r="N17" s="8" t="inlineStr">
        <is>
          <t>{}</t>
        </is>
      </c>
      <c r="O17" s="8" t="inlineStr">
        <is>
          <t>箱不可交易；器械仅图纸；仓容5</t>
        </is>
      </c>
    </row>
    <row r="18" ht="36" customHeight="1">
      <c r="A18" s="8" t="inlineStr">
        <is>
          <t>dongtian_fudi</t>
        </is>
      </c>
      <c r="B18" s="8" t="inlineStr">
        <is>
          <t>洞天福地</t>
        </is>
      </c>
      <c r="C18" s="8" t="inlineStr">
        <is>
          <t>高级</t>
        </is>
      </c>
      <c r="D18" s="8" t="inlineStr">
        <is>
          <t>洞天福地宝箱</t>
        </is>
      </c>
      <c r="E18" s="8" t="inlineStr">
        <is>
          <t>后期修炼重塑：洗点洗髓、破军军备与洞天灵物</t>
        </is>
      </c>
      <c r="F18" s="8" t="n">
        <v>50000</v>
      </c>
      <c r="G18" s="8" t="inlineStr">
        <is>
          <t>每日</t>
        </is>
      </c>
      <c r="H18" s="8" t="n">
        <v>3</v>
      </c>
      <c r="I18" s="8" t="n">
        <v>30</v>
      </c>
      <c r="J18" s="8" t="n">
        <v>120</v>
      </c>
      <c r="K18" s="8" t="n">
        <v>30.66666666666666</v>
      </c>
      <c r="L18" s="8">
        <f>SUMIF('宝箱奖励明细'!A$2:A$696,A18,'宝箱奖励明细'!S$2:S$696)</f>
        <v>150.0</v>
      </c>
      <c r="M18" s="8">
        <f>L18-J18</f>
        <v>30.0</v>
      </c>
      <c r="N18" s="8" t="inlineStr">
        <is>
          <t>{}</t>
        </is>
      </c>
      <c r="O18" s="8" t="inlineStr">
        <is>
          <t>箱不可交易；器械仅图纸；仓容5</t>
        </is>
      </c>
    </row>
    <row r="19" ht="36" customHeight="1">
      <c r="A19" s="8" t="inlineStr">
        <is>
          <t>jiufeng_feihuan</t>
        </is>
      </c>
      <c r="B19" s="8" t="inlineStr">
        <is>
          <t>九峰匪患</t>
        </is>
      </c>
      <c r="C19" s="8" t="inlineStr">
        <is>
          <t>中级</t>
        </is>
      </c>
      <c r="D19" s="8" t="inlineStr">
        <is>
          <t>九峰匪患宝箱</t>
        </is>
      </c>
      <c r="E19" s="8" t="inlineStr">
        <is>
          <t>中期机动救援：必得凌波鞋、坐骑与木牛流马图纸</t>
        </is>
      </c>
      <c r="F19" s="8" t="n">
        <v>20000</v>
      </c>
      <c r="G19" s="8" t="inlineStr">
        <is>
          <t>每日</t>
        </is>
      </c>
      <c r="H19" s="8" t="n">
        <v>3</v>
      </c>
      <c r="I19" s="8" t="n">
        <v>21</v>
      </c>
      <c r="J19" s="8" t="n">
        <v>0</v>
      </c>
      <c r="K19" s="8" t="n">
        <v>21.4</v>
      </c>
      <c r="L19" s="8">
        <f>SUMIF('宝箱奖励明细'!A$2:A$696,A19,'宝箱奖励明细'!S$2:S$696)</f>
        <v>21.0</v>
      </c>
      <c r="M19" s="8">
        <f>L19-J19</f>
        <v>21.0</v>
      </c>
      <c r="N19" s="8" t="inlineStr">
        <is>
          <t>{}</t>
        </is>
      </c>
      <c r="O19" s="8" t="inlineStr">
        <is>
          <t>箱不可交易；器械仅图纸；仓容5</t>
        </is>
      </c>
    </row>
    <row r="20" ht="36" customHeight="1">
      <c r="A20" s="8" t="inlineStr">
        <is>
          <t>taozi_fenban</t>
        </is>
      </c>
      <c r="B20" s="8" t="inlineStr">
        <is>
          <t>我的桃子分你一半</t>
        </is>
      </c>
      <c r="C20" s="8" t="inlineStr">
        <is>
          <t>初级</t>
        </is>
      </c>
      <c r="D20" s="8" t="inlineStr">
        <is>
          <t>分桃宝箱</t>
        </is>
      </c>
      <c r="E20" s="8" t="inlineStr">
        <is>
          <t>每日经验福利：大量经验桃与竹藤绿装</t>
        </is>
      </c>
      <c r="F20" s="8" t="n">
        <v>0</v>
      </c>
      <c r="G20" s="8" t="inlineStr">
        <is>
          <t>每日</t>
        </is>
      </c>
      <c r="H20" s="8" t="n">
        <v>1</v>
      </c>
      <c r="I20" s="8" t="n">
        <v>16</v>
      </c>
      <c r="J20" s="8" t="n">
        <v>120</v>
      </c>
      <c r="K20" s="8" t="n">
        <v>16</v>
      </c>
      <c r="L20" s="8">
        <f>SUMIF('宝箱奖励明细'!A$2:A$696,A20,'宝箱奖励明细'!S$2:S$696)</f>
        <v>136.0</v>
      </c>
      <c r="M20" s="8">
        <f>L20-J20</f>
        <v>16.0</v>
      </c>
      <c r="N20" s="8" t="inlineStr">
        <is>
          <t>{}</t>
        </is>
      </c>
      <c r="O20" s="8" t="inlineStr">
        <is>
          <t>箱不可交易；器械仅图纸；仓容5</t>
        </is>
      </c>
    </row>
    <row r="21" ht="36" customHeight="1">
      <c r="A21" s="8" t="inlineStr">
        <is>
          <t>simian_chuge</t>
        </is>
      </c>
      <c r="B21" s="8" t="inlineStr">
        <is>
          <t>四面楚歌</t>
        </is>
      </c>
      <c r="C21" s="8" t="inlineStr">
        <is>
          <t>高级</t>
        </is>
      </c>
      <c r="D21" s="8" t="inlineStr">
        <is>
          <t>四面楚歌宝箱</t>
        </is>
      </c>
      <c r="E21" s="8" t="inlineStr">
        <is>
          <t>后期霸王绝境：乌骓、霸王枪盔与被动秘术</t>
        </is>
      </c>
      <c r="F21" s="8" t="n">
        <v>50000</v>
      </c>
      <c r="G21" s="8" t="inlineStr">
        <is>
          <t>每日</t>
        </is>
      </c>
      <c r="H21" s="8" t="n">
        <v>3</v>
      </c>
      <c r="I21" s="8" t="n">
        <v>51</v>
      </c>
      <c r="J21" s="8" t="n">
        <v>48</v>
      </c>
      <c r="K21" s="8" t="n">
        <v>51.66666666666667</v>
      </c>
      <c r="L21" s="8">
        <f>SUMIF('宝箱奖励明细'!A$2:A$696,A21,'宝箱奖励明细'!S$2:S$696)</f>
        <v>99.0</v>
      </c>
      <c r="M21" s="8">
        <f>L21-J21</f>
        <v>51.0</v>
      </c>
      <c r="N21" s="8" t="inlineStr">
        <is>
          <t>{}</t>
        </is>
      </c>
      <c r="O21" s="8" t="inlineStr">
        <is>
          <t>箱不可交易；器械仅图纸；仓容5</t>
        </is>
      </c>
    </row>
    <row r="22" ht="36" customHeight="1">
      <c r="A22" s="8" t="inlineStr">
        <is>
          <t>manzu_ruqin</t>
        </is>
      </c>
      <c r="B22" s="8" t="inlineStr">
        <is>
          <t>蛮族入侵</t>
        </is>
      </c>
      <c r="C22" s="8" t="inlineStr">
        <is>
          <t>高级</t>
        </is>
      </c>
      <c r="D22" s="8" t="inlineStr">
        <is>
          <t>蛮族入侵宝箱</t>
        </is>
      </c>
      <c r="E22" s="8" t="inlineStr">
        <is>
          <t>后期守庄与文客招募：文系秘术、蒲巴乙召唤卡</t>
        </is>
      </c>
      <c r="F22" s="8" t="n">
        <v>50000</v>
      </c>
      <c r="G22" s="8" t="inlineStr">
        <is>
          <t>每日</t>
        </is>
      </c>
      <c r="H22" s="8" t="n">
        <v>3</v>
      </c>
      <c r="I22" s="8" t="n">
        <v>35</v>
      </c>
      <c r="J22" s="8" t="n">
        <v>0</v>
      </c>
      <c r="K22" s="8" t="n">
        <v>35</v>
      </c>
      <c r="L22" s="8">
        <f>SUMIF('宝箱奖励明细'!A$2:A$696,A22,'宝箱奖励明细'!S$2:S$696)</f>
        <v>35.0</v>
      </c>
      <c r="M22" s="8">
        <f>L22-J22</f>
        <v>35.0</v>
      </c>
      <c r="N22" s="8" t="inlineStr">
        <is>
          <t>{}</t>
        </is>
      </c>
      <c r="O22" s="8" t="inlineStr">
        <is>
          <t>箱不可交易；器械仅图纸；仓容5</t>
        </is>
      </c>
    </row>
    <row r="23" ht="36" customHeight="1">
      <c r="A23" s="8" t="inlineStr">
        <is>
          <t>zhuiji_manzu</t>
        </is>
      </c>
      <c r="B23" s="8" t="inlineStr">
        <is>
          <t>追击蛮族</t>
        </is>
      </c>
      <c r="C23" s="8" t="inlineStr">
        <is>
          <t>高级</t>
        </is>
      </c>
      <c r="D23" s="8" t="inlineStr">
        <is>
          <t>追击蛮族宝箱</t>
        </is>
      </c>
      <c r="E23" s="8" t="inlineStr">
        <is>
          <t>后期追击：玄武军备与塞外名器</t>
        </is>
      </c>
      <c r="F23" s="8" t="n">
        <v>40000</v>
      </c>
      <c r="G23" s="8" t="inlineStr">
        <is>
          <t>每日</t>
        </is>
      </c>
      <c r="H23" s="8" t="n">
        <v>3</v>
      </c>
      <c r="I23" s="8" t="n">
        <v>31</v>
      </c>
      <c r="J23" s="8" t="n">
        <v>128</v>
      </c>
      <c r="K23" s="8" t="n">
        <v>31.66666666666667</v>
      </c>
      <c r="L23" s="8">
        <f>SUMIF('宝箱奖励明细'!A$2:A$696,A23,'宝箱奖励明细'!S$2:S$696)</f>
        <v>159.0</v>
      </c>
      <c r="M23" s="8">
        <f>L23-J23</f>
        <v>31.0</v>
      </c>
      <c r="N23" s="8" t="inlineStr">
        <is>
          <t>{}</t>
        </is>
      </c>
      <c r="O23" s="8" t="inlineStr">
        <is>
          <t>箱不可交易；器械仅图纸；仓容5</t>
        </is>
      </c>
    </row>
    <row r="24" ht="36" customHeight="1">
      <c r="A24" s="8" t="inlineStr">
        <is>
          <t>liangshanbo_zhuyingtai</t>
        </is>
      </c>
      <c r="B24" s="8" t="inlineStr">
        <is>
          <t>梁山伯与祝英台</t>
        </is>
      </c>
      <c r="C24" s="8" t="inlineStr">
        <is>
          <t>中级</t>
        </is>
      </c>
      <c r="D24" s="8" t="inlineStr">
        <is>
          <t>梁山伯与祝英台宝箱</t>
        </is>
      </c>
      <c r="E24" s="8" t="inlineStr">
        <is>
          <t>中期情缘收集：必得好人卡与霓裳套</t>
        </is>
      </c>
      <c r="F24" s="8" t="n">
        <v>10000</v>
      </c>
      <c r="G24" s="8" t="inlineStr">
        <is>
          <t>1,3,5,6,7</t>
        </is>
      </c>
      <c r="H24" s="8" t="n">
        <v>3</v>
      </c>
      <c r="I24" s="8" t="n">
        <v>7</v>
      </c>
      <c r="J24" s="8" t="n">
        <v>0</v>
      </c>
      <c r="K24" s="8" t="n">
        <v>7</v>
      </c>
      <c r="L24" s="8">
        <f>SUMIF('宝箱奖励明细'!A$2:A$696,A24,'宝箱奖励明细'!S$2:S$696)</f>
        <v>7.0</v>
      </c>
      <c r="M24" s="8">
        <f>L24-J24</f>
        <v>7.0</v>
      </c>
      <c r="N24" s="8" t="inlineStr">
        <is>
          <t>{}</t>
        </is>
      </c>
      <c r="O24" s="8" t="inlineStr">
        <is>
          <t>箱不可交易；器械仅图纸；仓容5</t>
        </is>
      </c>
    </row>
    <row r="25" ht="36" customHeight="1">
      <c r="A25" s="8" t="inlineStr">
        <is>
          <t>biyou_candeng</t>
        </is>
      </c>
      <c r="B25" s="8" t="inlineStr">
        <is>
          <t>封神之战：碧游残灯</t>
        </is>
      </c>
      <c r="C25" s="8" t="inlineStr">
        <is>
          <t>高级</t>
        </is>
      </c>
      <c r="D25" s="8" t="inlineStr">
        <is>
          <t>碧游残灯宝箱</t>
        </is>
      </c>
      <c r="E25" s="8" t="inlineStr">
        <is>
          <t>封神入口：必得阵旗碎片，有机会获得校尉军备与狐仙图纸</t>
        </is>
      </c>
      <c r="F25" s="8" t="n">
        <v>60000</v>
      </c>
      <c r="G25" s="8" t="inlineStr">
        <is>
          <t>每日</t>
        </is>
      </c>
      <c r="H25" s="8" t="n">
        <v>3</v>
      </c>
      <c r="I25" s="8" t="n">
        <v>144</v>
      </c>
      <c r="J25" s="8" t="n">
        <v>83.2</v>
      </c>
      <c r="K25" s="8" t="n">
        <v>144.3333333333333</v>
      </c>
      <c r="L25" s="8">
        <f>SUMIF('宝箱奖励明细'!A$2:A$696,A25,'宝箱奖励明细'!S$2:S$696)</f>
        <v>227.2</v>
      </c>
      <c r="M25" s="8">
        <f>L25-J25</f>
        <v>144.0</v>
      </c>
      <c r="N25" s="8" t="inlineStr">
        <is>
          <t>{}</t>
        </is>
      </c>
      <c r="O25" s="8" t="inlineStr">
        <is>
          <t>箱不可交易；器械仅图纸；仓容5</t>
        </is>
      </c>
    </row>
    <row r="26" ht="36" customHeight="1">
      <c r="A26" s="8" t="inlineStr">
        <is>
          <t>shier_xianyin</t>
        </is>
      </c>
      <c r="B26" s="8" t="inlineStr">
        <is>
          <t>封神之战：十二仙印</t>
        </is>
      </c>
      <c r="C26" s="8" t="inlineStr">
        <is>
          <t>高级</t>
        </is>
      </c>
      <c r="D26" s="8" t="inlineStr">
        <is>
          <t>十二仙印宝箱</t>
        </is>
      </c>
      <c r="E26" s="8" t="inlineStr">
        <is>
          <t>封神中层：必得玉虚残印，有机会获得阵法秘术与太清玉册</t>
        </is>
      </c>
      <c r="F26" s="8" t="n">
        <v>80000</v>
      </c>
      <c r="G26" s="8" t="inlineStr">
        <is>
          <t>每日</t>
        </is>
      </c>
      <c r="H26" s="8" t="n">
        <v>2</v>
      </c>
      <c r="I26" s="8" t="n">
        <v>207</v>
      </c>
      <c r="J26" s="8" t="n">
        <v>134.4</v>
      </c>
      <c r="K26" s="8" t="n">
        <v>207.3333333333333</v>
      </c>
      <c r="L26" s="8">
        <f>SUMIF('宝箱奖励明细'!A$2:A$696,A26,'宝箱奖励明细'!S$2:S$696)</f>
        <v>341.4</v>
      </c>
      <c r="M26" s="8">
        <f>L26-J26</f>
        <v>206.99999999999997</v>
      </c>
      <c r="N26" s="8" t="inlineStr">
        <is>
          <t>{"wanyin_flag_fragment": 1}</t>
        </is>
      </c>
      <c r="O26" s="8" t="inlineStr">
        <is>
          <t>箱不可交易；器械仅图纸；仓容5</t>
        </is>
      </c>
    </row>
    <row r="27" ht="36" customHeight="1">
      <c r="A27" s="8" t="inlineStr">
        <is>
          <t>fengbang_tianmen</t>
        </is>
      </c>
      <c r="B27" s="8" t="inlineStr">
        <is>
          <t>封神之战：封榜天门</t>
        </is>
      </c>
      <c r="C27" s="8" t="inlineStr">
        <is>
          <t>高级</t>
        </is>
      </c>
      <c r="D27" s="8" t="inlineStr">
        <is>
          <t>封榜天门宝箱</t>
        </is>
      </c>
      <c r="E27" s="8" t="inlineStr">
        <is>
          <t>封神终局：诛仙名器、封神法宝与高阶锻造图纸</t>
        </is>
      </c>
      <c r="F27" s="8" t="n">
        <v>100000</v>
      </c>
      <c r="G27" s="8" t="inlineStr">
        <is>
          <t>每日</t>
        </is>
      </c>
      <c r="H27" s="8" t="n">
        <v>1</v>
      </c>
      <c r="I27" s="8" t="n">
        <v>180</v>
      </c>
      <c r="J27" s="8" t="n">
        <v>192</v>
      </c>
      <c r="K27" s="8" t="n">
        <v>180</v>
      </c>
      <c r="L27" s="8">
        <f>SUMIF('宝箱奖励明细'!A$2:A$696,A27,'宝箱奖励明细'!S$2:S$696)</f>
        <v>372.0</v>
      </c>
      <c r="M27" s="8">
        <f>L27-J27</f>
        <v>180.0</v>
      </c>
      <c r="N27" s="8" t="inlineStr">
        <is>
          <t>{"yuxu_broken_seal": 1}</t>
        </is>
      </c>
      <c r="O27" s="8" t="inlineStr">
        <is>
          <t>箱不可交易；器械仅图纸；仓容5</t>
        </is>
      </c>
    </row>
    <row r="28" ht="36" customHeight="1">
      <c r="A28" s="8" t="inlineStr">
        <is>
          <t>zhuolu_zhongyuan</t>
        </is>
      </c>
      <c r="B28" s="8" t="inlineStr">
        <is>
          <t>逐鹿中原</t>
        </is>
      </c>
      <c r="C28" s="8" t="inlineStr">
        <is>
          <t>高级</t>
        </is>
      </c>
      <c r="D28" s="8" t="inlineStr">
        <is>
          <t>逐鹿中原宝箱</t>
        </is>
      </c>
      <c r="E28" s="8" t="inlineStr">
        <is>
          <t>上古帝王终局：轩辕、龙冠、玉玺与麒麟青鸾</t>
        </is>
      </c>
      <c r="F28" s="8" t="n">
        <v>100000</v>
      </c>
      <c r="G28" s="8" t="inlineStr">
        <is>
          <t>每日</t>
        </is>
      </c>
      <c r="H28" s="8" t="n">
        <v>1</v>
      </c>
      <c r="I28" s="8" t="n">
        <v>182</v>
      </c>
      <c r="J28" s="8" t="n">
        <v>67.19999999999999</v>
      </c>
      <c r="K28" s="8" t="n">
        <v>182</v>
      </c>
      <c r="L28" s="8">
        <f>SUMIF('宝箱奖励明细'!A$2:A$696,A28,'宝箱奖励明细'!S$2:S$696)</f>
        <v>249.2</v>
      </c>
      <c r="M28" s="8">
        <f>L28-J28</f>
        <v>182.0</v>
      </c>
      <c r="N28" s="8" t="inlineStr">
        <is>
          <t>{}</t>
        </is>
      </c>
      <c r="O28" s="8" t="inlineStr">
        <is>
          <t>箱不可交易；器械仅图纸；仓容5</t>
        </is>
      </c>
    </row>
    <row r="29" ht="36" customHeight="1">
      <c r="A29" s="8" t="inlineStr">
        <is>
          <t>guandu_zhizhan</t>
        </is>
      </c>
      <c r="B29" s="8" t="inlineStr">
        <is>
          <t>官渡之战</t>
        </is>
      </c>
      <c r="C29" s="8" t="inlineStr">
        <is>
          <t>高级</t>
        </is>
      </c>
      <c r="D29" s="8" t="inlineStr">
        <is>
          <t>官渡之战宝箱</t>
        </is>
      </c>
      <c r="E29" s="8" t="inlineStr">
        <is>
          <t>三国军备终局：帝王盔甲、神弓与曹氏名驹</t>
        </is>
      </c>
      <c r="F29" s="8" t="n">
        <v>120000</v>
      </c>
      <c r="G29" s="8" t="inlineStr">
        <is>
          <t>每日</t>
        </is>
      </c>
      <c r="H29" s="8" t="n">
        <v>1</v>
      </c>
      <c r="I29" s="8" t="n">
        <v>66</v>
      </c>
      <c r="J29" s="8" t="n">
        <v>90</v>
      </c>
      <c r="K29" s="8" t="n">
        <v>66.33333333333334</v>
      </c>
      <c r="L29" s="8">
        <f>SUMIF('宝箱奖励明细'!A$2:A$696,A29,'宝箱奖励明细'!S$2:S$696)</f>
        <v>156.0</v>
      </c>
      <c r="M29" s="8">
        <f>L29-J29</f>
        <v>66.0</v>
      </c>
      <c r="N29" s="8" t="inlineStr">
        <is>
          <t>{}</t>
        </is>
      </c>
      <c r="O29" s="8" t="inlineStr">
        <is>
          <t>箱不可交易；器械仅图纸；仓容5</t>
        </is>
      </c>
    </row>
    <row r="30" ht="36" customHeight="1">
      <c r="A30" s="8" t="inlineStr">
        <is>
          <t>huashan_lunjian_advanced</t>
        </is>
      </c>
      <c r="B30" s="8" t="inlineStr">
        <is>
          <t>华山论剑</t>
        </is>
      </c>
      <c r="C30" s="8" t="inlineStr">
        <is>
          <t>高级</t>
        </is>
      </c>
      <c r="D30" s="8" t="inlineStr">
        <is>
          <t>华山论剑宝箱</t>
        </is>
      </c>
      <c r="E30" s="8" t="inlineStr">
        <is>
          <t>武林收藏终局：必得一件名器或饕餮鼎图纸</t>
        </is>
      </c>
      <c r="F30" s="8" t="n">
        <v>120000</v>
      </c>
      <c r="G30" s="8" t="inlineStr">
        <is>
          <t>每日</t>
        </is>
      </c>
      <c r="H30" s="8" t="n">
        <v>1</v>
      </c>
      <c r="I30" s="8" t="n">
        <v>185</v>
      </c>
      <c r="J30" s="8" t="n">
        <v>0</v>
      </c>
      <c r="K30" s="8" t="n">
        <v>185</v>
      </c>
      <c r="L30" s="8">
        <f>SUMIF('宝箱奖励明细'!A$2:A$696,A30,'宝箱奖励明细'!S$2:S$696)</f>
        <v>185.0</v>
      </c>
      <c r="M30" s="8">
        <f>L30-J30</f>
        <v>185.0</v>
      </c>
      <c r="N30" s="8" t="inlineStr">
        <is>
          <t>{}</t>
        </is>
      </c>
      <c r="O30" s="8" t="inlineStr">
        <is>
          <t>箱不可交易；器械仅图纸；仓容5</t>
        </is>
      </c>
    </row>
    <row r="31" ht="36" customHeight="1">
      <c r="A31" s="8" t="inlineStr">
        <is>
          <t>sishui_huaxiong_chengwei</t>
        </is>
      </c>
      <c r="B31" s="8" t="inlineStr">
        <is>
          <t>飞将浮沉录：汜水关华雄逞威</t>
        </is>
      </c>
      <c r="C31" s="8" t="inlineStr">
        <is>
          <t>高级</t>
        </is>
      </c>
      <c r="D31" s="8" t="inlineStr">
        <is>
          <t>汜水关宝箱</t>
        </is>
      </c>
      <c r="E31" s="8" t="inlineStr">
        <is>
          <t>飞将入口：必得汜水战报，有机会获得军阵兵器</t>
        </is>
      </c>
      <c r="F31" s="8" t="n">
        <v>90000</v>
      </c>
      <c r="G31" s="8" t="inlineStr">
        <is>
          <t>每日</t>
        </is>
      </c>
      <c r="H31" s="8" t="n">
        <v>1</v>
      </c>
      <c r="I31" s="8" t="n">
        <v>44</v>
      </c>
      <c r="J31" s="8" t="n">
        <v>102</v>
      </c>
      <c r="K31" s="8" t="n">
        <v>44.33333333333333</v>
      </c>
      <c r="L31" s="8">
        <f>SUMIF('宝箱奖励明细'!A$2:A$696,A31,'宝箱奖励明细'!S$2:S$696)</f>
        <v>146.0</v>
      </c>
      <c r="M31" s="8">
        <f>L31-J31</f>
        <v>44.0</v>
      </c>
      <c r="N31" s="8" t="inlineStr">
        <is>
          <t>{}</t>
        </is>
      </c>
      <c r="O31" s="8" t="inlineStr">
        <is>
          <t>箱不可交易；器械仅图纸；仓容5</t>
        </is>
      </c>
    </row>
    <row r="32" ht="36" customHeight="1">
      <c r="A32" s="8" t="inlineStr">
        <is>
          <t>hulao_qunying_zhan_lvbu</t>
        </is>
      </c>
      <c r="B32" s="8" t="inlineStr">
        <is>
          <t>飞将浮沉录：虎牢关群英战吕布</t>
        </is>
      </c>
      <c r="C32" s="8" t="inlineStr">
        <is>
          <t>高级</t>
        </is>
      </c>
      <c r="D32" s="8" t="inlineStr">
        <is>
          <t>虎牢关宝箱</t>
        </is>
      </c>
      <c r="E32" s="8" t="inlineStr">
        <is>
          <t>飞将中层：必得虎牢战旗，有机会获得吕布专属名器</t>
        </is>
      </c>
      <c r="F32" s="8" t="n">
        <v>110000</v>
      </c>
      <c r="G32" s="8" t="inlineStr">
        <is>
          <t>每日</t>
        </is>
      </c>
      <c r="H32" s="8" t="n">
        <v>1</v>
      </c>
      <c r="I32" s="8" t="n">
        <v>69</v>
      </c>
      <c r="J32" s="8" t="n">
        <v>90</v>
      </c>
      <c r="K32" s="8" t="n">
        <v>69</v>
      </c>
      <c r="L32" s="8">
        <f>SUMIF('宝箱奖励明细'!A$2:A$696,A32,'宝箱奖励明细'!S$2:S$696)</f>
        <v>159.0</v>
      </c>
      <c r="M32" s="8">
        <f>L32-J32</f>
        <v>69.0</v>
      </c>
      <c r="N32" s="8" t="inlineStr">
        <is>
          <t>{"sishui_battle_report": 1}</t>
        </is>
      </c>
      <c r="O32" s="8" t="inlineStr">
        <is>
          <t>箱不可交易；器械仅图纸；仓容5</t>
        </is>
      </c>
    </row>
    <row r="33" ht="36" customHeight="1">
      <c r="A33" s="8" t="inlineStr">
        <is>
          <t>baimenlou_mingyun_jueze</t>
        </is>
      </c>
      <c r="B33" s="8" t="inlineStr">
        <is>
          <t>飞将浮沉录：白门楼命运抉择</t>
        </is>
      </c>
      <c r="C33" s="8" t="inlineStr">
        <is>
          <t>高级</t>
        </is>
      </c>
      <c r="D33" s="8" t="inlineStr">
        <is>
          <t>白门楼宝箱</t>
        </is>
      </c>
      <c r="E33" s="8" t="inlineStr">
        <is>
          <t>飞将招募终局：吕布貂蝉召唤、易容与破军军备</t>
        </is>
      </c>
      <c r="F33" s="8" t="n">
        <v>180000</v>
      </c>
      <c r="G33" s="8" t="inlineStr">
        <is>
          <t>每日</t>
        </is>
      </c>
      <c r="H33" s="8" t="n">
        <v>1</v>
      </c>
      <c r="I33" s="8" t="n">
        <v>177</v>
      </c>
      <c r="J33" s="8" t="n">
        <v>172.8</v>
      </c>
      <c r="K33" s="8" t="n">
        <v>177</v>
      </c>
      <c r="L33" s="8">
        <f>SUMIF('宝箱奖励明细'!A$2:A$696,A33,'宝箱奖励明细'!S$2:S$696)</f>
        <v>349.8</v>
      </c>
      <c r="M33" s="8">
        <f>L33-J33</f>
        <v>177.0</v>
      </c>
      <c r="N33" s="8" t="inlineStr">
        <is>
          <t>{"hulao_war_banner": 1}</t>
        </is>
      </c>
      <c r="O33" s="8" t="inlineStr">
        <is>
          <t>箱不可交易；器械仅图纸；仓容5</t>
        </is>
      </c>
    </row>
  </sheetData>
  <autoFilter ref="A1:O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32" customHeight="1">
      <c r="A1" s="7" t="inlineStr">
        <is>
          <t>项目</t>
        </is>
      </c>
      <c r="B1" s="7" t="inlineStr">
        <is>
          <t>说明</t>
        </is>
      </c>
    </row>
    <row r="2" ht="48" customHeight="1">
      <c r="A2" s="8" t="inlineStr">
        <is>
          <t>范围</t>
        </is>
      </c>
      <c r="B2" s="8" t="inlineStr">
        <is>
          <t>32个人任务；3帮会任务维持公共红宝石奖励。</t>
        </is>
      </c>
    </row>
    <row r="3" ht="48" customHeight="1">
      <c r="A3" s="8" t="inlineStr">
        <is>
          <t>发奖</t>
        </is>
      </c>
      <c r="B3" s="8" t="inlineStr">
        <is>
          <t>玩家胜利且非撤退，在既有结算时机获得原银两+对应宝箱×1；原无银两的分桃、地窖二层仍只奖励宝箱。</t>
        </is>
      </c>
    </row>
    <row r="4" ht="48" customHeight="1">
      <c r="A4" s="8" t="inlineStr">
        <is>
          <t>开箱</t>
        </is>
      </c>
      <c r="B4" s="8" t="inlineStr">
        <is>
          <t>仓库点击使用；保底经验+多个独立奖励组，命中某组只按权重选一项；组间可同时命中。</t>
        </is>
      </c>
    </row>
    <row r="5" ht="48" customHeight="1">
      <c r="A5" s="8" t="inlineStr">
        <is>
          <t>经验预算</t>
        </is>
      </c>
      <c r="B5" s="8" t="inlineStr">
        <is>
          <t>固定经验果取敌方门客全败满血+敌方护院80%阵亡参考向下取整、至少1；保留原配置经验概率和数量。不计玩家损失，不等同旧每场实际收益。</t>
        </is>
      </c>
    </row>
    <row r="6" ht="48" customHeight="1">
      <c r="A6" s="8" t="inlineStr">
        <is>
          <t>经验差值</t>
        </is>
      </c>
      <c r="B6" s="8" t="inlineStr">
        <is>
          <t>新箱减原配置的差值主要是战斗回收归入固定保底；不是凭空新增同等经验。实际新旧差异取决于旧战损。</t>
        </is>
      </c>
    </row>
    <row r="7" ht="48" customHeight="1">
      <c r="A7" s="8" t="inlineStr">
        <is>
          <t>器械</t>
        </is>
      </c>
      <c r="B7" s="8" t="inlineStr">
        <is>
          <t>只得图纸，命中时附带配方每种材料的一半向下取整；剩余材料与锻造等级仍需满足。半材料与图纸同次命中，不是独立抽取。</t>
        </is>
      </c>
    </row>
    <row r="8" ht="48" customHeight="1">
      <c r="A8" s="8" t="inlineStr">
        <is>
          <t>活动</t>
        </is>
      </c>
      <c r="B8" s="8" t="inlineStr">
        <is>
          <t>月饼、蜡笔固定1及55%×1、25%×2、8%×4、1.5%×10独立奖励组保留；单次期望2.52。月饼兼作兑换与开箱道具。</t>
        </is>
      </c>
    </row>
    <row r="9" ht="48" customHeight="1">
      <c r="A9" s="8" t="inlineStr">
        <is>
          <t>任务链</t>
        </is>
      </c>
      <c r="B9" s="8" t="inlineStr">
        <is>
          <t>汜水战报、虎牢战旗、阵旗碎片、玉虚残印在对应箱各必得1，开箱取得凭证后用于下一关。宝箱不可交易。</t>
        </is>
      </c>
    </row>
    <row r="10" ht="48" customHeight="1">
      <c r="A10" s="8" t="inlineStr">
        <is>
          <t>兼容</t>
        </is>
      </c>
      <c r="B10" s="8" t="inlineStr">
        <is>
          <t>已有非空旧掉落战报仍按旧奖励与回收结算；空掉落防守战报沿用领取时当前模板。旧武林箱保留原池/价格/交易/仓容，器械改图纸；新版高级华山用独立箱。</t>
        </is>
      </c>
    </row>
    <row r="11" ht="48" customHeight="1">
      <c r="A11" s="8" t="inlineStr">
        <is>
          <t>仓库</t>
        </is>
      </c>
      <c r="B11" s="8" t="inlineStr">
        <is>
          <t>箱占5；普通任务/开箱奖励沿用仓满仍入库的既有策略，不吞奖励。缺任一奖励候选模板则保留整个宝箱等待同步。</t>
        </is>
      </c>
    </row>
    <row r="12" ht="48" customHeight="1">
      <c r="A12" s="8" t="inlineStr">
        <is>
          <t>概率</t>
        </is>
      </c>
      <c r="B12" s="8" t="inlineStr">
        <is>
          <t>概率不含胜率。EV=组概率×权重/总权重×平均数量。华山85%紫/15%橙互斥保证一件；官渡15%橙与25%紫独立；配套材料随图纸命中。</t>
        </is>
      </c>
    </row>
    <row r="13" ht="48" customHeight="1">
      <c r="A13" s="8" t="inlineStr">
        <is>
          <t>累计兑换</t>
        </is>
      </c>
      <c r="B13" s="8" t="inlineStr">
        <is>
          <t>6个高阶任务各有独立碎片，每箱固定1；诛仙30个，其余40个兑换对应指定橙装。不承诺自然日，随机先出仍保留累计进度。</t>
        </is>
      </c>
    </row>
    <row r="14" ht="48" customHeight="1">
      <c r="A14" s="8" t="inlineStr">
        <is>
          <t>图像</t>
        </is>
      </c>
      <c r="B14" s="8" t="inlineStr">
        <is>
          <t>32箱统一复用mission_chest_v1.png，国风木铜宝箱，很浅的浅黄色背景。</t>
        </is>
      </c>
    </row>
    <row r="15" ht="48" customHeight="1">
      <c r="A15" s="8" t="inlineStr">
        <is>
          <t>来源</t>
        </is>
      </c>
      <c r="B15" s="8" t="inlineStr">
        <is>
          <t>工作区YAML配置与结算、开箱源码，2026-10-01；未读取或修改线上数据库。</t>
        </is>
      </c>
    </row>
  </sheetData>
  <autoFilter ref="A1:B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ht="32" customHeight="1">
      <c r="A1" s="7" t="inlineStr">
        <is>
          <t>任务key</t>
        </is>
      </c>
      <c r="B1" s="7" t="inlineStr">
        <is>
          <t>任务名称</t>
        </is>
      </c>
      <c r="C1" s="7" t="inlineStr">
        <is>
          <t>累积道具</t>
        </is>
      </c>
      <c r="D1" s="7" t="inlineStr">
        <is>
          <t>兑换装备</t>
        </is>
      </c>
      <c r="E1" s="7" t="inlineStr">
        <is>
          <t>兑换需要胜利开箱数</t>
        </is>
      </c>
      <c r="F1" s="7" t="inlineStr">
        <is>
          <t>每箱碎片</t>
        </is>
      </c>
      <c r="G1" s="7" t="inlineStr">
        <is>
          <t>每日基础次数</t>
        </is>
      </c>
      <c r="H1" s="7" t="inlineStr">
        <is>
          <t>装备随机概率</t>
        </is>
      </c>
      <c r="I1" s="7" t="inlineStr">
        <is>
          <t>首次获得期望胜利数（含兑换）</t>
        </is>
      </c>
      <c r="J1" s="7" t="inlineStr">
        <is>
          <t>达到兑换数仍未随机出货概率</t>
        </is>
      </c>
      <c r="K1" s="7" t="inlineStr">
        <is>
          <t>假设与限制</t>
        </is>
      </c>
    </row>
    <row r="2" ht="36" customHeight="1">
      <c r="A2" s="8" t="inlineStr">
        <is>
          <t>fengbang_tianmen</t>
        </is>
      </c>
      <c r="B2" s="8" t="inlineStr">
        <is>
          <t>封神之战：封榜天门</t>
        </is>
      </c>
      <c r="C2" s="8" t="inlineStr">
        <is>
          <t>诛仙剑意</t>
        </is>
      </c>
      <c r="D2" s="8" t="inlineStr">
        <is>
          <t>诛仙剑</t>
        </is>
      </c>
      <c r="E2" s="8" t="n">
        <v>30</v>
      </c>
      <c r="F2" s="8" t="n">
        <v>1</v>
      </c>
      <c r="G2" s="8" t="n">
        <v>1</v>
      </c>
      <c r="H2" s="8" t="n">
        <v>0.05</v>
      </c>
      <c r="I2" s="8">
        <f>(1-(1-H2)^E2)/H2</f>
        <v>15.707224721141255</v>
      </c>
      <c r="J2" s="8">
        <f>(1-H2)^E2</f>
        <v>0.21463876394293727</v>
      </c>
      <c r="K2" s="8" t="inlineStr">
        <is>
          <t>胜利并开箱累积；仓库使用兑换；不含战败/缺勤；随机掉落不清空碎片</t>
        </is>
      </c>
    </row>
    <row r="3" ht="36" customHeight="1">
      <c r="A3" s="8" t="inlineStr">
        <is>
          <t>zhuolu_zhongyuan</t>
        </is>
      </c>
      <c r="B3" s="8" t="inlineStr">
        <is>
          <t>逐鹿中原</t>
        </is>
      </c>
      <c r="C3" s="8" t="inlineStr">
        <is>
          <t>轩辕剑意</t>
        </is>
      </c>
      <c r="D3" s="8" t="inlineStr">
        <is>
          <t>轩辕剑</t>
        </is>
      </c>
      <c r="E3" s="8" t="n">
        <v>40</v>
      </c>
      <c r="F3" s="8" t="n">
        <v>1</v>
      </c>
      <c r="G3" s="8" t="n">
        <v>1</v>
      </c>
      <c r="H3" s="8" t="n">
        <v>0.02142857142857143</v>
      </c>
      <c r="I3" s="8">
        <f>(1-(1-H3)^E3)/H3</f>
        <v>27.046258398534512</v>
      </c>
      <c r="J3" s="8">
        <f>(1-H3)^E3</f>
        <v>0.42043732003140327</v>
      </c>
      <c r="K3" s="8" t="inlineStr">
        <is>
          <t>胜利并开箱累积；仓库使用兑换；不含战败/缺勤；随机掉落不清空碎片</t>
        </is>
      </c>
    </row>
    <row r="4" ht="36" customHeight="1">
      <c r="A4" s="8" t="inlineStr">
        <is>
          <t>guandu_zhizhan</t>
        </is>
      </c>
      <c r="B4" s="8" t="inlineStr">
        <is>
          <t>官渡之战</t>
        </is>
      </c>
      <c r="C4" s="8" t="inlineStr">
        <is>
          <t>官渡帝王战章</t>
        </is>
      </c>
      <c r="D4" s="8" t="inlineStr">
        <is>
          <t>帝王盔</t>
        </is>
      </c>
      <c r="E4" s="8" t="n">
        <v>40</v>
      </c>
      <c r="F4" s="8" t="n">
        <v>1</v>
      </c>
      <c r="G4" s="8" t="n">
        <v>1</v>
      </c>
      <c r="H4" s="8" t="n">
        <v>0.03061224489795918</v>
      </c>
      <c r="I4" s="8">
        <f>(1-(1-H4)^E4)/H4</f>
        <v>23.247640468995336</v>
      </c>
      <c r="J4" s="8">
        <f>(1-H4)^E4</f>
        <v>0.28833753666340817</v>
      </c>
      <c r="K4" s="8" t="inlineStr">
        <is>
          <t>胜利并开箱累积；仓库使用兑换；不含战败/缺勤；随机掉落不清空碎片</t>
        </is>
      </c>
    </row>
    <row r="5" ht="36" customHeight="1">
      <c r="A5" s="8" t="inlineStr">
        <is>
          <t>huashan_lunjian_advanced</t>
        </is>
      </c>
      <c r="B5" s="8" t="inlineStr">
        <is>
          <t>华山论剑</t>
        </is>
      </c>
      <c r="C5" s="8" t="inlineStr">
        <is>
          <t>华山重剑心得</t>
        </is>
      </c>
      <c r="D5" s="8" t="inlineStr">
        <is>
          <t>玄铁重剑</t>
        </is>
      </c>
      <c r="E5" s="8" t="n">
        <v>40</v>
      </c>
      <c r="F5" s="8" t="n">
        <v>1</v>
      </c>
      <c r="G5" s="8" t="n">
        <v>1</v>
      </c>
      <c r="H5" s="8" t="n">
        <v>0.015</v>
      </c>
      <c r="I5" s="8">
        <f>(1-(1-H5)^E5)/H5</f>
        <v>30.245155526595052</v>
      </c>
      <c r="J5" s="8">
        <f>(1-H5)^E5</f>
        <v>0.5463226671010742</v>
      </c>
      <c r="K5" s="8" t="inlineStr">
        <is>
          <t>胜利并开箱累积；仓库使用兑换；不含战败/缺勤；随机掉落不清空碎片</t>
        </is>
      </c>
    </row>
    <row r="6" ht="36" customHeight="1">
      <c r="A6" s="8" t="inlineStr">
        <is>
          <t>hulao_qunying_zhan_lvbu</t>
        </is>
      </c>
      <c r="B6" s="8" t="inlineStr">
        <is>
          <t>飞将浮沉录：虎牢关群英战吕布</t>
        </is>
      </c>
      <c r="C6" s="8" t="inlineStr">
        <is>
          <t>虎牢画戟战魂</t>
        </is>
      </c>
      <c r="D6" s="8" t="inlineStr">
        <is>
          <t>方天画戟</t>
        </is>
      </c>
      <c r="E6" s="8" t="n">
        <v>40</v>
      </c>
      <c r="F6" s="8" t="n">
        <v>1</v>
      </c>
      <c r="G6" s="8" t="n">
        <v>1</v>
      </c>
      <c r="H6" s="8" t="n">
        <v>0.03333333333333333</v>
      </c>
      <c r="I6" s="8">
        <f>(1-(1-H6)^E6)/H6</f>
        <v>22.269795523060633</v>
      </c>
      <c r="J6" s="8">
        <f>(1-H6)^E6</f>
        <v>0.2576734825646456</v>
      </c>
      <c r="K6" s="8" t="inlineStr">
        <is>
          <t>胜利并开箱累积；仓库使用兑换；不含战败/缺勤；随机掉落不清空碎片</t>
        </is>
      </c>
    </row>
    <row r="7" ht="36" customHeight="1">
      <c r="A7" s="8" t="inlineStr">
        <is>
          <t>baimenlou_mingyun_jueze</t>
        </is>
      </c>
      <c r="B7" s="8" t="inlineStr">
        <is>
          <t>飞将浮沉录：白门楼命运抉择</t>
        </is>
      </c>
      <c r="C7" s="8" t="inlineStr">
        <is>
          <t>白门楼盘龙战魂</t>
        </is>
      </c>
      <c r="D7" s="8" t="inlineStr">
        <is>
          <t>盘龙棍</t>
        </is>
      </c>
      <c r="E7" s="8" t="n">
        <v>40</v>
      </c>
      <c r="F7" s="8" t="n">
        <v>1</v>
      </c>
      <c r="G7" s="8" t="n">
        <v>1</v>
      </c>
      <c r="H7" s="8" t="n">
        <v>0.1</v>
      </c>
      <c r="I7" s="8">
        <f>(1-(1-H7)^E7)/H7</f>
        <v>9.852191170585654</v>
      </c>
      <c r="J7" s="8">
        <f>(1-H7)^E7</f>
        <v>0.014780882941434608</v>
      </c>
      <c r="K7" s="8" t="inlineStr">
        <is>
          <t>胜利并开箱累积；仓库使用兑换；不含战败/缺勤；随机掉落不清空碎片</t>
        </is>
      </c>
    </row>
  </sheetData>
  <autoFilter ref="A1:K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2026-09-30T08:11:33Z</dcterms:created>
  <dcterms:modified xmlns:dcterms="http://purl.org/dc/terms/" xmlns:xsi="http://www.w3.org/2001/XMLSchema-instance" xsi:type="dcterms:W3CDTF">2026-10-01T09:49:08Z</dcterms:modified>
</cp:coreProperties>
</file>